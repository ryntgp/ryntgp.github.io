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media/image1.png" ContentType="image/png"/>
  <Override PartName="/xl/media/image2.png" ContentType="image/png"/>
  <Override PartName="/xl/media/image3.png" ContentType="image/png"/>
  <Override PartName="/xl/comments13.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5.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worksheets/_rels/sheet19.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comments15.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Ringkasan" sheetId="3" state="visible" r:id="rId5"/>
    <sheet name="Dashboard" sheetId="4" state="visible" r:id="rId6"/>
    <sheet name="Asumsi" sheetId="5" state="visible" r:id="rId7"/>
    <sheet name="IS_Proj" sheetId="6" state="visible" r:id="rId8"/>
    <sheet name="BS_Proj" sheetId="7" state="visible" r:id="rId9"/>
    <sheet name="CF_Proj" sheetId="8" state="visible" r:id="rId10"/>
    <sheet name="Schedules_Proj" sheetId="9" state="visible" r:id="rId11"/>
    <sheet name="DCF_Template" sheetId="10" state="visible" r:id="rId12"/>
    <sheet name="Peer" sheetId="11" state="visible" r:id="rId13"/>
    <sheet name="IS" sheetId="12" state="visible" r:id="rId14"/>
    <sheet name="BS" sheetId="13" state="visible" r:id="rId15"/>
    <sheet name="CF" sheetId="14" state="visible" r:id="rId16"/>
    <sheet name="Schedules" sheetId="15" state="visible" r:id="rId17"/>
    <sheet name="Rasio" sheetId="16" state="visible" r:id="rId18"/>
    <sheet name="Rekonsiliasi" sheetId="17" state="visible" r:id="rId19"/>
    <sheet name="Temuan" sheetId="18" state="visible" r:id="rId20"/>
    <sheet name="Database" sheetId="19" state="visible" r:id="rId21"/>
    <sheet name="Data_Log" sheetId="20" state="visible" r:id="rId22"/>
  </sheets>
  <definedNames>
    <definedName function="false" hidden="true" localSheetId="18" name="_xlnm._FilterDatabase" vbProcedure="false">Database!$A$4:$M$3240</definedName>
    <definedName function="false" hidden="true" localSheetId="16" name="_xlnm._FilterDatabase" vbProcedure="false">Rekonsiliasi!$A$6:$L$506</definedName>
    <definedName function="false" hidden="false" localSheetId="2" name="_xlnm.Print_Area" vbProcedure="false">Ringkasan!$A$1:$I$107</definedName>
    <definedName function="false" hidden="false" localSheetId="2" name="_xlnm.Print_Titles" vbProcedure="false">Ringkasan!$1:$2</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bruto (Cat 27).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Kolom 2020 = basis ASLI LK FY2021 (tanpa DGNS); kolom 2021 dst = basis disajikan kembali (DGNS dikonsolidasi, PSAK 38). Kas akhir 2020 asli 624.986.556.241 != kas awal 2021 restated 641.524.826.591 (selisih 16.538.270.350 = kas DGNS). Pertumbuhan/rasio 2020-&gt;2021 tidak like-for-like.</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Kolom 2020 = basis ASLI LK FY2021 (tanpa DGNS); kolom 2021 dst = basis disajikan kembali (DGNS dikonsolidasi, PSAK 38). Kas akhir 2020 asli 624.986.556.241 != kas awal 2021 restated 641.524.826.591 (selisih 16.538.270.350 = kas DGNS). Pertumbuhan/rasio 2020-&gt;2021 tidak like-for-like.</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Kolom 2020 = basis ASLI LK FY2021 (tanpa DGNS); kolom 2021 dst = basis disajikan kembali (DGNS dikonsolidasi, PSAK 38). Kas akhir 2020 asli 624.986.556.241 != kas awal 2021 restated 641.524.826.591 (selisih 16.538.270.350 = kas DGNS). Pertumbuhan/rasio 2020-&gt;2021 tidak like-for-like.</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 ref="G19" authorId="0">
      <text>
        <r>
          <rPr>
            <sz val="10"/>
            <rFont val="Arial"/>
            <family val="2"/>
          </rPr>
          <t xml:space="preserve">OVERRIDE: Tercetak (163.412.509.355) di LK FY2025 = duplikasi baris perolehan aset tetap; diisi 0 agar subtotal investasi = (245.291.393.404) sesuai laporan (Temuan c).</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Kolom 2020 = basis ASLI LK FY2021 (tanpa DGNS); kolom 2021 dst = basis disajikan kembali (DGNS dikonsolidasi, PSAK 38). Kas akhir 2020 asli 624.986.556.241 != kas awal 2021 restated 641.524.826.591 (selisih 16.538.270.350 = kas DGNS). Pertumbuhan/rasio 2020-&gt;2021 tidak like-for-like.</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3</xdr:row>
                <xdr:rowOff>11</xdr:rowOff>
              </xdr:to>
            </anchor>
          </commentPr>
        </mc:Choice>
        <mc:Fallback/>
      </mc:AlternateContent>
    </comment>
  </commentList>
</comments>
</file>

<file path=xl/sharedStrings.xml><?xml version="1.0" encoding="utf-8"?>
<sst xmlns="http://schemas.openxmlformats.org/spreadsheetml/2006/main" count="37871" uniqueCount="2599">
  <si>
    <t xml:space="preserve">PT Bundamedik Tbk (BMHS)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</si>
  <si>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</si>
  <si>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</si>
  <si>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</si>
  <si>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Bundamedik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</si>
  <si>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</si>
  <si>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</si>
  <si>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</si>
  <si>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Bundamedik Tbk FY2021-FY2025 (kolom 2020 dari LK FY2021, 2021 restated dari LK FY2022, 2022 reklas dari LK FY2023). Lihat Data_Log.</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</si>
  <si>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</si>
  <si>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</si>
  <si>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</si>
  <si>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</si>
  <si>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v1.0</t>
  </si>
  <si>
    <t xml:space="preserve">Tanggal terbit</t>
  </si>
  <si>
    <t xml:space="preserve">2026-10-25</t>
  </si>
  <si>
    <t xml:space="preserve">ID file</t>
  </si>
  <si>
    <t xml:space="preserve">BMHS-FY2025-v1.0-95E2BE75</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</si>
  <si>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</si>
  <si>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</si>
  <si>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</si>
  <si>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</si>
  <si>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</si>
  <si>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</si>
  <si>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</si>
  <si>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Bundamedik Tbk dan Entitas Anaknya (kode BMHS) - rumah sakit &amp; klinik fertilisasi in vitro</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</si>
  <si>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</si>
  <si>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</si>
  <si>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</si>
  <si>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</si>
  <si>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</si>
  <si>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</si>
  <si>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Dibangun</t>
  </si>
  <si>
    <t xml:space="preserve">25-10-2026 oleh /workspace/emiten/common/build_model.py --ticker BMHS</t>
  </si>
  <si>
    <t xml:space="preserve">Daftar sheet</t>
  </si>
  <si>
    <t xml:space="preserve">Cover</t>
  </si>
  <si>
    <t xml:space="preserve">Sifat dokumen, lisensi, keterangan warna</t>
  </si>
  <si>
    <t xml:space="preserve">Panduan</t>
  </si>
  <si>
    <t xml:space="preserve">Cara memakai model ini</t>
  </si>
  <si>
    <t xml:space="preserve">Ringkasan</t>
  </si>
  <si>
    <t xml:space="preserve">Ringkasan siap cetak/PDF (A4): highlights, indikator utama, grafik, tanda perhatian</t>
  </si>
  <si>
    <t xml:space="preserve">Dashboard</t>
  </si>
  <si>
    <t xml:space="preserve">Indikator &amp; grafik historis + proyeksi ilustratif</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</si>
  <si>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</si>
  <si>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</si>
  <si>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</si>
  <si>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</si>
  <si>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</si>
  <si>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</si>
  <si>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</si>
  <si>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</si>
  <si>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</si>
  <si>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ROU &amp; sewa, utang, modal kerja</t>
  </si>
  <si>
    <t xml:space="preserve">DCF_Template</t>
  </si>
  <si>
    <t xml:space="preserve">Kalkulator DCF opsional dengan input KOSONG (tanpa kesimpulan)</t>
  </si>
  <si>
    <t xml:space="preserve">Peer</t>
  </si>
  <si>
    <t xml:space="preserve">Tabel pembanding fundamental (input kosong, tanpa kelipatan pasar)</t>
  </si>
  <si>
    <t xml:space="preserve">IS</t>
  </si>
  <si>
    <t xml:space="preserve">Laba rugi &amp; OCI FY2020-2025 + memo restated 2020</t>
  </si>
  <si>
    <t xml:space="preserve">BS</t>
  </si>
  <si>
    <t xml:space="preserve">Posisi keuangan FY2020-2025 + memo restated 2020</t>
  </si>
  <si>
    <t xml:space="preserve">CF</t>
  </si>
  <si>
    <t xml:space="preserve">Arus kas (metode langsung) FY2020-2025 + nonkas</t>
  </si>
  <si>
    <t xml:space="preserve">Schedules</t>
  </si>
  <si>
    <t xml:space="preserve">Rincian CALK 6 tahun: pendapatan per jenis, D&amp;A, mutasi aset tetap &amp; ROU, NCI, rincian catatan</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</si>
  <si>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</si>
  <si>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</si>
  <si>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</si>
  <si>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</si>
  <si>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</si>
  <si>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</si>
  <si>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</si>
  <si>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</si>
  <si>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</si>
  <si>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</si>
  <si>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</si>
  <si>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</si>
  <si>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</si>
  <si>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</si>
  <si>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</si>
  <si>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</si>
  <si>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basis asli (break basis, Temuan B1).</t>
  </si>
  <si>
    <t xml:space="preserve">3. Rincian &amp; rasio</t>
  </si>
  <si>
    <t xml:space="preserve">Schedules memuat rincian catatan (CALK) 6 tahun;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</si>
  <si>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</si>
  <si>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</si>
  <si>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</si>
  <si>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</si>
  <si>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</si>
  <si>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</si>
  <si>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</si>
  <si>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</si>
  <si>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</si>
  <si>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</si>
  <si>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</si>
  <si>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</si>
  <si>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</si>
  <si>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</si>
  <si>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</si>
  <si>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</si>
  <si>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</si>
  <si>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</si>
  <si>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Basis berbeda (FY2020 asli) / memo restated, tidak dipakai rumus</t>
  </si>
  <si>
    <t xml:space="preserve">Biru muda</t>
  </si>
  <si>
    <t xml:space="preserve">Kolom tahun proyeksi (E) - ilustratif</t>
  </si>
  <si>
    <t xml:space="preserve">Definisi penting</t>
  </si>
  <si>
    <t xml:space="preserve">EBITDA</t>
  </si>
  <si>
    <t xml:space="preserve">Laba usaha (laba bruto + beban usaha + operasi lain) + penyusutan aset tetap + amortisasi aset hak-guna + amortisasi properti investasi.</t>
  </si>
  <si>
    <t xml:space="preserve">Utang</t>
  </si>
  <si>
    <t xml:space="preserve">Utang bank jangka pendek &amp; panjang + obligasi konversi (2020-2021). Utang neto juga menambahkan liabilitas sewa dan mengurangi kas.</t>
  </si>
  <si>
    <t xml:space="preserve">Potongan penjualan</t>
  </si>
  <si>
    <t xml:space="preserve">Selisih pendapatan bruto (Cat 27) dan pendapatan neto.</t>
  </si>
  <si>
    <t xml:space="preserve">Rupiah penuh kecuali disebut (Ringkasan/Dashboard: Rp miliar). Beban &amp; arus kas keluar bertanda negatif.</t>
  </si>
  <si>
    <t xml:space="preserve">Daftar sheet (format ini)</t>
  </si>
  <si>
    <t xml:space="preserve">Batasan</t>
  </si>
  <si>
    <t xml:space="preserve">Data</t>
  </si>
  <si>
    <t xml:space="preserve">Angka diekstrak dari PDF dan dapat mengandung kesalahan; cek ke laporan asli sebelum dipakai.</t>
  </si>
  <si>
    <t xml:space="preserve">Asumsi sederhana: pos neraca lain konstan, utang konstan, ROU &amp; sewa konstan, tanpa revaluasi/OCI baru. Hasil sangat sensitif terhadap asumsi.</t>
  </si>
  <si>
    <t xml:space="preserve">Bukan saran</t>
  </si>
  <si>
    <t xml:space="preserve">PT Bundamedik Tbk (BMHS) - Ringkasan data fundamental FY2020-FY2025</t>
  </si>
  <si>
    <t xml:space="preserve">Rumah sakit &amp; klinik fertilisasi (IVF) | sumber: laporan keuangan konsolidasian audited | gratis &amp; terbuka | BUKAN rekomendasi investasi</t>
  </si>
  <si>
    <t xml:space="preserve">Penting: Dokumen ini hanya ringkasan informasi dan analisis data fundamental yang bersumber dari laporan keuangan publik (audited) PT Bundamedik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</si>
  <si>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</si>
  <si>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Rp1.614,3 miliar (+3,8% vs FY2024). Puncak FY2021 (Rp1.890,8 miliar) didorong layanan COVID-19; pertumbuhan rata-rata FY2022-2025 -0,9% per tahun.</t>
  </si>
  <si>
    <t xml:space="preserve">•  Rawat jalan menjadi penopang: pendapatan bruto rawat jalan tumbuh 6,7% per tahun (FY2022-2025), sementara rawat inap dan IVF cenderung datar.</t>
  </si>
  <si>
    <t xml:space="preserve">•  Margin EBITDA turun dari 29,6% (FY2021) dan 20,2% (FY2022) ke 13,4% (FY2025). Laba bersih FY2025 Rp29,7 miliar; porsi ke kepentingan nonpengendali 58%, sehingga laba pemilik induk hanya Rp12,4 miliar (Rp1,44 per saham).</t>
  </si>
  <si>
    <t xml:space="preserve">•  Potongan penjualan naik konsisten dari 1,6% pendapatan bruto (FY2020) menjadi 6,3% (FY2025).</t>
  </si>
  <si>
    <t xml:space="preserve">•  Utang bank + obligasi konversi naik ke Rp1.216 miliar (FY2025); utang neto termasuk sewa Rp529 miliar = 2,5x EBITDA. Arus kas operasi FY2023-2024 lemah (Rp51,4 &amp; Rp34,0 miliar), lalu pulih di FY2025 (Rp250,6 miliar).</t>
  </si>
  <si>
    <t xml:space="preserve">•  Data 6 tahun direkonsiliasi dengan 500 cek; 35 selisih di laporan sumber sudah diperkirakan dan dijelaskan (lihat bagian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</si>
  <si>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</si>
  <si>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</si>
  <si>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</si>
  <si>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</si>
  <si>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</si>
  <si>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</si>
  <si>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</si>
  <si>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</si>
  <si>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</si>
  <si>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</si>
  <si>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Potongan penjualan % bruto</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</si>
  <si>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</si>
  <si>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</si>
  <si>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</si>
  <si>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</si>
  <si>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</si>
  <si>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</si>
  <si>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</si>
  <si>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</si>
  <si>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</si>
  <si>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</si>
  <si>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</si>
  <si>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FY2020 memakai basis asli (sebelum penyajian kembali); perbandingan FY2020 vs FY2021 tidak sebanding. EBITDA = laba usaha + penyusutan + amortisasi aset hak-guna &amp; properti investasi.</t>
  </si>
  <si>
    <t xml:space="preserve">Tren 6 tahun</t>
  </si>
  <si>
    <t xml:space="preserve">Batang = pendapatan bruto per layanan (arsir berbeda per layanan); garis putus-putus = potongan penjualan sebagai % pendapatan bruto (sumbu kanan).</t>
  </si>
  <si>
    <t xml:space="preserve">Kiri: margin terhadap pendapatan neto. Kanan: arus kas operasi (abu-abu), capex (arsir), dan selisihnya (garis). Pembayaran sewa FY2020-2023 tidak tersaji terpisah di laporan arus kas.</t>
  </si>
  <si>
    <t xml:space="preserve">Tanda perhatian dari laporan keuangan (bahasa sederhana)</t>
  </si>
  <si>
    <t xml:space="preserve">1. Basis data 2020 berbeda - Laporan 2021 dan 2020 disajikan ulang setelah penggabungan entitas sepengendali (DGNS). Kolom 2020 di sini memakai angka asli, jadi lonjakan 2020 -&gt; 2021 sebagian karena perubahan basis, bukan murni pertumbuhan. (Temuan B1, B5)</t>
  </si>
  <si>
    <t xml:space="preserve">2. Potongan penjualan terus naik - Diskon kepada pasien/penjamin naik dari 1,6% ke 6,3% pendapatan bruto dalam 5 tahun tanpa penjelasan di laporan. (Temuan B6)</t>
  </si>
  <si>
    <t xml:space="preserve">3. Baris arus kas 2024 tercetak ganda - Di laporan FY2025, baris "investasi saham" 2024 bernilai sama persis dengan pembelian aset tetap (Rp163,4 miliar) dan tidak cocok dengan subtotal; di sini diperlakukan sebagai salah cetak (nilai 0). (Temuan c)</t>
  </si>
  <si>
    <t xml:space="preserve">4. Bunga sewa 2025 tidak masuk akal - Catatan sewa menyebut bunga Rp42,2 miliar atas liabilitas sewa rata-rata ~Rp107 miliar (~40%), dan angka itu tidak terlihat di beban keuangan. Kemungkinan salah pembagian pokok/bunga. (Temuan g)</t>
  </si>
  <si>
    <t xml:space="preserve">5. Angka kepentingan nonpengendali tidak konsisten - Baris "Jumlah" di catatan NCI 2025 berbeda Rp0,54 miliar dari penjumlahan per entitas; penjumlahan per entitas yang cocok dengan laporan laba rugi. Laba yang besar mengalir ke pemegang saham minoritas entitas anak. (Temuan e)</t>
  </si>
  <si>
    <t xml:space="preserve">6. Revaluasi aset tetap 2025 berbeda antar tabel - Kenaikan nilai aset (revaluasi) 2025 tercatat Rp231,1 miliar di laba rugi tetapi Rp234,1 miliar di tabel aset tetap dan Rp233,0 miliar di tabel lain. (Temuan a, a2)</t>
  </si>
  <si>
    <t xml:space="preserve">7. Jumlah saham di catatan laba per saham - Catatan laba per saham menulis 7,46 miliar saham, padahal modal disetor setara 8,60 miliar saham. EPS 2021 tercetak Rp44 vs ~Rp25 bila dihitung dengan 8,60 miliar saham. (Temuan d, B4)</t>
  </si>
  <si>
    <t xml:space="preserve">8. Arus kas sewa tidak tersaji terpisah 2020-2023 - Pembayaran sewa baru muncul sebagai baris tersendiri mulai 2024, sehingga arus kas operasi antar tahun tidak sepenuhnya sebanding. (Temuan B9)</t>
  </si>
  <si>
    <t xml:space="preserve">Selisih kecil lain (salah ketik Rp1 miliar di catatan restatement 2020, selisih Rp1-Rp140 ribu, CALK 2020) tercatat lengkap di sheet Temuan dan Rekonsiliasi. Tanda perhatian bukan tuduhan kecurangan; ini daftar hal yang perlu dicek ulang ke laporan asli.</t>
  </si>
  <si>
    <t xml:space="preserve">Lisensi &amp; format</t>
  </si>
  <si>
    <t xml:space="preserve">Format lain (gratis, bukan tingkatan akses): versi Akademik (data, rasio, rekonsiliasi lengkap) dan versi Pro (model Excel dengan proyeksi ilustratif &amp; template DCF kosong).</t>
  </si>
  <si>
    <t xml:space="preserve">Sumber &amp; metode</t>
  </si>
  <si>
    <t xml:space="preserve">FY2020: LK FY2021 - angka asli sebelum penyajian kembali (memo versi restated 2020 tersedia di file Excel); FY2021: LK FY2022 - disajikan kembali (DGNS dikonsolidasi, PSAK 38); FY2022: LK FY2023 - komparatif setelah reklasifikasi; FY2023: LK FY2023; FY2024: LK FY2025 - komparatif; FY2025: LK FY2025.</t>
  </si>
  <si>
    <t xml:space="preserve">Angka diekstrak dari PDF laporan keuangan ke data terstruktur, lalu dicek silang (500 cek: subtotal, neraca seimbang, kas, CALK vs laporan). Rasio dihitung dengan rumus terbuka di sheet Rasio.</t>
  </si>
  <si>
    <t xml:space="preserve">Disclaimer</t>
  </si>
  <si>
    <t xml:space="preserve">Dokumen ini hanya ringkasan informasi dan analisis data fundamental yang bersumber dari laporan keuangan publik (audited) PT Bundamedik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25-10-2026.</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</si>
  <si>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</si>
  <si>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</si>
  <si>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</si>
  <si>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</si>
  <si>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</si>
  <si>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</si>
  <si>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</si>
  <si>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</si>
  <si>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</si>
  <si>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</si>
  <si>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</si>
  <si>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</si>
  <si>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</si>
  <si>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</si>
  <si>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</si>
  <si>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</si>
  <si>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</si>
  <si>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</si>
  <si>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</si>
  <si>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A = aktual (rumus dari IS/BS/CF/Schedules); kolom E = asumsi skenario aktif.</t>
  </si>
  <si>
    <t xml:space="preserve">Kalibrasi</t>
  </si>
  <si>
    <t xml:space="preserve">Asumsi dikalibrasi dari tren FY2022-FY2025 (pasca-COVID). FY2021 (lonjakan COVID, margin EBITDA 29%) dan FY2020 (basis asli, sebelum restatement) tidak dipakai sebagai patokan normal.</t>
  </si>
  <si>
    <t xml:space="preserve">Kunci</t>
  </si>
  <si>
    <t xml:space="preserve">Driver</t>
  </si>
  <si>
    <t xml:space="preserve">Dasar asumsi (kalibrasi FY2022-FY2025)</t>
  </si>
  <si>
    <t xml:space="preserve">ASUMSI AKTIF - kolom A = aktual (rumus), kolom E = skenario terpilih</t>
  </si>
  <si>
    <t xml:space="preserve">PENDAPATAN (bruto per jenis layanan, Cat 27)</t>
  </si>
  <si>
    <t xml:space="preserve">g_inpat</t>
  </si>
  <si>
    <t xml:space="preserve">Pertumbuhan bruto rawat inap</t>
  </si>
  <si>
    <t xml:space="preserve">Bruto: 2022 641,8 M, 2023 541,0 M, 2024 560,7 M, 2025 571,6 M. CAGR 2023-25 2,8%; 2022 masih terangkat COVID. Base 3% = sedikit di atas CAGR 2023-25; Bull 5%; Bear 0%.</t>
  </si>
  <si>
    <t xml:space="preserve">g_outpat</t>
  </si>
  <si>
    <t xml:space="preserve">Pertumbuhan bruto rawat jalan</t>
  </si>
  <si>
    <t xml:space="preserve">Bruto: 2022 516,0 M, 2023 525,0 M, 2024 557,8 M, 2025 626,3 M. CAGR 2022-25 6,7%, tumbuh paling konsisten (2025 +12%). Base 7% ≈ CAGR; Bull 10%; Bear 3%.</t>
  </si>
  <si>
    <t xml:space="preserve">g_ivf</t>
  </si>
  <si>
    <t xml:space="preserve">Pertumbuhan bruto IVF (fertilisasi in vitro)</t>
  </si>
  <si>
    <t xml:space="preserve">Bruto: 2022 554,5 M, 2023 486,5 M, 2024 529,8 M, 2025 520,5 M; berfluktuasi (CAGR 2022-25 -2,1%, 2023-25 3,4%). Base 3%; Bull 6%; Bear -1%.</t>
  </si>
  <si>
    <t xml:space="preserve">g_other</t>
  </si>
  <si>
    <t xml:space="preserve">Pertumbuhan bruto lain-lain (hotel)</t>
  </si>
  <si>
    <t xml:space="preserve">Bruto: 2022 7,5 M, 2023 6,5 M, 2024 5,2 M, 2025 5,0 M; kecil &amp; turun. Base 0%; Bull 2%; Bear -3%.</t>
  </si>
  <si>
    <t xml:space="preserve">disc</t>
  </si>
  <si>
    <t xml:space="preserve">Potongan penjualan (% bruto)</t>
  </si>
  <si>
    <t xml:space="preserve">Potongan % bruto: 2022 3,6%, 2023 4,5%, 2024 6,0%, 2025 6,3% (naik tiap tahun sejak 1,6% di 2020, Temuan B6). Base 6,5% (tren melandai); Bull 6,0%; Bear 7,5% (tren berlanjut).</t>
  </si>
  <si>
    <t xml:space="preserve">MARGIN &amp; BIAYA (% pendapatan neto)</t>
  </si>
  <si>
    <t xml:space="preserve">cogs</t>
  </si>
  <si>
    <t xml:space="preserve">Beban pokok di luar penyusutan</t>
  </si>
  <si>
    <t xml:space="preserve">Historis: 2022 53,2%, 2023 52,4%, 2024 53,9%, 2025 53,7% (stabil 52-54%). Base 53,5% ≈ rata-rata 2022-25; Bull 52,5%; Bear 54,5%.</t>
  </si>
  <si>
    <t xml:space="preserve">opex</t>
  </si>
  <si>
    <t xml:space="preserve">Beban usaha di luar D&amp;A</t>
  </si>
  <si>
    <t xml:space="preserve">Historis: 2022 26,6%, 2023 33,0%, 2024 31,8%, 2025 31,3%. 2022 (26,6%) terlalu rendah sebagai patokan; Base 31,5% ≈ rata-rata 2023-25; Bull 30% (efisiensi); Bear 32,5%.</t>
  </si>
  <si>
    <t xml:space="preserve">other_op</t>
  </si>
  <si>
    <t xml:space="preserve">Beban operasi lain - neto (negatif = beban)</t>
  </si>
  <si>
    <t xml:space="preserve">Historis: 2022 0,0%, 2023 -0,1%, 2024 -0,7%, 2025 -1,6%. Base -0,6%; Bull -0,3%; Bear -1,0%.</t>
  </si>
  <si>
    <t xml:space="preserve">INVESTASI &amp; ASET</t>
  </si>
  <si>
    <t xml:space="preserve">capex</t>
  </si>
  <si>
    <t xml:space="preserve">Capex aset tetap + properti investasi (% pendapatan)</t>
  </si>
  <si>
    <t xml:space="preserve">Historis kas: 2022 18,2%, 2023 14,1%, 2024 11,2%, 2025 13,6%; 2025 termasuk pembelian tanah Rp141,6 M (tidak berulang). Base 12% (pemeliharaan + ekspansi moderat); Bull 12%; Bear 14% (proyek ekspansi lebih mahal).</t>
  </si>
  <si>
    <t xml:space="preserve">dep</t>
  </si>
  <si>
    <t xml:space="preserve">Penyusutan (% aset tetap neto awal)</t>
  </si>
  <si>
    <t xml:space="preserve">Historis: 2022 6,0%, 2023 5,4%, 2024 5,1%, 2025 4,2%. Aset tetap memuat tanah hasil revaluasi (tidak disusutkan), jadi tarif efektif rendah. Base/Bull/Bear 4,5%.</t>
  </si>
  <si>
    <t xml:space="preserve">rou</t>
  </si>
  <si>
    <t xml:space="preserve">Amortisasi aset hak-guna (% ROU awal)</t>
  </si>
  <si>
    <t xml:space="preserve">Historis: 2022 50,6%, 2023 35,9%, 2024 23,9%, 2025 45,9%. Base 35%. Penyederhanaan: penambahan ROU = amortisasi, pokok sewa dibayar = amortisasi (saldo ROU &amp; liabilitas sewa konstan).</t>
  </si>
  <si>
    <t xml:space="preserve">MODAL KERJA (hari, saldo akhir, basis 365)</t>
  </si>
  <si>
    <t xml:space="preserve">dso</t>
  </si>
  <si>
    <t xml:space="preserve">DSO piutang usaha (pihak ketiga + berelasi) / pendapatan</t>
  </si>
  <si>
    <t xml:space="preserve">Historis: 2022 25,2, 2023 27,1, 2024 34,0, 2025 36,6 (memburuk sejak 2022). Base 36 hari ≈ 2025; Bull 32; Bear 40.</t>
  </si>
  <si>
    <t xml:space="preserve">dio</t>
  </si>
  <si>
    <t xml:space="preserve">DIO persediaan / beban pokok di luar penyusutan</t>
  </si>
  <si>
    <t xml:space="preserve">Historis: 2022 16,3, 2023 19,7, 2024 20,5, 2025 21,7. Base 21; Bull 20; Bear 22.</t>
  </si>
  <si>
    <t xml:space="preserve">dpo</t>
  </si>
  <si>
    <t xml:space="preserve">DPO utang usaha / beban pokok di luar penyusutan</t>
  </si>
  <si>
    <t xml:space="preserve">Historis: 2022 38,0, 2023 26,1, 2024 13,5, 2025 34,4 (sangat fluktuatif). Base 30 ≈ rata-rata; Bull 32; Bear 25.</t>
  </si>
  <si>
    <t xml:space="preserve">PAJAK, PENDANAAN, DISTRIBUSI</t>
  </si>
  <si>
    <t xml:space="preserve">tax</t>
  </si>
  <si>
    <t xml:space="preserve">Tarif pajak efektif (% laba sebelum pajak)</t>
  </si>
  <si>
    <t xml:space="preserve">Historis: 2022 27,1%, 2023 59,8%, 2024 51,0%, 2025 34,5%; jauh di atas tarif PPh 22% krn rugi entitas anak &amp; beban tidak dapat dikurangkan. Base 35%; Bull 30%; Bear 40%.</t>
  </si>
  <si>
    <t xml:space="preserve">int</t>
  </si>
  <si>
    <t xml:space="preserve">Suku bunga (beban keuangan / rata-rata utang + sewa)</t>
  </si>
  <si>
    <t xml:space="preserve">Historis: 2022 5,88%, 2023 5,63%, 2024 5,96%, 2025 5,36%. Utang termasuk obligasi konversi (2020-21). Base 5,75%; Bull 5,25%; Bear 6,5%. Bunga sewa Cat 12 2025 tidak wajar (Temuan g).</t>
  </si>
  <si>
    <t xml:space="preserve">yld</t>
  </si>
  <si>
    <t xml:space="preserve">Imbal hasil kas (penghasilan keuangan / kas awal)</t>
  </si>
  <si>
    <t xml:space="preserve">Historis: 2022 1,01%, 2023 1,34%, 2024 3,00%, 2025 2,93%. Base 2,75%; Bull 3,0%; Bear 2,25%. Dihitung atas kas awal (tanpa circular reference).</t>
  </si>
  <si>
    <t xml:space="preserve">debt_chg</t>
  </si>
  <si>
    <t xml:space="preserve">Perubahan neto utang bank (Rp; + = tambah)</t>
  </si>
  <si>
    <t xml:space="preserve">Historis utang bank + obligasi konversi: 2022 855 M, 2023 1.027 M, 2024 1.091 M, 2025 1.216 M. Base/Bull/Bear 0 (utang dijaga konstan; kas = penyeimbang).</t>
  </si>
  <si>
    <t xml:space="preserve">payout</t>
  </si>
  <si>
    <t xml:space="preserve">Payout dividen induk (% laba induk tahun lalu)</t>
  </si>
  <si>
    <t xml:space="preserve">Kolom A = dividen total dibayar (CF) / laba tahun lalu: 2022 40%, 2023 18%, 2024 394%, 2025 87%; tidak stabil krn laba 2023-25 kecil dan dividen entitas anak ke NCI. Base 40%; Bull 40%; Bear 30%.</t>
  </si>
  <si>
    <t xml:space="preserve">nci_share</t>
  </si>
  <si>
    <t xml:space="preserve">Porsi laba ke NCI (% laba tahun berjalan)</t>
  </si>
  <si>
    <t xml:space="preserve">Historis: 2022 35,4%, 2023 54,0%, 2024 36,8%, 2025 58,1% (entitas anak IVF/RS dengan pemegang saham minoritas besar). Base 45%; Bull 40%; Bear 50%.</t>
  </si>
  <si>
    <t xml:space="preserve">nci_payout</t>
  </si>
  <si>
    <t xml:space="preserve">Payout dividen ke NCI (% laba NCI tahun lalu)</t>
  </si>
  <si>
    <t xml:space="preserve">Tidak dapat dipisahkan dari data historis. Base/Bull/Bear 40% (sama dengan induk).</t>
  </si>
  <si>
    <t xml:space="preserve">SKENARIO BASE - input biru per tahun (boleh diubah pengguna)</t>
  </si>
  <si>
    <t xml:space="preserve">Base.g_inpat</t>
  </si>
  <si>
    <t xml:space="preserve">Base.g_outpat</t>
  </si>
  <si>
    <t xml:space="preserve">Base.g_ivf</t>
  </si>
  <si>
    <t xml:space="preserve">Base.g_other</t>
  </si>
  <si>
    <t xml:space="preserve">Base.disc</t>
  </si>
  <si>
    <t xml:space="preserve">Base.cogs</t>
  </si>
  <si>
    <t xml:space="preserve">Base.opex</t>
  </si>
  <si>
    <t xml:space="preserve">Base.other_op</t>
  </si>
  <si>
    <t xml:space="preserve">Base.capex</t>
  </si>
  <si>
    <t xml:space="preserve">Base.dep</t>
  </si>
  <si>
    <t xml:space="preserve">Base.rou</t>
  </si>
  <si>
    <t xml:space="preserve">Base.dso</t>
  </si>
  <si>
    <t xml:space="preserve">Base.dio</t>
  </si>
  <si>
    <t xml:space="preserve">Base.dpo</t>
  </si>
  <si>
    <t xml:space="preserve">Base.tax</t>
  </si>
  <si>
    <t xml:space="preserve">Base.int</t>
  </si>
  <si>
    <t xml:space="preserve">Base.yld</t>
  </si>
  <si>
    <t xml:space="preserve">Base.debt_chg</t>
  </si>
  <si>
    <t xml:space="preserve">Base.payout</t>
  </si>
  <si>
    <t xml:space="preserve">Base.nci_share</t>
  </si>
  <si>
    <t xml:space="preserve">Base.nci_payout</t>
  </si>
  <si>
    <t xml:space="preserve">SKENARIO BULL - input biru per tahun (boleh diubah pengguna)</t>
  </si>
  <si>
    <t xml:space="preserve">Bull.g_inpat</t>
  </si>
  <si>
    <t xml:space="preserve">Bull.g_outpat</t>
  </si>
  <si>
    <t xml:space="preserve">Bull.g_ivf</t>
  </si>
  <si>
    <t xml:space="preserve">Bull.g_other</t>
  </si>
  <si>
    <t xml:space="preserve">Bull.disc</t>
  </si>
  <si>
    <t xml:space="preserve">Bull.cogs</t>
  </si>
  <si>
    <t xml:space="preserve">Bull.opex</t>
  </si>
  <si>
    <t xml:space="preserve">Bull.other_op</t>
  </si>
  <si>
    <t xml:space="preserve">Bull.capex</t>
  </si>
  <si>
    <t xml:space="preserve">Bull.dep</t>
  </si>
  <si>
    <t xml:space="preserve">Bull.rou</t>
  </si>
  <si>
    <t xml:space="preserve">Bull.dso</t>
  </si>
  <si>
    <t xml:space="preserve">Bull.dio</t>
  </si>
  <si>
    <t xml:space="preserve">Bull.dpo</t>
  </si>
  <si>
    <t xml:space="preserve">Bull.tax</t>
  </si>
  <si>
    <t xml:space="preserve">Bull.int</t>
  </si>
  <si>
    <t xml:space="preserve">Bull.yld</t>
  </si>
  <si>
    <t xml:space="preserve">Bull.debt_chg</t>
  </si>
  <si>
    <t xml:space="preserve">Bull.payout</t>
  </si>
  <si>
    <t xml:space="preserve">Bull.nci_share</t>
  </si>
  <si>
    <t xml:space="preserve">Bull.nci_payout</t>
  </si>
  <si>
    <t xml:space="preserve">SKENARIO BEAR - input biru per tahun (boleh diubah pengguna)</t>
  </si>
  <si>
    <t xml:space="preserve">Bear.g_inpat</t>
  </si>
  <si>
    <t xml:space="preserve">Bear.g_outpat</t>
  </si>
  <si>
    <t xml:space="preserve">Bear.g_ivf</t>
  </si>
  <si>
    <t xml:space="preserve">Bear.g_other</t>
  </si>
  <si>
    <t xml:space="preserve">Bear.disc</t>
  </si>
  <si>
    <t xml:space="preserve">Bear.cogs</t>
  </si>
  <si>
    <t xml:space="preserve">Bear.opex</t>
  </si>
  <si>
    <t xml:space="preserve">Bear.other_op</t>
  </si>
  <si>
    <t xml:space="preserve">Bear.capex</t>
  </si>
  <si>
    <t xml:space="preserve">Bear.dep</t>
  </si>
  <si>
    <t xml:space="preserve">Bear.rou</t>
  </si>
  <si>
    <t xml:space="preserve">Bear.dso</t>
  </si>
  <si>
    <t xml:space="preserve">Bear.dio</t>
  </si>
  <si>
    <t xml:space="preserve">Bear.dpo</t>
  </si>
  <si>
    <t xml:space="preserve">Bear.tax</t>
  </si>
  <si>
    <t xml:space="preserve">Bear.int</t>
  </si>
  <si>
    <t xml:space="preserve">Bear.yld</t>
  </si>
  <si>
    <t xml:space="preserve">Bear.debt_chg</t>
  </si>
  <si>
    <t xml:space="preserve">Bear.payout</t>
  </si>
  <si>
    <t xml:space="preserve">Bear.nci_share</t>
  </si>
  <si>
    <t xml:space="preserve">Bear.nci_payout</t>
  </si>
  <si>
    <t xml:space="preserve">INPUT UMUM</t>
  </si>
  <si>
    <t xml:space="preserve">shares</t>
  </si>
  <si>
    <t xml:space="preserve">Jumlah saham beredar (lembar)</t>
  </si>
  <si>
    <t xml:space="preserve">Cat 23 / neraca FY2025 (8.603.416.176 x Rp20 = modal disetor). Cat 25 mencetak 7.461.134.368 (Temuan d).</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</si>
  <si>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</si>
  <si>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</si>
  <si>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</si>
  <si>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</si>
  <si>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</si>
  <si>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</si>
  <si>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</si>
  <si>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</si>
  <si>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 - bruto</t>
  </si>
  <si>
    <t xml:space="preserve">P.REV_OUTPAT</t>
  </si>
  <si>
    <t xml:space="preserve">Rawat jalan - bruto</t>
  </si>
  <si>
    <t xml:space="preserve">P.REV_IVF</t>
  </si>
  <si>
    <t xml:space="preserve">IVF - bruto</t>
  </si>
  <si>
    <t xml:space="preserve">P.REV_OTHER</t>
  </si>
  <si>
    <t xml:space="preserve">Lain-lain - bruto</t>
  </si>
  <si>
    <t xml:space="preserve">P.REV_GROSS</t>
  </si>
  <si>
    <t xml:space="preserve">Pendapatan bruto</t>
  </si>
  <si>
    <t xml:space="preserve">P.REV_DISC</t>
  </si>
  <si>
    <t xml:space="preserve">P.REVENUE</t>
  </si>
  <si>
    <t xml:space="preserve">P.REV_GROWTH</t>
  </si>
  <si>
    <t xml:space="preserve">  Pertumbuhan pendapatan neto</t>
  </si>
  <si>
    <t xml:space="preserve">2021 vs 2020 tidak like-for-like</t>
  </si>
  <si>
    <t xml:space="preserve">BIAYA &amp; EBITDA</t>
  </si>
  <si>
    <t xml:space="preserve">P.COGS_X</t>
  </si>
  <si>
    <t xml:space="preserve">P.GP_X</t>
  </si>
  <si>
    <t xml:space="preserve">Laba bruto sebelum penyusutan</t>
  </si>
  <si>
    <t xml:space="preserve">P.OPEX_X</t>
  </si>
  <si>
    <t xml:space="preserve">P.OTHER_OP</t>
  </si>
  <si>
    <t xml:space="preserve">Beban operasi lain - neto</t>
  </si>
  <si>
    <t xml:space="preserve">P.EBITDA</t>
  </si>
  <si>
    <t xml:space="preserve">laba usaha + D&amp;A (sama dengan definisi sheet Rasio)</t>
  </si>
  <si>
    <t xml:space="preserve">P.DA</t>
  </si>
  <si>
    <t xml:space="preserve">Penyusutan &amp; amortisasi</t>
  </si>
  <si>
    <t xml:space="preserve">P.EBIT</t>
  </si>
  <si>
    <t xml:space="preserve">Laba usaha (EBIT)</t>
  </si>
  <si>
    <t xml:space="preserve">A: = laba usaha IS (cek di Rekonsiliasi)</t>
  </si>
  <si>
    <t xml:space="preserve">P.FIN_INC</t>
  </si>
  <si>
    <t xml:space="preserve">Penghasilan keuangan</t>
  </si>
  <si>
    <t xml:space="preserve">E: imbal hasil x kas awal</t>
  </si>
  <si>
    <t xml:space="preserve">P.FIN_COST</t>
  </si>
  <si>
    <t xml:space="preserve">Beban keuangan</t>
  </si>
  <si>
    <t xml:space="preserve">E: bunga x rata-rata (utang + sewa)</t>
  </si>
  <si>
    <t xml:space="preserve">P.ASSOC</t>
  </si>
  <si>
    <t xml:space="preserve">Bagian laba asosiasi</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</si>
  <si>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</si>
  <si>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</si>
  <si>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</si>
  <si>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</si>
  <si>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</si>
  <si>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</si>
  <si>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</si>
  <si>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</si>
  <si>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</si>
  <si>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</si>
  <si>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8.603.416.176 saham)</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</si>
  <si>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</si>
  <si>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</si>
  <si>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</si>
  <si>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</si>
  <si>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</si>
  <si>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</si>
  <si>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</si>
  <si>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</si>
  <si>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</si>
  <si>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</si>
  <si>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</si>
  <si>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</si>
  <si>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t>
  </si>
  <si>
    <t xml:space="preserve">PB.AR</t>
  </si>
  <si>
    <t xml:space="preserve">Piutang usaha (pihak ketiga + berelasi)</t>
  </si>
  <si>
    <t xml:space="preserve">PB.INV</t>
  </si>
  <si>
    <t xml:space="preserve">Persediaan</t>
  </si>
  <si>
    <t xml:space="preserve">PB.OCA</t>
  </si>
  <si>
    <t xml:space="preserve">Aset lancar lainnya</t>
  </si>
  <si>
    <t xml:space="preserve">aset keuangan lain, piutang lain, dibayar dimuka; E: konstan</t>
  </si>
  <si>
    <t xml:space="preserve">PB.TCA</t>
  </si>
  <si>
    <t xml:space="preserve">Jumlah aset lancar</t>
  </si>
  <si>
    <t xml:space="preserve">PB.PPE</t>
  </si>
  <si>
    <t xml:space="preserve">Aset tetap - neto</t>
  </si>
  <si>
    <t xml:space="preserve">PB.ROU</t>
  </si>
  <si>
    <t xml:space="preserve">Aset hak-guna</t>
  </si>
  <si>
    <t xml:space="preserve">PB.ONCA</t>
  </si>
  <si>
    <t xml:space="preserve">Aset tidak lancar lainnya</t>
  </si>
  <si>
    <t xml:space="preserve">pajak tangguhan, investasi saham, properti investasi, goodwill, uang muka; E: konstan</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</si>
  <si>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</si>
  <si>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</si>
  <si>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</si>
  <si>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</si>
  <si>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</si>
  <si>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</si>
  <si>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</si>
  <si>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PB.OCL</t>
  </si>
  <si>
    <t xml:space="preserve">Liabilitas jangka pendek lainnya</t>
  </si>
  <si>
    <t xml:space="preserve">utang lain, diterima dimuka, akrual, pajak; E: konstan</t>
  </si>
  <si>
    <t xml:space="preserve">PB.DEBT</t>
  </si>
  <si>
    <t xml:space="preserve">Utang bank + obligasi konversi</t>
  </si>
  <si>
    <t xml:space="preserve">PB.LEASE</t>
  </si>
  <si>
    <t xml:space="preserve">Liabilitas sewa</t>
  </si>
  <si>
    <t xml:space="preserve">PB.ONCL</t>
  </si>
  <si>
    <t xml:space="preserve">Liabilitas jangka panjang lainnya</t>
  </si>
  <si>
    <t xml:space="preserve">pajak tangguhan + imbalan kerja; E: konstan</t>
  </si>
  <si>
    <t xml:space="preserve">PB.TL</t>
  </si>
  <si>
    <t xml:space="preserve">JUMLAH LIABILITAS</t>
  </si>
  <si>
    <t xml:space="preserve">EKUITAS</t>
  </si>
  <si>
    <t xml:space="preserve">PB.EQ_OTHER</t>
  </si>
  <si>
    <t xml:space="preserve">Modal &amp; cadangan (selain saldo laba)</t>
  </si>
  <si>
    <t xml:space="preserve">E: konstan (tanpa revaluasi/OCI baru)</t>
  </si>
  <si>
    <t xml:space="preserve">PB.RE</t>
  </si>
  <si>
    <t xml:space="preserve">Saldo laba</t>
  </si>
  <si>
    <t xml:space="preserve">PB.EQ_PARENT</t>
  </si>
  <si>
    <t xml:space="preserve">Ekuitas pemilik entitas induk</t>
  </si>
  <si>
    <t xml:space="preserve">PB.NCI</t>
  </si>
  <si>
    <t xml:space="preserve">Kepentingan nonpengendali</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</si>
  <si>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</si>
  <si>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</si>
  <si>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</si>
  <si>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</si>
  <si>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</si>
  <si>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</si>
  <si>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</si>
  <si>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</si>
  <si>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</si>
  <si>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</si>
  <si>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</si>
  <si>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</si>
  <si>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</si>
  <si>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</si>
  <si>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</si>
  <si>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</si>
  <si>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</si>
  <si>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</si>
  <si>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</si>
  <si>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</si>
  <si>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</si>
  <si>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</si>
  <si>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</si>
  <si>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</si>
  <si>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A: laporan (metode langsung); E: tidak langsung</t>
  </si>
  <si>
    <t xml:space="preserve">ARUS KAS INVESTASI</t>
  </si>
  <si>
    <t xml:space="preserve">PC.CAPEX</t>
  </si>
  <si>
    <t xml:space="preserve">Capex aset tetap + properti investasi</t>
  </si>
  <si>
    <t xml:space="preserve">PC.CFI</t>
  </si>
  <si>
    <t xml:space="preserve">Arus kas investasi</t>
  </si>
  <si>
    <t xml:space="preserve">A: total laporan</t>
  </si>
  <si>
    <t xml:space="preserve">ARUS KAS PENDANAAN</t>
  </si>
  <si>
    <t xml:space="preserve">PC.DEBT</t>
  </si>
  <si>
    <t xml:space="preserve">Perubahan neto utang</t>
  </si>
  <si>
    <t xml:space="preserve">PC.LEASE</t>
  </si>
  <si>
    <t xml:space="preserve">Pembayaran sewa</t>
  </si>
  <si>
    <t xml:space="preserve">A: 2020-23 tidak tersaji terpisah (Temuan B9); E: pokok</t>
  </si>
  <si>
    <t xml:space="preserve">PC.DIV_PARENT</t>
  </si>
  <si>
    <t xml:space="preserve">Dividen ke pemilik entitas induk</t>
  </si>
  <si>
    <t xml:space="preserve">PC.DIV_NCI</t>
  </si>
  <si>
    <t xml:space="preserve">Dividen ke NCI</t>
  </si>
  <si>
    <t xml:space="preserve">PC.DIV_TOTAL</t>
  </si>
  <si>
    <t xml:space="preserve">  Dividen total</t>
  </si>
  <si>
    <t xml:space="preserve">PC.OTHER_FIN</t>
  </si>
  <si>
    <t xml:space="preserve">Pendanaan lain (setoran modal, NCI, pihak berelasi)</t>
  </si>
  <si>
    <t xml:space="preserve">PC.CFF</t>
  </si>
  <si>
    <t xml:space="preserve">Arus kas pendanaan</t>
  </si>
  <si>
    <t xml:space="preserve">PC.NET</t>
  </si>
  <si>
    <t xml:space="preserve">Kenaikan (penurunan) neto kas</t>
  </si>
  <si>
    <t xml:space="preserve">PC.CASH_BEGIN</t>
  </si>
  <si>
    <t xml:space="preserve">Kas awal tahun</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</si>
  <si>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</si>
  <si>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</si>
  <si>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</si>
  <si>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</si>
  <si>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</si>
  <si>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</si>
  <si>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</si>
  <si>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</si>
  <si>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t>
  </si>
  <si>
    <t xml:space="preserve">S.PPE_BEG</t>
  </si>
  <si>
    <t xml:space="preserve">Aset tetap neto awal</t>
  </si>
  <si>
    <t xml:space="preserve">S.CAPEX</t>
  </si>
  <si>
    <t xml:space="preserve">Capex (penambahan)</t>
  </si>
  <si>
    <t xml:space="preserve">S.DEP</t>
  </si>
  <si>
    <t xml:space="preserve">Penyusutan</t>
  </si>
  <si>
    <t xml:space="preserve">S.PPE_END</t>
  </si>
  <si>
    <t xml:space="preserve">Aset tetap neto akhir</t>
  </si>
  <si>
    <t xml:space="preserve">A: neraca (memuat revaluasi, pelepasan, penambahan nonkas)</t>
  </si>
  <si>
    <t xml:space="preserve">ASET HAK-GUNA &amp; LIABILITAS SEWA</t>
  </si>
  <si>
    <t xml:space="preserve">S.ROU_BEG</t>
  </si>
  <si>
    <t xml:space="preserve">ROU awal</t>
  </si>
  <si>
    <t xml:space="preserve">S.ROU_AMORT</t>
  </si>
  <si>
    <t xml:space="preserve">Amortisasi ROU (+ amortisasi properti investasi di A)</t>
  </si>
  <si>
    <t xml:space="preserve">S.ROU_ADD</t>
  </si>
  <si>
    <t xml:space="preserve">Penambahan ROU (nonkas, = amortisasi)</t>
  </si>
  <si>
    <t xml:space="preserve">S.ROU_END</t>
  </si>
  <si>
    <t xml:space="preserve">ROU akhir</t>
  </si>
  <si>
    <t xml:space="preserve">S.LEASE_BEG</t>
  </si>
  <si>
    <t xml:space="preserve">Liabilitas sewa awal</t>
  </si>
  <si>
    <t xml:space="preserve">S.LEASE_ADD</t>
  </si>
  <si>
    <t xml:space="preserve">Penambahan sewa baru (nonkas)</t>
  </si>
  <si>
    <t xml:space="preserve">S.LEASE_PRIN</t>
  </si>
  <si>
    <t xml:space="preserve">Pembayaran pokok sewa</t>
  </si>
  <si>
    <t xml:space="preserve">E: disederhanakan = amortisasi ROU</t>
  </si>
  <si>
    <t xml:space="preserve">S.LEASE_END</t>
  </si>
  <si>
    <t xml:space="preserve">Liabilitas sewa akhir</t>
  </si>
  <si>
    <t xml:space="preserve">S.LEASE_AVG</t>
  </si>
  <si>
    <t xml:space="preserve">Rata-rata liabilitas sewa</t>
  </si>
  <si>
    <t xml:space="preserve">UTANG BANK + OBLIGASI KONVERSI</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</si>
  <si>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</si>
  <si>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</si>
  <si>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</si>
  <si>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</si>
  <si>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</si>
  <si>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</si>
  <si>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</si>
  <si>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</si>
  <si>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</si>
  <si>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</si>
  <si>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</si>
  <si>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</si>
  <si>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</si>
  <si>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</si>
  <si>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</si>
  <si>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</si>
  <si>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</si>
  <si>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</si>
  <si>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</si>
  <si>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Template DCF opsional - kalkulator untuk pengguna (input KOSONG)</t>
  </si>
  <si>
    <t xml:space="preserve">Sel kuning diisi sendiri oleh pengguna dan perlu diverifikasi. Hasil sepenuhnya bergantung pada input pengguna; BUKAN nilai wajar, target, atau rekomendasi dari penyusun.</t>
  </si>
  <si>
    <t xml:space="preserve">INPUT (kosong = template tidak menghitung)</t>
  </si>
  <si>
    <t xml:space="preserve">Suku bunga bebas risiko (Rf)</t>
  </si>
  <si>
    <t xml:space="preserve">perlu diisi/diverifikasi: mis. imbal hasil SUN 10 tahun; catat sumber &amp; tanggal</t>
  </si>
  <si>
    <t xml:space="preserve">Equity risk premium (ERP)</t>
  </si>
  <si>
    <t xml:space="preserve">perlu diisi/diverifikasi: catat sumber</t>
  </si>
  <si>
    <t xml:space="preserve">Beta (levered)</t>
  </si>
  <si>
    <t xml:space="preserve">perlu diisi/diverifikasi: metode, periode &amp; indeks acuan</t>
  </si>
  <si>
    <t xml:space="preserve">Premi tambahan (ukuran/spesifik), opsional</t>
  </si>
  <si>
    <t xml:space="preserve">perlu diisi/diverifikasi: isi 0 bila tidak dipakai</t>
  </si>
  <si>
    <t xml:space="preserve">Biaya utang sebelum pajak (Kd)</t>
  </si>
  <si>
    <t xml:space="preserve">perlu diisi/diverifikasi</t>
  </si>
  <si>
    <t xml:space="preserve">Tarif pajak untuk perisai bunga</t>
  </si>
  <si>
    <t xml:space="preserve">perlu diisi/diverifikasi: tarif PPh badan berlaku</t>
  </si>
  <si>
    <t xml:space="preserve">Bobot utang D/(D+E) target</t>
  </si>
  <si>
    <t xml:space="preserve">Pertumbuhan terminal (g) - metode Gordon</t>
  </si>
  <si>
    <t xml:space="preserve">Kelipatan EV/EBITDA terminal - metode exit multiple</t>
  </si>
  <si>
    <t xml:space="preserve">perlu diisi/diverifikasi: dokumentasikan sumber</t>
  </si>
  <si>
    <t xml:space="preserve">Aset non-operasi ditambahkan (Rp), mis. investasi saham</t>
  </si>
  <si>
    <t xml:space="preserve">Input inti lengkap? (Rf, ERP, beta, Kd, pajak, bobot utang)</t>
  </si>
  <si>
    <t xml:space="preserve">Siap hitung metode Gordon?</t>
  </si>
  <si>
    <t xml:space="preserve">Siap hitung metode exit multiple?</t>
  </si>
  <si>
    <t xml:space="preserve">WACC</t>
  </si>
  <si>
    <t xml:space="preserve">Biaya ekuitas Ke = Rf + beta x ERP + premi</t>
  </si>
  <si>
    <t xml:space="preserve">Biaya utang setelah pajak</t>
  </si>
  <si>
    <t xml:space="preserve">FCFF (mengikuti skenario aktif di Asumsi)</t>
  </si>
  <si>
    <t xml:space="preserve">Periode diskonto (tahun, akhir periode)</t>
  </si>
  <si>
    <t xml:space="preserve">EBIT</t>
  </si>
  <si>
    <t xml:space="preserve">Pajak atas EBIT (tarif dari Asumsi)</t>
  </si>
  <si>
    <t xml:space="preserve">NOPAT</t>
  </si>
  <si>
    <t xml:space="preserve">+ D&amp;A</t>
  </si>
  <si>
    <t xml:space="preserve">- Capex</t>
  </si>
  <si>
    <t xml:space="preserve">- Kenaikan modal kerja</t>
  </si>
  <si>
    <t xml:space="preserve">FCFF</t>
  </si>
  <si>
    <t xml:space="preserve">Faktor diskonto</t>
  </si>
  <si>
    <t xml:space="preserve">PV FCFF</t>
  </si>
  <si>
    <t xml:space="preserve">Catatan IFRS 16: FCFF sebelum pembayaran sewa, sehingga liabilitas sewa diperlakukan sebagai utang di jembatan ekuitas.</t>
  </si>
  <si>
    <t xml:space="preserve">NILAI PERUSAHAAN &amp; JEMBATAN EKUITAS (hasil kalkulator)</t>
  </si>
  <si>
    <t xml:space="preserve">Gordon</t>
  </si>
  <si>
    <t xml:space="preserve">Exit multiple</t>
  </si>
  <si>
    <t xml:space="preserve">Σ PV FCFF</t>
  </si>
  <si>
    <t xml:space="preserve">Nilai terminal (akhir FY2030E)</t>
  </si>
  <si>
    <t xml:space="preserve">PV nilai terminal</t>
  </si>
  <si>
    <t xml:space="preserve">Nilai perusahaan (EV)</t>
  </si>
  <si>
    <t xml:space="preserve">(-) Utang bank FY2025A</t>
  </si>
  <si>
    <t xml:space="preserve">(-) Liabilitas sewa FY2025A</t>
  </si>
  <si>
    <t xml:space="preserve">(+) Kas FY2025A</t>
  </si>
  <si>
    <t xml:space="preserve">(-) Kepentingan nonpengendali (nilai buku FY2025A)</t>
  </si>
  <si>
    <t xml:space="preserve">(+) Aset non-operasi (input)</t>
  </si>
  <si>
    <t xml:space="preserve">Nilai ekuitas</t>
  </si>
  <si>
    <t xml:space="preserve">Nilai ekuitas per saham (Rp)</t>
  </si>
  <si>
    <t xml:space="preserve">Hanya keluaran rumus atas input pengguna; bukan target, bukan nilai wajar, bukan rekomendasi. NCI dikurangkan pada nilai buku (penyederhanaan).</t>
  </si>
  <si>
    <t xml:space="preserve">SENSITIVITAS nilai ekuitas per saham (Gordon): WACC (baris) x g (kolom)</t>
  </si>
  <si>
    <t xml:space="preserve">WACC \ g</t>
  </si>
  <si>
    <t xml:space="preserve">Template ini sengaja tidak memuat perbandingan dengan data pasar. Pengguna bertanggung jawab penuh atas input dan interpretasinya.</t>
  </si>
  <si>
    <t xml:space="preserve">Tabel pembanding - data FUNDAMENTAL saja (input kosong)</t>
  </si>
  <si>
    <t xml:space="preserve">Isi hanya dengan data terverifikasi dari laporan keuangan publik tiap emiten; cantumkan sumber &amp; tanggal akses. Tidak ada angka yang dikarang. Nama &amp; kode emiten perlu diverifikasi.</t>
  </si>
  <si>
    <t xml:space="preserve">Nama emiten (verifikasi)</t>
  </si>
  <si>
    <t xml:space="preserve">Fokus usaha</t>
  </si>
  <si>
    <t xml:space="preserve">Tahun buku</t>
  </si>
  <si>
    <t xml:space="preserve">Pendapatan (Rp miliar)</t>
  </si>
  <si>
    <t xml:space="preserve">ROA</t>
  </si>
  <si>
    <t xml:space="preserve">Utang bank / ekuitas</t>
  </si>
  <si>
    <t xml:space="preserve">Jumlah RS / klinik</t>
  </si>
  <si>
    <t xml:space="preserve">Jumlah tempat tidur</t>
  </si>
  <si>
    <t xml:space="preserve">Porsi pendapatan rawat jalan</t>
  </si>
  <si>
    <t xml:space="preserve">Sumber (laporan, halaman)</t>
  </si>
  <si>
    <t xml:space="preserve">Tanggal akses</t>
  </si>
  <si>
    <t xml:space="preserve">BMHS</t>
  </si>
  <si>
    <t xml:space="preserve">PT Bundamedik Tbk</t>
  </si>
  <si>
    <t xml:space="preserve">RS umum + klinik IVF</t>
  </si>
  <si>
    <t xml:space="preserve">Model ini (laporan audited FY2025)</t>
  </si>
  <si>
    <t xml:space="preserve">MIKA</t>
  </si>
  <si>
    <t xml:space="preserve">PT Mitra Keluarga Karyaabadi Tbk</t>
  </si>
  <si>
    <t xml:space="preserve">SILO</t>
  </si>
  <si>
    <t xml:space="preserve">PT Siloam International Hospitals Tbk</t>
  </si>
  <si>
    <t xml:space="preserve">HEAL</t>
  </si>
  <si>
    <t xml:space="preserve">PT Medikaloka Hermina Tbk</t>
  </si>
  <si>
    <t xml:space="preserve">PRAY</t>
  </si>
  <si>
    <t xml:space="preserve">PT Famon Awal Bros Sedaya Tbk</t>
  </si>
  <si>
    <t xml:space="preserve">SAME</t>
  </si>
  <si>
    <t xml:space="preserve">PT Sarana Meditama Metropolitan Tbk</t>
  </si>
  <si>
    <t xml:space="preserve">CARE</t>
  </si>
  <si>
    <t xml:space="preserve">PT Metro Healthcare Indonesia Tbk</t>
  </si>
  <si>
    <t xml:space="preserve">PRIM</t>
  </si>
  <si>
    <t xml:space="preserve">PT Royal Prima Tbk</t>
  </si>
  <si>
    <t xml:space="preserve">RSGK</t>
  </si>
  <si>
    <t xml:space="preserve">PT Kedoya Adyaraya Tbk</t>
  </si>
  <si>
    <t xml:space="preserve">(tambah emiten lain)</t>
  </si>
  <si>
    <t xml:space="preserve">Median pembanding (tanpa BMHS)</t>
  </si>
  <si>
    <t xml:space="preserve">Rata-rata pembanding (tanpa BMHS)</t>
  </si>
  <si>
    <t xml:space="preserve">Tabel ini sengaja tidak memuat kelipatan pasar (P/E, P/BV, EV/EBITDA): isinya ringkasan data fundamental, bukan penilaian.</t>
  </si>
  <si>
    <t xml:space="preserve">Laporan Laba Rugi &amp; OCI - historis FY2020A-FY2025A</t>
  </si>
  <si>
    <t xml:space="preserve">Rp penuh. Biru = input dari BMHS_seri_2020_2025.json (LK audited), hitam = rumus. Kolom 2020 basis ASLI (lihat baris 3 &amp; Temuan B1).</t>
  </si>
  <si>
    <t xml:space="preserve">Sumber kolom</t>
  </si>
  <si>
    <t xml:space="preserve">LK FY2021 (asli)</t>
  </si>
  <si>
    <t xml:space="preserve">LK FY2022 (restated)</t>
  </si>
  <si>
    <t xml:space="preserve">LK FY2023 (reklas)</t>
  </si>
  <si>
    <t xml:space="preserve">LK FY2023</t>
  </si>
  <si>
    <t xml:space="preserve">LK FY2025 (komparatif)</t>
  </si>
  <si>
    <t xml:space="preserve">LK FY2025</t>
  </si>
  <si>
    <t xml:space="preserve">Break basis 2020-&gt;2021: Kolom 2020 = basis ASLI LK FY2021 (tanpa DGNS); kolom 2021 dst = basis disajikan kembali (DGNS dikonsolidasi, PSAK 38). Kas akhir 2020 asli 624.986.556.241 != k...</t>
  </si>
  <si>
    <t xml:space="preserve">LABA RUGI</t>
  </si>
  <si>
    <t xml:space="preserve">IS.REVENUE</t>
  </si>
  <si>
    <t xml:space="preserve">kunci JSON: pendapatan_neto</t>
  </si>
  <si>
    <t xml:space="preserve">IS.COGS</t>
  </si>
  <si>
    <t xml:space="preserve">Beban pokok pendapatan</t>
  </si>
  <si>
    <t xml:space="preserve">kunci JSON: beban_pokok</t>
  </si>
  <si>
    <t xml:space="preserve">IS.GROSS_PROFIT</t>
  </si>
  <si>
    <t xml:space="preserve">Laba bruto</t>
  </si>
  <si>
    <t xml:space="preserve">IS.OPEX_SELLING</t>
  </si>
  <si>
    <t xml:space="preserve">Beban penjualan &amp; pemasaran</t>
  </si>
  <si>
    <t xml:space="preserve">kunci JSON: beban_usaha_penjualan_pemasaran</t>
  </si>
  <si>
    <t xml:space="preserve">IS.OPEX_GA</t>
  </si>
  <si>
    <t xml:space="preserve">Beban umum &amp; administrasi</t>
  </si>
  <si>
    <t xml:space="preserve">kunci JSON: beban_usaha_umum_adm</t>
  </si>
  <si>
    <t xml:space="preserve">IS.OPEX_TOTAL</t>
  </si>
  <si>
    <t xml:space="preserve">Jumlah beban usaha</t>
  </si>
  <si>
    <t xml:space="preserve">IS.OTHER_OPER_NET</t>
  </si>
  <si>
    <t xml:space="preserve">Beban/penghasilan operasi lain - neto</t>
  </si>
  <si>
    <t xml:space="preserve">kunci JSON: beban_operasi_lain_neto</t>
  </si>
  <si>
    <t xml:space="preserve">IS.OPER_PROFIT</t>
  </si>
  <si>
    <t xml:space="preserve">Laba usaha (analitis: laba bruto + beban usaha + operasi lain)</t>
  </si>
  <si>
    <t xml:space="preserve">IS.FIN_INCOME</t>
  </si>
  <si>
    <t xml:space="preserve">kunci JSON: penghasilan_keuangan</t>
  </si>
  <si>
    <t xml:space="preserve">IS.FIN_COST</t>
  </si>
  <si>
    <t xml:space="preserve">kunci JSON: beban_keuangan</t>
  </si>
  <si>
    <t xml:space="preserve">IS.SHARE_ASSOC</t>
  </si>
  <si>
    <t xml:space="preserve">Bagian laba entitas asosiasi</t>
  </si>
  <si>
    <t xml:space="preserve">kunci JSON: bagian_laba_asosiasi</t>
  </si>
  <si>
    <t xml:space="preserve">IS.PBT</t>
  </si>
  <si>
    <t xml:space="preserve">IS.TAX_CURRENT</t>
  </si>
  <si>
    <t xml:space="preserve">Pajak kini</t>
  </si>
  <si>
    <t xml:space="preserve">kunci JSON: pajak_kini</t>
  </si>
  <si>
    <t xml:space="preserve">IS.TAX_DEFERRED</t>
  </si>
  <si>
    <t xml:space="preserve">Pajak tangguhan</t>
  </si>
  <si>
    <t xml:space="preserve">kunci JSON: pajak_tangguhan</t>
  </si>
  <si>
    <t xml:space="preserve">IS.TAX_PRIOR</t>
  </si>
  <si>
    <t xml:space="preserve">Pajak periode lalu</t>
  </si>
  <si>
    <t xml:space="preserve">kunci JSON: pajak_periode_lalu</t>
  </si>
  <si>
    <t xml:space="preserve">IS.TAX_TOTAL</t>
  </si>
  <si>
    <t xml:space="preserve">Jumlah beban pajak</t>
  </si>
  <si>
    <t xml:space="preserve">IS.NET_INCOME</t>
  </si>
  <si>
    <t xml:space="preserve">PENGHASILAN KOMPREHENSIF LAIN (OCI)</t>
  </si>
  <si>
    <t xml:space="preserve">IS.OCI_REMEASURE</t>
  </si>
  <si>
    <t xml:space="preserve">Pengukuran kembali imbalan kerja</t>
  </si>
  <si>
    <t xml:space="preserve">kunci JSON: oci_remeasurement</t>
  </si>
  <si>
    <t xml:space="preserve">IS.OCI_TAX</t>
  </si>
  <si>
    <t xml:space="preserve">Pajak terkait (remeasurement)</t>
  </si>
  <si>
    <t xml:space="preserve">kunci JSON: oci_pajak_terkait</t>
  </si>
  <si>
    <t xml:space="preserve">IS.OCI_ASSOC</t>
  </si>
  <si>
    <t xml:space="preserve">Bagian OCI entitas asosiasi (akun tambahan 2020)</t>
  </si>
  <si>
    <t xml:space="preserve">kunci JSON: oci_asosiasi</t>
  </si>
  <si>
    <t xml:space="preserve">IS.OCI_REVALUATION</t>
  </si>
  <si>
    <t xml:space="preserve">Surplus revaluasi aset tetap</t>
  </si>
  <si>
    <t xml:space="preserve">kunci JSON: oci_revaluasi_aset_tetap</t>
  </si>
  <si>
    <t xml:space="preserve">IS.OCI_REVAL_TAX</t>
  </si>
  <si>
    <t xml:space="preserve">Pajak terkait revaluasi (tambahan 2020; neto ke revaluasi di template FY2025)</t>
  </si>
  <si>
    <t xml:space="preserve">kunci JSON: oci_pajak_revaluasi</t>
  </si>
  <si>
    <t xml:space="preserve">IS.OCI_FVOCI_RECYCLABLE</t>
  </si>
  <si>
    <t xml:space="preserve">Rugi aset keuangan FVOCI (dapat direklas)</t>
  </si>
  <si>
    <t xml:space="preserve">kunci JSON: oci_rugi_aset_keuangan</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</si>
  <si>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</si>
  <si>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</si>
  <si>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</si>
  <si>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</si>
  <si>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</si>
  <si>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</si>
  <si>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</si>
  <si>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</si>
  <si>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</si>
  <si>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</si>
  <si>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</si>
  <si>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</si>
  <si>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</si>
  <si>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</si>
  <si>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</si>
  <si>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</si>
  <si>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</si>
  <si>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</si>
  <si>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</si>
  <si>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</si>
  <si>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MEMO: SUBTOTAL TERCETAK DI LK (untuk Rekonsiliasi)</t>
  </si>
  <si>
    <t xml:space="preserve">IS.GROSS_PROFIT_PRINTED</t>
  </si>
  <si>
    <t xml:space="preserve">Laba bruto (tercetak)</t>
  </si>
  <si>
    <t xml:space="preserve">kunci JSON: laba_bruto</t>
  </si>
  <si>
    <t xml:space="preserve">IS.OPEX_TOTAL_PRINTED</t>
  </si>
  <si>
    <t xml:space="preserve">Jumlah beban usaha (tercetak)</t>
  </si>
  <si>
    <t xml:space="preserve">kunci JSON: beban_usaha</t>
  </si>
  <si>
    <t xml:space="preserve">IS.PBT_PRINTED</t>
  </si>
  <si>
    <t xml:space="preserve">Laba sebelum pajak (tercetak)</t>
  </si>
  <si>
    <t xml:space="preserve">kunci JSON: laba_sebelum_pajak</t>
  </si>
  <si>
    <t xml:space="preserve">IS.TAX_TOTAL_PRINTED</t>
  </si>
  <si>
    <t xml:space="preserve">Beban pajak (tercetak)</t>
  </si>
  <si>
    <t xml:space="preserve">kunci JSON: beban_pajak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</si>
  <si>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</si>
  <si>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</si>
  <si>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</si>
  <si>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</si>
  <si>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</si>
  <si>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</si>
  <si>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IS.TCI_PRINTED_P7</t>
  </si>
  <si>
    <t xml:space="preserve">Laba komprehensif (tercetak, baris utama)</t>
  </si>
  <si>
    <t xml:space="preserve">kunci JSON: total_laba_komprehensif</t>
  </si>
  <si>
    <t xml:space="preserve">IS.TCI_PRINTED_P8</t>
  </si>
  <si>
    <t xml:space="preserve">Laba komprehensif (tercetak, blok atribusi)</t>
  </si>
  <si>
    <t xml:space="preserve">kunci JSON: total_laba_komprehensif_b2</t>
  </si>
  <si>
    <t xml:space="preserve">MEMO: FY2020 DISAJIKAN KEMBALI (Cat 1e LK FY2022) - BUKAN basis kolom 2020; LR/AK 2020 restated lengkap tidak disajikan di LK manapun</t>
  </si>
  <si>
    <t xml:space="preserve">MEMO.pendapatan_neto</t>
  </si>
  <si>
    <t xml:space="preserve">Pendapatan neto 2020 disajikan kembali</t>
  </si>
  <si>
    <t xml:space="preserve">LK FY2022 Cat.1e hal.E/13-14 (teks) - memo, tidak dipakai rumus</t>
  </si>
  <si>
    <t xml:space="preserve">MEMO.laba_tahun_berjalan</t>
  </si>
  <si>
    <t xml:space="preserve">Laba tahun berjalan 2020 disajikan kembali</t>
  </si>
  <si>
    <t xml:space="preserve">MEMO.total_laba_komprehensif</t>
  </si>
  <si>
    <t xml:space="preserve">Jumlah laba komprehensif 2020 disajikan kembali</t>
  </si>
  <si>
    <t xml:space="preserve">MEMO.adj_pendapatan_neto</t>
  </si>
  <si>
    <t xml:space="preserve">Penyesuaian Cat.1e 2020: pendapatan_neto</t>
  </si>
  <si>
    <t xml:space="preserve">LK FY2022 Cat.1e hal.E/14 (teks) - memo, tidak dipakai rumus</t>
  </si>
  <si>
    <t xml:space="preserve">MEMO.adj_laba_tahun_berjalan</t>
  </si>
  <si>
    <t xml:space="preserve">Penyesuaian Cat.1e 2020: laba_tahun_berjalan</t>
  </si>
  <si>
    <t xml:space="preserve">MEMO.adj_total_laba_komprehensif</t>
  </si>
  <si>
    <t xml:space="preserve">Penyesuaian Cat.1e 2020: total_laba_komprehensif</t>
  </si>
  <si>
    <t xml:space="preserve">Laporan Posisi Keuangan - historis FY2020A-FY2025A</t>
  </si>
  <si>
    <t xml:space="preserve">BS.CASH</t>
  </si>
  <si>
    <t xml:space="preserve">kunci JSON: kas</t>
  </si>
  <si>
    <t xml:space="preserve">BS.OTHER_CUR_FIN_ASSETS</t>
  </si>
  <si>
    <t xml:space="preserve">Aset keuangan lancar lainnya</t>
  </si>
  <si>
    <t xml:space="preserve">kunci JSON: aset_keu_lancar_lain</t>
  </si>
  <si>
    <t xml:space="preserve">BS.TRADE_REC_RP</t>
  </si>
  <si>
    <t xml:space="preserve">Piutang usaha - pihak berelasi (tambahan; template FY2025: piutang usaha)</t>
  </si>
  <si>
    <t xml:space="preserve">kunci JSON: piutang_usaha_berelasi</t>
  </si>
  <si>
    <t xml:space="preserve">BS.TRADE_REC</t>
  </si>
  <si>
    <t xml:space="preserve">Piutang usaha - pihak ketiga</t>
  </si>
  <si>
    <t xml:space="preserve">kunci JSON: piutang_usaha_pk3</t>
  </si>
  <si>
    <t xml:space="preserve">BS.OTHER_REC_RP</t>
  </si>
  <si>
    <t xml:space="preserve">Piutang lain-lain - pihak berelasi</t>
  </si>
  <si>
    <t xml:space="preserve">kunci JSON: piutang_lain_berelasi</t>
  </si>
  <si>
    <t xml:space="preserve">BS.OTHER_REC_3P</t>
  </si>
  <si>
    <t xml:space="preserve">Piutang lain-lain - pihak ketiga</t>
  </si>
  <si>
    <t xml:space="preserve">kunci JSON: piutang_lain_pk3</t>
  </si>
  <si>
    <t xml:space="preserve">BS.INVENTORY</t>
  </si>
  <si>
    <t xml:space="preserve">kunci JSON: persediaan</t>
  </si>
  <si>
    <t xml:space="preserve">BS.PREPAID_ADV</t>
  </si>
  <si>
    <t xml:space="preserve">Biaya dibayar dimuka &amp; uang muka</t>
  </si>
  <si>
    <t xml:space="preserve">kunci JSON: biaya_dibayar_dimuka</t>
  </si>
  <si>
    <t xml:space="preserve">BS.PREPAID_TAX</t>
  </si>
  <si>
    <t xml:space="preserve">Pajak dibayar dimuka</t>
  </si>
  <si>
    <t xml:space="preserve">kunci JSON: pajak_dibayar_dimuka</t>
  </si>
  <si>
    <t xml:space="preserve">BS.TOTAL_CA</t>
  </si>
  <si>
    <t xml:space="preserve">BS.DTA</t>
  </si>
  <si>
    <t xml:space="preserve">Aset pajak tangguhan</t>
  </si>
  <si>
    <t xml:space="preserve">kunci JSON: aset_pajak_tangguhan</t>
  </si>
  <si>
    <t xml:space="preserve">BS.TAX_REFUND_CLAIM</t>
  </si>
  <si>
    <t xml:space="preserve">Klaim restitusi pajak</t>
  </si>
  <si>
    <t xml:space="preserve">kunci JSON: klaim_restitusi</t>
  </si>
  <si>
    <t xml:space="preserve">BS.INVEST_SHARES</t>
  </si>
  <si>
    <t xml:space="preserve">Investasi saham / entitas asosiasi</t>
  </si>
  <si>
    <t xml:space="preserve">kunci JSON: investasi_saham</t>
  </si>
  <si>
    <t xml:space="preserve">BS.PPE</t>
  </si>
  <si>
    <t xml:space="preserve">Aset tetap (neto)</t>
  </si>
  <si>
    <t xml:space="preserve">kunci JSON: aset_tetap</t>
  </si>
  <si>
    <t xml:space="preserve">BS.ROU</t>
  </si>
  <si>
    <t xml:space="preserve">kunci JSON: aset_hak_guna</t>
  </si>
  <si>
    <t xml:space="preserve">BS.INVEST_PROPERTY</t>
  </si>
  <si>
    <t xml:space="preserve">Properti investasi</t>
  </si>
  <si>
    <t xml:space="preserve">kunci JSON: properti_investasi</t>
  </si>
  <si>
    <t xml:space="preserve">BS.GOODWILL</t>
  </si>
  <si>
    <t xml:space="preserve">Goodwill</t>
  </si>
  <si>
    <t xml:space="preserve">kunci JSON: goodwill</t>
  </si>
  <si>
    <t xml:space="preserve">BS.PREPAID_ADV_NC</t>
  </si>
  <si>
    <t xml:space="preserve">Uang muka jangka panjang</t>
  </si>
  <si>
    <t xml:space="preserve">kunci JSON: uang_muka_jp</t>
  </si>
  <si>
    <t xml:space="preserve">BS.OTHER_NCA</t>
  </si>
  <si>
    <t xml:space="preserve">kunci JSON: aset_tl_lain</t>
  </si>
  <si>
    <t xml:space="preserve">BS.TOTAL_NCA</t>
  </si>
  <si>
    <t xml:space="preserve">BS.TOTAL_ASSETS</t>
  </si>
  <si>
    <t xml:space="preserve">BS.ST_BANK_LOANS</t>
  </si>
  <si>
    <t xml:space="preserve">Utang bank jangka pendek</t>
  </si>
  <si>
    <t xml:space="preserve">kunci JSON: utang_bank_pendek</t>
  </si>
  <si>
    <t xml:space="preserve">BS.TRADE_PAY_RP</t>
  </si>
  <si>
    <t xml:space="preserve">Utang usaha - pihak berelasi (tambahan; template: utang usaha)</t>
  </si>
  <si>
    <t xml:space="preserve">kunci JSON: utang_usaha_berelasi</t>
  </si>
  <si>
    <t xml:space="preserve">BS.TRADE_PAY</t>
  </si>
  <si>
    <t xml:space="preserve">Utang usaha - pihak ketiga</t>
  </si>
  <si>
    <t xml:space="preserve">kunci JSON: utang_usaha</t>
  </si>
  <si>
    <t xml:space="preserve">BS.OTHER_PAY_RP</t>
  </si>
  <si>
    <t xml:space="preserve">Utang lain-lain - pihak berelasi (tambahan; template: utang lain)</t>
  </si>
  <si>
    <t xml:space="preserve">kunci JSON: utang_lain_berelasi</t>
  </si>
  <si>
    <t xml:space="preserve">BS.OTHER_PAY</t>
  </si>
  <si>
    <t xml:space="preserve">Utang lain-lain - pihak ketiga</t>
  </si>
  <si>
    <t xml:space="preserve">kunci JSON: utang_lain</t>
  </si>
  <si>
    <t xml:space="preserve">BS.UNEARNED_REV</t>
  </si>
  <si>
    <t xml:space="preserve">Pendapatan diterima dimuka</t>
  </si>
  <si>
    <t xml:space="preserve">kunci JSON: pendapatan_dimuka</t>
  </si>
  <si>
    <t xml:space="preserve">BS.ACCRUALS</t>
  </si>
  <si>
    <t xml:space="preserve">Beban akrual</t>
  </si>
  <si>
    <t xml:space="preserve">kunci JSON: beban_akrual</t>
  </si>
  <si>
    <t xml:space="preserve">BS.TAX_PAY</t>
  </si>
  <si>
    <t xml:space="preserve">Utang pajak</t>
  </si>
  <si>
    <t xml:space="preserve">kunci JSON: utang_pajak</t>
  </si>
  <si>
    <t xml:space="preserve">BS.LT_BANK_CUR</t>
  </si>
  <si>
    <t xml:space="preserve">Utang bank jangka panjang - jatuh tempo 1 tahun</t>
  </si>
  <si>
    <t xml:space="preserve">kunci JSON: utang_bank_jt1</t>
  </si>
  <si>
    <t xml:space="preserve">BS.LEASE_CUR</t>
  </si>
  <si>
    <t xml:space="preserve">Liabilitas sewa - jatuh tempo 1 tahun</t>
  </si>
  <si>
    <t xml:space="preserve">kunci JSON: sewa_jt1</t>
  </si>
  <si>
    <t xml:space="preserve">BS.TOTAL_CL</t>
  </si>
  <si>
    <t xml:space="preserve">Jumlah liabilitas jangka pendek</t>
  </si>
  <si>
    <t xml:space="preserve">BS.DTL</t>
  </si>
  <si>
    <t xml:space="preserve">Liabilitas pajak tangguhan</t>
  </si>
  <si>
    <t xml:space="preserve">kunci JSON: liab_pajak_tangguhan</t>
  </si>
  <si>
    <t xml:space="preserve">BS.CONV_BOND</t>
  </si>
  <si>
    <t xml:space="preserve">Utang obligasi konversi (akun baru; 2020-2021)</t>
  </si>
  <si>
    <t xml:space="preserve">kunci JSON: obligasi_konversi</t>
  </si>
  <si>
    <t xml:space="preserve">BS.EMPLOYEE_BENEFIT</t>
  </si>
  <si>
    <t xml:space="preserve">Liabilitas imbalan kerja</t>
  </si>
  <si>
    <t xml:space="preserve">kunci JSON: imbalan_kerja</t>
  </si>
  <si>
    <t xml:space="preserve">BS.LT_BANK_NC</t>
  </si>
  <si>
    <t xml:space="preserve">Utang bank jangka panjang - setelah 1 tahun</t>
  </si>
  <si>
    <t xml:space="preserve">kunci JSON: utang_bank_jp</t>
  </si>
  <si>
    <t xml:space="preserve">BS.LEASE_NC</t>
  </si>
  <si>
    <t xml:space="preserve">Liabilitas sewa - setelah 1 tahun</t>
  </si>
  <si>
    <t xml:space="preserve">kunci JSON: sewa_jp</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</si>
  <si>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</si>
  <si>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</si>
  <si>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</si>
  <si>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</si>
  <si>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</si>
  <si>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</si>
  <si>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</si>
  <si>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</si>
  <si>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</si>
  <si>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BS.OTHER_EQUITY</t>
  </si>
  <si>
    <t xml:space="preserve">Komponen ekuitas lainnya</t>
  </si>
  <si>
    <t xml:space="preserve">kunci JSON: komponen_ekuitas_lain</t>
  </si>
  <si>
    <t xml:space="preserve">BS.REVAL_SURPLUS</t>
  </si>
  <si>
    <t xml:space="preserve">Surplus revaluasi</t>
  </si>
  <si>
    <t xml:space="preserve">kunci JSON: surplus_revaluasi</t>
  </si>
  <si>
    <t xml:space="preserve">BS.REMEASURE_RES</t>
  </si>
  <si>
    <t xml:space="preserve">kunci JSON: remeasurement</t>
  </si>
  <si>
    <t xml:space="preserve">BS.OCI_ASSOC_RES</t>
  </si>
  <si>
    <t xml:space="preserve">OCI entitas asosiasi (tambahan 2020; template: komponen ekuitas lain)</t>
  </si>
  <si>
    <t xml:space="preserve">kunci JSON: oci_asosiasi_ekuitas</t>
  </si>
  <si>
    <t xml:space="preserve">BS.FVOCI_RES</t>
  </si>
  <si>
    <t xml:space="preserve">Rugi aset keuangan FVOCI</t>
  </si>
  <si>
    <t xml:space="preserve">kunci JSON: rugi_aset_keu</t>
  </si>
  <si>
    <t xml:space="preserve">BS.RETAINED_EARN</t>
  </si>
  <si>
    <t xml:space="preserve">kunci JSON: saldo_laba</t>
  </si>
  <si>
    <t xml:space="preserve">BS.EQUITY_PARENT</t>
  </si>
  <si>
    <t xml:space="preserve">BS.NCI</t>
  </si>
  <si>
    <t xml:space="preserve">kunci JSON: nci</t>
  </si>
  <si>
    <t xml:space="preserve">BS.TOTAL_EQUITY</t>
  </si>
  <si>
    <t xml:space="preserve">BS.TOTAL_LIAB_EQUITY</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</si>
  <si>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</si>
  <si>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</si>
  <si>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</si>
  <si>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</si>
  <si>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</si>
  <si>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</si>
  <si>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</si>
  <si>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</si>
  <si>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</si>
  <si>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</si>
  <si>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</si>
  <si>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</si>
  <si>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</si>
  <si>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</si>
  <si>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</si>
  <si>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</si>
  <si>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</si>
  <si>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</si>
  <si>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</si>
  <si>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</si>
  <si>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</si>
  <si>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</si>
  <si>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</si>
  <si>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</si>
  <si>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</si>
  <si>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</si>
  <si>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</si>
  <si>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</si>
  <si>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</si>
  <si>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</si>
  <si>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</si>
  <si>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MEMO: NERACA 31 DES 2020 DISAJIKAN KEMBALI (LK FY2022 Ekshibit A &amp; Cat 1e) - BUKAN basis kolom 2020</t>
  </si>
  <si>
    <t xml:space="preserve">MEMO.adj_TOTAL_ASET_LANCAR</t>
  </si>
  <si>
    <t xml:space="preserve">Penyesuaian Cat.1e 2020: TOTAL_ASET_LANCAR</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</si>
  <si>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</si>
  <si>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</si>
  <si>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</si>
  <si>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</si>
  <si>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</si>
  <si>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</si>
  <si>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</si>
  <si>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</si>
  <si>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</si>
  <si>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</si>
  <si>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</si>
  <si>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</si>
  <si>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</si>
  <si>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</si>
  <si>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</si>
  <si>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</si>
  <si>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 - memo, tidak dipakai rumus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</si>
  <si>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</si>
  <si>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</si>
  <si>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</si>
  <si>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</si>
  <si>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</si>
  <si>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</si>
  <si>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</si>
  <si>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</si>
  <si>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</si>
  <si>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</si>
  <si>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</si>
  <si>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</si>
  <si>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</si>
  <si>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</si>
  <si>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</si>
  <si>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</si>
  <si>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MEMO.TOTAL_ASET_LANCAR</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</si>
  <si>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</si>
  <si>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</si>
  <si>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</si>
  <si>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</si>
  <si>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</si>
  <si>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</si>
  <si>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</si>
  <si>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</si>
  <si>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</si>
  <si>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</si>
  <si>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</si>
  <si>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</si>
  <si>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</si>
  <si>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</si>
  <si>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</si>
  <si>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</si>
  <si>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</si>
  <si>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</si>
  <si>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</si>
  <si>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MEMO.TOTAL_ASET_TIDAK_LANCAR</t>
  </si>
  <si>
    <t xml:space="preserve">Neraca 1 Jan 2021/31 Des 2020 disajikan kembali: TOTAL_ASET_TIDAK_LANCAR</t>
  </si>
  <si>
    <t xml:space="preserve">MEMO.TOTAL_ASET</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</si>
  <si>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</si>
  <si>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</si>
  <si>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</si>
  <si>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</si>
  <si>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</si>
  <si>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</si>
  <si>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</si>
  <si>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</si>
  <si>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</si>
  <si>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</si>
  <si>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</si>
  <si>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</si>
  <si>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</si>
  <si>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</si>
  <si>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</si>
  <si>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</si>
  <si>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</si>
  <si>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</si>
  <si>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</si>
  <si>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</si>
  <si>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</si>
  <si>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MEMO.TOTAL_LIAB_PENDEK</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</si>
  <si>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</si>
  <si>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</si>
  <si>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</si>
  <si>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</si>
  <si>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</si>
  <si>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</si>
  <si>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</si>
  <si>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</si>
  <si>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</si>
  <si>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</si>
  <si>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</si>
  <si>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MEMO.TOTAL_LIAB_PANJANG</t>
  </si>
  <si>
    <t xml:space="preserve">Neraca 1 Jan 2021/31 Des 2020 disajikan kembali: TOTAL_LIAB_PANJANG</t>
  </si>
  <si>
    <t xml:space="preserve">MEMO.TOTAL_LIABILITAS</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</si>
  <si>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</si>
  <si>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</si>
  <si>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</si>
  <si>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</si>
  <si>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</si>
  <si>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</si>
  <si>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</si>
  <si>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</si>
  <si>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</si>
  <si>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</si>
  <si>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</si>
  <si>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</si>
  <si>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</si>
  <si>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</si>
  <si>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</si>
  <si>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</si>
  <si>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</si>
  <si>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</si>
  <si>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</si>
  <si>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MEMO.TOTAL_EKUITAS</t>
  </si>
  <si>
    <t xml:space="preserve">Neraca 1 Jan 2021/31 Des 2020 disajikan kembali: TOTAL_EKUITAS</t>
  </si>
  <si>
    <t xml:space="preserve">MEMO.TOTAL_LIAB_EKUITAS</t>
  </si>
  <si>
    <t xml:space="preserve">Neraca 1 Jan 2021/31 Des 2020 disajikan kembali: TOTAL_LIAB_EKUITAS</t>
  </si>
  <si>
    <t xml:space="preserve">Laporan Arus Kas - historis FY2020A-FY2025A</t>
  </si>
  <si>
    <t xml:space="preserve">CF.CASH_FROM_CUSTOMERS</t>
  </si>
  <si>
    <t xml:space="preserve">Penerimaan dari pelanggan</t>
  </si>
  <si>
    <t xml:space="preserve">kunci JSON: terima_pelanggan</t>
  </si>
  <si>
    <t xml:space="preserve">CF.CASH_TO_SUPPLIERS_OPEX</t>
  </si>
  <si>
    <t xml:space="preserve">Pembayaran ke pemasok &amp; beban usaha</t>
  </si>
  <si>
    <t xml:space="preserve">kunci JSON: bayar_pemasok</t>
  </si>
  <si>
    <t xml:space="preserve">CF.CASH_TO_EMPLOYEES</t>
  </si>
  <si>
    <t xml:space="preserve">Pembayaran ke karyawan</t>
  </si>
  <si>
    <t xml:space="preserve">kunci JSON: bayar_pegawai</t>
  </si>
  <si>
    <t xml:space="preserve">CF.FIN_INCOME_RECEIVED</t>
  </si>
  <si>
    <t xml:space="preserve">Penerimaan penghasilan keuangan</t>
  </si>
  <si>
    <t xml:space="preserve">kunci JSON: terima_penghasilan_keu</t>
  </si>
  <si>
    <t xml:space="preserve">CF.FIN_COST_PAID</t>
  </si>
  <si>
    <t xml:space="preserve">Pembayaran beban keuangan</t>
  </si>
  <si>
    <t xml:space="preserve">kunci JSON: bayar_beban_keu</t>
  </si>
  <si>
    <t xml:space="preserve">CF.TAX_PAID</t>
  </si>
  <si>
    <t xml:space="preserve">Pembayaran pajak</t>
  </si>
  <si>
    <t xml:space="preserve">kunci JSON: bayar_pajak</t>
  </si>
  <si>
    <t xml:space="preserve">CF.OTHER_OPER_NET</t>
  </si>
  <si>
    <t xml:space="preserve">Operasi lain - neto</t>
  </si>
  <si>
    <t xml:space="preserve">kunci JSON: bayar_operasi_lain</t>
  </si>
  <si>
    <t xml:space="preserve">CF.CFO</t>
  </si>
  <si>
    <t xml:space="preserve">Kas neto dari aktivitas operasi</t>
  </si>
  <si>
    <t xml:space="preserve">CF.CAPEX_PPE</t>
  </si>
  <si>
    <t xml:space="preserve">Perolehan aset tetap</t>
  </si>
  <si>
    <t xml:space="preserve">kunci JSON: perolehan_aset_tetap</t>
  </si>
  <si>
    <t xml:space="preserve">CF.CAPEX_INVPROP</t>
  </si>
  <si>
    <t xml:space="preserve">Perolehan properti investasi</t>
  </si>
  <si>
    <t xml:space="preserve">kunci JSON: perolehan_properti_inv</t>
  </si>
  <si>
    <t xml:space="preserve">CF.PPE_DISPOSAL_PROCEEDS</t>
  </si>
  <si>
    <t xml:space="preserve">Hasil penjualan aset tetap</t>
  </si>
  <si>
    <t xml:space="preserve">kunci JSON: jual_aset_tetap</t>
  </si>
  <si>
    <t xml:space="preserve">CF.PPE_ADVANCES</t>
  </si>
  <si>
    <t xml:space="preserve">Uang muka pembelian aset tetap</t>
  </si>
  <si>
    <t xml:space="preserve">kunci JSON: uang_muka_aset_tetap</t>
  </si>
  <si>
    <t xml:space="preserve">CF.INVEST_SHARES</t>
  </si>
  <si>
    <t xml:space="preserve">Investasi saham / entitas anak</t>
  </si>
  <si>
    <t xml:space="preserve">kunci JSON: investasi_saham | OVERRIDE 2024 -&gt; 0 (Temuan c)</t>
  </si>
  <si>
    <t xml:space="preserve">CF.OTHER_NCA_DECREASE</t>
  </si>
  <si>
    <t xml:space="preserve">Penurunan aset tidak lancar lain (akun baru 2020)</t>
  </si>
  <si>
    <t xml:space="preserve">kunci JSON: aset_tl_lain_turun</t>
  </si>
  <si>
    <t xml:space="preserve">CF.CFI</t>
  </si>
  <si>
    <t xml:space="preserve">Kas neto untuk aktivitas investasi</t>
  </si>
  <si>
    <t xml:space="preserve">CF.LEASE_PAID</t>
  </si>
  <si>
    <t xml:space="preserve">Pembayaran liabilitas sewa</t>
  </si>
  <si>
    <t xml:space="preserve">kunci JSON: bayar_sewa</t>
  </si>
  <si>
    <t xml:space="preserve">CF.BOND_REPAY</t>
  </si>
  <si>
    <t xml:space="preserve">Obligasi konversi - penerimaan (pelunasan) (akun baru; 2020 +301 M, 2021 -157,7 M)</t>
  </si>
  <si>
    <t xml:space="preserve">kunci JSON: pelunasan_obligasi</t>
  </si>
  <si>
    <t xml:space="preserve">CF.RELATED_PARTY_NET</t>
  </si>
  <si>
    <t xml:space="preserve">Pihak berelasi - neto (akun baru)</t>
  </si>
  <si>
    <t xml:space="preserve">kunci JSON: pihak_berelasi_neto</t>
  </si>
  <si>
    <t xml:space="preserve">CF.BANK_LOAN_PROCEEDS</t>
  </si>
  <si>
    <t xml:space="preserve">Penerimaan utang bank</t>
  </si>
  <si>
    <t xml:space="preserve">kunci JSON: terima_pinjaman</t>
  </si>
  <si>
    <t xml:space="preserve">CF.BANK_LOAN_REPAY</t>
  </si>
  <si>
    <t xml:space="preserve">Pembayaran utang bank</t>
  </si>
  <si>
    <t xml:space="preserve">kunci JSON: bayar_pinjaman</t>
  </si>
  <si>
    <t xml:space="preserve">CF.DIVIDENDS_PAID</t>
  </si>
  <si>
    <t xml:space="preserve">Pembayaran dividen</t>
  </si>
  <si>
    <t xml:space="preserve">kunci JSON: bayar_dividen</t>
  </si>
  <si>
    <t xml:space="preserve">CF.NCI_CAPITAL</t>
  </si>
  <si>
    <t xml:space="preserve">Setoran modal NCI di entitas anak</t>
  </si>
  <si>
    <t xml:space="preserve">kunci JSON: modal_nci</t>
  </si>
  <si>
    <t xml:space="preserve">CF.SHARE_ISSUE</t>
  </si>
  <si>
    <t xml:space="preserve">Setoran modal / penerbitan saham (akun baru)</t>
  </si>
  <si>
    <t xml:space="preserve">kunci JSON: setoran_modal</t>
  </si>
  <si>
    <t xml:space="preserve">CF.CFF</t>
  </si>
  <si>
    <t xml:space="preserve">Kas neto dari (untuk) aktivitas pendanaan</t>
  </si>
  <si>
    <t xml:space="preserve">CF.NET_CHANGE</t>
  </si>
  <si>
    <t xml:space="preserve">CF.FX</t>
  </si>
  <si>
    <t xml:space="preserve">Efek selisih kurs</t>
  </si>
  <si>
    <t xml:space="preserve">kunci JSON: efek_kurs</t>
  </si>
  <si>
    <t xml:space="preserve">CF.CASH_BEGIN</t>
  </si>
  <si>
    <t xml:space="preserve">kunci JSON: KAS_AWAL</t>
  </si>
  <si>
    <t xml:space="preserve">CF.CASH_END</t>
  </si>
  <si>
    <t xml:space="preserve">MEMO: TRANSAKSI NONKAS (Cat 37; tersaji 2024-2025)</t>
  </si>
  <si>
    <t xml:space="preserve">CF.NONCASH_PPE_ADV</t>
  </si>
  <si>
    <t xml:space="preserve">Reklas uang muka ke aset tetap</t>
  </si>
  <si>
    <t xml:space="preserve">kunci JSON: nk_uang_muka</t>
  </si>
  <si>
    <t xml:space="preserve">CF.NONCASH_PPE_LEASE</t>
  </si>
  <si>
    <t xml:space="preserve">Penambahan aset hak-guna via sewa</t>
  </si>
  <si>
    <t xml:space="preserve">kunci JSON: nk_sewa</t>
  </si>
  <si>
    <t xml:space="preserve">CF.NONCASH_PPE_PAYABLE</t>
  </si>
  <si>
    <t xml:space="preserve">Perolehan aset tetap melalui utang</t>
  </si>
  <si>
    <t xml:space="preserve">kunci JSON: nk_utang</t>
  </si>
  <si>
    <t xml:space="preserve">CF.NONCASH_TOTAL_PRINTED</t>
  </si>
  <si>
    <t xml:space="preserve">Jumlah nonkas (tercetak)</t>
  </si>
  <si>
    <t xml:space="preserve">kunci JSON: NK_TOTAL</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</si>
  <si>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</si>
  <si>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</si>
  <si>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</si>
  <si>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</si>
  <si>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</si>
  <si>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</si>
  <si>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</si>
  <si>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</si>
  <si>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</si>
  <si>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</si>
  <si>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</si>
  <si>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</si>
  <si>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</si>
  <si>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</si>
  <si>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</si>
  <si>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</si>
  <si>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Bagian A = ringkasan yang dipakai Rasio/Asumsi; bagian B-D = rincian lengkap. Kosong = tidak diungkap tahun itu.</t>
  </si>
  <si>
    <t xml:space="preserve">A. RINGKASAN UNTUK MODEL (rumus dari bagian B-D)</t>
  </si>
  <si>
    <t xml:space="preserve">REV.INPAT</t>
  </si>
  <si>
    <t xml:space="preserve">Pendapatan bruto - rawat inap</t>
  </si>
  <si>
    <t xml:space="preserve">Cat 27</t>
  </si>
  <si>
    <t xml:space="preserve">REV.OUTPAT</t>
  </si>
  <si>
    <t xml:space="preserve">Pendapatan bruto - rawat jalan</t>
  </si>
  <si>
    <t xml:space="preserve">REV.IVF</t>
  </si>
  <si>
    <t xml:space="preserve">Pendapatan bruto - fertilisasi in vitro (IVF)</t>
  </si>
  <si>
    <t xml:space="preserve">REV.OTHER</t>
  </si>
  <si>
    <t xml:space="preserve">Pendapatan bruto - lainnya (hotel)</t>
  </si>
  <si>
    <t xml:space="preserve">REV.GROSS</t>
  </si>
  <si>
    <t xml:space="preserve">REV.DISC</t>
  </si>
  <si>
    <t xml:space="preserve">Cat 27; tren naik 1,6% -&gt; 6,3% dari bruto (Temuan B6)</t>
  </si>
  <si>
    <t xml:space="preserve">REV.NET</t>
  </si>
  <si>
    <t xml:space="preserve">Pendapatan neto (rumus)</t>
  </si>
  <si>
    <t xml:space="preserve">REV.DISC_PCT</t>
  </si>
  <si>
    <t xml:space="preserve">Potongan % pendapatan bruto</t>
  </si>
  <si>
    <t xml:space="preserve">DA.PPE</t>
  </si>
  <si>
    <t xml:space="preserve">Penyusutan aset tetap (mutasi akumulasi: penambahan)</t>
  </si>
  <si>
    <t xml:space="preserve">DA.DEP_IN_COGS</t>
  </si>
  <si>
    <t xml:space="preserve">   dialokasikan ke beban pokok</t>
  </si>
  <si>
    <t xml:space="preserve">Cat 11</t>
  </si>
  <si>
    <t xml:space="preserve">DA.DEP_IN_OPEX</t>
  </si>
  <si>
    <t xml:space="preserve">   dialokasikan ke beban usaha</t>
  </si>
  <si>
    <t xml:space="preserve">DA.ROU</t>
  </si>
  <si>
    <t xml:space="preserve">Amortisasi aset hak-guna (mutasi)</t>
  </si>
  <si>
    <t xml:space="preserve">Cat 12; seluruhnya di beban usaha</t>
  </si>
  <si>
    <t xml:space="preserve">DA.INVPROP</t>
  </si>
  <si>
    <t xml:space="preserve">Amortisasi properti investasi</t>
  </si>
  <si>
    <t xml:space="preserve">Cat 29 (ada sejak 2024)</t>
  </si>
  <si>
    <t xml:space="preserve">DA.TOTAL</t>
  </si>
  <si>
    <t xml:space="preserve">Total D&amp;A (untuk EBITDA)</t>
  </si>
  <si>
    <t xml:space="preserve">DA.IN_OPEX</t>
  </si>
  <si>
    <t xml:space="preserve">D&amp;A di beban usaha (D&amp;A total - porsi beban pokok)</t>
  </si>
  <si>
    <t xml:space="preserve">LEASE.PRINCIPAL</t>
  </si>
  <si>
    <t xml:space="preserve">Cat 12</t>
  </si>
  <si>
    <t xml:space="preserve">LEASE.INTEREST</t>
  </si>
  <si>
    <t xml:space="preserve">Pembayaran bunga sewa</t>
  </si>
  <si>
    <t xml:space="preserve">PPE.ADDITIONS</t>
  </si>
  <si>
    <t xml:space="preserve">Penambahan aset tetap (biaya perolehan, kas + nonkas)</t>
  </si>
  <si>
    <t xml:space="preserve">PPE.REVAL</t>
  </si>
  <si>
    <t xml:space="preserve">Revaluasi aset tetap (mutasi)</t>
  </si>
  <si>
    <t xml:space="preserve">NCI.END</t>
  </si>
  <si>
    <t xml:space="preserve">NCI saldo akhir (Σ entitas)</t>
  </si>
  <si>
    <t xml:space="preserve">NCI.PROFIT</t>
  </si>
  <si>
    <t xml:space="preserve">NCI bagian laba (Σ entitas)</t>
  </si>
  <si>
    <t xml:space="preserve">EMP.HEADCOUNT</t>
  </si>
  <si>
    <t xml:space="preserve">Jumlah karyawan (Cat 22, orang)</t>
  </si>
  <si>
    <t xml:space="preserve">B. MUTASI ASET TETAP &amp; ASET HAK-GUNA (baris JUMLAH tabel mutasi)</t>
  </si>
  <si>
    <t xml:space="preserve">Cat 11 Aset tetap - biaya perolehan (JUMLAH)</t>
  </si>
  <si>
    <t xml:space="preserve">MUT.PPE_COST.saldo_awal</t>
  </si>
  <si>
    <t xml:space="preserve">   Saldo awal</t>
  </si>
  <si>
    <t xml:space="preserve">mutasi_aset (biaya perolehan)</t>
  </si>
  <si>
    <t xml:space="preserve">MUT.PPE_COST.penambahan</t>
  </si>
  <si>
    <t xml:space="preserve">   Penambahan</t>
  </si>
  <si>
    <t xml:space="preserve">MUT.PPE_COST.pengurangan</t>
  </si>
  <si>
    <t xml:space="preserve">   Pengurangan</t>
  </si>
  <si>
    <t xml:space="preserve">MUT.PPE_COST.reklasifikasi</t>
  </si>
  <si>
    <t xml:space="preserve">   Reklasifikasi</t>
  </si>
  <si>
    <t xml:space="preserve">MUT.PPE_COST.akuisisi_entitas_anak</t>
  </si>
  <si>
    <t xml:space="preserve">   Akuisisi entitas anak</t>
  </si>
  <si>
    <t xml:space="preserve">MUT.PPE_COST.revaluasi</t>
  </si>
  <si>
    <t xml:space="preserve">   Revaluasi</t>
  </si>
  <si>
    <t xml:space="preserve">MUT.PPE_COST.saldo_akhir</t>
  </si>
  <si>
    <t xml:space="preserve">   Saldo akhir (tercetak)</t>
  </si>
  <si>
    <t xml:space="preserve">MUT.PPE_COST.END</t>
  </si>
  <si>
    <t xml:space="preserve">   Saldo akhir (rumus: awal + mutasi)</t>
  </si>
  <si>
    <t xml:space="preserve">Cat 11 Aset tetap - akumulasi penyusutan (JUMLAH)</t>
  </si>
  <si>
    <t xml:space="preserve">MUT.PPE_AD.saldo_awal</t>
  </si>
  <si>
    <t xml:space="preserve">mutasi_aset (akumulasi penyusutan)</t>
  </si>
  <si>
    <t xml:space="preserve">MUT.PPE_AD.penambahan</t>
  </si>
  <si>
    <t xml:space="preserve">MUT.PPE_AD.pengurangan</t>
  </si>
  <si>
    <t xml:space="preserve">MUT.PPE_AD.reklasifikasi</t>
  </si>
  <si>
    <t xml:space="preserve">MUT.PPE_AD.akuisisi_entitas_anak</t>
  </si>
  <si>
    <t xml:space="preserve">MUT.PPE_AD.revaluasi</t>
  </si>
  <si>
    <t xml:space="preserve">MUT.PPE_AD.saldo_akhir</t>
  </si>
  <si>
    <t xml:space="preserve">MUT.PPE_AD.END</t>
  </si>
  <si>
    <t xml:space="preserve">Cat 12 Aset hak-guna - biaya perolehan</t>
  </si>
  <si>
    <t xml:space="preserve">MUT.ROU_COST.saldo_awal</t>
  </si>
  <si>
    <t xml:space="preserve">mutasi_aset (ROU biaya perolehan)</t>
  </si>
  <si>
    <t xml:space="preserve">MUT.ROU_COST.penambahan</t>
  </si>
  <si>
    <t xml:space="preserve">MUT.ROU_COST.pengurangan</t>
  </si>
  <si>
    <t xml:space="preserve">MUT.ROU_COST.reklasifikasi</t>
  </si>
  <si>
    <t xml:space="preserve">MUT.ROU_COST.akuisisi_entitas_anak</t>
  </si>
  <si>
    <t xml:space="preserve">MUT.ROU_COST.revaluasi</t>
  </si>
  <si>
    <t xml:space="preserve">MUT.ROU_COST.saldo_akhir</t>
  </si>
  <si>
    <t xml:space="preserve">MUT.ROU_COST.END</t>
  </si>
  <si>
    <t xml:space="preserve">Cat 12 Aset hak-guna - akumulasi amortisasi</t>
  </si>
  <si>
    <t xml:space="preserve">MUT.ROU_AD.saldo_awal</t>
  </si>
  <si>
    <t xml:space="preserve">mutasi_aset (ROU akumulasi amortisasi)</t>
  </si>
  <si>
    <t xml:space="preserve">MUT.ROU_AD.penambahan</t>
  </si>
  <si>
    <t xml:space="preserve">MUT.ROU_AD.pengurangan</t>
  </si>
  <si>
    <t xml:space="preserve">MUT.ROU_AD.reklasifikasi</t>
  </si>
  <si>
    <t xml:space="preserve">MUT.ROU_AD.akuisisi_entitas_anak</t>
  </si>
  <si>
    <t xml:space="preserve">MUT.ROU_AD.revaluasi</t>
  </si>
  <si>
    <t xml:space="preserve">MUT.ROU_AD.saldo_akhir</t>
  </si>
  <si>
    <t xml:space="preserve">MUT.ROU_AD.END</t>
  </si>
  <si>
    <t xml:space="preserve">PPE.NBV</t>
  </si>
  <si>
    <t xml:space="preserve">Nilai tercatat aset tetap (biaya - akumulasi)</t>
  </si>
  <si>
    <t xml:space="preserve">ROU.NBV</t>
  </si>
  <si>
    <t xml:space="preserve">Nilai tercatat aset hak-guna</t>
  </si>
  <si>
    <t xml:space="preserve">C. KEPENTINGAN NONPENGENDALI (Cat 26) - Σ per entitas (dihitung dari rincian entitas)</t>
  </si>
  <si>
    <t xml:space="preserve">NCI.saldo_awal</t>
  </si>
  <si>
    <t xml:space="preserve">Saldo awal</t>
  </si>
  <si>
    <t xml:space="preserve">Σ entitas (jumlah entitas 10/13/16/17/17/18)</t>
  </si>
  <si>
    <t xml:space="preserve">NCI.akuisisi_entitas_anak</t>
  </si>
  <si>
    <t xml:space="preserve">Akuisisi entitas anak</t>
  </si>
  <si>
    <t xml:space="preserve">NCI.setoran_modal</t>
  </si>
  <si>
    <t xml:space="preserve">Setoran modal</t>
  </si>
  <si>
    <t xml:space="preserve">NCI.bagian_laba</t>
  </si>
  <si>
    <t xml:space="preserve">Bagian laba</t>
  </si>
  <si>
    <t xml:space="preserve">NCI.perubahan_ekuitas_lain</t>
  </si>
  <si>
    <t xml:space="preserve">Perubahan ekuitas lain</t>
  </si>
  <si>
    <t xml:space="preserve">NCI.oci</t>
  </si>
  <si>
    <t xml:space="preserve">OCI</t>
  </si>
  <si>
    <t xml:space="preserve">NCI.saldo_akhir</t>
  </si>
  <si>
    <t xml:space="preserve">Saldo akhir</t>
  </si>
  <si>
    <t xml:space="preserve">NCI.CALC_END</t>
  </si>
  <si>
    <t xml:space="preserve">Saldo akhir (rumus: awal + mutasi)</t>
  </si>
  <si>
    <t xml:space="preserve">NCI.PRINTED_profit</t>
  </si>
  <si>
    <t xml:space="preserve">Baris JUMLAH tercetak - bagian laba</t>
  </si>
  <si>
    <t xml:space="preserve">Cat 26 baris Jumlah (2025 tidak sama dgn Σ entitas, Temuan e)</t>
  </si>
  <si>
    <t xml:space="preserve">NCI.PRINTED_end</t>
  </si>
  <si>
    <t xml:space="preserve">Baris JUMLAH tercetak - saldo akhir</t>
  </si>
  <si>
    <t xml:space="preserve">D. RINCIAN CATATAN (urut catatan LK)</t>
  </si>
  <si>
    <t xml:space="preserve">Cat 6 - Piutang usaha per pelanggan (bruto)</t>
  </si>
  <si>
    <t xml:space="preserve">CK001</t>
  </si>
  <si>
    <t xml:space="preserve">   Korporasi</t>
  </si>
  <si>
    <t xml:space="preserve">hal PDF 39,48,50,53</t>
  </si>
  <si>
    <t xml:space="preserve">CK002</t>
  </si>
  <si>
    <t xml:space="preserve">   Asuransi</t>
  </si>
  <si>
    <t xml:space="preserve">CK003</t>
  </si>
  <si>
    <t xml:space="preserve">   Individu</t>
  </si>
  <si>
    <t xml:space="preserve">CK004</t>
  </si>
  <si>
    <t xml:space="preserve">   Kartu kredit</t>
  </si>
  <si>
    <t xml:space="preserve">CK005</t>
  </si>
  <si>
    <t xml:space="preserve">   Lain-lain</t>
  </si>
  <si>
    <t xml:space="preserve">CK006</t>
  </si>
  <si>
    <t xml:space="preserve">   JUMLAH (lapor)</t>
  </si>
  <si>
    <t xml:space="preserve">hal PDF 50</t>
  </si>
  <si>
    <t xml:space="preserve">CK007</t>
  </si>
  <si>
    <t xml:space="preserve">   JUMLAH (lapor) pihak ketiga</t>
  </si>
  <si>
    <t xml:space="preserve">hal PDF 39,48,53</t>
  </si>
  <si>
    <t xml:space="preserve">CK008</t>
  </si>
  <si>
    <t xml:space="preserve">   Kementerian Kesehatan</t>
  </si>
  <si>
    <t xml:space="preserve">hal PDF 39,53</t>
  </si>
  <si>
    <t xml:space="preserve">SK001</t>
  </si>
  <si>
    <t xml:space="preserve">   Σ rincian (rumus)</t>
  </si>
  <si>
    <t xml:space="preserve">Cat 6 - Neto</t>
  </si>
  <si>
    <t xml:space="preserve">CK009</t>
  </si>
  <si>
    <t xml:space="preserve">   CKPN</t>
  </si>
  <si>
    <t xml:space="preserve">CK010</t>
  </si>
  <si>
    <t xml:space="preserve">   Piutang usaha neto</t>
  </si>
  <si>
    <t xml:space="preserve">CK011</t>
  </si>
  <si>
    <t xml:space="preserve">   Piutang usaha neto pihak ketiga</t>
  </si>
  <si>
    <t xml:space="preserve">CK012</t>
  </si>
  <si>
    <t xml:space="preserve">   Piutang usaha neto (lapor, total)</t>
  </si>
  <si>
    <t xml:space="preserve">CK013</t>
  </si>
  <si>
    <t xml:space="preserve">   Piutang usaha pihak berelasi</t>
  </si>
  <si>
    <t xml:space="preserve">hal PDF 39</t>
  </si>
  <si>
    <t xml:space="preserve">Cat 6 - Umur piutang (bruto)</t>
  </si>
  <si>
    <t xml:space="preserve">CK014</t>
  </si>
  <si>
    <t xml:space="preserve">   Belum jatuh tempo</t>
  </si>
  <si>
    <t xml:space="preserve">CK015</t>
  </si>
  <si>
    <t xml:space="preserve">   1-30 hari</t>
  </si>
  <si>
    <t xml:space="preserve">CK016</t>
  </si>
  <si>
    <t xml:space="preserve">   31-90 hari</t>
  </si>
  <si>
    <t xml:space="preserve">CK017</t>
  </si>
  <si>
    <t xml:space="preserve">   &gt;90 hari</t>
  </si>
  <si>
    <t xml:space="preserve">CK018</t>
  </si>
  <si>
    <t xml:space="preserve">   31-60 hari (label LK)</t>
  </si>
  <si>
    <t xml:space="preserve">Cat 6 - Mutasi CKPN</t>
  </si>
  <si>
    <t xml:space="preserve">CK019</t>
  </si>
  <si>
    <t xml:space="preserve">CK020</t>
  </si>
  <si>
    <t xml:space="preserve">CK021</t>
  </si>
  <si>
    <t xml:space="preserve">   Penghapusan</t>
  </si>
  <si>
    <t xml:space="preserve">CK022</t>
  </si>
  <si>
    <t xml:space="preserve">   Saldo akhir</t>
  </si>
  <si>
    <t xml:space="preserve">Cat 8 - Persediaan</t>
  </si>
  <si>
    <t xml:space="preserve">CK023</t>
  </si>
  <si>
    <t xml:space="preserve">   Obat-obatan</t>
  </si>
  <si>
    <t xml:space="preserve">hal PDF 4,51</t>
  </si>
  <si>
    <t xml:space="preserve">CK024</t>
  </si>
  <si>
    <t xml:space="preserve">   Perlengkapan medis</t>
  </si>
  <si>
    <t xml:space="preserve">CK025</t>
  </si>
  <si>
    <t xml:space="preserve">   Lainnya</t>
  </si>
  <si>
    <t xml:space="preserve">CK026</t>
  </si>
  <si>
    <t xml:space="preserve">SK002</t>
  </si>
  <si>
    <t xml:space="preserve">Cat 11 - Alokasi penyusutan</t>
  </si>
  <si>
    <t xml:space="preserve">CK027</t>
  </si>
  <si>
    <t xml:space="preserve">   Beban pokok pendapatan</t>
  </si>
  <si>
    <t xml:space="preserve">hal PDF 43,51,55,56</t>
  </si>
  <si>
    <t xml:space="preserve">CK028</t>
  </si>
  <si>
    <t xml:space="preserve">   Beban usaha (Cat29)</t>
  </si>
  <si>
    <t xml:space="preserve">Cat 11 - Penjualan aset tetap</t>
  </si>
  <si>
    <t xml:space="preserve">CK029</t>
  </si>
  <si>
    <t xml:space="preserve">   Nilai penjualan aset (hasil jual)</t>
  </si>
  <si>
    <t xml:space="preserve">hal PDF 43,51,56</t>
  </si>
  <si>
    <t xml:space="preserve">CK030</t>
  </si>
  <si>
    <t xml:space="preserve">   Nilai tercatat dijual</t>
  </si>
  <si>
    <t xml:space="preserve">CK031</t>
  </si>
  <si>
    <t xml:space="preserve">   Laba penjualan (Cat32)</t>
  </si>
  <si>
    <t xml:space="preserve">hal PDF 56</t>
  </si>
  <si>
    <t xml:space="preserve">CK032</t>
  </si>
  <si>
    <t xml:space="preserve">   Laba (rugi) penjualan</t>
  </si>
  <si>
    <t xml:space="preserve">hal PDF 43,51</t>
  </si>
  <si>
    <t xml:space="preserve">CK033</t>
  </si>
  <si>
    <t xml:space="preserve">   Pertukaran: biaya perolehan aset baru</t>
  </si>
  <si>
    <t xml:space="preserve">hal PDF 51</t>
  </si>
  <si>
    <t xml:space="preserve">CK034</t>
  </si>
  <si>
    <t xml:space="preserve">   Pertukaran: utang atas perolehan aset baru</t>
  </si>
  <si>
    <t xml:space="preserve">Cat 11 - Surplus revaluasi (tabel hal.55)</t>
  </si>
  <si>
    <t xml:space="preserve">CK035</t>
  </si>
  <si>
    <t xml:space="preserve">   Tanah - nilai tercatat sebelum</t>
  </si>
  <si>
    <t xml:space="preserve">hal PDF 55</t>
  </si>
  <si>
    <t xml:space="preserve">CK036</t>
  </si>
  <si>
    <t xml:space="preserve">   Tanah - nilai wajar</t>
  </si>
  <si>
    <t xml:space="preserve">CK037</t>
  </si>
  <si>
    <t xml:space="preserve">   Tanah - surplus</t>
  </si>
  <si>
    <t xml:space="preserve">CK038</t>
  </si>
  <si>
    <t xml:space="preserve">   Bangunan - nilai tercatat sebelum</t>
  </si>
  <si>
    <t xml:space="preserve">CK039</t>
  </si>
  <si>
    <t xml:space="preserve">   Bangunan - nilai wajar</t>
  </si>
  <si>
    <t xml:space="preserve">CK040</t>
  </si>
  <si>
    <t xml:space="preserve">   Bangunan - surplus</t>
  </si>
  <si>
    <t xml:space="preserve">CK041</t>
  </si>
  <si>
    <t xml:space="preserve">   Jumlah surplus</t>
  </si>
  <si>
    <t xml:space="preserve">Cat 11 - Surplus revaluasi (narasi hal.55)</t>
  </si>
  <si>
    <t xml:space="preserve">CK042</t>
  </si>
  <si>
    <t xml:space="preserve">   Tanah</t>
  </si>
  <si>
    <t xml:space="preserve">CK043</t>
  </si>
  <si>
    <t xml:space="preserve">   Bangunan</t>
  </si>
  <si>
    <t xml:space="preserve">Cat 12 - Liabilitas sewa</t>
  </si>
  <si>
    <t xml:space="preserve">CK044</t>
  </si>
  <si>
    <t xml:space="preserve">   Jangka pendek</t>
  </si>
  <si>
    <t xml:space="preserve">hal PDF 46,55,58,60</t>
  </si>
  <si>
    <t xml:space="preserve">CK045</t>
  </si>
  <si>
    <t xml:space="preserve">   Jangka panjang</t>
  </si>
  <si>
    <t xml:space="preserve">CK046</t>
  </si>
  <si>
    <t xml:space="preserve">SK003</t>
  </si>
  <si>
    <t xml:space="preserve">Cat 12 - Arus kas sewa</t>
  </si>
  <si>
    <t xml:space="preserve">CK047</t>
  </si>
  <si>
    <t xml:space="preserve">   Pokok</t>
  </si>
  <si>
    <t xml:space="preserve">CK048</t>
  </si>
  <si>
    <t xml:space="preserve">   Bunga</t>
  </si>
  <si>
    <t xml:space="preserve">CK049</t>
  </si>
  <si>
    <t xml:space="preserve">SK004</t>
  </si>
  <si>
    <t xml:space="preserve">Cat 12 - Beban sewa</t>
  </si>
  <si>
    <t xml:space="preserve">CK050</t>
  </si>
  <si>
    <t xml:space="preserve">   Sewa jangka pendek/nilai rendah (Cat29)</t>
  </si>
  <si>
    <t xml:space="preserve">CK051</t>
  </si>
  <si>
    <t xml:space="preserve">   Bunga atas liabilitas sewa (beban)</t>
  </si>
  <si>
    <t xml:space="preserve">hal PDF 46,55,60</t>
  </si>
  <si>
    <t xml:space="preserve">Cat 16 - Utang usaha per pemasok</t>
  </si>
  <si>
    <t xml:space="preserve">CK052</t>
  </si>
  <si>
    <t xml:space="preserve">   Pemasok</t>
  </si>
  <si>
    <t xml:space="preserve">hal PDF 48,5,61</t>
  </si>
  <si>
    <t xml:space="preserve">CK053</t>
  </si>
  <si>
    <t xml:space="preserve">   Jasa dokter</t>
  </si>
  <si>
    <t xml:space="preserve">CK054</t>
  </si>
  <si>
    <t xml:space="preserve">CK055</t>
  </si>
  <si>
    <t xml:space="preserve">CK056</t>
  </si>
  <si>
    <t xml:space="preserve">   Pihak berelasi</t>
  </si>
  <si>
    <t xml:space="preserve">hal PDF 48</t>
  </si>
  <si>
    <t xml:space="preserve">SK005</t>
  </si>
  <si>
    <t xml:space="preserve">Cat 16 - Umur utang usaha</t>
  </si>
  <si>
    <t xml:space="preserve">CK057</t>
  </si>
  <si>
    <t xml:space="preserve">CK058</t>
  </si>
  <si>
    <t xml:space="preserve">CK059</t>
  </si>
  <si>
    <t xml:space="preserve">   31-60 hari</t>
  </si>
  <si>
    <t xml:space="preserve">CK060</t>
  </si>
  <si>
    <t xml:space="preserve">CK061</t>
  </si>
  <si>
    <t xml:space="preserve">hal PDF 61</t>
  </si>
  <si>
    <t xml:space="preserve">SK006</t>
  </si>
  <si>
    <t xml:space="preserve">Cat 17 - Utang lain-lain</t>
  </si>
  <si>
    <t xml:space="preserve">CK062</t>
  </si>
  <si>
    <t xml:space="preserve">   Pembelian aset</t>
  </si>
  <si>
    <t xml:space="preserve">hal PDF 62</t>
  </si>
  <si>
    <t xml:space="preserve">CK063</t>
  </si>
  <si>
    <t xml:space="preserve">   Lain-lain (&lt;Rp500 jt)</t>
  </si>
  <si>
    <t xml:space="preserve">CK064</t>
  </si>
  <si>
    <t xml:space="preserve">SK007</t>
  </si>
  <si>
    <t xml:space="preserve">Cat 20 - Beban pajak</t>
  </si>
  <si>
    <t xml:space="preserve">CK065</t>
  </si>
  <si>
    <t xml:space="preserve">   Kini - Perusahaan</t>
  </si>
  <si>
    <t xml:space="preserve">hal PDF 64-65,7</t>
  </si>
  <si>
    <t xml:space="preserve">CK066</t>
  </si>
  <si>
    <t xml:space="preserve">   Kini - entitas anak</t>
  </si>
  <si>
    <t xml:space="preserve">CK067</t>
  </si>
  <si>
    <t xml:space="preserve">   Tangguhan</t>
  </si>
  <si>
    <t xml:space="preserve">hal PDF 64-65</t>
  </si>
  <si>
    <t xml:space="preserve">CK068</t>
  </si>
  <si>
    <t xml:space="preserve">   Pajak periode lalu</t>
  </si>
  <si>
    <t xml:space="preserve">CK069</t>
  </si>
  <si>
    <t xml:space="preserve">CK070</t>
  </si>
  <si>
    <t xml:space="preserve">   Tangguhan (beban +/manfaat -)</t>
  </si>
  <si>
    <t xml:space="preserve">hal PDF 7</t>
  </si>
  <si>
    <t xml:space="preserve">SK008</t>
  </si>
  <si>
    <t xml:space="preserve">Cat 20 - Pajak</t>
  </si>
  <si>
    <t xml:space="preserve">CK071</t>
  </si>
  <si>
    <t xml:space="preserve">   Pajak dibayar dimuka (jumlah)</t>
  </si>
  <si>
    <t xml:space="preserve">hal PDF 62,7</t>
  </si>
  <si>
    <t xml:space="preserve">CK072</t>
  </si>
  <si>
    <t xml:space="preserve">   Utang pajak (jumlah)</t>
  </si>
  <si>
    <t xml:space="preserve">hal PDF 63,7</t>
  </si>
  <si>
    <t xml:space="preserve">Cat 20 - Rekonsiliasi fiskal Perusahaan</t>
  </si>
  <si>
    <t xml:space="preserve">CK073</t>
  </si>
  <si>
    <t xml:space="preserve">   Laba sebelum pajak Perusahaan</t>
  </si>
  <si>
    <t xml:space="preserve">hal PDF 64,7</t>
  </si>
  <si>
    <t xml:space="preserve">CK074</t>
  </si>
  <si>
    <t xml:space="preserve">   Eliminasi konsolidasi</t>
  </si>
  <si>
    <t xml:space="preserve">CK075</t>
  </si>
  <si>
    <t xml:space="preserve">   Laba sebelum pajak konsolidasian</t>
  </si>
  <si>
    <t xml:space="preserve">Cat 20 - Pajak tangguhan 2025</t>
  </si>
  <si>
    <t xml:space="preserve">CK076</t>
  </si>
  <si>
    <t xml:space="preserve">   Aset pajak tangguhan - awal</t>
  </si>
  <si>
    <t xml:space="preserve">hal PDF 65</t>
  </si>
  <si>
    <t xml:space="preserve">CK077</t>
  </si>
  <si>
    <t xml:space="preserve">   Aset pajak tangguhan - LR</t>
  </si>
  <si>
    <t xml:space="preserve">CK078</t>
  </si>
  <si>
    <t xml:space="preserve">   Aset pajak tangguhan - OCI</t>
  </si>
  <si>
    <t xml:space="preserve">CK079</t>
  </si>
  <si>
    <t xml:space="preserve">   Aset pajak tangguhan - penyesuaian</t>
  </si>
  <si>
    <t xml:space="preserve">CK080</t>
  </si>
  <si>
    <t xml:space="preserve">   Aset pajak tangguhan - akhir</t>
  </si>
  <si>
    <t xml:space="preserve">CK081</t>
  </si>
  <si>
    <t xml:space="preserve">   Liabilitas pajak tangguhan - awal</t>
  </si>
  <si>
    <t xml:space="preserve">CK082</t>
  </si>
  <si>
    <t xml:space="preserve">   Liabilitas pajak tangguhan - LR</t>
  </si>
  <si>
    <t xml:space="preserve">CK083</t>
  </si>
  <si>
    <t xml:space="preserve">   Liabilitas pajak tangguhan - OCI</t>
  </si>
  <si>
    <t xml:space="preserve">CK084</t>
  </si>
  <si>
    <t xml:space="preserve">   Liabilitas pajak tangguhan - penyesuaian</t>
  </si>
  <si>
    <t xml:space="preserve">CK085</t>
  </si>
  <si>
    <t xml:space="preserve">   Liabilitas pajak tangguhan - akhir</t>
  </si>
  <si>
    <t xml:space="preserve">Cat 20 - Pajak tangguhan 2023</t>
  </si>
  <si>
    <t xml:space="preserve">CK086</t>
  </si>
  <si>
    <t xml:space="preserve">CK087</t>
  </si>
  <si>
    <t xml:space="preserve">CK088</t>
  </si>
  <si>
    <t xml:space="preserve">CK089</t>
  </si>
  <si>
    <t xml:space="preserve">   Aset pajak tangguhan - penyesuaian/akuisisi</t>
  </si>
  <si>
    <t xml:space="preserve">CK090</t>
  </si>
  <si>
    <t xml:space="preserve">CK091</t>
  </si>
  <si>
    <t xml:space="preserve">CK092</t>
  </si>
  <si>
    <t xml:space="preserve">CK093</t>
  </si>
  <si>
    <t xml:space="preserve">CK094</t>
  </si>
  <si>
    <t xml:space="preserve">   Liabilitas pajak tangguhan - penyesuaian/akuisisi</t>
  </si>
  <si>
    <t xml:space="preserve">CK095</t>
  </si>
  <si>
    <t xml:space="preserve">Cat 20 - Pajak tangguhan 2022</t>
  </si>
  <si>
    <t xml:space="preserve">CK096</t>
  </si>
  <si>
    <t xml:space="preserve">CK097</t>
  </si>
  <si>
    <t xml:space="preserve">CK098</t>
  </si>
  <si>
    <t xml:space="preserve">CK099</t>
  </si>
  <si>
    <t xml:space="preserve">CK100</t>
  </si>
  <si>
    <t xml:space="preserve">CK101</t>
  </si>
  <si>
    <t xml:space="preserve">CK102</t>
  </si>
  <si>
    <t xml:space="preserve">CK103</t>
  </si>
  <si>
    <t xml:space="preserve">CK104</t>
  </si>
  <si>
    <t xml:space="preserve">CK105</t>
  </si>
  <si>
    <t xml:space="preserve">Cat 20 - Pajak tangguhan 2021</t>
  </si>
  <si>
    <t xml:space="preserve">CK106</t>
  </si>
  <si>
    <t xml:space="preserve">CK107</t>
  </si>
  <si>
    <t xml:space="preserve">CK108</t>
  </si>
  <si>
    <t xml:space="preserve">CK109</t>
  </si>
  <si>
    <t xml:space="preserve">CK110</t>
  </si>
  <si>
    <t xml:space="preserve">CK111</t>
  </si>
  <si>
    <t xml:space="preserve">CK112</t>
  </si>
  <si>
    <t xml:space="preserve">CK113</t>
  </si>
  <si>
    <t xml:space="preserve">CK114</t>
  </si>
  <si>
    <t xml:space="preserve">CK115</t>
  </si>
  <si>
    <t xml:space="preserve">Cat 20 - Pajak tangguhan 2020</t>
  </si>
  <si>
    <t xml:space="preserve">CK116</t>
  </si>
  <si>
    <t xml:space="preserve">CK117</t>
  </si>
  <si>
    <t xml:space="preserve">CK118</t>
  </si>
  <si>
    <t xml:space="preserve">CK119</t>
  </si>
  <si>
    <t xml:space="preserve">CK120</t>
  </si>
  <si>
    <t xml:space="preserve">CK121</t>
  </si>
  <si>
    <t xml:space="preserve">CK122</t>
  </si>
  <si>
    <t xml:space="preserve">CK123</t>
  </si>
  <si>
    <t xml:space="preserve">CK124</t>
  </si>
  <si>
    <t xml:space="preserve">CK125</t>
  </si>
  <si>
    <t xml:space="preserve">Cat 21 - Utang bank jangka pendek</t>
  </si>
  <si>
    <t xml:space="preserve">CK126</t>
  </si>
  <si>
    <t xml:space="preserve">   Bank Mandiri</t>
  </si>
  <si>
    <t xml:space="preserve">hal PDF 62,66-67</t>
  </si>
  <si>
    <t xml:space="preserve">CK127</t>
  </si>
  <si>
    <t xml:space="preserve">hal PDF 52,62,66-67,67</t>
  </si>
  <si>
    <t xml:space="preserve">CK128</t>
  </si>
  <si>
    <t xml:space="preserve">   Bank Central Asia</t>
  </si>
  <si>
    <t xml:space="preserve">hal PDF 52,62,67</t>
  </si>
  <si>
    <t xml:space="preserve">SK009</t>
  </si>
  <si>
    <t xml:space="preserve">Cat 21 - Utang bank jangka panjang (bruto)</t>
  </si>
  <si>
    <t xml:space="preserve">CK129</t>
  </si>
  <si>
    <t xml:space="preserve">hal PDF 62,67-68</t>
  </si>
  <si>
    <t xml:space="preserve">CK130</t>
  </si>
  <si>
    <t xml:space="preserve">   Bank Syariah Indonesia</t>
  </si>
  <si>
    <t xml:space="preserve">hal PDF 52,62,67,67-68</t>
  </si>
  <si>
    <t xml:space="preserve">CK131</t>
  </si>
  <si>
    <t xml:space="preserve">CK132</t>
  </si>
  <si>
    <t xml:space="preserve">SK010</t>
  </si>
  <si>
    <t xml:space="preserve">Cat 21 - Utang bank jangka panjang</t>
  </si>
  <si>
    <t xml:space="preserve">CK133</t>
  </si>
  <si>
    <t xml:space="preserve">   Provisi belum diamortisasi</t>
  </si>
  <si>
    <t xml:space="preserve">hal PDF 52,62,67,68</t>
  </si>
  <si>
    <t xml:space="preserve">CK134</t>
  </si>
  <si>
    <t xml:space="preserve">   Neto</t>
  </si>
  <si>
    <t xml:space="preserve">CK135</t>
  </si>
  <si>
    <t xml:space="preserve">   Jatuh tempo 1 tahun</t>
  </si>
  <si>
    <t xml:space="preserve">CK136</t>
  </si>
  <si>
    <t xml:space="preserve">   Bagian jangka panjang</t>
  </si>
  <si>
    <t xml:space="preserve">Cat 21 - Utang obligasi konversi</t>
  </si>
  <si>
    <t xml:space="preserve">CK137</t>
  </si>
  <si>
    <t xml:space="preserve">   Akasya Investments</t>
  </si>
  <si>
    <t xml:space="preserve">hal PDF 5</t>
  </si>
  <si>
    <t xml:space="preserve">Cat 22 - Beban imbalan</t>
  </si>
  <si>
    <t xml:space="preserve">CK138</t>
  </si>
  <si>
    <t xml:space="preserve">   Biaya jasa kini</t>
  </si>
  <si>
    <t xml:space="preserve">hal PDF 5,75</t>
  </si>
  <si>
    <t xml:space="preserve">CK139</t>
  </si>
  <si>
    <t xml:space="preserve">   Biaya bunga</t>
  </si>
  <si>
    <t xml:space="preserve">CK140</t>
  </si>
  <si>
    <t xml:space="preserve">   Biaya terminasi</t>
  </si>
  <si>
    <t xml:space="preserve">hal PDF 75</t>
  </si>
  <si>
    <t xml:space="preserve">CK141</t>
  </si>
  <si>
    <t xml:space="preserve">   Biaya jasa lalu</t>
  </si>
  <si>
    <t xml:space="preserve">CK142</t>
  </si>
  <si>
    <t xml:space="preserve">   Dampak kurtailmen</t>
  </si>
  <si>
    <t xml:space="preserve">CK143</t>
  </si>
  <si>
    <t xml:space="preserve">   Jumlah</t>
  </si>
  <si>
    <t xml:space="preserve">CK144</t>
  </si>
  <si>
    <t xml:space="preserve">   Keuntungan aktuaria diakui</t>
  </si>
  <si>
    <t xml:space="preserve">CK145</t>
  </si>
  <si>
    <t xml:space="preserve">SK011</t>
  </si>
  <si>
    <t xml:space="preserve">Cat 22 - Mutasi liabilitas</t>
  </si>
  <si>
    <t xml:space="preserve">CK146</t>
  </si>
  <si>
    <t xml:space="preserve">CK147</t>
  </si>
  <si>
    <t xml:space="preserve">   Beban tahun berjalan</t>
  </si>
  <si>
    <t xml:space="preserve">CK148</t>
  </si>
  <si>
    <t xml:space="preserve">   OCI</t>
  </si>
  <si>
    <t xml:space="preserve">CK149</t>
  </si>
  <si>
    <t xml:space="preserve">   Pembayaran manfaat</t>
  </si>
  <si>
    <t xml:space="preserve">CK150</t>
  </si>
  <si>
    <t xml:space="preserve">   Penyesuaian</t>
  </si>
  <si>
    <t xml:space="preserve">CK151</t>
  </si>
  <si>
    <t xml:space="preserve">CK152</t>
  </si>
  <si>
    <t xml:space="preserve">   Perubahan program (UU Cipta Kerja)</t>
  </si>
  <si>
    <t xml:space="preserve">Cat 22 - Asumsi</t>
  </si>
  <si>
    <t xml:space="preserve">CK153</t>
  </si>
  <si>
    <t xml:space="preserve">   Jumlah karyawan</t>
  </si>
  <si>
    <t xml:space="preserve">CK154</t>
  </si>
  <si>
    <t xml:space="preserve">   Tingkat diskonto</t>
  </si>
  <si>
    <t xml:space="preserve">hal PDF </t>
  </si>
  <si>
    <t xml:space="preserve">CK155</t>
  </si>
  <si>
    <t xml:space="preserve">   Kenaikan gaji</t>
  </si>
  <si>
    <t xml:space="preserve">Cat 22 - Sensitivitas 2025</t>
  </si>
  <si>
    <t xml:space="preserve">CK156</t>
  </si>
  <si>
    <t xml:space="preserve">   Diskonto +1%</t>
  </si>
  <si>
    <t xml:space="preserve">hal PDF 76</t>
  </si>
  <si>
    <t xml:space="preserve">CK157</t>
  </si>
  <si>
    <t xml:space="preserve">   Diskonto -1%</t>
  </si>
  <si>
    <t xml:space="preserve">CK158</t>
  </si>
  <si>
    <t xml:space="preserve">   Gaji +1%</t>
  </si>
  <si>
    <t xml:space="preserve">CK159</t>
  </si>
  <si>
    <t xml:space="preserve">   Gaji -1%</t>
  </si>
  <si>
    <t xml:space="preserve">Cat 27 - Pendapatan bruto per jenis</t>
  </si>
  <si>
    <t xml:space="preserve">CK160</t>
  </si>
  <si>
    <t xml:space="preserve">   Rawat inap - obat &amp; perlengkapan medis</t>
  </si>
  <si>
    <t xml:space="preserve">hal PDF 66,79,80</t>
  </si>
  <si>
    <t xml:space="preserve">CK161</t>
  </si>
  <si>
    <t xml:space="preserve">   Rawat inap - kamar</t>
  </si>
  <si>
    <t xml:space="preserve">CK162</t>
  </si>
  <si>
    <t xml:space="preserve">   Rawat inap - fasilitas RS</t>
  </si>
  <si>
    <t xml:space="preserve">CK163</t>
  </si>
  <si>
    <t xml:space="preserve">   Rawat inap - jasa penunjang medis &amp; tenaga ahli</t>
  </si>
  <si>
    <t xml:space="preserve">CK164</t>
  </si>
  <si>
    <t xml:space="preserve">   Rawat inap - administrasi &amp; lainnya</t>
  </si>
  <si>
    <t xml:space="preserve">CK165</t>
  </si>
  <si>
    <t xml:space="preserve">   Rawat inap - kamar operasi &amp; bersalin</t>
  </si>
  <si>
    <t xml:space="preserve">CK166</t>
  </si>
  <si>
    <t xml:space="preserve">   Rawat jalan - obat &amp; perlengkapan medis</t>
  </si>
  <si>
    <t xml:space="preserve">CK167</t>
  </si>
  <si>
    <t xml:space="preserve">   Rawat jalan - jasa penunjang medis &amp; tenaga ahli</t>
  </si>
  <si>
    <t xml:space="preserve">CK168</t>
  </si>
  <si>
    <t xml:space="preserve">   Rawat jalan - fasilitas RS</t>
  </si>
  <si>
    <t xml:space="preserve">CK169</t>
  </si>
  <si>
    <t xml:space="preserve">   Rawat jalan - administrasi &amp; lainnya</t>
  </si>
  <si>
    <t xml:space="preserve">CK170</t>
  </si>
  <si>
    <t xml:space="preserve">   Fertilitas in vitro - fertilisasi &amp; klinik</t>
  </si>
  <si>
    <t xml:space="preserve">CK171</t>
  </si>
  <si>
    <t xml:space="preserve">   Hotel</t>
  </si>
  <si>
    <t xml:space="preserve">CK172</t>
  </si>
  <si>
    <t xml:space="preserve">SK012</t>
  </si>
  <si>
    <t xml:space="preserve">Cat 27 - Neto</t>
  </si>
  <si>
    <t xml:space="preserve">CK173</t>
  </si>
  <si>
    <t xml:space="preserve">   Potongan penjualan</t>
  </si>
  <si>
    <t xml:space="preserve">CK174</t>
  </si>
  <si>
    <t xml:space="preserve">   Pendapatan neto</t>
  </si>
  <si>
    <t xml:space="preserve">Cat 28 - Beban pokok pendapatan</t>
  </si>
  <si>
    <t xml:space="preserve">CK175</t>
  </si>
  <si>
    <t xml:space="preserve">   RS - tenaga medis</t>
  </si>
  <si>
    <t xml:space="preserve">hal PDF 7,81</t>
  </si>
  <si>
    <t xml:space="preserve">CK176</t>
  </si>
  <si>
    <t xml:space="preserve">   RS - layanan penunjang medis &amp; lainnya</t>
  </si>
  <si>
    <t xml:space="preserve">CK177</t>
  </si>
  <si>
    <t xml:space="preserve">   RS - obat &amp; perlengkapan medis</t>
  </si>
  <si>
    <t xml:space="preserve">CK178</t>
  </si>
  <si>
    <t xml:space="preserve">   Fertilisasi in vitro - fertilisasi &amp; klinik</t>
  </si>
  <si>
    <t xml:space="preserve">CK179</t>
  </si>
  <si>
    <t xml:space="preserve">CK180</t>
  </si>
  <si>
    <t xml:space="preserve">SK013</t>
  </si>
  <si>
    <t xml:space="preserve">Cat 29 - Penjualan &amp; pemasaran</t>
  </si>
  <si>
    <t xml:space="preserve">CK181</t>
  </si>
  <si>
    <t xml:space="preserve">   Iklan dan promosi</t>
  </si>
  <si>
    <t xml:space="preserve">hal PDF 67,79,81</t>
  </si>
  <si>
    <t xml:space="preserve">CK182</t>
  </si>
  <si>
    <t xml:space="preserve">   Transportasi</t>
  </si>
  <si>
    <t xml:space="preserve">CK183</t>
  </si>
  <si>
    <t xml:space="preserve">CK184</t>
  </si>
  <si>
    <t xml:space="preserve">SK014</t>
  </si>
  <si>
    <t xml:space="preserve">Cat 29 - Umum &amp; administrasi</t>
  </si>
  <si>
    <t xml:space="preserve">CK185</t>
  </si>
  <si>
    <t xml:space="preserve">   Gaji dan tunjangan</t>
  </si>
  <si>
    <t xml:space="preserve">hal PDF 67,80,81</t>
  </si>
  <si>
    <t xml:space="preserve">CK186</t>
  </si>
  <si>
    <t xml:space="preserve">   Penyusutan &amp; amortisasi (Cat11)</t>
  </si>
  <si>
    <t xml:space="preserve">CK187</t>
  </si>
  <si>
    <t xml:space="preserve">   Beban kantor</t>
  </si>
  <si>
    <t xml:space="preserve">CK188</t>
  </si>
  <si>
    <t xml:space="preserve">   Penyusutan aset hak-guna (Cat12)</t>
  </si>
  <si>
    <t xml:space="preserve">CK189</t>
  </si>
  <si>
    <t xml:space="preserve">   Jasa outsource</t>
  </si>
  <si>
    <t xml:space="preserve">CK190</t>
  </si>
  <si>
    <t xml:space="preserve">   Jasa profesional</t>
  </si>
  <si>
    <t xml:space="preserve">CK191</t>
  </si>
  <si>
    <t xml:space="preserve">   Listrik dan air</t>
  </si>
  <si>
    <t xml:space="preserve">CK192</t>
  </si>
  <si>
    <t xml:space="preserve">   Perbaikan &amp; pemeliharaan</t>
  </si>
  <si>
    <t xml:space="preserve">CK193</t>
  </si>
  <si>
    <t xml:space="preserve">   Kebersihan &amp; keamanan</t>
  </si>
  <si>
    <t xml:space="preserve">CK194</t>
  </si>
  <si>
    <t xml:space="preserve">   Imbalan pasca-kerja (Cat22)</t>
  </si>
  <si>
    <t xml:space="preserve">CK195</t>
  </si>
  <si>
    <t xml:space="preserve">   Telepon &amp; internet</t>
  </si>
  <si>
    <t xml:space="preserve">CK196</t>
  </si>
  <si>
    <t xml:space="preserve">   Perjalanan dinas &amp; transportasi</t>
  </si>
  <si>
    <t xml:space="preserve">CK197</t>
  </si>
  <si>
    <t xml:space="preserve">CK198</t>
  </si>
  <si>
    <t xml:space="preserve">   PBB</t>
  </si>
  <si>
    <t xml:space="preserve">CK199</t>
  </si>
  <si>
    <t xml:space="preserve">   Sewa (Cat12)</t>
  </si>
  <si>
    <t xml:space="preserve">CK200</t>
  </si>
  <si>
    <t xml:space="preserve">   Amortisasi properti investasi (Cat13)</t>
  </si>
  <si>
    <t xml:space="preserve">hal PDF 81</t>
  </si>
  <si>
    <t xml:space="preserve">CK201</t>
  </si>
  <si>
    <t xml:space="preserve">   Pajak &amp; perijinan</t>
  </si>
  <si>
    <t xml:space="preserve">CK202</t>
  </si>
  <si>
    <t xml:space="preserve">   Representasi &amp; sumbangan</t>
  </si>
  <si>
    <t xml:space="preserve">CK203</t>
  </si>
  <si>
    <t xml:space="preserve">   Pendidikan &amp; pelatihan</t>
  </si>
  <si>
    <t xml:space="preserve">CK204</t>
  </si>
  <si>
    <t xml:space="preserve">CK205</t>
  </si>
  <si>
    <t xml:space="preserve">SK015</t>
  </si>
  <si>
    <t xml:space="preserve">Cat 29 - Total</t>
  </si>
  <si>
    <t xml:space="preserve">CK206</t>
  </si>
  <si>
    <t xml:space="preserve">   Beban usaha (lapor)</t>
  </si>
  <si>
    <t xml:space="preserve">Cat 36 - Pelayanan kesehatan</t>
  </si>
  <si>
    <t xml:space="preserve">CK207</t>
  </si>
  <si>
    <t xml:space="preserve">   Pendapatan</t>
  </si>
  <si>
    <t xml:space="preserve">hal PDF 7,88-89</t>
  </si>
  <si>
    <t xml:space="preserve">CK208</t>
  </si>
  <si>
    <t xml:space="preserve">   Beban pokok</t>
  </si>
  <si>
    <t xml:space="preserve">CK209</t>
  </si>
  <si>
    <t xml:space="preserve">   Laba bruto</t>
  </si>
  <si>
    <t xml:space="preserve">CK210</t>
  </si>
  <si>
    <t xml:space="preserve">   Beban usaha</t>
  </si>
  <si>
    <t xml:space="preserve">CK211</t>
  </si>
  <si>
    <t xml:space="preserve">   Penghasilan keuangan</t>
  </si>
  <si>
    <t xml:space="preserve">CK212</t>
  </si>
  <si>
    <t xml:space="preserve">   Beban keuangan</t>
  </si>
  <si>
    <t xml:space="preserve">CK213</t>
  </si>
  <si>
    <t xml:space="preserve">   Operasi lain</t>
  </si>
  <si>
    <t xml:space="preserve">CK214</t>
  </si>
  <si>
    <t xml:space="preserve">   Laba sebelum pajak</t>
  </si>
  <si>
    <t xml:space="preserve">CK215</t>
  </si>
  <si>
    <t xml:space="preserve">   Beban pajak</t>
  </si>
  <si>
    <t xml:space="preserve">CK216</t>
  </si>
  <si>
    <t xml:space="preserve">   Laba tahun berjalan</t>
  </si>
  <si>
    <t xml:space="preserve">CK217</t>
  </si>
  <si>
    <t xml:space="preserve">CK218</t>
  </si>
  <si>
    <t xml:space="preserve">   Total laba komprehensif</t>
  </si>
  <si>
    <t xml:space="preserve">CK219</t>
  </si>
  <si>
    <t xml:space="preserve">   Jumlah aset</t>
  </si>
  <si>
    <t xml:space="preserve">CK220</t>
  </si>
  <si>
    <t xml:space="preserve">   Jumlah liabilitas</t>
  </si>
  <si>
    <t xml:space="preserve">CK221</t>
  </si>
  <si>
    <t xml:space="preserve">   Pengeluaran modal</t>
  </si>
  <si>
    <t xml:space="preserve">CK222</t>
  </si>
  <si>
    <t xml:space="preserve">   Penyusutan &amp; amortisasi</t>
  </si>
  <si>
    <t xml:space="preserve">CK223</t>
  </si>
  <si>
    <t xml:space="preserve">   Beban pajak final</t>
  </si>
  <si>
    <t xml:space="preserve">CK224</t>
  </si>
  <si>
    <t xml:space="preserve">   Bagian laba entitas asosiasi</t>
  </si>
  <si>
    <t xml:space="preserve">Cat 36 - Lainnya</t>
  </si>
  <si>
    <t xml:space="preserve">CK225</t>
  </si>
  <si>
    <t xml:space="preserve">CK226</t>
  </si>
  <si>
    <t xml:space="preserve">CK227</t>
  </si>
  <si>
    <t xml:space="preserve">CK228</t>
  </si>
  <si>
    <t xml:space="preserve">CK229</t>
  </si>
  <si>
    <t xml:space="preserve">CK230</t>
  </si>
  <si>
    <t xml:space="preserve">CK231</t>
  </si>
  <si>
    <t xml:space="preserve">CK232</t>
  </si>
  <si>
    <t xml:space="preserve">CK233</t>
  </si>
  <si>
    <t xml:space="preserve">CK234</t>
  </si>
  <si>
    <t xml:space="preserve">CK235</t>
  </si>
  <si>
    <t xml:space="preserve">CK236</t>
  </si>
  <si>
    <t xml:space="preserve">CK237</t>
  </si>
  <si>
    <t xml:space="preserve">CK238</t>
  </si>
  <si>
    <t xml:space="preserve">CK239</t>
  </si>
  <si>
    <t xml:space="preserve">CK240</t>
  </si>
  <si>
    <t xml:space="preserve">CK241</t>
  </si>
  <si>
    <t xml:space="preserve">CK242</t>
  </si>
  <si>
    <t xml:space="preserve">Cat 36 - Eliminasi</t>
  </si>
  <si>
    <t xml:space="preserve">CK243</t>
  </si>
  <si>
    <t xml:space="preserve">CK244</t>
  </si>
  <si>
    <t xml:space="preserve">CK245</t>
  </si>
  <si>
    <t xml:space="preserve">CK246</t>
  </si>
  <si>
    <t xml:space="preserve">CK247</t>
  </si>
  <si>
    <t xml:space="preserve">CK248</t>
  </si>
  <si>
    <t xml:space="preserve">CK249</t>
  </si>
  <si>
    <t xml:space="preserve">CK250</t>
  </si>
  <si>
    <t xml:space="preserve">CK251</t>
  </si>
  <si>
    <t xml:space="preserve">CK252</t>
  </si>
  <si>
    <t xml:space="preserve">CK253</t>
  </si>
  <si>
    <t xml:space="preserve">CK254</t>
  </si>
  <si>
    <t xml:space="preserve">CK255</t>
  </si>
  <si>
    <t xml:space="preserve">CK256</t>
  </si>
  <si>
    <t xml:space="preserve">CK257</t>
  </si>
  <si>
    <t xml:space="preserve">CK258</t>
  </si>
  <si>
    <t xml:space="preserve">CK259</t>
  </si>
  <si>
    <t xml:space="preserve">CK260</t>
  </si>
  <si>
    <t xml:space="preserve">Cat 36 - Total</t>
  </si>
  <si>
    <t xml:space="preserve">CK261</t>
  </si>
  <si>
    <t xml:space="preserve">CK262</t>
  </si>
  <si>
    <t xml:space="preserve">CK263</t>
  </si>
  <si>
    <t xml:space="preserve">CK264</t>
  </si>
  <si>
    <t xml:space="preserve">CK265</t>
  </si>
  <si>
    <t xml:space="preserve">CK266</t>
  </si>
  <si>
    <t xml:space="preserve">CK267</t>
  </si>
  <si>
    <t xml:space="preserve">CK268</t>
  </si>
  <si>
    <t xml:space="preserve">CK269</t>
  </si>
  <si>
    <t xml:space="preserve">CK270</t>
  </si>
  <si>
    <t xml:space="preserve">CK271</t>
  </si>
  <si>
    <t xml:space="preserve">CK272</t>
  </si>
  <si>
    <t xml:space="preserve">CK273</t>
  </si>
  <si>
    <t xml:space="preserve">CK274</t>
  </si>
  <si>
    <t xml:space="preserve">CK275</t>
  </si>
  <si>
    <t xml:space="preserve">CK276</t>
  </si>
  <si>
    <t xml:space="preserve">CK277</t>
  </si>
  <si>
    <t xml:space="preserve">CK278</t>
  </si>
  <si>
    <t xml:space="preserve">Rasio keuangan FY2020A-FY2025A</t>
  </si>
  <si>
    <t xml:space="preserve">Rumus dari IS/BS/CF/Schedules. Rata-rata saldo &amp; pertumbuhan mulai 2021; 2021 vs 2020 tidak like-for-like (break basis). Kolom rata-rata = FY2022-FY2025 (pasca-COVID).</t>
  </si>
  <si>
    <t xml:space="preserve">Rata-rata FY2022-25</t>
  </si>
  <si>
    <t xml:space="preserve">Definisi / catatan</t>
  </si>
  <si>
    <t xml:space="preserve">PERTUMBUHAN (yoy)</t>
  </si>
  <si>
    <t xml:space="preserve">R.G_REV</t>
  </si>
  <si>
    <t xml:space="preserve">2021 dipengaruhi lonjakan COVID &amp; break basis</t>
  </si>
  <si>
    <t xml:space="preserve">R.G_GROSS</t>
  </si>
  <si>
    <t xml:space="preserve">R.G_INPAT</t>
  </si>
  <si>
    <t xml:space="preserve">Rawat inap (bruto)</t>
  </si>
  <si>
    <t xml:space="preserve">R.G_OUTPAT</t>
  </si>
  <si>
    <t xml:space="preserve">Rawat jalan (bruto)</t>
  </si>
  <si>
    <t xml:space="preserve">R.G_IVF</t>
  </si>
  <si>
    <t xml:space="preserve">IVF (bruto)</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</si>
  <si>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</si>
  <si>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</si>
  <si>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</si>
  <si>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</si>
  <si>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</si>
  <si>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</si>
  <si>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</si>
  <si>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 (analitis)</t>
  </si>
  <si>
    <t xml:space="preserve">R.EBITDA</t>
  </si>
  <si>
    <t xml:space="preserve">EBITDA (Rp)</t>
  </si>
  <si>
    <t xml:space="preserve">laba usaha + penyusutan aset tetap + amortisasi ROU + amortisasi properti investasi</t>
  </si>
  <si>
    <t xml:space="preserve">R.EBITDA_M</t>
  </si>
  <si>
    <t xml:space="preserve">R.NM</t>
  </si>
  <si>
    <t xml:space="preserve">R.NMP</t>
  </si>
  <si>
    <t xml:space="preserve">Margin laba induk</t>
  </si>
  <si>
    <t xml:space="preserve">R.ROE</t>
  </si>
  <si>
    <t xml:space="preserve">ROE (laba induk / rata-rata ekuitas induk)</t>
  </si>
  <si>
    <t xml:space="preserve">R.ROA</t>
  </si>
  <si>
    <t xml:space="preserve">ROA (laba / rata-rata aset)</t>
  </si>
  <si>
    <t xml:space="preserve">R.ETR</t>
  </si>
  <si>
    <t xml:space="preserve">tinggi krn rugi entitas anak tidak dapat dikompensasi &amp; beban tidak dapat dikurangkan</t>
  </si>
  <si>
    <t xml:space="preserve">R.NCI_SH</t>
  </si>
  <si>
    <t xml:space="preserve">Porsi laba ke NCI</t>
  </si>
  <si>
    <t xml:space="preserve">PENDAPATAN</t>
  </si>
  <si>
    <t xml:space="preserve">R.SH_INPAT</t>
  </si>
  <si>
    <t xml:space="preserve">Porsi rawat inap (% bruto)</t>
  </si>
  <si>
    <t xml:space="preserve">R.SH_OUTPAT</t>
  </si>
  <si>
    <t xml:space="preserve">Porsi rawat jalan (% bruto)</t>
  </si>
  <si>
    <t xml:space="preserve">R.SH_IVF</t>
  </si>
  <si>
    <t xml:space="preserve">Porsi IVF (% bruto)</t>
  </si>
  <si>
    <t xml:space="preserve">R.DISC</t>
  </si>
  <si>
    <t xml:space="preserve">Temuan B6: naik konsisten 1,6% (2020) -&gt; 6,3% (2025)</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</si>
  <si>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</si>
  <si>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</si>
  <si>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</si>
  <si>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</si>
  <si>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</si>
  <si>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</si>
  <si>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</si>
  <si>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</si>
  <si>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</si>
  <si>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</si>
  <si>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</si>
  <si>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bank + obligasi konversi (Rp)</t>
  </si>
  <si>
    <t xml:space="preserve">R.LEASE</t>
  </si>
  <si>
    <t xml:space="preserve">Liabilitas sewa (Rp)</t>
  </si>
  <si>
    <t xml:space="preserve">R.ND</t>
  </si>
  <si>
    <t xml:space="preserve">Utang neto (utang + sewa - kas) (Rp)</t>
  </si>
  <si>
    <t xml:space="preserve">negatif = kas neto</t>
  </si>
  <si>
    <t xml:space="preserve">R.DE</t>
  </si>
  <si>
    <t xml:space="preserve">Utang / ekuitas</t>
  </si>
  <si>
    <t xml:space="preserve">R.NDE</t>
  </si>
  <si>
    <t xml:space="preserve">R.ICR</t>
  </si>
  <si>
    <t xml:space="preserve">EBITDA / beban keuangan</t>
  </si>
  <si>
    <t xml:space="preserve">ARUS KAS</t>
  </si>
  <si>
    <t xml:space="preserve">R.CAPEX</t>
  </si>
  <si>
    <t xml:space="preserve">Capex (aset tetap + properti investasi) (Rp)</t>
  </si>
  <si>
    <t xml:space="preserve">R.CAPEX_R</t>
  </si>
  <si>
    <t xml:space="preserve">Capex % pendapatan</t>
  </si>
  <si>
    <t xml:space="preserve">2025 termasuk pembelian tanah Rp141,6 M</t>
  </si>
  <si>
    <t xml:space="preserve">R.FCF</t>
  </si>
  <si>
    <t xml:space="preserve">Arus kas bebas sederhana (CFO + capex + sewa) (Rp)</t>
  </si>
  <si>
    <t xml:space="preserve">R.CCONV</t>
  </si>
  <si>
    <t xml:space="preserve">CFO / laba tahun berjalan</t>
  </si>
  <si>
    <t xml:space="preserve">PER SAHAM (informasi, bukan penilaian)</t>
  </si>
  <si>
    <t xml:space="preserve">R.EPS</t>
  </si>
  <si>
    <t xml:space="preserve">Laba induk / 8.603.416.176 saham (Rp)</t>
  </si>
  <si>
    <t xml:space="preserve">2020-2021 jumlah saham berbeda (sebelum IPO/split) -&gt; bandingkan dgn EPS tercetak hati-hati</t>
  </si>
  <si>
    <t xml:space="preserve">R.EPS_P</t>
  </si>
  <si>
    <t xml:space="preserve">EPS dasar tercetak (Rp)</t>
  </si>
  <si>
    <t xml:space="preserve">2021 tercetak 44 vs hitung ~25 (Temuan B4)</t>
  </si>
  <si>
    <t xml:space="preserve">R.BVPS</t>
  </si>
  <si>
    <t xml:space="preserve">Ekuitas induk per saham (Rp)</t>
  </si>
  <si>
    <t xml:space="preserve">R.HC</t>
  </si>
  <si>
    <t xml:space="preserve">Pendapatan per karyawan (Rp juta)</t>
  </si>
  <si>
    <t xml:space="preserve">Rekonsiliasi &amp; cek integritas (500 cek)</t>
  </si>
  <si>
    <t xml:space="preserve">Status = hasil rumus saat ini; Ekspektasi = hasil yang diharapkan dari data sumber (dihitung saat build). Semua ❌ yang diharapkan dijelaskan dan ditautkan ke Temuan.</t>
  </si>
  <si>
    <t xml:space="preserve">No</t>
  </si>
  <si>
    <t xml:space="preserve">Kategori</t>
  </si>
  <si>
    <t xml:space="preserve">Cek</t>
  </si>
  <si>
    <t xml:space="preserve">Tahun</t>
  </si>
  <si>
    <t xml:space="preserve">Nilai A</t>
  </si>
  <si>
    <t xml:space="preserve">Nilai B</t>
  </si>
  <si>
    <t xml:space="preserve">Selisih A-B</t>
  </si>
  <si>
    <t xml:space="preserve">Toleransi</t>
  </si>
  <si>
    <t xml:space="preserve">Status</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</si>
  <si>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</si>
  <si>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</si>
  <si>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</si>
  <si>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</si>
  <si>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</si>
  <si>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</si>
  <si>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OPEX_TOTAL rumus = tercetak</t>
  </si>
  <si>
    <t xml:space="preserve">IS: PBT rumus = tercetak</t>
  </si>
  <si>
    <t xml:space="preserve">IS: TAX_TOTAL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</si>
  <si>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</si>
  <si>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</si>
  <si>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</si>
  <si>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</si>
  <si>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</si>
  <si>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</si>
  <si>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</si>
  <si>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</si>
  <si>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</si>
  <si>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</si>
  <si>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</si>
  <si>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</si>
  <si>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</si>
  <si>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</si>
  <si>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</si>
  <si>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</si>
  <si>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</si>
  <si>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</si>
  <si>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</si>
  <si>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</si>
  <si>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</si>
  <si>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t>
  </si>
  <si>
    <t xml:space="preserve">CALK vs laporan</t>
  </si>
  <si>
    <t xml:space="preserve">Cat 27: pendapatan neto (bruto + potongan) = IS</t>
  </si>
  <si>
    <t xml:space="preserve">Cat 28: jumlah beban pokok = IS</t>
  </si>
  <si>
    <t xml:space="preserve">Cat 29: beban penjualan = IS</t>
  </si>
  <si>
    <t xml:space="preserve">Cat 29: beban umum &amp; adm = IS</t>
  </si>
  <si>
    <t xml:space="preserve">Cat 8: persediaan = BS</t>
  </si>
  <si>
    <t xml:space="preserve">Cat 6: piutang usaha neto = BS (pihak ketiga + berelasi)</t>
  </si>
  <si>
    <t xml:space="preserve">Cat 16: utang usaha = BS (pihak ketiga + berelasi)</t>
  </si>
  <si>
    <t xml:space="preserve">Cat 12: liabilitas sewa = BS</t>
  </si>
  <si>
    <t xml:space="preserve">Cat 21: utang bank jangka pendek = BS</t>
  </si>
  <si>
    <t xml:space="preserve">Cat 21: utang bank jangka panjang neto = BS</t>
  </si>
  <si>
    <t xml:space="preserve">Cat 20: jumlah beban pajak = IS</t>
  </si>
  <si>
    <t xml:space="preserve">Cat 22: liabilitas imbalan kerja = BS</t>
  </si>
  <si>
    <t xml:space="preserve">Cat 11: nilai tercatat aset tetap = BS</t>
  </si>
  <si>
    <t xml:space="preserve">Cat 12: nilai tercatat aset hak-guna = BS</t>
  </si>
  <si>
    <t xml:space="preserve">CALK internal</t>
  </si>
  <si>
    <t xml:space="preserve">Cat 11: alokasi penyusutan (pokok + usaha) = penambahan akumulasi</t>
  </si>
  <si>
    <t xml:space="preserve">Cat 11 Aset tetap - biaya perolehan: awal + mutasi = akhir</t>
  </si>
  <si>
    <t xml:space="preserve">Cat 11 Aset tetap - akumulasi penyusutan: awal + mutasi = akhir</t>
  </si>
  <si>
    <t xml:space="preserve">Cat 12 Aset hak-guna - biaya perolehan: awal + mutasi = akhir</t>
  </si>
  <si>
    <t xml:space="preserve">Cat 12 Aset hak-guna - akumulasi amortisasi: awal + mutasi = akhir</t>
  </si>
  <si>
    <t xml:space="preserve">Cat 26: Σ NCI per entitas = BS NCI</t>
  </si>
  <si>
    <t xml:space="preserve">Cat 26: Σ bagian laba NCI per entitas = IS laba NCI</t>
  </si>
  <si>
    <t xml:space="preserve">toleransi Rp10 (pembulatan per entitas)</t>
  </si>
  <si>
    <t xml:space="preserve">Cat 26: Σ entitas awal + mutasi = akhir</t>
  </si>
  <si>
    <t xml:space="preserve">Cat 26: baris JUMLAH tercetak (bagian laba) = Σ entitas</t>
  </si>
  <si>
    <t xml:space="preserve">Cat 8 Persediaan: Σ rincian = jumlah tercetak</t>
  </si>
  <si>
    <t xml:space="preserve">Cat 12 Liabilitas sewa: Σ rincian = jumlah tercetak</t>
  </si>
  <si>
    <t xml:space="preserve">Cat 12 Arus kas sewa: Σ rincian = jumlah tercetak</t>
  </si>
  <si>
    <t xml:space="preserve">Cat 16 Utang usaha per pemasok: Σ rincian = jumlah tercetak</t>
  </si>
  <si>
    <t xml:space="preserve">Cat 20 Beban pajak: Σ rincian = jumlah tercetak</t>
  </si>
  <si>
    <t xml:space="preserve">Cat 21 Utang bank jangka pendek: Σ rincian = jumlah tercetak</t>
  </si>
  <si>
    <t xml:space="preserve">Cat 21 Utang bank jangka panjang (bruto): Σ rincian = jumlah tercetak</t>
  </si>
  <si>
    <t xml:space="preserve">Cat 22 Beban imbalan: Σ rincian = jumlah tercetak</t>
  </si>
  <si>
    <t xml:space="preserve">Cat 27 Pendapatan bruto per jenis: Σ rincian = jumlah tercetak</t>
  </si>
  <si>
    <t xml:space="preserve">Cat 28 Beban pokok pendapatan: Σ rincian = jumlah tercetak</t>
  </si>
  <si>
    <t xml:space="preserve">Cat 29 Penjualan &amp; pemasaran: Σ rincian = jumlah tercetak</t>
  </si>
  <si>
    <t xml:space="preserve">Cat 29 Umum &amp; administrasi: Σ rincian = jumlah tercetak</t>
  </si>
  <si>
    <t xml:space="preserve">Antar tahun</t>
  </si>
  <si>
    <t xml:space="preserve">CF: kas awal = kas neraca tahun lalu</t>
  </si>
  <si>
    <t xml:space="preserve">❌</t>
  </si>
  <si>
    <t xml:space="preserve">Break basis: kas akhir 2020 basis asli 624,99 M vs kas awal 2021 restated 641,52 M (selisih 16,54 M = kas DGNS). Temuan B1.</t>
  </si>
  <si>
    <t xml:space="preserve">Per saham</t>
  </si>
  <si>
    <t xml:space="preserve">EPS tercetak vs laba induk / 8.603.416.176 saham (toleransi 0,05)</t>
  </si>
  <si>
    <t xml:space="preserve">EPS 2021 tercetak 44 vs ~25 dengan 8,6 M saham; LK memakai saham rata-rata tertimbang pra-IPO/split (Temuan B4).</t>
  </si>
  <si>
    <t xml:space="preserve">Cat 12: arus kas sewa = CF pembayaran sewa</t>
  </si>
  <si>
    <t xml:space="preserve">Cat 6 Piutang usaha per pelanggan (bruto): Σ rincian = jumlah tercetak</t>
  </si>
  <si>
    <t xml:space="preserve">Cat 16 Umur utang usaha: Σ rincian = jumlah tercetak</t>
  </si>
  <si>
    <t xml:space="preserve">Cat 17 Utang lain-lain: Σ rincian = jumlah tercetak</t>
  </si>
  <si>
    <t xml:space="preserve">Baris Jumlah CALK 17,80 M vs Σ entitas 17,25 M (Temuan e).</t>
  </si>
  <si>
    <t xml:space="preserve">Cek silang sumber (statis)</t>
  </si>
  <si>
    <t xml:space="preserve">kas awal(y)=kas akhir BS(y-1) [seri final]</t>
  </si>
  <si>
    <t xml:space="preserve">N/A</t>
  </si>
  <si>
    <t xml:space="preserve">Break basis 2020-&gt;2021 (Temuan B1). Kolom 2020 = basis ASLI LK FY2021 (tanpa DGNS); kolom 2021 dst = basis disajikan kembali (DGNS dikonsolidasi, PSAK 38). Kas akhir 2020 asli 624.986.556.241 != kas awal 2021 restated 641.524.826.591 (selisih 16.538.270.350 = kas DGNS). Pertumbuhan/rasio 2020-&gt;2021 tidak like-for-like.</t>
  </si>
  <si>
    <t xml:space="preserve">kas awal 2020 (CF asli) vs kas 1 Jan 2020</t>
  </si>
  <si>
    <t xml:space="preserve">tidak ada BS 2019</t>
  </si>
  <si>
    <t xml:space="preserve">memo: kas awal 2021 restated = kas 31 Des 2020 restated (BS LK FY2022)</t>
  </si>
  <si>
    <t xml:space="preserve">basis restated konsisten; hanya memo</t>
  </si>
  <si>
    <t xml:space="preserve">kas akhir CF2020 asli vs BS2020 asli</t>
  </si>
  <si>
    <t xml:space="preserve">saldo laba: awal+mutasi+laba induk=akhir</t>
  </si>
  <si>
    <t xml:space="preserve">LK FY2021 SoCE (asli); +18,22 M penyesuaian terkait NCI, -6,22 M dividen</t>
  </si>
  <si>
    <t xml:space="preserve">LK FY2022 SoCE restated; -79,67 M akuisisi NCI (KBES)</t>
  </si>
  <si>
    <t xml:space="preserve">LK FY2023 SoCE</t>
  </si>
  <si>
    <t xml:space="preserve">LK FY2021 SoCE ASLI</t>
  </si>
  <si>
    <t xml:space="preserve">laba_induk IS = laba di SoCE</t>
  </si>
  <si>
    <t xml:space="preserve">FY2025: saldo laba awal 2024 = BS 2023</t>
  </si>
  <si>
    <t xml:space="preserve">SoCE FY2025</t>
  </si>
  <si>
    <t xml:space="preserve">FY2025: kas awal 2024 = kas akhir 2023</t>
  </si>
  <si>
    <t xml:space="preserve">FY2025: total ekuitas 1 Jan 2024 vs BS 2023</t>
  </si>
  <si>
    <t xml:space="preserve">lihat SoCE FY2025</t>
  </si>
  <si>
    <t xml:space="preserve">restatement selisih IS pendapatan_neto = Cat.1e</t>
  </si>
  <si>
    <t xml:space="preserve">restatement selisih IS laba_tahun_berjalan = Cat.1e</t>
  </si>
  <si>
    <t xml:space="preserve">restatement selisih BS TOTAL_ASET = Cat.1e</t>
  </si>
  <si>
    <t xml:space="preserve">restatement selisih BS TOTAL_EKUITAS = Cat.1e</t>
  </si>
  <si>
    <t xml:space="preserve">restatement selisih CF NET_OPERASI = Cat.1e</t>
  </si>
  <si>
    <t xml:space="preserve">restatement selisih CF NET_INVESTASI = Cat.1e</t>
  </si>
  <si>
    <t xml:space="preserve">Cek ekstraksi sumber (statis, LK FY2025 tahapD)</t>
  </si>
  <si>
    <t xml:space="preserve">Cat36 capex vs Cat11 penambahan biaya perolehan</t>
  </si>
  <si>
    <t xml:space="preserve">Temuan h6. selisih 40.071.000; tidak dijelaskan di CALK</t>
  </si>
  <si>
    <t xml:space="preserve">Cat36 penyusutan&amp;amortisasi vs Cat11 penyusutan</t>
  </si>
  <si>
    <t xml:space="preserve">Temuan h1. segmen 2025 tidak sama dgn Cat11 (81,22 M) maupun Cat11+ROU; tidak dijelaskan</t>
  </si>
  <si>
    <t xml:space="preserve">Cat6 penambahan CKPN vs Cat32 beban piutang tak tertagih</t>
  </si>
  <si>
    <t xml:space="preserve">Temuan h2. beda 592.413.693; tidak dijelaskan</t>
  </si>
  <si>
    <t xml:space="preserve">Cat11 2025 akumulasi penyusutan Peralatan &amp; perlengkapan kantor: awal+mutasi = akhir</t>
  </si>
  <si>
    <t xml:space="preserve">Temuan h4.</t>
  </si>
  <si>
    <t xml:space="preserve">Cat11 2025 akumulasi penyusutan: Σ kelompok kolom saldo_akhir = jumlah</t>
  </si>
  <si>
    <t xml:space="preserve">Cat11 NBV pengurangan (biaya-akum) vs nilai tercatat dijual</t>
  </si>
  <si>
    <t xml:space="preserve">Temuan f. NBV pengurangan 18,25 M vs dijual 1,28 M: ±16,97 M pengurangan bukan penjualan (penghapusan?) tidak dijelaskan</t>
  </si>
  <si>
    <t xml:space="preserve">Cat11 NBV pengurangan vs nilai tercatat dijual</t>
  </si>
  <si>
    <t xml:space="preserve">Temuan f (2024). selisih 169,7 jt</t>
  </si>
  <si>
    <t xml:space="preserve">Cat11 hal.55 tanah: nilai wajar - tercatat = surplus</t>
  </si>
  <si>
    <t xml:space="preserve">Temuan a / a2. selisih 1.901.734.693</t>
  </si>
  <si>
    <t xml:space="preserve">Cat11 revaluasi: tabel hal.55 vs kolom revaluasi tabel mutasi</t>
  </si>
  <si>
    <t xml:space="preserve">Temuan a / a2.</t>
  </si>
  <si>
    <t xml:space="preserve">Cat11 revaluasi: kolom mutasi vs OCI revaluasi LR</t>
  </si>
  <si>
    <t xml:space="preserve">Cat11 tanah: nilai wajar hal.55 vs saldo akhir tanah mutasi</t>
  </si>
  <si>
    <t xml:space="preserve">Temuan a / a2. tabel hal.55 hanya mencakup sebagian tanah (atau subset entitas)</t>
  </si>
  <si>
    <t xml:space="preserve">Cat12 amortisasi ROU vs Cat29 penyusutan ROU</t>
  </si>
  <si>
    <t xml:space="preserve">Temuan h5. selisih 140.000 (kemungkinan salah ketik)</t>
  </si>
  <si>
    <t xml:space="preserve">Cat12 bunga sewa 2025 tercermin di Cat31?</t>
  </si>
  <si>
    <t xml:space="preserve">Temuan g. Cat31 hanya memuat bunga bank 60,56 M + adm; bunga sewa 42,24 M tidak terlihat di LR — perlu klarifikasi</t>
  </si>
  <si>
    <t xml:space="preserve">Cat20 Σ mutasi tangguhan di LR vs beban tangguhan LR</t>
  </si>
  <si>
    <t xml:space="preserve">Temuan h3. selisih 3.524.475.969; bisa terkait kolom penyesuaian (-3,52 M neto) — tidak dijelaskan</t>
  </si>
  <si>
    <t xml:space="preserve">Cat26 SMB: awal+mutasi = akhir</t>
  </si>
  <si>
    <t xml:space="preserve">Temuan e.</t>
  </si>
  <si>
    <t xml:space="preserve">Cat26 ERI: awal+mutasi = akhir</t>
  </si>
  <si>
    <t xml:space="preserve">Cat26 BMD: awal+mutasi = akhir</t>
  </si>
  <si>
    <t xml:space="preserve">Cat26 Σ entitas kolom bagian_laba = jumlah</t>
  </si>
  <si>
    <t xml:space="preserve">Cat26 Σ entitas kolom perubahan_ekuitas_lain = jumlah</t>
  </si>
  <si>
    <t xml:space="preserve">Cat26 Σ entitas kolom oci = jumlah</t>
  </si>
  <si>
    <t xml:space="preserve">Cat26 jumlah: awal+mutasi = akhir</t>
  </si>
  <si>
    <t xml:space="preserve">Cat26 bagian laba vs LR laba NCI</t>
  </si>
  <si>
    <t xml:space="preserve">Cat26 OCI NCI vs LR (tci_nci - laba_nci)</t>
  </si>
  <si>
    <t xml:space="preserve">INV1 akuisisi kas + nonkas(Cat37) + Cat17 pembelian aset vs Cat11 penambahan</t>
  </si>
  <si>
    <t xml:space="preserve">Temuan b. utang pembelian aset Cat17 (17.204.374.798) ≈ selisih 17.204.376.810; sisa 2.012</t>
  </si>
  <si>
    <t xml:space="preserve">Cek ekstraksi sumber (statis, LK FY2023 tahapD)</t>
  </si>
  <si>
    <t xml:space="preserve">Cat11 NBV pengurangan (biaya-akum) vs nilai tercatat dijual [INFO]</t>
  </si>
  <si>
    <t xml:space="preserve">INFO</t>
  </si>
  <si>
    <t xml:space="preserve">Temuan B8 (INFO). INFO: kolom pengurangan mencakup penghapusan/pertukaran selain penjualan; tidak wajib sama</t>
  </si>
  <si>
    <t xml:space="preserve">Cek ekstraksi sumber (statis, LK FY2022 tahapD)</t>
  </si>
  <si>
    <t xml:space="preserve">Cek ekstraksi sumber (statis, LK FY2020 tahapD)</t>
  </si>
  <si>
    <t xml:space="preserve">Cat20 tangguhan LR (DTA LR - DTL LR) vs LR pajak_tangguhan</t>
  </si>
  <si>
    <t xml:space="preserve">Temuan B3a. 2020 (LK FY2021 tabel mutasi 2020): kolom LR DTA 4.039.429.014 - DTL 121.778.175 = 3.917.650.839 ≠ manfaat pajak tangguhan LR 2.912.223.986 (Cat19 2.084.449.769+827.774.217); selisih 1.005.426.853 tidak terjelaskan di CALK</t>
  </si>
  <si>
    <t xml:space="preserve">Cat22 OCI mutasi vs LR oci_remeasurement (tanda dibalik)</t>
  </si>
  <si>
    <t xml:space="preserve">Temuan B3b. 2020: LR remeasurement 1.229.779.851 ≠ mutasi Cat22 380.294.833 - kemungkinan termasuk remeasurement entitas asosiasi/lainnya; tidak dapat direkonsiliasi dari CALK</t>
  </si>
  <si>
    <t xml:space="preserve">Temuan B3c. 2020 asli: tabel Cat26 OCI (437.923.710) vs LR TCI NCI - laba NCI = +442.376.083; selisih 880.299.793 (tanda/penyajian berbeda di LK FY2021)</t>
  </si>
  <si>
    <t xml:space="preserve">Cek ekstraksi sumber (statis, LK FY2020 tahapA)</t>
  </si>
  <si>
    <t xml:space="preserve">EPS≈laba_induk/8.603.416.176 saham (info)</t>
  </si>
  <si>
    <t xml:space="preserve">2020: saham 150.000 lembar sblm split/IPO; EPS dilaporkan pakai rata-rata tertimbang, toleransi pembulatan EPS</t>
  </si>
  <si>
    <t xml:space="preserve">Cek ekstraksi sumber (statis, LK FY2021 tahapA)</t>
  </si>
  <si>
    <t xml:space="preserve">Temuan B4. 2020: saham 150.000 lembar sblm split/IPO; EPS dilaporkan pakai rata-rata tertimbang, toleransi pembulatan EPS</t>
  </si>
  <si>
    <t xml:space="preserve">Cek ekstraksi sumber (statis, LK FY2022 tahapA)</t>
  </si>
  <si>
    <t xml:space="preserve">Cek ekstraksi sumber (statis, LK FY2025 tahapB)</t>
  </si>
  <si>
    <t xml:space="preserve">mutasi surplus revaluasi induk vs OCI revaluasi bruto Tahap A</t>
  </si>
  <si>
    <t xml:space="preserve">Cek ekstraksi sumber (statis, LK FY2025 tahapC)</t>
  </si>
  <si>
    <t xml:space="preserve">subtotal NET_INVESTASI</t>
  </si>
  <si>
    <t xml:space="preserve">Duplikasi baris investasi saham CF 2024; model memakai override 0 (Temuan c). 2024 selisih = tepat 163.412.509.355 (baris 'Peningkatan investasi saham' duplikat angka perolehan aset tetap; terverifikasi visual hal.10). Tanpa baris itu jumlah cocok; Cat.10 investasi saham tidak berubah 2024-2025.</t>
  </si>
  <si>
    <t xml:space="preserve">penambahan aset tetap Cat.11 = kas + nonkas</t>
  </si>
  <si>
    <t xml:space="preserve">Temuan b. 2025 selisih 17.204.376.810 tidak dijelaskan di Cat.37 (mungkin utang/akrual/kapitalisasi); Cat.11 hal.53-54 dibaca visual</t>
  </si>
  <si>
    <t xml:space="preserve">Model proyeksi (kolom A)</t>
  </si>
  <si>
    <t xml:space="preserve">IS_Proj: EBIT = laba usaha IS</t>
  </si>
  <si>
    <t xml:space="preserve">IS_Proj: laba sebelum pajak = IS</t>
  </si>
  <si>
    <t xml:space="preserve">IS_Proj: pendapatan bruto - potongan = IS</t>
  </si>
  <si>
    <t xml:space="preserve">BS_Proj agregat: aset = liabilitas + ekuitas</t>
  </si>
  <si>
    <t xml:space="preserve">BS_Proj agregat: jumlah aset = BS</t>
  </si>
  <si>
    <t xml:space="preserve">Model proyeksi (kolom E)</t>
  </si>
  <si>
    <t xml:space="preserve">BS_Proj: aset = liabilitas + ekuitas</t>
  </si>
  <si>
    <t xml:space="preserve">CF_Proj: kas akhir = kas BS_Proj</t>
  </si>
  <si>
    <t xml:space="preserve">Saldo laba: awal + laba induk + dividen = akhir</t>
  </si>
  <si>
    <t xml:space="preserve">Aset tetap: awal + capex - penyusutan = akhir</t>
  </si>
  <si>
    <t xml:space="preserve">Kas proyeksi tidak negatif</t>
  </si>
  <si>
    <t xml:space="preserve">Temuan inkonsistensi &amp; catatan forensik (2020-2025)</t>
  </si>
  <si>
    <t xml:space="preserve">B* = temuan multi-tahun (2020-2023 &amp; restatement); a-i = temuan LK FY2025 (pilot). Nilai statis dari LK; selisih = rumus.</t>
  </si>
  <si>
    <t xml:space="preserve">Topik</t>
  </si>
  <si>
    <t xml:space="preserve">Sumber / hal</t>
  </si>
  <si>
    <t xml:space="preserve">Penjelasan</t>
  </si>
  <si>
    <t xml:space="preserve">Perlakuan di model</t>
  </si>
  <si>
    <t xml:space="preserve">B1</t>
  </si>
  <si>
    <t xml:space="preserve">Break basis 2020 -&gt; 2021 (DGNS dikonsolidasi, PSAK 38)</t>
  </si>
  <si>
    <t xml:space="preserve">LK FY2022 Cat 1e; LK FY2021</t>
  </si>
  <si>
    <t xml:space="preserve">Kolom 2020 memakai basis ASLI (LK FY2021). LK FY2022 menyajikan kembali 2020/2021 setelah PT Daya Grha Nusantara Sejahtera (DGNS) dikonsolidasi sebagai kombinasi bisnis entitas sepengendali. Kas awal 2021 restated 641,52 M vs kas akhir 2020 asli 624,99 M (selisih 16,54 M = kas DGNS). Versi restated 2020: pendapatan 1.331,32 M (+183,17 M), laba 145,33 M (+26,87 M), total aset 2.246,57 M (+84,03 M). LR &amp; arus kas 2020 restated lengkap tidak disajikan di LK mana pun.</t>
  </si>
  <si>
    <t xml:space="preserve">Kolom 2020 = basis asli; memo restated 2020 di bawah IS &amp; BS (sel oranye). Pertumbuhan/rata-rata 2021 vs 2020 tidak like-for-like; kalibrasi proyeksi memakai 2022-2025.</t>
  </si>
  <si>
    <t xml:space="preserve">B2</t>
  </si>
  <si>
    <t xml:space="preserve">Cat 1e LK FY2022: salah ketik laba komprehensif 2020 "dilaporkan sebelumnya"</t>
  </si>
  <si>
    <t xml:space="preserve">LK FY2022 Cat 1e</t>
  </si>
  <si>
    <t xml:space="preserve">Cat 1e menulis laba komprehensif 2020 "dilaporkan sebelumnya" 246.766.622.372, padahal LK FY2021 = 245.766.622.372 (beda Rp1 M). Akibatnya penyesuaian TCI 2020 di Cat 1e tampak 25,79 M, padahal restated - asli = 26,79 M.</t>
  </si>
  <si>
    <t xml:space="preserve">Model memakai angka LK FY2021; selisih dicatat sebagai salah ketik.</t>
  </si>
  <si>
    <t xml:space="preserve">B3a</t>
  </si>
  <si>
    <t xml:space="preserve">CALK 2020: pajak tangguhan (Cat 20) vs LR</t>
  </si>
  <si>
    <t xml:space="preserve">LK FY2021 Cat 20</t>
  </si>
  <si>
    <t xml:space="preserve">Σ mutasi pajak tangguhan ke LR (DTA - DTL) berbeda 1.005.426.853 dari beban pajak tangguhan di LR 2020. Tidak dijelaskan.</t>
  </si>
  <si>
    <t xml:space="preserve">Informasi; IS memakai angka LR.</t>
  </si>
  <si>
    <t xml:space="preserve">B3b</t>
  </si>
  <si>
    <t xml:space="preserve">CALK 2020: OCI imbalan kerja (Cat 22) vs LR</t>
  </si>
  <si>
    <t xml:space="preserve">LK FY2021 Cat 22</t>
  </si>
  <si>
    <t xml:space="preserve">OCI di mutasi liabilitas imbalan kerja berbeda -849.485.018 dari pengukuran kembali di LR 2020 (tanda dibalik).</t>
  </si>
  <si>
    <t xml:space="preserve">Informasi.</t>
  </si>
  <si>
    <t xml:space="preserve">B3c</t>
  </si>
  <si>
    <t xml:space="preserve">CALK 2020: OCI NCI (Cat 26) vs LR</t>
  </si>
  <si>
    <t xml:space="preserve">LK FY2021 Cat 26</t>
  </si>
  <si>
    <t xml:space="preserve">Σ OCI NCI per entitas berbeda -880.299.793 dari OCI NCI di LR (TCI NCI - laba NCI).</t>
  </si>
  <si>
    <t xml:space="preserve">B4</t>
  </si>
  <si>
    <t xml:space="preserve">EPS 2021 tercetak vs hitung</t>
  </si>
  <si>
    <t xml:space="preserve">LK FY2022</t>
  </si>
  <si>
    <t xml:space="preserve">EPS dasar 2021 tercetak Rp44, sedangkan laba induk 2021 214,49 M / 8.603.416.176 saham = Rp24,93. Selisih wajar bila LK memakai rata-rata tertimbang saham sebelum IPO/pemecahan saham, tetapi jumlah saham tertimbang tidak bisa diverifikasi dari data yang diekstrak. EPS 2020 tercetak Rp18 (basis 150.000 saham pra-split).</t>
  </si>
  <si>
    <t xml:space="preserve">Rasio memakai laba induk / 8,6 M saham; Rekonsiliasi 2021 ❌ sesuai ekspektasi.</t>
  </si>
  <si>
    <t xml:space="preserve">B5</t>
  </si>
  <si>
    <t xml:space="preserve">Dampak restatement 2021 (LK FY2021 -&gt; LK FY2022)</t>
  </si>
  <si>
    <t xml:space="preserve">Penyajian kembali 2021: pendapatan +180,04 M, laba +39,28 M, laba induk -0,81 M, NCI +118,66 M, ekuitas induk -9,22 M, saldo laba -37,47 M, investasi saham -79,11 M, CFO +89,40 M. Sebagian besar kenaikan laba jatuh ke NCI, bukan ke pemegang saham induk.</t>
  </si>
  <si>
    <t xml:space="preserve">Kolom 2021 memakai angka restated (LK FY2022).</t>
  </si>
  <si>
    <t xml:space="preserve">B6</t>
  </si>
  <si>
    <t xml:space="preserve">Tren potongan penjualan naik konsisten</t>
  </si>
  <si>
    <t xml:space="preserve">Cat 27 tiap tahun</t>
  </si>
  <si>
    <t xml:space="preserve">Potongan penjualan % pendapatan bruto: 2020 1,58%; 2021 2,88%; 2022 3,56%; 2023 4,54%; 2024 5,97%; 2025 6,33%. Potongan naik ~4x lipat dalam 5 tahun, sehingga pertumbuhan pendapatan neto lebih rendah daripada bruto. Bisa mencerminkan pergeseran ke pasien korporasi/asuransi atau promosi; LK tidak menjelaskan penyebabnya.</t>
  </si>
  <si>
    <t xml:space="preserve">Asumsi Base: potongan 6,5% bruto (sedikit di atas 2025).</t>
  </si>
  <si>
    <t xml:space="preserve">B7</t>
  </si>
  <si>
    <t xml:space="preserve">Reklasifikasi neraca 2022 di LK FY2023</t>
  </si>
  <si>
    <t xml:space="preserve">LK FY2023 vs LK FY2022</t>
  </si>
  <si>
    <t xml:space="preserve">Kolom 2022 diambil dari komparatif LK FY2023: biaya dibayar dimuka -6,67 M dipindah ke uang muka jangka panjang +8,24 M dan aset tidak lancar lain -1,57 M (total aset tidak berubah). EPS 2022 tercetak 10 (LK FY2022) vs 9,7 (LK FY2023).</t>
  </si>
  <si>
    <t xml:space="preserve">Model memakai versi reklas LK FY2023.</t>
  </si>
  <si>
    <t xml:space="preserve">B8</t>
  </si>
  <si>
    <t xml:space="preserve">NBV aset tetap dikurangkan vs nilai tercatat dijual (2020, 2022, 2023)</t>
  </si>
  <si>
    <t xml:space="preserve">Cat 11 tiap tahun</t>
  </si>
  <si>
    <t xml:space="preserve">Pola sama dengan Temuan f: pengurangan biaya - akumulasi di mutasi lebih besar dari nilai tercatat aset yang dijual. Selisih: 2020 15.086.562.778; 2022 103.355.112; 2023 4.254.995.318. Sisanya kemungkinan penghapusan/reklasifikasi yang tidak dirinci.</t>
  </si>
  <si>
    <t xml:space="preserve">INFO; tidak memengaruhi model.</t>
  </si>
  <si>
    <t xml:space="preserve">B9</t>
  </si>
  <si>
    <t xml:space="preserve">Pembayaran sewa tidak tersaji terpisah di arus kas 2020-2023</t>
  </si>
  <si>
    <t xml:space="preserve">Cat 12; LAK</t>
  </si>
  <si>
    <t xml:space="preserve">Cat 12 mengungkap arus kas keluar sewa (2020 12,18 M; 2021 13,91 M; 2022 18,33 M; 2023 15,79 M), tetapi LAK 2020-2023 tidak punya baris pembayaran liabilitas sewa (mulai 2024 di pendanaan). Kemungkinan tergabung di pembayaran ke pemasok (operasi), sehingga CFO 2020-2023 dan 2024-2025 tidak sepenuhnya sebanding.</t>
  </si>
  <si>
    <t xml:space="preserve">FCF di Rasio memakai CF apa adanya; dicatat sebagai batasan perbandingan.</t>
  </si>
  <si>
    <t xml:space="preserve">a</t>
  </si>
  <si>
    <t xml:space="preserve">Revaluasi aset tetap 2025: kolom mutasi Cat 11 vs OCI</t>
  </si>
  <si>
    <t xml:space="preserve">7, 53, 55</t>
  </si>
  <si>
    <t xml:space="preserve">OCI revaluasi di laba rugi = 231.142.399.297 (231,14 M). Kolom revaluasi tabel mutasi Cat 11 = 234.104.222.722 dan narasi hal.55 (tanah 229.391.032.360 + bangunan 4.713.190.362) = 234,10 M. Tabel surplus hal.55 mencetak jumlah 232.987.312.663 (232,99 M; tanah 232.952.297.667 + bangunan 35.014.996) dan tidak konsisten internal: nilai wajar tanah 1.230.091.000.000 - nilai tercatat 995.236.967.640 = 234.854.032.360, beda 1.901.734.693 dari surplus tanah tercetak. Selisih mutasi vs OCI 2.961.823.425 (2,96 M) tidak dijelaskan. Mutasi surplus revaluasi induk di SoCE = 228.400.463.612 (beda 2,74 M dari OCI; mungkin porsi NCI, belum terverifikasi).</t>
  </si>
  <si>
    <t xml:space="preserve">IS memakai OCI 231,14 M; Schedules memakai kolom mutasi 234,10 M; ditandai ❌ di Rekonsiliasi.</t>
  </si>
  <si>
    <t xml:space="preserve">a2</t>
  </si>
  <si>
    <t xml:space="preserve">Revaluasi: tabel hal.55 vs kolom mutasi</t>
  </si>
  <si>
    <t xml:space="preserve">55</t>
  </si>
  <si>
    <t xml:space="preserve">Tabel hal.55 (232,99 M) lebih kecil 1.116.910.059 dari kolom mutasi/narasi (234,10 M). Nilai wajar tanah di tabel (1.230,09 M) jauh di bawah saldo akhir tanah di mutasi (1.455,01 M), jadi tabel kemungkinan hanya mencakup sebagian aset/entitas.</t>
  </si>
  <si>
    <t xml:space="preserve">Informasi saja.</t>
  </si>
  <si>
    <t xml:space="preserve">b</t>
  </si>
  <si>
    <t xml:space="preserve">Penambahan aset tetap 2025: kas + nonkas vs Cat 11</t>
  </si>
  <si>
    <t xml:space="preserve">10, 53, 62, 89</t>
  </si>
  <si>
    <t xml:space="preserve">Cat 11 penambahan biaya perolehan 294.346.448.080. Perolehan kas (CF) 218.905.414.893 + nonkas Cat 37 (uang muka) 58.236.656.377 = 277.142.071.270; selisih 17.204.376.810 (17,20 M) tidak disebut di Cat 37. Selisih ini hampir sama dengan saldo utang pembelian aset di Cat 17 (17.204.374.798), sisa Rp2.012. Catatan: yang cocok adalah SALDO akhir utang pembelian aset, bukan kenaikannya (saldo 2024 = 10.817.495.432), jadi penjelasan ini bersifat indikatif.</t>
  </si>
  <si>
    <t xml:space="preserve">Rekonsiliasi: 2 cek ❌ (tanpa Cat 17 = 17,20 M; dengan Cat 17 = Rp2.012).</t>
  </si>
  <si>
    <t xml:space="preserve">c</t>
  </si>
  <si>
    <t xml:space="preserve">CF 2024: duplikasi "Peningkatan investasi saham"</t>
  </si>
  <si>
    <t xml:space="preserve">10</t>
  </si>
  <si>
    <t xml:space="preserve">Baris "Peningkatan investasi saham" 2024 tercetak (163.412.509.355), identik dengan perolehan aset tetap 2024. Kalau ikut dijumlahkan, subtotal investasi menjadi (408.703.902.759), bukan (245.291.393.404) seperti tercetak. Investasi saham di neraca tidak berubah (83.195.500.000 di 2024 dan 2025). Kesimpulan: duplikasi/salah ketik.</t>
  </si>
  <si>
    <t xml:space="preserve">Baris diisi 0 dengan komentar di CF; subtotal investasi = (245.291.393.404).</t>
  </si>
  <si>
    <t xml:space="preserve">d</t>
  </si>
  <si>
    <t xml:space="preserve">Jumlah saham beredar di Cat 25 (EPS)</t>
  </si>
  <si>
    <t xml:space="preserve">6, 76, 79</t>
  </si>
  <si>
    <t xml:space="preserve">Cat 25 mencetak "jumlah saham yang beredar 7.461.134.368", sedangkan Cat 23 dan neraca 8.603.416.176 saham (x Rp20 = 172.068.323.520 = modal disetor). Tidak ditemukan saham treasuri; rata-rata tertimbang tidak diungkapkan terpisah. EPS dengan 8.603.416.176 saham = 1,44 (2025) / 1,39 (2024); keduanya dibulatkan menjadi 1,4 = angka laporan. Dengan 7.461.134.368 saham = 1,66 / 1,60.</t>
  </si>
  <si>
    <t xml:space="preserve">EPS dihitung ulang memakai 8.603.416.176 saham.</t>
  </si>
  <si>
    <t xml:space="preserve">e</t>
  </si>
  <si>
    <t xml:space="preserve">NCI 2025: baris "Jumlah" bagian laba di Cat 26</t>
  </si>
  <si>
    <t xml:space="preserve">8, 79</t>
  </si>
  <si>
    <t xml:space="preserve">Baris "Jumlah" kolom bagian laba NCI 2025 di CALK = 17.795.733.673 (17,80 M), sedangkan Σ rincian per entitas = 17.254.181.215 (17,25 M) dan laba NCI di laba rugi = 17.254.181.212 (beda Rp3, pembulatan). Kolom lain di baris Jumlah juga tidak sama dengan Σ entitas: perubahan ekuitas lain (3.135.613.703) vs Σ (10.448.168.137); OCI (4.362.298.831) vs Σ 3.491.808.061 (Σ entitas cocok dengan IS). Saldo awal dan saldo akhir baris Jumlah cocok. Entitas SMB, ERI, BMD punya selisih Rp2-6 pada awal + mutasi = akhir.</t>
  </si>
  <si>
    <t xml:space="preserve">Model memakai Σ per entitas (rumus).</t>
  </si>
  <si>
    <t xml:space="preserve">f</t>
  </si>
  <si>
    <t xml:space="preserve">NBV aset tetap yang dikurangkan vs aset dijual (2025)</t>
  </si>
  <si>
    <t xml:space="preserve">53, 56</t>
  </si>
  <si>
    <t xml:space="preserve">Pengurangan biaya perolehan 2025 (38.213.131.085) dikurangi pengurangan akumulasi (19.961.104.495) = NBV 18.252.026.590 (18,25 M), sedangkan nilai tercatat aset dijual hanya 1.281.171.305 (1,28 M). Sekitar 16,97 M pengurangan lain (sebagian besar bangunan: biaya 35,40 M, akumulasi 15,98 M) tidak dijelaskan dan tidak terlihat sebagai rugi penghapusan terpisah. 2024: NBV 1.132.157.587 vs dijual 962.419.493 (selisih 169,7 jt).</t>
  </si>
  <si>
    <t xml:space="preserve">Informasi; ditandai ❌.</t>
  </si>
  <si>
    <t xml:space="preserve">g</t>
  </si>
  <si>
    <t xml:space="preserve">Bunga sewa tidak terlihat di beban keuangan</t>
  </si>
  <si>
    <t xml:space="preserve">58, 82</t>
  </si>
  <si>
    <t xml:space="preserve">Cat 12 membagi pembayaran sewa 2025 menjadi pokok 56.457.929.143 dan bunga 42.241.143.316 (2024: bunga 3.603.073.980). Cat 31 beban keuangan (total 67.527.392.890) hanya memuat bunga bank ±60,56 M dan biaya administrasi, sehingga bunga sewa 42,24 M tidak muat. Bunga 42,24 M atas liabilitas sewa rata-rata ±106,6 M (~40%) juga tidak wajar; kemungkinan pembagian pokok/bunga salah cetak.</t>
  </si>
  <si>
    <t xml:space="preserve">Beban keuangan IS dipakai apa adanya; interest coverage tidak menambah bunga sewa.</t>
  </si>
  <si>
    <t xml:space="preserve">h1</t>
  </si>
  <si>
    <t xml:space="preserve">Penyusutan &amp; amortisasi segmen 2025 vs Cat 11</t>
  </si>
  <si>
    <t xml:space="preserve">53, 88-89</t>
  </si>
  <si>
    <t xml:space="preserve">Cat 36 mencetak penyusutan &amp; amortisasi 79.318.629.998, berbeda dari penyusutan Cat 11 (81.224.259.340) maupun Cat 11 + ROU; selisih 1.905.629.342. Tahun 2024 cocok (95.085.231.562).</t>
  </si>
  <si>
    <t xml:space="preserve">EBITDA memakai Cat 11 + ROU + properti investasi.</t>
  </si>
  <si>
    <t xml:space="preserve">h2</t>
  </si>
  <si>
    <t xml:space="preserve">Penambahan CKPN vs beban piutang tak tertagih Cat 32</t>
  </si>
  <si>
    <t xml:space="preserve">50, 82</t>
  </si>
  <si>
    <t xml:space="preserve">Mutasi CKPN Cat 6 (penambahan 3.312.132.349) vs beban penurunan nilai piutang Cat 32 (3.904.546.042); selisih 592.413.693 tidak dijelaskan.</t>
  </si>
  <si>
    <t xml:space="preserve">h3</t>
  </si>
  <si>
    <t xml:space="preserve">Pajak tangguhan: Σ mutasi ke LR vs IS</t>
  </si>
  <si>
    <t xml:space="preserve">7, 65</t>
  </si>
  <si>
    <t xml:space="preserve">Σ mutasi DTA (11.131.749.061) + DTL (-1.085.599.340) ke LR = 10.046.149.721 vs manfaat pajak tangguhan IS 6.521.673.752; selisih 3.524.475.969 sama dengan neto kolom penyesuaian (-4.210.613.906 + 686.137.937). Penyesuaian ini tidak dijelaskan.</t>
  </si>
  <si>
    <t xml:space="preserve">h4</t>
  </si>
  <si>
    <t xml:space="preserve">Akumulasi penyusutan peralatan &amp; perlengkapan kantor 2025</t>
  </si>
  <si>
    <t xml:space="preserve">53</t>
  </si>
  <si>
    <t xml:space="preserve">Saldo awal + mutasi = 95.332.699.383, tetapi tercetak 95.348.139.383 (lebih 15.440.000 = 15,44 jt). Jumlah akumulasi tercetak (684.843.033.837) cocok dengan versi rumus, jadi kemungkinan salah ketik di baris kantor.</t>
  </si>
  <si>
    <t xml:space="preserve">Schedules memakai saldo akhir hasil rumus; NBV cocok dengan neraca.</t>
  </si>
  <si>
    <t xml:space="preserve">h5</t>
  </si>
  <si>
    <t xml:space="preserve">Amortisasi ROU Cat 12 vs Cat 29</t>
  </si>
  <si>
    <t xml:space="preserve">57, 81</t>
  </si>
  <si>
    <t xml:space="preserve">Selisih Rp140.000, kemungkinan salah ketik.</t>
  </si>
  <si>
    <t xml:space="preserve">EBITDA memakai Cat 12.</t>
  </si>
  <si>
    <t xml:space="preserve">h6</t>
  </si>
  <si>
    <t xml:space="preserve">Pengeluaran modal segmen vs penambahan Cat 11</t>
  </si>
  <si>
    <t xml:space="preserve">Selisih 40.071.000 tidak dijelaskan.</t>
  </si>
  <si>
    <t xml:space="preserve">i</t>
  </si>
  <si>
    <t xml:space="preserve">Jumlah laba komprehensif 2024: hal.7 vs hal.8</t>
  </si>
  <si>
    <t xml:space="preserve">7, 8</t>
  </si>
  <si>
    <t xml:space="preserve">Hal.7 mencetak 14.863.779.223, sedangkan hal.8 (dan segmen Cat 36) 14.863.779.224. Laba 18.895.784.267 + OCI (4.032.005.043) = 14.863.779.224, jadi hal.7 kurang Rp1 (pembulatan).</t>
  </si>
  <si>
    <t xml:space="preserve">Rumus model = ...224; selisih Rp1 masih OK (toleransi Rp1).</t>
  </si>
  <si>
    <t xml:space="preserve">Database format panjang FY2020-FY2025 (untuk digabung antar emiten)</t>
  </si>
  <si>
    <t xml:space="preserve">Nilai statis sesuai sumber, Rp penuh. Kolom basis: asli / restated / reklas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</si>
  <si>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</si>
  <si>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</si>
  <si>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</si>
  <si>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</si>
  <si>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</si>
  <si>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</si>
  <si>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</si>
  <si>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</si>
  <si>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</si>
  <si>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</si>
  <si>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</si>
  <si>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</si>
  <si>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</si>
  <si>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</si>
  <si>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</si>
  <si>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IS, BS, CF: LK FY2021 ASLI (sebelum penyajian kembali DGNS) - keputusan user 25 Okt 2026 agar konsisten internal (kas CF = kas BS). Angka disajikan kembali hanya sebagai memo. BREAK BASIS 2020 (asli) -&gt; 2021 (restated).</t>
  </si>
  <si>
    <t xml:space="preserve">asli</t>
  </si>
  <si>
    <t xml:space="preserve">FY2021</t>
  </si>
  <si>
    <t xml:space="preserve">LK FY2022 (2021 disajikan kembali)</t>
  </si>
  <si>
    <t xml:space="preserve">restated</t>
  </si>
  <si>
    <t xml:space="preserve">FY2022</t>
  </si>
  <si>
    <t xml:space="preserve">LK FY2023 (2022 direklasifikasi)</t>
  </si>
  <si>
    <t xml:space="preserve">reklas</t>
  </si>
  <si>
    <t xml:space="preserve">FY2023</t>
  </si>
  <si>
    <t xml:space="preserve">dilaporkan</t>
  </si>
  <si>
    <t xml:space="preserve">FY2024</t>
  </si>
  <si>
    <t xml:space="preserve">FY2025</t>
  </si>
  <si>
    <t xml:space="preserve">subtotal dihitung</t>
  </si>
  <si>
    <t xml:space="preserve">override</t>
  </si>
  <si>
    <t xml:space="preserve">CALK</t>
  </si>
  <si>
    <t xml:space="preserve">C27|Pendapatan bruto per jenis</t>
  </si>
  <si>
    <t xml:space="preserve">Rawat inap - obat &amp; perlengkapan medis</t>
  </si>
  <si>
    <t xml:space="preserve">27</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</si>
  <si>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</si>
  <si>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</si>
  <si>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</si>
  <si>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</si>
  <si>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</si>
  <si>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</si>
  <si>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</si>
  <si>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</si>
  <si>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</si>
  <si>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</si>
  <si>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</si>
  <si>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</si>
  <si>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</si>
  <si>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</si>
  <si>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</si>
  <si>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</si>
  <si>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</si>
  <si>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</si>
  <si>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C36|Pelayanan kesehatan</t>
  </si>
  <si>
    <t xml:space="preserve">Pendapatan</t>
  </si>
  <si>
    <t xml:space="preserve">36</t>
  </si>
  <si>
    <t xml:space="preserve">88-89</t>
  </si>
  <si>
    <t xml:space="preserve">C36|Lainnya</t>
  </si>
  <si>
    <t xml:space="preserve">C36|Eliminasi</t>
  </si>
  <si>
    <t xml:space="preserve">C36|Total</t>
  </si>
  <si>
    <t xml:space="preserve">Beban pokok</t>
  </si>
  <si>
    <t xml:space="preserve">Beban usaha</t>
  </si>
  <si>
    <t xml:space="preserve">Operasi lain</t>
  </si>
  <si>
    <t xml:space="preserve">Total laba komprehensif</t>
  </si>
  <si>
    <t xml:space="preserve">Jumlah aset</t>
  </si>
  <si>
    <t xml:space="preserve">Jumlah liabilitas</t>
  </si>
  <si>
    <t xml:space="preserve">Pengeluaran modal</t>
  </si>
  <si>
    <t xml:space="preserve">C28|Beban pokok pendapatan</t>
  </si>
  <si>
    <t xml:space="preserve">RS - tenaga medis</t>
  </si>
  <si>
    <t xml:space="preserve">28</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</si>
  <si>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</si>
  <si>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</si>
  <si>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</si>
  <si>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</si>
  <si>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</si>
  <si>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29</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</si>
  <si>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</si>
  <si>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</si>
  <si>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</si>
  <si>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</si>
  <si>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</si>
  <si>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</si>
  <si>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</si>
  <si>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</si>
  <si>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</si>
  <si>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</si>
  <si>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</si>
  <si>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</si>
  <si>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</si>
  <si>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</si>
  <si>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</si>
  <si>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</si>
  <si>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</si>
  <si>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</si>
  <si>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</si>
  <si>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</si>
  <si>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</si>
  <si>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</si>
  <si>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</si>
  <si>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</si>
  <si>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6</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</si>
  <si>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</si>
  <si>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</si>
  <si>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</si>
  <si>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</si>
  <si>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</si>
  <si>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</si>
  <si>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</si>
  <si>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</si>
  <si>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</si>
  <si>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</si>
  <si>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</si>
  <si>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</si>
  <si>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Penambahan</t>
  </si>
  <si>
    <t xml:space="preserve">Penghapusan</t>
  </si>
  <si>
    <t xml:space="preserve">C8|Persediaan</t>
  </si>
  <si>
    <t xml:space="preserve">Obat-obatan</t>
  </si>
  <si>
    <t xml:space="preserve">8</t>
  </si>
  <si>
    <t xml:space="preserve">Perlengkapan medis</t>
  </si>
  <si>
    <t xml:space="preserve">C11|Alokasi penyusutan</t>
  </si>
  <si>
    <t xml:space="preserve">11</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</si>
  <si>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</si>
  <si>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</si>
  <si>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</si>
  <si>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</si>
  <si>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</si>
  <si>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</si>
  <si>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</si>
  <si>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</si>
  <si>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</si>
  <si>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</si>
  <si>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</si>
  <si>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</si>
  <si>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</si>
  <si>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</si>
  <si>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</si>
  <si>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12</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</si>
  <si>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</si>
  <si>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</si>
  <si>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</si>
  <si>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</si>
  <si>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</si>
  <si>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</si>
  <si>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</si>
  <si>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</si>
  <si>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16</t>
  </si>
  <si>
    <t xml:space="preserve">Jasa dokter</t>
  </si>
  <si>
    <t xml:space="preserve">C16|Umur utang usaha</t>
  </si>
  <si>
    <t xml:space="preserve">31-60 hari</t>
  </si>
  <si>
    <t xml:space="preserve">C17|Utang lain-lain</t>
  </si>
  <si>
    <t xml:space="preserve">Pembelian aset</t>
  </si>
  <si>
    <t xml:space="preserve">17</t>
  </si>
  <si>
    <t xml:space="preserve">Lain-lain (&lt;Rp500 jt)</t>
  </si>
  <si>
    <t xml:space="preserve">C20|Beban pajak</t>
  </si>
  <si>
    <t xml:space="preserve">Kini - Perusahaan</t>
  </si>
  <si>
    <t xml:space="preserve">20</t>
  </si>
  <si>
    <t xml:space="preserve">64-65</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</si>
  <si>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</si>
  <si>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</si>
  <si>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</si>
  <si>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</si>
  <si>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</si>
  <si>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</si>
  <si>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</si>
  <si>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</si>
  <si>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</si>
  <si>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</si>
  <si>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</si>
  <si>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</si>
  <si>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</si>
  <si>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</si>
  <si>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</si>
  <si>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</si>
  <si>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</si>
  <si>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</si>
  <si>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</si>
  <si>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</si>
  <si>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</si>
  <si>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21</t>
  </si>
  <si>
    <t xml:space="preserve">66-67</t>
  </si>
  <si>
    <t xml:space="preserve">C21|Utang bank jangka panjang (bruto)</t>
  </si>
  <si>
    <t xml:space="preserve">67-68</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</si>
  <si>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</si>
  <si>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</si>
  <si>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</si>
  <si>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</si>
  <si>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</si>
  <si>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</si>
  <si>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</si>
  <si>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</si>
  <si>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22</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</si>
  <si>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</si>
  <si>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</si>
  <si>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</si>
  <si>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</si>
  <si>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</si>
  <si>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</si>
  <si>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</si>
  <si>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</si>
  <si>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</si>
  <si>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</si>
  <si>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</si>
  <si>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</si>
  <si>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</si>
  <si>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</si>
  <si>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</si>
  <si>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</si>
  <si>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</si>
  <si>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</si>
  <si>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</si>
  <si>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</si>
  <si>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</si>
  <si>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</si>
  <si>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</si>
  <si>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</si>
  <si>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</si>
  <si>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</si>
  <si>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</si>
  <si>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</si>
  <si>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</si>
  <si>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</si>
  <si>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</si>
  <si>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</si>
  <si>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</si>
  <si>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</si>
  <si>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</si>
  <si>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</si>
  <si>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</si>
  <si>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</si>
  <si>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</si>
  <si>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</si>
  <si>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</si>
  <si>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</si>
  <si>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</si>
  <si>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</si>
  <si>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</si>
  <si>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</si>
  <si>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</si>
  <si>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11/12</t>
  </si>
  <si>
    <t xml:space="preserve">teks</t>
  </si>
  <si>
    <t xml:space="preserve">mutasi</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</si>
  <si>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</si>
  <si>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</si>
  <si>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</si>
  <si>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</si>
  <si>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</si>
  <si>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</si>
  <si>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</si>
  <si>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</si>
  <si>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</si>
  <si>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</si>
  <si>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</si>
  <si>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</si>
  <si>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</si>
  <si>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</si>
  <si>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</si>
  <si>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</si>
  <si>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</si>
  <si>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</si>
  <si>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</si>
  <si>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</si>
  <si>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</si>
  <si>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</si>
  <si>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</si>
  <si>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</si>
  <si>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</si>
  <si>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</si>
  <si>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</si>
  <si>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</si>
  <si>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</si>
  <si>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</si>
  <si>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</si>
  <si>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</si>
  <si>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</si>
  <si>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</si>
  <si>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</si>
  <si>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</si>
  <si>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</si>
  <si>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26</t>
  </si>
  <si>
    <t xml:space="preserve">NCI per entitas</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</si>
  <si>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</si>
  <si>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</si>
  <si>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</si>
  <si>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</si>
  <si>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</si>
  <si>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</si>
  <si>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</si>
  <si>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</si>
  <si>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</si>
  <si>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</si>
  <si>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</si>
  <si>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</si>
  <si>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</si>
  <si>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</si>
  <si>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</si>
  <si>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</si>
  <si>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</si>
  <si>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</si>
  <si>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</si>
  <si>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</si>
  <si>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</si>
  <si>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</si>
  <si>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</si>
  <si>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</si>
  <si>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1e</t>
  </si>
  <si>
    <t xml:space="preserve">LK FY2022 Cat.1e hal.E/13-14 (teks)</t>
  </si>
  <si>
    <t xml:space="preserve">restated (memo)</t>
  </si>
  <si>
    <t xml:space="preserve">tidak dipakai model</t>
  </si>
  <si>
    <t xml:space="preserve">Jumlah aset lancar 31 Des 2020 disajikan kembali</t>
  </si>
  <si>
    <t xml:space="preserve">Jumlah aset tidak lancar 31 Des 2020 disajikan kembali</t>
  </si>
  <si>
    <t xml:space="preserve">Jumlah aset 31 Des 2020 disajikan kembali</t>
  </si>
  <si>
    <t xml:space="preserve">Liabilitas jangka pendek 31 Des 2020 disajikan kembali</t>
  </si>
  <si>
    <t xml:space="preserve">Liabilitas jangka panjang 31 Des 2020 disajikan kembali</t>
  </si>
  <si>
    <t xml:space="preserve">Jumlah liabilitas 31 Des 2020 disajikan kembali</t>
  </si>
  <si>
    <t xml:space="preserve">Jumlah ekuitas 31 Des 2020 disajikan kembali</t>
  </si>
  <si>
    <t xml:space="preserve">LK FY2022 Cat.1e hal.E/14 (teks)</t>
  </si>
  <si>
    <t xml:space="preserve">LK FY2022 Ekshibit A hal.4-6 (teks)</t>
  </si>
  <si>
    <t xml:space="preserve">Log data &amp; sumber</t>
  </si>
  <si>
    <t xml:space="preserve">Sumber per tahun, pemetaan akun tambahan, override, dan catatan pemuatan</t>
  </si>
  <si>
    <t xml:space="preserve">Jenis</t>
  </si>
  <si>
    <t xml:space="preserve">Item</t>
  </si>
  <si>
    <t xml:space="preserve">Keterangan</t>
  </si>
  <si>
    <t xml:space="preserve">Sumber</t>
  </si>
  <si>
    <t xml:space="preserve">Kolom FY2020</t>
  </si>
  <si>
    <t xml:space="preserve">Kolom FY2021</t>
  </si>
  <si>
    <t xml:space="preserve">Kolom FY2022</t>
  </si>
  <si>
    <t xml:space="preserve">Kolom FY2023</t>
  </si>
  <si>
    <t xml:space="preserve">Kolom FY2024</t>
  </si>
  <si>
    <t xml:space="preserve">Kolom FY2025</t>
  </si>
  <si>
    <t xml:space="preserve">Break basis</t>
  </si>
  <si>
    <t xml:space="preserve">2020 -&gt; 2021</t>
  </si>
  <si>
    <t xml:space="preserve">Kolom 2020 = basis ASLI LK FY2021 (tanpa DGNS); kolom 2021 dst = basis disajikan kembali (DGNS dikonsolidasi, PSAK 38). Kas akhir 2020 asli 624.986.556.241 != kas awal 2021 restated 641.524.826.591 (selisih 16.538.270.350 = kas DGNS). Pertumbuhan/rasio 2020-&gt;2021 tidak like-for-like.</t>
  </si>
  <si>
    <t xml:space="preserve">Pemetaan akun tambahan</t>
  </si>
  <si>
    <t xml:space="preserve">piutang_usaha_berelasi</t>
  </si>
  <si>
    <t xml:space="preserve">BS.TRADE_REC_RP -&gt; agregat piutang usaha</t>
  </si>
  <si>
    <t xml:space="preserve">utang_usaha_berelasi</t>
  </si>
  <si>
    <t xml:space="preserve">BS.TRADE_PAY_RP -&gt; agregat utang usaha</t>
  </si>
  <si>
    <t xml:space="preserve">utang_lain_berelasi</t>
  </si>
  <si>
    <t xml:space="preserve">BS.OTHER_PAY_RP -&gt; utang lain</t>
  </si>
  <si>
    <t xml:space="preserve">obligasi_konversi</t>
  </si>
  <si>
    <t xml:space="preserve">BS.CONV_BOND (baru, liabilitas jk panjang; dihitung sebagai utang di rasio)</t>
  </si>
  <si>
    <t xml:space="preserve">oci_asosiasi_ekuitas</t>
  </si>
  <si>
    <t xml:space="preserve">BS.OCI_ASSOC_RES -&gt; komponen ekuitas lain</t>
  </si>
  <si>
    <t xml:space="preserve">oci_asosiasi</t>
  </si>
  <si>
    <t xml:space="preserve">IS.OCI_ASSOC (baru, OCI)</t>
  </si>
  <si>
    <t xml:space="preserve">oci_pajak_revaluasi</t>
  </si>
  <si>
    <t xml:space="preserve">IS.OCI_REVAL_TAX -&gt; neto ke OCI revaluasi</t>
  </si>
  <si>
    <t xml:space="preserve">pelunasan_obligasi / pihak_berelasi_neto / setoran_modal</t>
  </si>
  <si>
    <t xml:space="preserve">CF.BOND_REPAY / CF.RELATED_PARTY_NET / CF.SHARE_ISSUE (baru, pendanaan)</t>
  </si>
  <si>
    <t xml:space="preserve">aset_tl_lain_turun</t>
  </si>
  <si>
    <t xml:space="preserve">CF.OTHER_NCA_DECREASE (baru, investasi)</t>
  </si>
  <si>
    <t xml:space="preserve">Koreksi (OVERRIDES)</t>
  </si>
  <si>
    <t xml:space="preserve">dari -163,412,509,355 menjadi 0. Tercetak (163.412.509.355) di LK FY2025 = duplikasi baris perolehan aset tetap; diisi 0 agar subtotal investasi = (245.291.393.404) sesuai laporan (Temuan c).</t>
  </si>
  <si>
    <t xml:space="preserve">File CALK</t>
  </si>
  <si>
    <t xml:space="preserve">BMHS_FY2020_tahapD_calk.json</t>
  </si>
  <si>
    <t xml:space="preserve">dimuat</t>
  </si>
  <si>
    <t xml:space="preserve">BMHS_FY2021_tahapD_calk.json</t>
  </si>
  <si>
    <t xml:space="preserve">BMHS_FY2022_tahapD_calk.json</t>
  </si>
  <si>
    <t xml:space="preserve">BMHS_FY2023_tahapD_calk.json</t>
  </si>
  <si>
    <t xml:space="preserve">BMHS_FY2025_tahapD_calk.json</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</si>
</sst>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00;\(#,##0.00\);\-"/>
    <numFmt numFmtId="173" formatCode="0"/>
    <numFmt numFmtId="174" formatCode="0.0000"/>
    <numFmt numFmtId="175" formatCode="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10"/>
      <color rgb="FFFFFFFF"/>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color rgb="FF0000F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EDEDED"/>
        <bgColor rgb="FFF2F2F2"/>
      </patternFill>
    </fill>
    <fill>
      <patternFill patternType="solid">
        <fgColor rgb="FF1F3864"/>
        <bgColor rgb="FF2F5597"/>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4"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9" fillId="5" borderId="0" xfId="0" applyFont="true" applyBorder="false" applyAlignment="fals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center" vertical="center" textRotation="0" wrapText="tru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5" fontId="18" fillId="6" borderId="2" xfId="0" applyFont="true" applyBorder="true" applyAlignment="true" applyProtection="false">
      <alignment horizontal="right"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6" fontId="18" fillId="0" borderId="2" xfId="0" applyFont="true" applyBorder="true" applyAlignment="true" applyProtection="false">
      <alignment horizontal="right" vertical="bottom" textRotation="0" wrapText="false" indent="0" shrinkToFit="false"/>
      <protection locked="true" hidden="false"/>
    </xf>
    <xf numFmtId="166" fontId="18"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5" fontId="18" fillId="0" borderId="2" xfId="0" applyFont="true" applyBorder="true" applyAlignment="true" applyProtection="false">
      <alignment horizontal="right" vertical="bottom" textRotation="0" wrapText="false" indent="0" shrinkToFit="false"/>
      <protection locked="true" hidden="false"/>
    </xf>
    <xf numFmtId="164" fontId="18" fillId="6" borderId="2" xfId="0" applyFont="true" applyBorder="true" applyAlignment="false" applyProtection="false">
      <alignment horizontal="general" vertical="bottom" textRotation="0" wrapText="false" indent="0" shrinkToFit="false"/>
      <protection locked="true" hidden="false"/>
    </xf>
    <xf numFmtId="167" fontId="18" fillId="6" borderId="2"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2" fillId="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2"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9" fillId="7" borderId="0" xfId="0" applyFont="true" applyBorder="false" applyAlignment="true" applyProtection="false">
      <alignment horizontal="center" vertical="center" textRotation="0" wrapText="tru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5" fontId="26" fillId="8"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66" fontId="26" fillId="8"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67" fontId="26" fillId="8" borderId="0" xfId="0" applyFont="true" applyBorder="false" applyAlignment="false" applyProtection="false">
      <alignment horizontal="general" vertical="bottom" textRotation="0" wrapText="false" indent="0" shrinkToFit="false"/>
      <protection locked="true" hidden="false"/>
    </xf>
    <xf numFmtId="168" fontId="26" fillId="0" borderId="0" xfId="0" applyFont="true" applyBorder="false" applyAlignment="false" applyProtection="false">
      <alignment horizontal="general" vertical="bottom" textRotation="0" wrapText="false" indent="0" shrinkToFit="false"/>
      <protection locked="true" hidden="false"/>
    </xf>
    <xf numFmtId="168" fontId="26" fillId="8" borderId="0" xfId="0" applyFont="true" applyBorder="false" applyAlignment="false" applyProtection="false">
      <alignment horizontal="general" vertical="bottom" textRotation="0" wrapText="false" indent="0" shrinkToFit="false"/>
      <protection locked="true" hidden="false"/>
    </xf>
    <xf numFmtId="164" fontId="29"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68"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4" fontId="30"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31" fillId="8"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72" fontId="26"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31" fillId="9" borderId="0" xfId="0" applyFont="true" applyBorder="false" applyAlignment="false" applyProtection="false">
      <alignment horizontal="general" vertical="bottom" textRotation="0" wrapText="false" indent="0" shrinkToFit="false"/>
      <protection locked="true" hidden="false"/>
    </xf>
    <xf numFmtId="172" fontId="31" fillId="9" borderId="0" xfId="0" applyFont="true" applyBorder="false" applyAlignment="false" applyProtection="false">
      <alignment horizontal="general" vertical="bottom" textRotation="0" wrapText="false" indent="0" shrinkToFit="false"/>
      <protection locked="true" hidden="false"/>
    </xf>
    <xf numFmtId="167" fontId="31" fillId="9" borderId="0" xfId="0" applyFont="true" applyBorder="false" applyAlignment="false" applyProtection="false">
      <alignment horizontal="general" vertical="bottom" textRotation="0" wrapText="false" indent="0" shrinkToFit="false"/>
      <protection locked="true" hidden="false"/>
    </xf>
    <xf numFmtId="168" fontId="31" fillId="9"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4" fontId="31" fillId="9" borderId="0" xfId="0" applyFont="true" applyBorder="false" applyAlignment="false" applyProtection="false">
      <alignment horizontal="general" vertical="bottom" textRotation="0" wrapText="false" indent="0" shrinkToFit="false"/>
      <protection locked="true" hidden="false"/>
    </xf>
    <xf numFmtId="173" fontId="31" fillId="9" borderId="0" xfId="0" applyFont="true" applyBorder="false" applyAlignment="false" applyProtection="false">
      <alignment horizontal="general" vertical="bottom" textRotation="0" wrapText="false" indent="0" shrinkToFit="false"/>
      <protection locked="true" hidden="false"/>
    </xf>
    <xf numFmtId="165" fontId="31" fillId="9" borderId="0" xfId="0" applyFont="true" applyBorder="false" applyAlignment="false" applyProtection="false">
      <alignment horizontal="general" vertical="bottom" textRotation="0" wrapText="false" indent="0" shrinkToFit="false"/>
      <protection locked="true" hidden="false"/>
    </xf>
    <xf numFmtId="169" fontId="31"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68" fontId="31" fillId="11" borderId="0" xfId="0" applyFont="true" applyBorder="false" applyAlignment="false" applyProtection="false">
      <alignment horizontal="general" vertical="bottom" textRotation="0" wrapText="false" indent="0" shrinkToFit="false"/>
      <protection locked="true" hidden="false"/>
    </xf>
    <xf numFmtId="175" fontId="31" fillId="0" borderId="0" xfId="0" applyFont="true" applyBorder="false" applyAlignment="false" applyProtection="false">
      <alignment horizontal="general" vertical="bottom" textRotation="0" wrapText="false" indent="0" shrinkToFit="false"/>
      <protection locked="true" hidden="false"/>
    </xf>
    <xf numFmtId="172"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31"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4" fontId="3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bgColor rgb="FFFFC7CE"/>
        </patternFill>
      </fill>
    </dxf>
    <dxf>
      <fill>
        <patternFill>
          <bgColor rgb="FFC6EF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1148.144381712</c:v>
                </c:pt>
                <c:pt idx="1">
                  <c:v>1890.800275747</c:v>
                </c:pt>
                <c:pt idx="2">
                  <c:v>1658.687911222</c:v>
                </c:pt>
                <c:pt idx="3">
                  <c:v>1488.197483371</c:v>
                </c:pt>
                <c:pt idx="4">
                  <c:v>1554.685010336</c:v>
                </c:pt>
                <c:pt idx="5">
                  <c:v>1614.340771512</c:v>
                </c:pt>
                <c:pt idx="6">
                  <c:v>1682.95731671299</c:v>
                </c:pt>
                <c:pt idx="7">
                  <c:v>1758.36918143511</c:v>
                </c:pt>
                <c:pt idx="8">
                  <c:v>1837.79778319753</c:v>
                </c:pt>
                <c:pt idx="9">
                  <c:v>1921.48643078835</c:v>
                </c:pt>
                <c:pt idx="10">
                  <c:v>2009.69432872672</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0">
                  <c:v>235.301826323</c:v>
                </c:pt>
                <c:pt idx="1">
                  <c:v>560.103371149</c:v>
                </c:pt>
                <c:pt idx="2">
                  <c:v>335.76760393</c:v>
                </c:pt>
                <c:pt idx="3">
                  <c:v>215.483268901</c:v>
                </c:pt>
                <c:pt idx="4">
                  <c:v>211.435529576</c:v>
                </c:pt>
                <c:pt idx="5">
                  <c:v>215.790960842</c:v>
                </c:pt>
                <c:pt idx="6">
                  <c:v>242.345853606671</c:v>
                </c:pt>
                <c:pt idx="7">
                  <c:v>253.205162126656</c:v>
                </c:pt>
                <c:pt idx="8">
                  <c:v>264.642880780444</c:v>
                </c:pt>
                <c:pt idx="9">
                  <c:v>276.694046033522</c:v>
                </c:pt>
                <c:pt idx="10">
                  <c:v>289.395983336648</c:v>
                </c:pt>
              </c:numCache>
            </c:numRef>
          </c:val>
        </c:ser>
        <c:gapWidth val="150"/>
        <c:overlap val="0"/>
        <c:axId val="58993441"/>
        <c:axId val="96224906"/>
      </c:barChart>
      <c:catAx>
        <c:axId val="589934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224906"/>
        <c:crosses val="autoZero"/>
        <c:auto val="1"/>
        <c:lblAlgn val="ctr"/>
        <c:lblOffset val="100"/>
        <c:noMultiLvlLbl val="0"/>
      </c:catAx>
      <c:valAx>
        <c:axId val="9622490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899344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0">
                  <c:v>0.204940972643302</c:v>
                </c:pt>
                <c:pt idx="1">
                  <c:v>0.296225560326682</c:v>
                </c:pt>
                <c:pt idx="2">
                  <c:v>0.202429644334136</c:v>
                </c:pt>
                <c:pt idx="3">
                  <c:v>0.144794808020302</c:v>
                </c:pt>
                <c:pt idx="4">
                  <c:v>0.135998950379218</c:v>
                </c:pt>
                <c:pt idx="5">
                  <c:v>0.133671257425958</c:v>
                </c:pt>
                <c:pt idx="6">
                  <c:v>0.144</c:v>
                </c:pt>
                <c:pt idx="7">
                  <c:v>0.144</c:v>
                </c:pt>
                <c:pt idx="8">
                  <c:v>0.144</c:v>
                </c:pt>
                <c:pt idx="9">
                  <c:v>0.144</c:v>
                </c:pt>
                <c:pt idx="10">
                  <c:v>0.144</c:v>
                </c:pt>
              </c:numCache>
            </c:numRef>
          </c:val>
          <c:smooth val="1"/>
        </c:ser>
        <c:hiLowLines>
          <c:spPr>
            <a:ln w="0">
              <a:noFill/>
            </a:ln>
          </c:spPr>
        </c:hiLowLines>
        <c:marker val="0"/>
        <c:axId val="13866111"/>
        <c:axId val="97890044"/>
      </c:lineChart>
      <c:catAx>
        <c:axId val="138661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7890044"/>
        <c:crosses val="autoZero"/>
        <c:auto val="1"/>
        <c:lblAlgn val="ctr"/>
        <c:lblOffset val="100"/>
        <c:noMultiLvlLbl val="0"/>
      </c:catAx>
      <c:valAx>
        <c:axId val="9789004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386611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190.358533077</c:v>
                </c:pt>
                <c:pt idx="1">
                  <c:v>349.43839218</c:v>
                </c:pt>
                <c:pt idx="2">
                  <c:v>131.084359442</c:v>
                </c:pt>
                <c:pt idx="3">
                  <c:v>51.438728484</c:v>
                </c:pt>
                <c:pt idx="4">
                  <c:v>33.979487371</c:v>
                </c:pt>
                <c:pt idx="5">
                  <c:v>250.621859694</c:v>
                </c:pt>
                <c:pt idx="6">
                  <c:v>165.057033903763</c:v>
                </c:pt>
                <c:pt idx="7">
                  <c:v>177.271625840272</c:v>
                </c:pt>
                <c:pt idx="8">
                  <c:v>184.281320995651</c:v>
                </c:pt>
                <c:pt idx="9">
                  <c:v>191.685263377478</c:v>
                </c:pt>
                <c:pt idx="10">
                  <c:v>199.506110947403</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-49.606709171</c:v>
                </c:pt>
                <c:pt idx="1">
                  <c:v>-298.175362181</c:v>
                </c:pt>
                <c:pt idx="2">
                  <c:v>-301.730050964</c:v>
                </c:pt>
                <c:pt idx="3">
                  <c:v>-209.353390575</c:v>
                </c:pt>
                <c:pt idx="4">
                  <c:v>-173.694170491</c:v>
                </c:pt>
                <c:pt idx="5">
                  <c:v>-218.905414893</c:v>
                </c:pt>
                <c:pt idx="6">
                  <c:v>-201.954878005559</c:v>
                </c:pt>
                <c:pt idx="7">
                  <c:v>-211.004301772213</c:v>
                </c:pt>
                <c:pt idx="8">
                  <c:v>-220.535733983703</c:v>
                </c:pt>
                <c:pt idx="9">
                  <c:v>-230.578371694602</c:v>
                </c:pt>
                <c:pt idx="10">
                  <c:v>-241.163319447207</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140.751823906</c:v>
                </c:pt>
                <c:pt idx="1">
                  <c:v>51.263029999</c:v>
                </c:pt>
                <c:pt idx="2">
                  <c:v>-170.645691522</c:v>
                </c:pt>
                <c:pt idx="3">
                  <c:v>-157.914662091</c:v>
                </c:pt>
                <c:pt idx="4">
                  <c:v>-163.68279936</c:v>
                </c:pt>
                <c:pt idx="5">
                  <c:v>-66.982627658</c:v>
                </c:pt>
                <c:pt idx="6">
                  <c:v>-88.5760116816456</c:v>
                </c:pt>
                <c:pt idx="7">
                  <c:v>-85.4108435117914</c:v>
                </c:pt>
                <c:pt idx="8">
                  <c:v>-87.9325805679021</c:v>
                </c:pt>
                <c:pt idx="9">
                  <c:v>-90.5712758969735</c:v>
                </c:pt>
                <c:pt idx="10">
                  <c:v>-93.3353760796536</c:v>
                </c:pt>
              </c:numCache>
            </c:numRef>
          </c:val>
        </c:ser>
        <c:gapWidth val="150"/>
        <c:overlap val="0"/>
        <c:axId val="1693389"/>
        <c:axId val="34524248"/>
      </c:barChart>
      <c:catAx>
        <c:axId val="16933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524248"/>
        <c:crosses val="autoZero"/>
        <c:auto val="1"/>
        <c:lblAlgn val="ctr"/>
        <c:lblOffset val="100"/>
        <c:noMultiLvlLbl val="0"/>
      </c:catAx>
      <c:valAx>
        <c:axId val="3452424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693389"/>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0">
                  <c:v>0.79543405712489</c:v>
                </c:pt>
                <c:pt idx="1">
                  <c:v>-0.281531549902155</c:v>
                </c:pt>
                <c:pt idx="2">
                  <c:v>0.899854483340775</c:v>
                </c:pt>
                <c:pt idx="3">
                  <c:v>2.31059917842507</c:v>
                </c:pt>
                <c:pt idx="4">
                  <c:v>1.8000588824746</c:v>
                </c:pt>
                <c:pt idx="5">
                  <c:v>2.45238549956908</c:v>
                </c:pt>
                <c:pt idx="6">
                  <c:v>2.59813767238522</c:v>
                </c:pt>
                <c:pt idx="7">
                  <c:v>2.85387457222256</c:v>
                </c:pt>
                <c:pt idx="8">
                  <c:v>3.09508552621666</c:v>
                </c:pt>
                <c:pt idx="9">
                  <c:v>3.32259723771928</c:v>
                </c:pt>
                <c:pt idx="10">
                  <c:v>3.53691315939323</c:v>
                </c:pt>
              </c:numCache>
            </c:numRef>
          </c:val>
          <c:smooth val="1"/>
        </c:ser>
        <c:hiLowLines>
          <c:spPr>
            <a:ln w="0">
              <a:noFill/>
            </a:ln>
          </c:spPr>
        </c:hiLowLines>
        <c:marker val="0"/>
        <c:axId val="38172929"/>
        <c:axId val="51431042"/>
      </c:lineChart>
      <c:catAx>
        <c:axId val="381729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431042"/>
        <c:crosses val="autoZero"/>
        <c:auto val="1"/>
        <c:lblAlgn val="ctr"/>
        <c:lblOffset val="100"/>
        <c:noMultiLvlLbl val="0"/>
      </c:catAx>
      <c:valAx>
        <c:axId val="51431042"/>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172929"/>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33</xdr:row>
      <xdr:rowOff>0</xdr:rowOff>
    </xdr:from>
    <xdr:to>
      <xdr:col>7</xdr:col>
      <xdr:colOff>583200</xdr:colOff>
      <xdr:row>48</xdr:row>
      <xdr:rowOff>56520</xdr:rowOff>
    </xdr:to>
    <xdr:pic>
      <xdr:nvPicPr>
        <xdr:cNvPr id="0" name="Image 1" descr="Picture"/>
        <xdr:cNvPicPr/>
      </xdr:nvPicPr>
      <xdr:blipFill>
        <a:blip r:embed="rId1"/>
        <a:stretch/>
      </xdr:blipFill>
      <xdr:spPr>
        <a:xfrm>
          <a:off x="106200" y="7800840"/>
          <a:ext cx="6362280" cy="2914200"/>
        </a:xfrm>
        <a:prstGeom prst="rect">
          <a:avLst/>
        </a:prstGeom>
        <a:noFill/>
        <a:ln w="0">
          <a:noFill/>
        </a:ln>
      </xdr:spPr>
    </xdr:pic>
    <xdr:clientData/>
  </xdr:twoCellAnchor>
  <xdr:twoCellAnchor editAs="oneCell">
    <xdr:from>
      <xdr:col>1</xdr:col>
      <xdr:colOff>0</xdr:colOff>
      <xdr:row>52</xdr:row>
      <xdr:rowOff>0</xdr:rowOff>
    </xdr:from>
    <xdr:to>
      <xdr:col>7</xdr:col>
      <xdr:colOff>583200</xdr:colOff>
      <xdr:row>66</xdr:row>
      <xdr:rowOff>66600</xdr:rowOff>
    </xdr:to>
    <xdr:pic>
      <xdr:nvPicPr>
        <xdr:cNvPr id="1" name="Image 2" descr="Picture"/>
        <xdr:cNvPicPr/>
      </xdr:nvPicPr>
      <xdr:blipFill>
        <a:blip r:embed="rId2"/>
        <a:stretch/>
      </xdr:blipFill>
      <xdr:spPr>
        <a:xfrm>
          <a:off x="106200" y="11544480"/>
          <a:ext cx="6362280" cy="2733480"/>
        </a:xfrm>
        <a:prstGeom prst="rect">
          <a:avLst/>
        </a:prstGeom>
        <a:noFill/>
        <a:ln w="0">
          <a:noFill/>
        </a:ln>
      </xdr:spPr>
    </xdr:pic>
    <xdr:clientData/>
  </xdr:twoCellAnchor>
  <xdr:twoCellAnchor editAs="oneCell">
    <xdr:from>
      <xdr:col>1</xdr:col>
      <xdr:colOff>0</xdr:colOff>
      <xdr:row>70</xdr:row>
      <xdr:rowOff>0</xdr:rowOff>
    </xdr:from>
    <xdr:to>
      <xdr:col>7</xdr:col>
      <xdr:colOff>583200</xdr:colOff>
      <xdr:row>83</xdr:row>
      <xdr:rowOff>84960</xdr:rowOff>
    </xdr:to>
    <xdr:pic>
      <xdr:nvPicPr>
        <xdr:cNvPr id="2" name="Image 3" descr="Picture"/>
        <xdr:cNvPicPr/>
      </xdr:nvPicPr>
      <xdr:blipFill>
        <a:blip r:embed="rId3"/>
        <a:stretch/>
      </xdr:blipFill>
      <xdr:spPr>
        <a:xfrm>
          <a:off x="106200" y="1509696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BMHS_model_pro.xlsx" TargetMode="External"/><Relationship Id="rId2" Type="http://schemas.openxmlformats.org/officeDocument/2006/relationships/hyperlink" Target="../../BMHS_model_pro.xlsx" TargetMode="External"/><Relationship Id="rId3" Type="http://schemas.openxmlformats.org/officeDocument/2006/relationships/hyperlink" Target="../../BMHS_model_pro.xlsx" TargetMode="External"/><Relationship Id="rId4" Type="http://schemas.openxmlformats.org/officeDocument/2006/relationships/hyperlink" Target="../../BMHS_model_pro.xlsx" TargetMode="External"/><Relationship Id="rId5" Type="http://schemas.openxmlformats.org/officeDocument/2006/relationships/hyperlink" Target="../../BMHS_model_pro.xlsx" TargetMode="External"/><Relationship Id="rId6" Type="http://schemas.openxmlformats.org/officeDocument/2006/relationships/hyperlink" Target="../../BMHS_model_pro.xlsx" TargetMode="External"/><Relationship Id="rId7" Type="http://schemas.openxmlformats.org/officeDocument/2006/relationships/hyperlink" Target="../../BMHS_model_pro.xlsx" TargetMode="External"/><Relationship Id="rId8" Type="http://schemas.openxmlformats.org/officeDocument/2006/relationships/hyperlink" Target="../../BMHS_model_pro.xlsx" TargetMode="External"/><Relationship Id="rId9" Type="http://schemas.openxmlformats.org/officeDocument/2006/relationships/hyperlink" Target="../../BMHS_model_pro.xlsx" TargetMode="External"/><Relationship Id="rId10" Type="http://schemas.openxmlformats.org/officeDocument/2006/relationships/hyperlink" Target="../../BMHS_model_pro.xlsx" TargetMode="External"/><Relationship Id="rId11" Type="http://schemas.openxmlformats.org/officeDocument/2006/relationships/hyperlink" Target="../../BMHS_model_pro.xlsx" TargetMode="External"/><Relationship Id="rId12" Type="http://schemas.openxmlformats.org/officeDocument/2006/relationships/hyperlink" Target="../../BMHS_model_pro.xlsx" TargetMode="External"/><Relationship Id="rId13" Type="http://schemas.openxmlformats.org/officeDocument/2006/relationships/hyperlink" Target="../../BMHS_model_pro.xlsx" TargetMode="External"/><Relationship Id="rId14" Type="http://schemas.openxmlformats.org/officeDocument/2006/relationships/hyperlink" Target="../../BMHS_model_pro.xlsx" TargetMode="External"/><Relationship Id="rId15" Type="http://schemas.openxmlformats.org/officeDocument/2006/relationships/hyperlink" Target="../../BMHS_model_pro.xlsx" TargetMode="External"/><Relationship Id="rId16" Type="http://schemas.openxmlformats.org/officeDocument/2006/relationships/hyperlink" Target="../../BMHS_model_pro.xlsx" TargetMode="External"/><Relationship Id="rId17" Type="http://schemas.openxmlformats.org/officeDocument/2006/relationships/hyperlink" Target="../../BMHS_model_pro.xlsx" TargetMode="External"/><Relationship Id="rId18" Type="http://schemas.openxmlformats.org/officeDocument/2006/relationships/hyperlink" Target="../../BMHS_model_pro.xlsx" TargetMode="External"/><Relationship Id="rId19" Type="http://schemas.openxmlformats.org/officeDocument/2006/relationships/hyperlink" Target="../../BMHS_model_pro.xlsx" TargetMode="External"/><Relationship Id="rId20" Type="http://schemas.openxmlformats.org/officeDocument/2006/relationships/hyperlink" Target="../../BMHS_model_pro.xlsx"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25.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500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0" t="s">
        <v>33</v>
      </c>
    </row>
    <row r="28" customFormat="false" ht="15" hidden="false" customHeight="false" outlineLevel="0" collapsed="false">
      <c r="B28" s="3" t="s">
        <v>34</v>
      </c>
    </row>
    <row r="29" customFormat="false" ht="15" hidden="false" customHeight="false" outlineLevel="0" collapsed="false">
      <c r="B29" s="12" t="s">
        <v>35</v>
      </c>
      <c r="C29" s="13" t="s">
        <v>36</v>
      </c>
    </row>
    <row r="30" customFormat="false" ht="15" hidden="false" customHeight="false" outlineLevel="0" collapsed="false">
      <c r="B30" s="12" t="s">
        <v>37</v>
      </c>
      <c r="C30" s="13" t="s">
        <v>38</v>
      </c>
    </row>
    <row r="31" customFormat="false" ht="15" hidden="false" customHeight="false" outlineLevel="0" collapsed="false">
      <c r="B31" s="12" t="s">
        <v>39</v>
      </c>
      <c r="C31" s="13" t="s">
        <v>40</v>
      </c>
    </row>
    <row r="32" customFormat="false" ht="15" hidden="false" customHeight="false" outlineLevel="0" collapsed="false">
      <c r="B32" s="12" t="s">
        <v>41</v>
      </c>
      <c r="C32" s="13" t="s">
        <v>42</v>
      </c>
    </row>
    <row r="33" customFormat="false" ht="15" hidden="false" customHeight="false" outlineLevel="0" collapsed="false">
      <c r="B33" s="12" t="s">
        <v>43</v>
      </c>
      <c r="C33" s="13" t="s">
        <v>44</v>
      </c>
    </row>
    <row r="34" customFormat="false" ht="15" hidden="false" customHeight="false" outlineLevel="0" collapsed="false">
      <c r="B34" s="12" t="s">
        <v>45</v>
      </c>
      <c r="C34" s="13" t="s">
        <v>46</v>
      </c>
    </row>
    <row r="35" customFormat="false" ht="15" hidden="false" customHeight="false" outlineLevel="0" collapsed="false">
      <c r="B35" s="12" t="s">
        <v>47</v>
      </c>
      <c r="C35" s="13" t="s">
        <v>48</v>
      </c>
    </row>
    <row r="36" customFormat="false" ht="15" hidden="false" customHeight="false" outlineLevel="0" collapsed="false">
      <c r="B36" s="12" t="s">
        <v>49</v>
      </c>
      <c r="C36" s="13" t="s">
        <v>50</v>
      </c>
    </row>
    <row r="37" customFormat="false" ht="15" hidden="false" customHeight="false" outlineLevel="0" collapsed="false">
      <c r="B37" s="12" t="s">
        <v>51</v>
      </c>
      <c r="C37" s="13" t="s">
        <v>52</v>
      </c>
    </row>
    <row r="38" customFormat="false" ht="15" hidden="false" customHeight="false" outlineLevel="0" collapsed="false">
      <c r="B38" s="12" t="s">
        <v>53</v>
      </c>
      <c r="C38" s="13" t="s">
        <v>54</v>
      </c>
    </row>
    <row r="39" customFormat="false" ht="15" hidden="false" customHeight="false" outlineLevel="0" collapsed="false">
      <c r="B39" s="12" t="s">
        <v>55</v>
      </c>
      <c r="C39" s="13" t="s">
        <v>56</v>
      </c>
    </row>
    <row r="40" customFormat="false" ht="15" hidden="false" customHeight="false" outlineLevel="0" collapsed="false">
      <c r="B40" s="12" t="s">
        <v>57</v>
      </c>
      <c r="C40" s="13" t="s">
        <v>58</v>
      </c>
    </row>
    <row r="41" customFormat="false" ht="15" hidden="false" customHeight="false" outlineLevel="0" collapsed="false">
      <c r="B41" s="12" t="s">
        <v>59</v>
      </c>
      <c r="C41" s="13" t="s">
        <v>60</v>
      </c>
    </row>
    <row r="42" customFormat="false" ht="15" hidden="false" customHeight="false" outlineLevel="0" collapsed="false">
      <c r="B42" s="12" t="s">
        <v>61</v>
      </c>
      <c r="C42" s="13" t="s">
        <v>62</v>
      </c>
    </row>
    <row r="43" customFormat="false" ht="15" hidden="false" customHeight="false" outlineLevel="0" collapsed="false">
      <c r="B43" s="12" t="s">
        <v>63</v>
      </c>
      <c r="C43" s="13" t="s">
        <v>64</v>
      </c>
    </row>
    <row r="44" customFormat="false" ht="15" hidden="false" customHeight="false" outlineLevel="0" collapsed="false">
      <c r="B44" s="12" t="s">
        <v>65</v>
      </c>
      <c r="C44" s="13" t="s">
        <v>66</v>
      </c>
    </row>
    <row r="45" customFormat="false" ht="15" hidden="false" customHeight="false" outlineLevel="0" collapsed="false">
      <c r="B45" s="12" t="s">
        <v>67</v>
      </c>
      <c r="C45" s="13" t="s">
        <v>68</v>
      </c>
    </row>
    <row r="46" customFormat="false" ht="15" hidden="false" customHeight="false" outlineLevel="0" collapsed="false">
      <c r="B46" s="12" t="s">
        <v>69</v>
      </c>
      <c r="C46" s="13" t="s">
        <v>70</v>
      </c>
    </row>
    <row r="47" customFormat="false" ht="15" hidden="false" customHeight="false" outlineLevel="0" collapsed="false">
      <c r="B47" s="12" t="s">
        <v>71</v>
      </c>
      <c r="C47" s="13" t="s">
        <v>72</v>
      </c>
    </row>
    <row r="48" customFormat="false" ht="15" hidden="false" customHeight="false" outlineLevel="0" collapsed="false">
      <c r="B48" s="12" t="s">
        <v>73</v>
      </c>
      <c r="C48" s="13" t="s">
        <v>74</v>
      </c>
    </row>
  </sheetData>
  <hyperlinks>
    <hyperlink ref="B29" r:id="rId1" location="'Cover'!A1" display="Cover"/>
    <hyperlink ref="B30" r:id="rId2" location="'Panduan'!A1" display="Panduan"/>
    <hyperlink ref="B31" r:id="rId3" location="'Ringkasan'!A1" display="Ringkasan"/>
    <hyperlink ref="B32" r:id="rId4" location="'Dashboard'!A1" display="Dashboard"/>
    <hyperlink ref="B33" r:id="rId5" location="'Asumsi'!A1" display="Asumsi"/>
    <hyperlink ref="B34" r:id="rId6" location="'IS_Proj'!A1" display="IS_Proj"/>
    <hyperlink ref="B35" r:id="rId7" location="'BS_Proj'!A1" display="BS_Proj"/>
    <hyperlink ref="B36" r:id="rId8" location="'CF_Proj'!A1" display="CF_Proj"/>
    <hyperlink ref="B37" r:id="rId9" location="'Schedules_Proj'!A1" display="Schedules_Proj"/>
    <hyperlink ref="B38" r:id="rId10" location="'DCF_Template'!A1" display="DCF_Template"/>
    <hyperlink ref="B39" r:id="rId11" location="'Peer'!A1" display="Peer"/>
    <hyperlink ref="B40" r:id="rId12" location="'IS'!A1" display="IS"/>
    <hyperlink ref="B41" r:id="rId13" location="'BS'!A1" display="BS"/>
    <hyperlink ref="B42" r:id="rId14" location="'CF'!A1" display="CF"/>
    <hyperlink ref="B43" r:id="rId15" location="'Schedules'!A1" display="Schedules"/>
    <hyperlink ref="B44" r:id="rId16" location="'Rasio'!A1" display="Rasio"/>
    <hyperlink ref="B45" r:id="rId17" location="'Rekonsiliasi'!A1" display="Rekonsiliasi"/>
    <hyperlink ref="B46" r:id="rId18" location="'Temuan'!A1" display="Temuan"/>
    <hyperlink ref="B47" r:id="rId19" location="'Database'!A1" display="Database"/>
    <hyperlink ref="B48" r:id="rId20"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75</v>
      </c>
    </row>
    <row r="2" customFormat="false" ht="15" hidden="false" customHeight="false" outlineLevel="0" collapsed="false">
      <c r="A2" s="15" t="s">
        <v>76</v>
      </c>
    </row>
    <row r="4" customFormat="false" ht="15" hidden="false" customHeight="false" outlineLevel="0" collapsed="false">
      <c r="A4" s="16"/>
      <c r="B4" s="17" t="s">
        <v>77</v>
      </c>
      <c r="C4" s="16"/>
    </row>
    <row r="5" customFormat="false" ht="25.5" hidden="false" customHeight="true" outlineLevel="0" collapsed="false">
      <c r="B5" s="4" t="s">
        <v>78</v>
      </c>
      <c r="C5" s="10" t="s">
        <v>79</v>
      </c>
    </row>
    <row r="6" customFormat="false" ht="25.5" hidden="false" customHeight="true" outlineLevel="0" collapsed="false">
      <c r="B6" s="4" t="s">
        <v>80</v>
      </c>
      <c r="C6" s="10" t="s">
        <v>81</v>
      </c>
    </row>
    <row r="7" customFormat="false" ht="25.5" hidden="false" customHeight="true" outlineLevel="0" collapsed="false">
      <c r="B7" s="4" t="s">
        <v>82</v>
      </c>
      <c r="C7" s="10" t="s">
        <v>83</v>
      </c>
    </row>
    <row r="8" customFormat="false" ht="25.5" hidden="false" customHeight="true" outlineLevel="0" collapsed="false">
      <c r="B8" s="4" t="s">
        <v>84</v>
      </c>
      <c r="C8" s="10" t="s">
        <v>85</v>
      </c>
    </row>
    <row r="9" customFormat="false" ht="25.5" hidden="false" customHeight="true" outlineLevel="0" collapsed="false">
      <c r="B9" s="4" t="s">
        <v>86</v>
      </c>
      <c r="C9" s="10" t="s">
        <v>87</v>
      </c>
    </row>
    <row r="10" customFormat="false" ht="25.5" hidden="false" customHeight="true" outlineLevel="0" collapsed="false">
      <c r="B10" s="4" t="s">
        <v>88</v>
      </c>
      <c r="C10" s="10" t="s">
        <v>89</v>
      </c>
    </row>
    <row r="11" customFormat="false" ht="25.5" hidden="false" customHeight="true" outlineLevel="0" collapsed="false">
      <c r="B11" s="4" t="s">
        <v>90</v>
      </c>
      <c r="C11" s="10" t="s">
        <v>91</v>
      </c>
    </row>
    <row r="13" customFormat="false" ht="15" hidden="false" customHeight="false" outlineLevel="0" collapsed="false">
      <c r="A13" s="16"/>
      <c r="B13" s="17" t="s">
        <v>92</v>
      </c>
      <c r="C13" s="16"/>
    </row>
    <row r="14" customFormat="false" ht="15" hidden="false" customHeight="true" outlineLevel="0" collapsed="false">
      <c r="B14" s="4" t="s">
        <v>93</v>
      </c>
      <c r="C14" s="10" t="s">
        <v>94</v>
      </c>
    </row>
    <row r="15" customFormat="false" ht="15" hidden="false" customHeight="true" outlineLevel="0" collapsed="false">
      <c r="B15" s="4" t="s">
        <v>95</v>
      </c>
      <c r="C15" s="10" t="s">
        <v>96</v>
      </c>
    </row>
    <row r="16" customFormat="false" ht="15" hidden="false" customHeight="true" outlineLevel="0" collapsed="false">
      <c r="B16" s="4" t="s">
        <v>97</v>
      </c>
      <c r="C16" s="10" t="s">
        <v>98</v>
      </c>
    </row>
    <row r="17" customFormat="false" ht="15" hidden="false" customHeight="true" outlineLevel="0" collapsed="false">
      <c r="B17" s="4" t="s">
        <v>99</v>
      </c>
      <c r="C17" s="10" t="s">
        <v>100</v>
      </c>
    </row>
    <row r="18" customFormat="false" ht="15" hidden="false" customHeight="true" outlineLevel="0" collapsed="false">
      <c r="B18" s="4" t="s">
        <v>101</v>
      </c>
      <c r="C18" s="10" t="s">
        <v>102</v>
      </c>
    </row>
    <row r="19" customFormat="false" ht="15" hidden="false" customHeight="true" outlineLevel="0" collapsed="false">
      <c r="B19" s="4" t="s">
        <v>103</v>
      </c>
      <c r="C19" s="10" t="s">
        <v>104</v>
      </c>
    </row>
    <row r="21" customFormat="false" ht="15" hidden="false" customHeight="false" outlineLevel="0" collapsed="false">
      <c r="A21" s="16"/>
      <c r="B21" s="17" t="s">
        <v>105</v>
      </c>
      <c r="C21" s="16"/>
    </row>
    <row r="22" customFormat="false" ht="25.5" hidden="false" customHeight="true" outlineLevel="0" collapsed="false">
      <c r="B22" s="4" t="s">
        <v>106</v>
      </c>
      <c r="C22" s="10" t="s">
        <v>107</v>
      </c>
    </row>
    <row r="23" customFormat="false" ht="25.5" hidden="false" customHeight="true" outlineLevel="0" collapsed="false">
      <c r="B23" s="4" t="s">
        <v>108</v>
      </c>
      <c r="C23" s="10" t="s">
        <v>109</v>
      </c>
    </row>
    <row r="24" customFormat="false" ht="15" hidden="false" customHeight="true" outlineLevel="0" collapsed="false">
      <c r="B24" s="4" t="s">
        <v>110</v>
      </c>
      <c r="C24" s="10" t="s">
        <v>111</v>
      </c>
    </row>
    <row r="25" customFormat="false" ht="15" hidden="false" customHeight="true" outlineLevel="0" collapsed="false">
      <c r="B25" s="4" t="s">
        <v>26</v>
      </c>
      <c r="C25" s="10" t="s">
        <v>112</v>
      </c>
    </row>
    <row r="27" customFormat="false" ht="15" hidden="false" customHeight="false" outlineLevel="0" collapsed="false">
      <c r="A27" s="16"/>
      <c r="B27" s="17" t="s">
        <v>113</v>
      </c>
      <c r="C27" s="16"/>
    </row>
    <row r="28" customFormat="false" ht="15" hidden="false" customHeight="true" outlineLevel="0" collapsed="false">
      <c r="B28" s="4" t="s">
        <v>35</v>
      </c>
      <c r="C28" s="10" t="s">
        <v>36</v>
      </c>
    </row>
    <row r="29" customFormat="false" ht="15" hidden="false" customHeight="true" outlineLevel="0" collapsed="false">
      <c r="B29" s="4" t="s">
        <v>37</v>
      </c>
      <c r="C29" s="10" t="s">
        <v>38</v>
      </c>
    </row>
    <row r="30" customFormat="false" ht="15" hidden="false" customHeight="true" outlineLevel="0" collapsed="false">
      <c r="B30" s="4" t="s">
        <v>39</v>
      </c>
      <c r="C30" s="10" t="s">
        <v>40</v>
      </c>
    </row>
    <row r="31" customFormat="false" ht="15" hidden="false" customHeight="true" outlineLevel="0" collapsed="false">
      <c r="B31" s="4" t="s">
        <v>41</v>
      </c>
      <c r="C31" s="10" t="s">
        <v>42</v>
      </c>
    </row>
    <row r="32" customFormat="false" ht="15" hidden="false" customHeight="true" outlineLevel="0" collapsed="false">
      <c r="B32" s="4" t="s">
        <v>43</v>
      </c>
      <c r="C32" s="10" t="s">
        <v>44</v>
      </c>
    </row>
    <row r="33" customFormat="false" ht="15" hidden="false" customHeight="true" outlineLevel="0" collapsed="false">
      <c r="B33" s="4" t="s">
        <v>45</v>
      </c>
      <c r="C33" s="10" t="s">
        <v>46</v>
      </c>
    </row>
    <row r="34" customFormat="false" ht="15" hidden="false" customHeight="true" outlineLevel="0" collapsed="false">
      <c r="B34" s="4" t="s">
        <v>47</v>
      </c>
      <c r="C34" s="10" t="s">
        <v>48</v>
      </c>
    </row>
    <row r="35" customFormat="false" ht="15" hidden="false" customHeight="true" outlineLevel="0" collapsed="false">
      <c r="B35" s="4" t="s">
        <v>49</v>
      </c>
      <c r="C35" s="10" t="s">
        <v>50</v>
      </c>
    </row>
    <row r="36" customFormat="false" ht="15" hidden="false" customHeight="true" outlineLevel="0" collapsed="false">
      <c r="B36" s="4" t="s">
        <v>51</v>
      </c>
      <c r="C36" s="10" t="s">
        <v>52</v>
      </c>
    </row>
    <row r="37" customFormat="false" ht="15" hidden="false" customHeight="true" outlineLevel="0" collapsed="false">
      <c r="B37" s="4" t="s">
        <v>53</v>
      </c>
      <c r="C37" s="10" t="s">
        <v>54</v>
      </c>
    </row>
    <row r="38" customFormat="false" ht="15" hidden="false" customHeight="true" outlineLevel="0" collapsed="false">
      <c r="B38" s="4" t="s">
        <v>55</v>
      </c>
      <c r="C38" s="10" t="s">
        <v>56</v>
      </c>
    </row>
    <row r="39" customFormat="false" ht="15" hidden="false" customHeight="true" outlineLevel="0" collapsed="false">
      <c r="B39" s="4" t="s">
        <v>57</v>
      </c>
      <c r="C39" s="10" t="s">
        <v>58</v>
      </c>
    </row>
    <row r="40" customFormat="false" ht="15" hidden="false" customHeight="true" outlineLevel="0" collapsed="false">
      <c r="B40" s="4" t="s">
        <v>59</v>
      </c>
      <c r="C40" s="10" t="s">
        <v>60</v>
      </c>
    </row>
    <row r="41" customFormat="false" ht="15" hidden="false" customHeight="true" outlineLevel="0" collapsed="false">
      <c r="B41" s="4" t="s">
        <v>61</v>
      </c>
      <c r="C41" s="10" t="s">
        <v>62</v>
      </c>
    </row>
    <row r="42" customFormat="false" ht="15" hidden="false" customHeight="true" outlineLevel="0" collapsed="false">
      <c r="B42" s="4" t="s">
        <v>63</v>
      </c>
      <c r="C42" s="10" t="s">
        <v>64</v>
      </c>
    </row>
    <row r="43" customFormat="false" ht="15" hidden="false" customHeight="true" outlineLevel="0" collapsed="false">
      <c r="B43" s="4" t="s">
        <v>65</v>
      </c>
      <c r="C43" s="10" t="s">
        <v>66</v>
      </c>
    </row>
    <row r="44" customFormat="false" ht="15" hidden="false" customHeight="true" outlineLevel="0" collapsed="false">
      <c r="B44" s="4" t="s">
        <v>67</v>
      </c>
      <c r="C44" s="10" t="s">
        <v>68</v>
      </c>
    </row>
    <row r="45" customFormat="false" ht="15" hidden="false" customHeight="true" outlineLevel="0" collapsed="false">
      <c r="B45" s="4" t="s">
        <v>69</v>
      </c>
      <c r="C45" s="10" t="s">
        <v>70</v>
      </c>
    </row>
    <row r="46" customFormat="false" ht="15" hidden="false" customHeight="true" outlineLevel="0" collapsed="false">
      <c r="B46" s="4" t="s">
        <v>71</v>
      </c>
      <c r="C46" s="10" t="s">
        <v>72</v>
      </c>
    </row>
    <row r="47" customFormat="false" ht="15" hidden="false" customHeight="true" outlineLevel="0" collapsed="false">
      <c r="B47" s="4" t="s">
        <v>73</v>
      </c>
      <c r="C47" s="10" t="s">
        <v>74</v>
      </c>
    </row>
    <row r="49" customFormat="false" ht="15" hidden="false" customHeight="false" outlineLevel="0" collapsed="false">
      <c r="A49" s="16"/>
      <c r="B49" s="17" t="s">
        <v>114</v>
      </c>
      <c r="C49" s="16"/>
    </row>
    <row r="50" customFormat="false" ht="15" hidden="false" customHeight="true" outlineLevel="0" collapsed="false">
      <c r="B50" s="4" t="s">
        <v>115</v>
      </c>
      <c r="C50" s="10" t="s">
        <v>116</v>
      </c>
    </row>
    <row r="51" customFormat="false" ht="25.5" hidden="false" customHeight="true" outlineLevel="0" collapsed="false">
      <c r="B51" s="4" t="s">
        <v>5</v>
      </c>
      <c r="C51" s="10" t="s">
        <v>117</v>
      </c>
    </row>
    <row r="52" customFormat="false" ht="78" hidden="false" customHeight="true" outlineLevel="0" collapsed="false">
      <c r="B52" s="4" t="s">
        <v>118</v>
      </c>
      <c r="C52" s="10" t="s">
        <v>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18" t="s">
        <v>119</v>
      </c>
      <c r="C1" s="18"/>
      <c r="D1" s="18"/>
      <c r="E1" s="18"/>
      <c r="F1" s="18"/>
      <c r="G1" s="18"/>
      <c r="H1" s="18"/>
    </row>
    <row r="2" customFormat="false" ht="12.75" hidden="false" customHeight="true" outlineLevel="0" collapsed="false">
      <c r="B2" s="19" t="s">
        <v>120</v>
      </c>
      <c r="C2" s="19"/>
      <c r="D2" s="19"/>
      <c r="E2" s="19"/>
      <c r="F2" s="19"/>
      <c r="G2" s="19"/>
      <c r="H2" s="19"/>
    </row>
    <row r="4" customFormat="false" ht="72" hidden="false" customHeight="true" outlineLevel="0" collapsed="false">
      <c r="B4" s="20" t="s">
        <v>121</v>
      </c>
      <c r="C4" s="20"/>
      <c r="D4" s="20"/>
      <c r="E4" s="20"/>
      <c r="F4" s="20"/>
      <c r="G4" s="20"/>
      <c r="H4" s="20"/>
    </row>
    <row r="6" customFormat="false" ht="18" hidden="false" customHeight="true" outlineLevel="0" collapsed="false">
      <c r="B6" s="21" t="s">
        <v>122</v>
      </c>
      <c r="C6" s="21"/>
      <c r="D6" s="21"/>
      <c r="E6" s="21"/>
      <c r="F6" s="21"/>
      <c r="G6" s="21"/>
      <c r="H6" s="21"/>
    </row>
    <row r="7" customFormat="false" ht="27.75" hidden="false" customHeight="true" outlineLevel="0" collapsed="false">
      <c r="B7" s="22" t="s">
        <v>123</v>
      </c>
      <c r="C7" s="22"/>
      <c r="D7" s="22"/>
      <c r="E7" s="22"/>
      <c r="F7" s="22"/>
      <c r="G7" s="22"/>
      <c r="H7" s="22"/>
    </row>
    <row r="8" customFormat="false" ht="27.75" hidden="false" customHeight="true" outlineLevel="0" collapsed="false">
      <c r="B8" s="22" t="s">
        <v>124</v>
      </c>
      <c r="C8" s="22"/>
      <c r="D8" s="22"/>
      <c r="E8" s="22"/>
      <c r="F8" s="22"/>
      <c r="G8" s="22"/>
      <c r="H8" s="22"/>
    </row>
    <row r="9" customFormat="false" ht="27.75" hidden="false" customHeight="true" outlineLevel="0" collapsed="false">
      <c r="B9" s="22" t="s">
        <v>125</v>
      </c>
      <c r="C9" s="22"/>
      <c r="D9" s="22"/>
      <c r="E9" s="22"/>
      <c r="F9" s="22"/>
      <c r="G9" s="22"/>
      <c r="H9" s="22"/>
    </row>
    <row r="10" customFormat="false" ht="15" hidden="false" customHeight="true" outlineLevel="0" collapsed="false">
      <c r="B10" s="22" t="s">
        <v>126</v>
      </c>
      <c r="C10" s="22"/>
      <c r="D10" s="22"/>
      <c r="E10" s="22"/>
      <c r="F10" s="22"/>
      <c r="G10" s="22"/>
      <c r="H10" s="22"/>
    </row>
    <row r="11" customFormat="false" ht="27.75" hidden="false" customHeight="true" outlineLevel="0" collapsed="false">
      <c r="B11" s="22" t="s">
        <v>127</v>
      </c>
      <c r="C11" s="22"/>
      <c r="D11" s="22"/>
      <c r="E11" s="22"/>
      <c r="F11" s="22"/>
      <c r="G11" s="22"/>
      <c r="H11" s="22"/>
    </row>
    <row r="12" customFormat="false" ht="27.75" hidden="false" customHeight="true" outlineLevel="0" collapsed="false">
      <c r="B12" s="22" t="s">
        <v>128</v>
      </c>
      <c r="C12" s="22"/>
      <c r="D12" s="22"/>
      <c r="E12" s="22"/>
      <c r="F12" s="22"/>
      <c r="G12" s="22"/>
      <c r="H12" s="22"/>
    </row>
    <row r="14" customFormat="false" ht="15.75" hidden="false" customHeight="true" outlineLevel="0" collapsed="false">
      <c r="B14" s="23" t="s">
        <v>129</v>
      </c>
      <c r="C14" s="23"/>
      <c r="D14" s="23"/>
      <c r="E14" s="23"/>
      <c r="F14" s="23"/>
      <c r="G14" s="23"/>
      <c r="H14" s="23"/>
    </row>
    <row r="15" customFormat="false" ht="15" hidden="false" customHeight="false" outlineLevel="0" collapsed="false">
      <c r="B15" s="24" t="s">
        <v>130</v>
      </c>
      <c r="C15" s="25" t="s">
        <v>131</v>
      </c>
      <c r="D15" s="25" t="s">
        <v>132</v>
      </c>
      <c r="E15" s="25" t="s">
        <v>133</v>
      </c>
      <c r="F15" s="25" t="s">
        <v>134</v>
      </c>
      <c r="G15" s="25" t="s">
        <v>135</v>
      </c>
      <c r="H15" s="25" t="s">
        <v>136</v>
      </c>
    </row>
    <row r="16" customFormat="false" ht="13.5" hidden="false" customHeight="true" outlineLevel="0" collapsed="false">
      <c r="B16" s="26" t="s">
        <v>137</v>
      </c>
      <c r="C16" s="27" t="n">
        <f aca="false">IS!C6/1000000000</f>
        <v>1148.144381712</v>
      </c>
      <c r="D16" s="27" t="n">
        <f aca="false">IS!D6/1000000000</f>
        <v>1890.800275747</v>
      </c>
      <c r="E16" s="27" t="n">
        <f aca="false">IS!E6/1000000000</f>
        <v>1658.687911222</v>
      </c>
      <c r="F16" s="27" t="n">
        <f aca="false">IS!F6/1000000000</f>
        <v>1488.197483371</v>
      </c>
      <c r="G16" s="27" t="n">
        <f aca="false">IS!G6/1000000000</f>
        <v>1554.685010336</v>
      </c>
      <c r="H16" s="27" t="n">
        <f aca="false">IS!H6/1000000000</f>
        <v>1614.340771512</v>
      </c>
    </row>
    <row r="17" customFormat="false" ht="13.5" hidden="false" customHeight="true" outlineLevel="0" collapsed="false">
      <c r="B17" s="28" t="s">
        <v>138</v>
      </c>
      <c r="C17" s="29"/>
      <c r="D17" s="29" t="n">
        <f aca="false">Rasio!D6</f>
        <v>0.646831448957338</v>
      </c>
      <c r="E17" s="29" t="n">
        <f aca="false">Rasio!E6</f>
        <v>-0.122758795575751</v>
      </c>
      <c r="F17" s="29" t="n">
        <f aca="false">Rasio!F6</f>
        <v>-0.102786320860924</v>
      </c>
      <c r="G17" s="29" t="n">
        <f aca="false">Rasio!G6</f>
        <v>0.0446765484473173</v>
      </c>
      <c r="H17" s="29" t="n">
        <f aca="false">Rasio!H6</f>
        <v>0.0383716063250055</v>
      </c>
    </row>
    <row r="18" customFormat="false" ht="13.5" hidden="false" customHeight="true" outlineLevel="0" collapsed="false">
      <c r="B18" s="26" t="s">
        <v>139</v>
      </c>
      <c r="C18" s="30" t="n">
        <f aca="false">Rasio!C29</f>
        <v>0.0157884872328809</v>
      </c>
      <c r="D18" s="30" t="n">
        <f aca="false">Rasio!D29</f>
        <v>0.0287761661697611</v>
      </c>
      <c r="E18" s="30" t="n">
        <f aca="false">Rasio!E29</f>
        <v>0.0355580538930335</v>
      </c>
      <c r="F18" s="30" t="n">
        <f aca="false">Rasio!F29</f>
        <v>0.0453997898384982</v>
      </c>
      <c r="G18" s="30" t="n">
        <f aca="false">Rasio!G29</f>
        <v>0.0597405638878132</v>
      </c>
      <c r="H18" s="30" t="n">
        <f aca="false">Rasio!H29</f>
        <v>0.0632551416166256</v>
      </c>
    </row>
    <row r="19" customFormat="false" ht="13.5" hidden="false" customHeight="true" outlineLevel="0" collapsed="false">
      <c r="B19" s="31" t="s">
        <v>106</v>
      </c>
      <c r="C19" s="32" t="n">
        <f aca="false">Rasio!C17/1000000000</f>
        <v>235.301826323</v>
      </c>
      <c r="D19" s="32" t="n">
        <f aca="false">Rasio!D17/1000000000</f>
        <v>560.103371149</v>
      </c>
      <c r="E19" s="32" t="n">
        <f aca="false">Rasio!E17/1000000000</f>
        <v>335.76760393</v>
      </c>
      <c r="F19" s="32" t="n">
        <f aca="false">Rasio!F17/1000000000</f>
        <v>215.483268901</v>
      </c>
      <c r="G19" s="32" t="n">
        <f aca="false">Rasio!G17/1000000000</f>
        <v>211.435529576</v>
      </c>
      <c r="H19" s="32" t="n">
        <f aca="false">Rasio!H17/1000000000</f>
        <v>215.790960842</v>
      </c>
    </row>
    <row r="20" customFormat="false" ht="13.5" hidden="false" customHeight="true" outlineLevel="0" collapsed="false">
      <c r="B20" s="33" t="s">
        <v>140</v>
      </c>
      <c r="C20" s="30" t="n">
        <f aca="false">Rasio!C18</f>
        <v>0.204940972643302</v>
      </c>
      <c r="D20" s="30" t="n">
        <f aca="false">Rasio!D18</f>
        <v>0.296225560326682</v>
      </c>
      <c r="E20" s="30" t="n">
        <f aca="false">Rasio!E18</f>
        <v>0.202429644334136</v>
      </c>
      <c r="F20" s="30" t="n">
        <f aca="false">Rasio!F18</f>
        <v>0.144794808020302</v>
      </c>
      <c r="G20" s="30" t="n">
        <f aca="false">Rasio!G18</f>
        <v>0.135998950379218</v>
      </c>
      <c r="H20" s="30" t="n">
        <f aca="false">Rasio!H18</f>
        <v>0.133671257425958</v>
      </c>
    </row>
    <row r="21" customFormat="false" ht="13.5" hidden="false" customHeight="true" outlineLevel="0" collapsed="false">
      <c r="B21" s="31" t="s">
        <v>141</v>
      </c>
      <c r="C21" s="32" t="n">
        <f aca="false">IS!C22/1000000000</f>
        <v>118.460085776</v>
      </c>
      <c r="D21" s="32" t="n">
        <f aca="false">IS!D22/1000000000</f>
        <v>354.648787182</v>
      </c>
      <c r="E21" s="32" t="n">
        <f aca="false">IS!E22/1000000000</f>
        <v>128.931855662</v>
      </c>
      <c r="F21" s="32" t="n">
        <f aca="false">IS!F22/1000000000</f>
        <v>16.229428848</v>
      </c>
      <c r="G21" s="32" t="n">
        <f aca="false">IS!G22/1000000000</f>
        <v>18.895784267</v>
      </c>
      <c r="H21" s="32" t="n">
        <f aca="false">IS!H22/1000000000</f>
        <v>29.673142533</v>
      </c>
    </row>
    <row r="22" customFormat="false" ht="13.5" hidden="false" customHeight="true" outlineLevel="0" collapsed="false">
      <c r="B22" s="26" t="s">
        <v>142</v>
      </c>
      <c r="C22" s="27" t="n">
        <f aca="false">IS!C33/1000000000</f>
        <v>88.791039353</v>
      </c>
      <c r="D22" s="27" t="n">
        <f aca="false">IS!D33/1000000000</f>
        <v>214.489125593</v>
      </c>
      <c r="E22" s="27" t="n">
        <f aca="false">IS!E33/1000000000</f>
        <v>83.227727173</v>
      </c>
      <c r="F22" s="27" t="n">
        <f aca="false">IS!F33/1000000000</f>
        <v>7.461134368</v>
      </c>
      <c r="G22" s="27" t="n">
        <f aca="false">IS!G33/1000000000</f>
        <v>11.943515324</v>
      </c>
      <c r="H22" s="27" t="n">
        <f aca="false">IS!H33/1000000000</f>
        <v>12.418961321</v>
      </c>
    </row>
    <row r="23" customFormat="false" ht="13.5" hidden="false" customHeight="true" outlineLevel="0" collapsed="false">
      <c r="B23" s="28" t="s">
        <v>143</v>
      </c>
      <c r="C23" s="29" t="n">
        <f aca="false">Rasio!C24</f>
        <v>0.250456060610172</v>
      </c>
      <c r="D23" s="29" t="n">
        <f aca="false">Rasio!D24</f>
        <v>0.395206938962609</v>
      </c>
      <c r="E23" s="29" t="n">
        <f aca="false">Rasio!E24</f>
        <v>0.354482825476546</v>
      </c>
      <c r="F23" s="29" t="n">
        <f aca="false">Rasio!F24</f>
        <v>0.540271291252529</v>
      </c>
      <c r="G23" s="29" t="n">
        <f aca="false">Rasio!G24</f>
        <v>0.367926985446251</v>
      </c>
      <c r="H23" s="29" t="n">
        <f aca="false">Rasio!H24</f>
        <v>0.58147468515717</v>
      </c>
    </row>
    <row r="24" customFormat="false" ht="13.5" hidden="false" customHeight="true" outlineLevel="0" collapsed="false">
      <c r="B24" s="26" t="s">
        <v>144</v>
      </c>
      <c r="C24" s="30"/>
      <c r="D24" s="30" t="n">
        <f aca="false">Rasio!D21</f>
        <v>0.168492593612244</v>
      </c>
      <c r="E24" s="30" t="n">
        <f aca="false">Rasio!E21</f>
        <v>0.0528952167465841</v>
      </c>
      <c r="F24" s="30" t="n">
        <f aca="false">Rasio!F21</f>
        <v>0.00468375317398697</v>
      </c>
      <c r="G24" s="30" t="n">
        <f aca="false">Rasio!G21</f>
        <v>0.00723127943648783</v>
      </c>
      <c r="H24" s="30" t="n">
        <f aca="false">Rasio!H21</f>
        <v>0.0067800313508525</v>
      </c>
    </row>
    <row r="25" customFormat="false" ht="13.5" hidden="false" customHeight="true" outlineLevel="0" collapsed="false">
      <c r="B25" s="31" t="s">
        <v>145</v>
      </c>
      <c r="C25" s="32" t="n">
        <f aca="false">CF!C13/1000000000</f>
        <v>190.358533077</v>
      </c>
      <c r="D25" s="32" t="n">
        <f aca="false">CF!D13/1000000000</f>
        <v>349.43839218</v>
      </c>
      <c r="E25" s="32" t="n">
        <f aca="false">CF!E13/1000000000</f>
        <v>131.084359442</v>
      </c>
      <c r="F25" s="32" t="n">
        <f aca="false">CF!F13/1000000000</f>
        <v>51.438728484</v>
      </c>
      <c r="G25" s="32" t="n">
        <f aca="false">CF!G13/1000000000</f>
        <v>33.979487371</v>
      </c>
      <c r="H25" s="32" t="n">
        <f aca="false">CF!H13/1000000000</f>
        <v>250.621859694</v>
      </c>
    </row>
    <row r="26" customFormat="false" ht="13.5" hidden="false" customHeight="true" outlineLevel="0" collapsed="false">
      <c r="B26" s="26" t="s">
        <v>146</v>
      </c>
      <c r="C26" s="27" t="n">
        <f aca="false">Rasio!C43/1000000000</f>
        <v>49.606709171</v>
      </c>
      <c r="D26" s="27" t="n">
        <f aca="false">Rasio!D43/1000000000</f>
        <v>298.175362181</v>
      </c>
      <c r="E26" s="27" t="n">
        <f aca="false">Rasio!E43/1000000000</f>
        <v>301.730050964</v>
      </c>
      <c r="F26" s="27" t="n">
        <f aca="false">Rasio!F43/1000000000</f>
        <v>209.353390575</v>
      </c>
      <c r="G26" s="27" t="n">
        <f aca="false">Rasio!G43/1000000000</f>
        <v>173.694170491</v>
      </c>
      <c r="H26" s="27" t="n">
        <f aca="false">Rasio!H43/1000000000</f>
        <v>218.905414893</v>
      </c>
    </row>
    <row r="27" customFormat="false" ht="13.5" hidden="false" customHeight="true" outlineLevel="0" collapsed="false">
      <c r="B27" s="31" t="s">
        <v>147</v>
      </c>
      <c r="C27" s="32" t="n">
        <f aca="false">Rasio!C38/1000000000</f>
        <v>187.167086361</v>
      </c>
      <c r="D27" s="32" t="n">
        <f aca="false">Rasio!D38/1000000000</f>
        <v>-157.686770185</v>
      </c>
      <c r="E27" s="32" t="n">
        <f aca="false">Rasio!E38/1000000000</f>
        <v>302.141983757</v>
      </c>
      <c r="F27" s="32" t="n">
        <f aca="false">Rasio!F38/1000000000</f>
        <v>497.895464087</v>
      </c>
      <c r="G27" s="32" t="n">
        <f aca="false">Rasio!G38/1000000000</f>
        <v>380.596403084</v>
      </c>
      <c r="H27" s="32" t="n">
        <f aca="false">Rasio!H38/1000000000</f>
        <v>529.202623307</v>
      </c>
    </row>
    <row r="28" customFormat="false" ht="13.5" hidden="false" customHeight="true" outlineLevel="0" collapsed="false">
      <c r="B28" s="33" t="s">
        <v>148</v>
      </c>
      <c r="C28" s="34" t="n">
        <f aca="false">Rasio!C40</f>
        <v>0.79543405712489</v>
      </c>
      <c r="D28" s="34" t="n">
        <f aca="false">Rasio!D40</f>
        <v>-0.281531549902155</v>
      </c>
      <c r="E28" s="34" t="n">
        <f aca="false">Rasio!E40</f>
        <v>0.899854483340775</v>
      </c>
      <c r="F28" s="34" t="n">
        <f aca="false">Rasio!F40</f>
        <v>2.31059917842507</v>
      </c>
      <c r="G28" s="34" t="n">
        <f aca="false">Rasio!G40</f>
        <v>1.8000588824746</v>
      </c>
      <c r="H28" s="34" t="n">
        <f aca="false">Rasio!H40</f>
        <v>2.45238549956908</v>
      </c>
    </row>
    <row r="29" customFormat="false" ht="13.5" hidden="false" customHeight="true" outlineLevel="0" collapsed="false">
      <c r="B29" s="31" t="s">
        <v>149</v>
      </c>
      <c r="C29" s="32" t="n">
        <f aca="false">Rasio!C31</f>
        <v>39.1437370104324</v>
      </c>
      <c r="D29" s="32" t="n">
        <f aca="false">Rasio!D31</f>
        <v>30.2610023415271</v>
      </c>
      <c r="E29" s="32" t="n">
        <f aca="false">Rasio!E31</f>
        <v>25.2277026467636</v>
      </c>
      <c r="F29" s="32" t="n">
        <f aca="false">Rasio!F31</f>
        <v>27.093892021109</v>
      </c>
      <c r="G29" s="32" t="n">
        <f aca="false">Rasio!G31</f>
        <v>33.9751802162641</v>
      </c>
      <c r="H29" s="32" t="n">
        <f aca="false">Rasio!H31</f>
        <v>36.6143684835322</v>
      </c>
    </row>
    <row r="30" customFormat="false" ht="13.5" hidden="false" customHeight="true" outlineLevel="0" collapsed="false">
      <c r="B30" s="26" t="s">
        <v>150</v>
      </c>
      <c r="C30" s="30" t="n">
        <f aca="false">Rasio!C23</f>
        <v>0.182988462659569</v>
      </c>
      <c r="D30" s="30" t="n">
        <f aca="false">Rasio!D23</f>
        <v>0.224198698526178</v>
      </c>
      <c r="E30" s="30" t="n">
        <f aca="false">Rasio!E23</f>
        <v>0.270706255624736</v>
      </c>
      <c r="F30" s="30" t="n">
        <f aca="false">Rasio!F23</f>
        <v>0.597514906630939</v>
      </c>
      <c r="G30" s="30" t="n">
        <f aca="false">Rasio!G23</f>
        <v>0.51039239979701</v>
      </c>
      <c r="H30" s="30" t="n">
        <f aca="false">Rasio!H23</f>
        <v>0.344712758067088</v>
      </c>
    </row>
    <row r="31" customFormat="false" ht="24.75" hidden="false" customHeight="true" outlineLevel="0" collapsed="false">
      <c r="B31" s="35" t="s">
        <v>151</v>
      </c>
      <c r="C31" s="35"/>
      <c r="D31" s="35"/>
      <c r="E31" s="35"/>
      <c r="F31" s="35"/>
      <c r="G31" s="35"/>
      <c r="H31" s="35"/>
    </row>
    <row r="33" customFormat="false" ht="18" hidden="false" customHeight="true" outlineLevel="0" collapsed="false">
      <c r="B33" s="21" t="s">
        <v>152</v>
      </c>
      <c r="C33" s="21"/>
      <c r="D33" s="21"/>
      <c r="E33" s="21"/>
      <c r="F33" s="21"/>
      <c r="G33" s="21"/>
      <c r="H33" s="21"/>
    </row>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24.75" hidden="false" customHeight="true" outlineLevel="0" collapsed="false">
      <c r="B51" s="35" t="s">
        <v>153</v>
      </c>
      <c r="C51" s="35"/>
      <c r="D51" s="35"/>
      <c r="E51" s="35"/>
      <c r="F51" s="35"/>
      <c r="G51" s="35"/>
      <c r="H51" s="35"/>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24.75" hidden="false" customHeight="true" outlineLevel="0" collapsed="false">
      <c r="B69" s="35" t="s">
        <v>154</v>
      </c>
      <c r="C69" s="35"/>
      <c r="D69" s="35"/>
      <c r="E69" s="35"/>
      <c r="F69" s="35"/>
      <c r="G69" s="35"/>
      <c r="H69" s="35"/>
    </row>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7" customFormat="false" ht="18" hidden="false" customHeight="true" outlineLevel="0" collapsed="false">
      <c r="B87" s="21" t="s">
        <v>155</v>
      </c>
      <c r="C87" s="21"/>
      <c r="D87" s="21"/>
      <c r="E87" s="21"/>
      <c r="F87" s="21"/>
      <c r="G87" s="21"/>
      <c r="H87" s="21"/>
    </row>
    <row r="88" customFormat="false" ht="39" hidden="false" customHeight="true" outlineLevel="0" collapsed="false">
      <c r="B88" s="36" t="s">
        <v>156</v>
      </c>
      <c r="C88" s="36"/>
      <c r="D88" s="36"/>
      <c r="E88" s="36"/>
      <c r="F88" s="36"/>
      <c r="G88" s="36"/>
      <c r="H88" s="36"/>
    </row>
    <row r="89" customFormat="false" ht="27" hidden="false" customHeight="true" outlineLevel="0" collapsed="false">
      <c r="B89" s="36" t="s">
        <v>157</v>
      </c>
      <c r="C89" s="36"/>
      <c r="D89" s="36"/>
      <c r="E89" s="36"/>
      <c r="F89" s="36"/>
      <c r="G89" s="36"/>
      <c r="H89" s="36"/>
    </row>
    <row r="90" customFormat="false" ht="39" hidden="false" customHeight="true" outlineLevel="0" collapsed="false">
      <c r="B90" s="36" t="s">
        <v>158</v>
      </c>
      <c r="C90" s="36"/>
      <c r="D90" s="36"/>
      <c r="E90" s="36"/>
      <c r="F90" s="36"/>
      <c r="G90" s="36"/>
      <c r="H90" s="36"/>
    </row>
    <row r="91" customFormat="false" ht="39" hidden="false" customHeight="true" outlineLevel="0" collapsed="false">
      <c r="B91" s="36" t="s">
        <v>159</v>
      </c>
      <c r="C91" s="36"/>
      <c r="D91" s="36"/>
      <c r="E91" s="36"/>
      <c r="F91" s="36"/>
      <c r="G91" s="36"/>
      <c r="H91" s="36"/>
    </row>
    <row r="92" customFormat="false" ht="39" hidden="false" customHeight="true" outlineLevel="0" collapsed="false">
      <c r="B92" s="36" t="s">
        <v>160</v>
      </c>
      <c r="C92" s="36"/>
      <c r="D92" s="36"/>
      <c r="E92" s="36"/>
      <c r="F92" s="36"/>
      <c r="G92" s="36"/>
      <c r="H92" s="36"/>
    </row>
    <row r="93" customFormat="false" ht="27" hidden="false" customHeight="true" outlineLevel="0" collapsed="false">
      <c r="B93" s="36" t="s">
        <v>161</v>
      </c>
      <c r="C93" s="36"/>
      <c r="D93" s="36"/>
      <c r="E93" s="36"/>
      <c r="F93" s="36"/>
      <c r="G93" s="36"/>
      <c r="H93" s="36"/>
    </row>
    <row r="94" customFormat="false" ht="39" hidden="false" customHeight="true" outlineLevel="0" collapsed="false">
      <c r="B94" s="36" t="s">
        <v>162</v>
      </c>
      <c r="C94" s="36"/>
      <c r="D94" s="36"/>
      <c r="E94" s="36"/>
      <c r="F94" s="36"/>
      <c r="G94" s="36"/>
      <c r="H94" s="36"/>
    </row>
    <row r="95" customFormat="false" ht="27" hidden="false" customHeight="true" outlineLevel="0" collapsed="false">
      <c r="B95" s="36" t="s">
        <v>163</v>
      </c>
      <c r="C95" s="36"/>
      <c r="D95" s="36"/>
      <c r="E95" s="36"/>
      <c r="F95" s="36"/>
      <c r="G95" s="36"/>
      <c r="H95" s="36"/>
    </row>
    <row r="96" customFormat="false" ht="36" hidden="false" customHeight="true" outlineLevel="0" collapsed="false">
      <c r="B96" s="35" t="s">
        <v>164</v>
      </c>
      <c r="C96" s="35"/>
      <c r="D96" s="35"/>
      <c r="E96" s="35"/>
      <c r="F96" s="35"/>
      <c r="G96" s="35"/>
      <c r="H96" s="35"/>
    </row>
    <row r="98" customFormat="false" ht="18" hidden="false" customHeight="true" outlineLevel="0" collapsed="false">
      <c r="B98" s="37" t="s">
        <v>165</v>
      </c>
      <c r="C98" s="37"/>
      <c r="D98" s="37"/>
      <c r="E98" s="37"/>
      <c r="F98" s="37"/>
      <c r="G98" s="37"/>
      <c r="H98" s="37"/>
    </row>
    <row r="99" customFormat="false" ht="63" hidden="false" customHeight="true" outlineLevel="0" collapsed="false">
      <c r="B99" s="38" t="s">
        <v>11</v>
      </c>
      <c r="C99" s="38"/>
      <c r="D99" s="38"/>
      <c r="E99" s="38"/>
      <c r="F99" s="38"/>
      <c r="G99" s="38"/>
      <c r="H99" s="38"/>
    </row>
    <row r="100" customFormat="false" ht="27" hidden="false" customHeight="true" outlineLevel="0" collapsed="false">
      <c r="B100" s="38" t="s">
        <v>166</v>
      </c>
      <c r="C100" s="38"/>
      <c r="D100" s="38"/>
      <c r="E100" s="38"/>
      <c r="F100" s="38"/>
      <c r="G100" s="38"/>
      <c r="H100" s="38"/>
    </row>
    <row r="102" customFormat="false" ht="18" hidden="false" customHeight="true" outlineLevel="0" collapsed="false">
      <c r="B102" s="21" t="s">
        <v>167</v>
      </c>
      <c r="C102" s="21"/>
      <c r="D102" s="21"/>
      <c r="E102" s="21"/>
      <c r="F102" s="21"/>
      <c r="G102" s="21"/>
      <c r="H102" s="21"/>
    </row>
    <row r="103" customFormat="false" ht="37.5" hidden="false" customHeight="true" outlineLevel="0" collapsed="false">
      <c r="B103" s="39" t="s">
        <v>168</v>
      </c>
      <c r="C103" s="39"/>
      <c r="D103" s="39"/>
      <c r="E103" s="39"/>
      <c r="F103" s="39"/>
      <c r="G103" s="39"/>
      <c r="H103" s="39"/>
    </row>
    <row r="104" customFormat="false" ht="25.5" hidden="false" customHeight="true" outlineLevel="0" collapsed="false">
      <c r="B104" s="39" t="s">
        <v>169</v>
      </c>
      <c r="C104" s="39"/>
      <c r="D104" s="39"/>
      <c r="E104" s="39"/>
      <c r="F104" s="39"/>
      <c r="G104" s="39"/>
      <c r="H104" s="39"/>
    </row>
    <row r="106" customFormat="false" ht="18" hidden="false" customHeight="true" outlineLevel="0" collapsed="false">
      <c r="B106" s="40" t="s">
        <v>170</v>
      </c>
      <c r="C106" s="40"/>
      <c r="D106" s="40"/>
      <c r="E106" s="40"/>
      <c r="F106" s="40"/>
      <c r="G106" s="40"/>
      <c r="H106" s="40"/>
    </row>
    <row r="107" customFormat="false" ht="87" hidden="false" customHeight="true" outlineLevel="0" collapsed="false">
      <c r="B107" s="41" t="s">
        <v>171</v>
      </c>
      <c r="C107" s="41"/>
      <c r="D107" s="41"/>
      <c r="E107" s="41"/>
      <c r="F107" s="41"/>
      <c r="G107" s="41"/>
      <c r="H107" s="41"/>
    </row>
  </sheetData>
  <mergeCells count="33">
    <mergeCell ref="B1:H1"/>
    <mergeCell ref="B2:H2"/>
    <mergeCell ref="B4:H4"/>
    <mergeCell ref="B6:H6"/>
    <mergeCell ref="B7:H7"/>
    <mergeCell ref="B8:H8"/>
    <mergeCell ref="B9:H9"/>
    <mergeCell ref="B10:H10"/>
    <mergeCell ref="B11:H11"/>
    <mergeCell ref="B12:H12"/>
    <mergeCell ref="B14:H14"/>
    <mergeCell ref="B31:H31"/>
    <mergeCell ref="B33:H33"/>
    <mergeCell ref="B51:H51"/>
    <mergeCell ref="B69:H69"/>
    <mergeCell ref="B87:H87"/>
    <mergeCell ref="B88:H88"/>
    <mergeCell ref="B89:H89"/>
    <mergeCell ref="B90:H90"/>
    <mergeCell ref="B91:H91"/>
    <mergeCell ref="B92:H92"/>
    <mergeCell ref="B93:H93"/>
    <mergeCell ref="B94:H94"/>
    <mergeCell ref="B95:H95"/>
    <mergeCell ref="B96:H96"/>
    <mergeCell ref="B98:H98"/>
    <mergeCell ref="B99:H99"/>
    <mergeCell ref="B100:H100"/>
    <mergeCell ref="B102:H102"/>
    <mergeCell ref="B103:H103"/>
    <mergeCell ref="B104:H104"/>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Bundamedik Tbk (BMHS)&amp;R&amp;8 © Ryant Gabein Pasaribu | CC BY 4.0 | BMHS-FY2025-v1.0-95E2BE75 | Bukan rekomendasi investasi</oddHeader>
    <oddFooter>&amp;L&amp;8 Sumber: LK audited BMHS 2020-2025&amp;C&amp;8 Hal &amp;P dari &amp;N&amp;R&amp;8 &amp;D</oddFooter>
  </headerFooter>
  <rowBreaks count="3" manualBreakCount="3">
    <brk id="32" man="true" max="16383" min="0"/>
    <brk id="70" man="true" max="16383" min="0"/>
    <brk id="97"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s>
  <sheetData>
    <row r="1" customFormat="false" ht="17.35" hidden="false" customHeight="false" outlineLevel="0" collapsed="false">
      <c r="A1" s="14" t="s">
        <v>172</v>
      </c>
    </row>
    <row r="2" customFormat="false" ht="15" hidden="false" customHeight="false" outlineLevel="0" collapsed="false">
      <c r="A2" s="15" t="s">
        <v>173</v>
      </c>
    </row>
    <row r="3" customFormat="false" ht="15" hidden="false" customHeight="false" outlineLevel="0" collapsed="false">
      <c r="B3" s="4" t="s">
        <v>174</v>
      </c>
      <c r="C3" s="42" t="str">
        <f aca="false">Asumsi!C4</f>
        <v>Base</v>
      </c>
    </row>
    <row r="4" customFormat="false" ht="15" hidden="false" customHeight="false" outlineLevel="0" collapsed="false">
      <c r="A4" s="25"/>
      <c r="B4" s="25" t="s">
        <v>130</v>
      </c>
      <c r="C4" s="25" t="s">
        <v>131</v>
      </c>
      <c r="D4" s="25" t="s">
        <v>132</v>
      </c>
      <c r="E4" s="25" t="s">
        <v>133</v>
      </c>
      <c r="F4" s="25" t="s">
        <v>134</v>
      </c>
      <c r="G4" s="25" t="s">
        <v>135</v>
      </c>
      <c r="H4" s="25" t="s">
        <v>136</v>
      </c>
      <c r="I4" s="43" t="s">
        <v>175</v>
      </c>
      <c r="J4" s="43" t="s">
        <v>176</v>
      </c>
      <c r="K4" s="43" t="s">
        <v>177</v>
      </c>
      <c r="L4" s="43" t="s">
        <v>178</v>
      </c>
      <c r="M4" s="43" t="s">
        <v>179</v>
      </c>
      <c r="N4" s="25" t="s">
        <v>180</v>
      </c>
    </row>
    <row r="5" customFormat="false" ht="15" hidden="false" customHeight="false" outlineLevel="0" collapsed="false">
      <c r="B5" s="13" t="s">
        <v>137</v>
      </c>
      <c r="C5" s="44" t="n">
        <f aca="false">IS_Proj!C12/1000000000</f>
        <v>1148.144381712</v>
      </c>
      <c r="D5" s="44" t="n">
        <f aca="false">IS_Proj!D12/1000000000</f>
        <v>1890.800275747</v>
      </c>
      <c r="E5" s="44" t="n">
        <f aca="false">IS_Proj!E12/1000000000</f>
        <v>1658.687911222</v>
      </c>
      <c r="F5" s="44" t="n">
        <f aca="false">IS_Proj!F12/1000000000</f>
        <v>1488.197483371</v>
      </c>
      <c r="G5" s="44" t="n">
        <f aca="false">IS_Proj!G12/1000000000</f>
        <v>1554.685010336</v>
      </c>
      <c r="H5" s="44" t="n">
        <f aca="false">IS_Proj!H12/1000000000</f>
        <v>1614.340771512</v>
      </c>
      <c r="I5" s="45" t="n">
        <f aca="false">IS_Proj!I12/1000000000</f>
        <v>1682.95731671299</v>
      </c>
      <c r="J5" s="45" t="n">
        <f aca="false">IS_Proj!J12/1000000000</f>
        <v>1758.36918143511</v>
      </c>
      <c r="K5" s="45" t="n">
        <f aca="false">IS_Proj!K12/1000000000</f>
        <v>1837.79778319753</v>
      </c>
      <c r="L5" s="45" t="n">
        <f aca="false">IS_Proj!L12/1000000000</f>
        <v>1921.48643078835</v>
      </c>
      <c r="M5" s="45" t="n">
        <f aca="false">IS_Proj!M12/1000000000</f>
        <v>2009.69432872672</v>
      </c>
    </row>
    <row r="6" customFormat="false" ht="15" hidden="false" customHeight="false" outlineLevel="0" collapsed="false">
      <c r="B6" s="13" t="s">
        <v>181</v>
      </c>
      <c r="C6" s="46"/>
      <c r="D6" s="46" t="n">
        <f aca="false">IS_Proj!D13</f>
        <v>0.646831448957338</v>
      </c>
      <c r="E6" s="46" t="n">
        <f aca="false">IS_Proj!E13</f>
        <v>-0.122758795575751</v>
      </c>
      <c r="F6" s="46" t="n">
        <f aca="false">IS_Proj!F13</f>
        <v>-0.102786320860924</v>
      </c>
      <c r="G6" s="46" t="n">
        <f aca="false">IS_Proj!G13</f>
        <v>0.0446765484473173</v>
      </c>
      <c r="H6" s="46" t="n">
        <f aca="false">IS_Proj!H13</f>
        <v>0.0383716063250055</v>
      </c>
      <c r="I6" s="47" t="n">
        <f aca="false">IS_Proj!I13</f>
        <v>0.0425043747961129</v>
      </c>
      <c r="J6" s="47" t="n">
        <f aca="false">IS_Proj!J13</f>
        <v>0.0448091368528627</v>
      </c>
      <c r="K6" s="47" t="n">
        <f aca="false">IS_Proj!K13</f>
        <v>0.0451717435684287</v>
      </c>
      <c r="L6" s="47" t="n">
        <f aca="false">IS_Proj!L13</f>
        <v>0.0455374624759946</v>
      </c>
      <c r="M6" s="47" t="n">
        <f aca="false">IS_Proj!M13</f>
        <v>0.0459060738212873</v>
      </c>
    </row>
    <row r="7" customFormat="false" ht="15" hidden="false" customHeight="false" outlineLevel="0" collapsed="false">
      <c r="B7" s="13" t="s">
        <v>106</v>
      </c>
      <c r="C7" s="44" t="n">
        <f aca="false">IS_Proj!C19/1000000000</f>
        <v>235.301826323</v>
      </c>
      <c r="D7" s="44" t="n">
        <f aca="false">IS_Proj!D19/1000000000</f>
        <v>560.103371149</v>
      </c>
      <c r="E7" s="44" t="n">
        <f aca="false">IS_Proj!E19/1000000000</f>
        <v>335.76760393</v>
      </c>
      <c r="F7" s="44" t="n">
        <f aca="false">IS_Proj!F19/1000000000</f>
        <v>215.483268901</v>
      </c>
      <c r="G7" s="44" t="n">
        <f aca="false">IS_Proj!G19/1000000000</f>
        <v>211.435529576</v>
      </c>
      <c r="H7" s="44" t="n">
        <f aca="false">IS_Proj!H19/1000000000</f>
        <v>215.790960842</v>
      </c>
      <c r="I7" s="45" t="n">
        <f aca="false">IS_Proj!I19/1000000000</f>
        <v>242.345853606671</v>
      </c>
      <c r="J7" s="45" t="n">
        <f aca="false">IS_Proj!J19/1000000000</f>
        <v>253.205162126656</v>
      </c>
      <c r="K7" s="45" t="n">
        <f aca="false">IS_Proj!K19/1000000000</f>
        <v>264.642880780444</v>
      </c>
      <c r="L7" s="45" t="n">
        <f aca="false">IS_Proj!L19/1000000000</f>
        <v>276.694046033522</v>
      </c>
      <c r="M7" s="45" t="n">
        <f aca="false">IS_Proj!M19/1000000000</f>
        <v>289.395983336648</v>
      </c>
    </row>
    <row r="8" customFormat="false" ht="15" hidden="false" customHeight="false" outlineLevel="0" collapsed="false">
      <c r="B8" s="13" t="s">
        <v>182</v>
      </c>
      <c r="C8" s="46" t="n">
        <f aca="false">IS_Proj!C33</f>
        <v>0.204940972643302</v>
      </c>
      <c r="D8" s="46" t="n">
        <f aca="false">IS_Proj!D33</f>
        <v>0.296225560326682</v>
      </c>
      <c r="E8" s="46" t="n">
        <f aca="false">IS_Proj!E33</f>
        <v>0.202429644334136</v>
      </c>
      <c r="F8" s="46" t="n">
        <f aca="false">IS_Proj!F33</f>
        <v>0.144794808020302</v>
      </c>
      <c r="G8" s="46" t="n">
        <f aca="false">IS_Proj!G33</f>
        <v>0.135998950379218</v>
      </c>
      <c r="H8" s="46" t="n">
        <f aca="false">IS_Proj!H33</f>
        <v>0.133671257425958</v>
      </c>
      <c r="I8" s="47" t="n">
        <f aca="false">IS_Proj!I33</f>
        <v>0.144</v>
      </c>
      <c r="J8" s="47" t="n">
        <f aca="false">IS_Proj!J33</f>
        <v>0.144</v>
      </c>
      <c r="K8" s="47" t="n">
        <f aca="false">IS_Proj!K33</f>
        <v>0.144</v>
      </c>
      <c r="L8" s="47" t="n">
        <f aca="false">IS_Proj!L33</f>
        <v>0.144</v>
      </c>
      <c r="M8" s="47" t="n">
        <f aca="false">IS_Proj!M33</f>
        <v>0.144</v>
      </c>
    </row>
    <row r="9" customFormat="false" ht="15" hidden="false" customHeight="false" outlineLevel="0" collapsed="false">
      <c r="B9" s="13" t="s">
        <v>141</v>
      </c>
      <c r="C9" s="44" t="n">
        <f aca="false">IS_Proj!C27/1000000000</f>
        <v>118.460085776</v>
      </c>
      <c r="D9" s="44" t="n">
        <f aca="false">IS_Proj!D27/1000000000</f>
        <v>354.648787182</v>
      </c>
      <c r="E9" s="44" t="n">
        <f aca="false">IS_Proj!E27/1000000000</f>
        <v>128.931855662</v>
      </c>
      <c r="F9" s="44" t="n">
        <f aca="false">IS_Proj!F27/1000000000</f>
        <v>16.229428848</v>
      </c>
      <c r="G9" s="44" t="n">
        <f aca="false">IS_Proj!G27/1000000000</f>
        <v>18.895784267</v>
      </c>
      <c r="H9" s="44" t="n">
        <f aca="false">IS_Proj!H27/1000000000</f>
        <v>29.673142533</v>
      </c>
      <c r="I9" s="45" t="n">
        <f aca="false">IS_Proj!I27/1000000000</f>
        <v>18.8925955877934</v>
      </c>
      <c r="J9" s="45" t="n">
        <f aca="false">IS_Proj!J27/1000000000</f>
        <v>21.3599890079359</v>
      </c>
      <c r="K9" s="45" t="n">
        <f aca="false">IS_Proj!K27/1000000000</f>
        <v>24.1981180688664</v>
      </c>
      <c r="L9" s="45" t="n">
        <f aca="false">IS_Proj!L27/1000000000</f>
        <v>27.2255315373193</v>
      </c>
      <c r="M9" s="45" t="n">
        <f aca="false">IS_Proj!M27/1000000000</f>
        <v>30.4534000150805</v>
      </c>
    </row>
    <row r="10" customFormat="false" ht="15" hidden="false" customHeight="false" outlineLevel="0" collapsed="false">
      <c r="B10" s="13" t="s">
        <v>142</v>
      </c>
      <c r="C10" s="44" t="n">
        <f aca="false">IS_Proj!C29/1000000000</f>
        <v>88.791039353</v>
      </c>
      <c r="D10" s="44" t="n">
        <f aca="false">IS_Proj!D29/1000000000</f>
        <v>214.489125593</v>
      </c>
      <c r="E10" s="44" t="n">
        <f aca="false">IS_Proj!E29/1000000000</f>
        <v>83.227727173</v>
      </c>
      <c r="F10" s="44" t="n">
        <f aca="false">IS_Proj!F29/1000000000</f>
        <v>7.461134368</v>
      </c>
      <c r="G10" s="44" t="n">
        <f aca="false">IS_Proj!G29/1000000000</f>
        <v>11.943515324</v>
      </c>
      <c r="H10" s="44" t="n">
        <f aca="false">IS_Proj!H29/1000000000</f>
        <v>12.418961321</v>
      </c>
      <c r="I10" s="45" t="n">
        <f aca="false">IS_Proj!I29/1000000000</f>
        <v>10.3909275732864</v>
      </c>
      <c r="J10" s="45" t="n">
        <f aca="false">IS_Proj!J29/1000000000</f>
        <v>11.7479939543648</v>
      </c>
      <c r="K10" s="45" t="n">
        <f aca="false">IS_Proj!K29/1000000000</f>
        <v>13.3089649378765</v>
      </c>
      <c r="L10" s="45" t="n">
        <f aca="false">IS_Proj!L29/1000000000</f>
        <v>14.9740423455256</v>
      </c>
      <c r="M10" s="45" t="n">
        <f aca="false">IS_Proj!M29/1000000000</f>
        <v>16.7493700082943</v>
      </c>
    </row>
    <row r="11" customFormat="false" ht="15" hidden="false" customHeight="false" outlineLevel="0" collapsed="false">
      <c r="B11" s="13" t="s">
        <v>145</v>
      </c>
      <c r="C11" s="44" t="n">
        <f aca="false">CF_Proj!C11/1000000000</f>
        <v>190.358533077</v>
      </c>
      <c r="D11" s="44" t="n">
        <f aca="false">CF_Proj!D11/1000000000</f>
        <v>349.43839218</v>
      </c>
      <c r="E11" s="44" t="n">
        <f aca="false">CF_Proj!E11/1000000000</f>
        <v>131.084359442</v>
      </c>
      <c r="F11" s="44" t="n">
        <f aca="false">CF_Proj!F11/1000000000</f>
        <v>51.438728484</v>
      </c>
      <c r="G11" s="44" t="n">
        <f aca="false">CF_Proj!G11/1000000000</f>
        <v>33.979487371</v>
      </c>
      <c r="H11" s="44" t="n">
        <f aca="false">CF_Proj!H11/1000000000</f>
        <v>250.621859694</v>
      </c>
      <c r="I11" s="45" t="n">
        <f aca="false">CF_Proj!I11/1000000000</f>
        <v>165.057033903763</v>
      </c>
      <c r="J11" s="45" t="n">
        <f aca="false">CF_Proj!J11/1000000000</f>
        <v>177.271625840272</v>
      </c>
      <c r="K11" s="45" t="n">
        <f aca="false">CF_Proj!K11/1000000000</f>
        <v>184.281320995651</v>
      </c>
      <c r="L11" s="45" t="n">
        <f aca="false">CF_Proj!L11/1000000000</f>
        <v>191.685263377478</v>
      </c>
      <c r="M11" s="45" t="n">
        <f aca="false">CF_Proj!M11/1000000000</f>
        <v>199.506110947403</v>
      </c>
    </row>
    <row r="12" customFormat="false" ht="15" hidden="false" customHeight="false" outlineLevel="0" collapsed="false">
      <c r="B12" s="13" t="s">
        <v>146</v>
      </c>
      <c r="C12" s="44" t="n">
        <f aca="false">CF_Proj!C13/1000000000</f>
        <v>-49.606709171</v>
      </c>
      <c r="D12" s="44" t="n">
        <f aca="false">CF_Proj!D13/1000000000</f>
        <v>-298.175362181</v>
      </c>
      <c r="E12" s="44" t="n">
        <f aca="false">CF_Proj!E13/1000000000</f>
        <v>-301.730050964</v>
      </c>
      <c r="F12" s="44" t="n">
        <f aca="false">CF_Proj!F13/1000000000</f>
        <v>-209.353390575</v>
      </c>
      <c r="G12" s="44" t="n">
        <f aca="false">CF_Proj!G13/1000000000</f>
        <v>-173.694170491</v>
      </c>
      <c r="H12" s="44" t="n">
        <f aca="false">CF_Proj!H13/1000000000</f>
        <v>-218.905414893</v>
      </c>
      <c r="I12" s="45" t="n">
        <f aca="false">CF_Proj!I13/1000000000</f>
        <v>-201.954878005559</v>
      </c>
      <c r="J12" s="45" t="n">
        <f aca="false">CF_Proj!J13/1000000000</f>
        <v>-211.004301772213</v>
      </c>
      <c r="K12" s="45" t="n">
        <f aca="false">CF_Proj!K13/1000000000</f>
        <v>-220.535733983703</v>
      </c>
      <c r="L12" s="45" t="n">
        <f aca="false">CF_Proj!L13/1000000000</f>
        <v>-230.578371694602</v>
      </c>
      <c r="M12" s="45" t="n">
        <f aca="false">CF_Proj!M13/1000000000</f>
        <v>-241.163319447207</v>
      </c>
    </row>
    <row r="13" customFormat="false" ht="15" hidden="false" customHeight="false" outlineLevel="0" collapsed="false">
      <c r="B13" s="13" t="s">
        <v>183</v>
      </c>
      <c r="C13" s="44" t="n">
        <f aca="false">CF_Proj!C29/1000000000</f>
        <v>140.751823906</v>
      </c>
      <c r="D13" s="44" t="n">
        <f aca="false">CF_Proj!D29/1000000000</f>
        <v>51.263029999</v>
      </c>
      <c r="E13" s="44" t="n">
        <f aca="false">CF_Proj!E29/1000000000</f>
        <v>-170.645691522</v>
      </c>
      <c r="F13" s="44" t="n">
        <f aca="false">CF_Proj!F29/1000000000</f>
        <v>-157.914662091</v>
      </c>
      <c r="G13" s="44" t="n">
        <f aca="false">CF_Proj!G29/1000000000</f>
        <v>-163.68279936</v>
      </c>
      <c r="H13" s="44" t="n">
        <f aca="false">CF_Proj!H29/1000000000</f>
        <v>-66.982627658</v>
      </c>
      <c r="I13" s="45" t="n">
        <f aca="false">CF_Proj!I29/1000000000</f>
        <v>-88.5760116816456</v>
      </c>
      <c r="J13" s="45" t="n">
        <f aca="false">CF_Proj!J29/1000000000</f>
        <v>-85.4108435117914</v>
      </c>
      <c r="K13" s="45" t="n">
        <f aca="false">CF_Proj!K29/1000000000</f>
        <v>-87.9325805679021</v>
      </c>
      <c r="L13" s="45" t="n">
        <f aca="false">CF_Proj!L29/1000000000</f>
        <v>-90.5712758969735</v>
      </c>
      <c r="M13" s="45" t="n">
        <f aca="false">CF_Proj!M29/1000000000</f>
        <v>-93.3353760796536</v>
      </c>
    </row>
    <row r="14" customFormat="false" ht="15" hidden="false" customHeight="false" outlineLevel="0" collapsed="false">
      <c r="B14" s="13" t="s">
        <v>184</v>
      </c>
      <c r="C14" s="44" t="n">
        <f aca="false">BS_Proj!C6/1000000000</f>
        <v>624.986556241</v>
      </c>
      <c r="D14" s="44" t="n">
        <f aca="false">BS_Proj!D6/1000000000</f>
        <v>829.761008475</v>
      </c>
      <c r="E14" s="44" t="n">
        <f aca="false">BS_Proj!E6/1000000000</f>
        <v>629.277670892</v>
      </c>
      <c r="F14" s="44" t="n">
        <f aca="false">BS_Proj!F6/1000000000</f>
        <v>622.058009425</v>
      </c>
      <c r="G14" s="44" t="n">
        <f aca="false">BS_Proj!G6/1000000000</f>
        <v>783.332056074</v>
      </c>
      <c r="H14" s="44" t="n">
        <f aca="false">BS_Proj!H6/1000000000</f>
        <v>826.584741908</v>
      </c>
      <c r="I14" s="45" t="n">
        <f aca="false">BS_Proj!I6/1000000000</f>
        <v>726.139473213155</v>
      </c>
      <c r="J14" s="45" t="n">
        <f aca="false">BS_Proj!J6/1000000000</f>
        <v>633.171591466246</v>
      </c>
      <c r="K14" s="45" t="n">
        <f aca="false">BS_Proj!K6/1000000000</f>
        <v>536.695015295169</v>
      </c>
      <c r="L14" s="45" t="n">
        <f aca="false">BS_Proj!L6/1000000000</f>
        <v>436.444492170649</v>
      </c>
      <c r="M14" s="45" t="n">
        <f aca="false">BS_Proj!M6/1000000000</f>
        <v>332.218903476068</v>
      </c>
    </row>
    <row r="15" customFormat="false" ht="15" hidden="false" customHeight="false" outlineLevel="0" collapsed="false">
      <c r="B15" s="13" t="s">
        <v>147</v>
      </c>
      <c r="C15" s="44" t="n">
        <f aca="false">BS_Proj!C32/1000000000</f>
        <v>187.167086361</v>
      </c>
      <c r="D15" s="44" t="n">
        <f aca="false">BS_Proj!D32/1000000000</f>
        <v>-157.686770185</v>
      </c>
      <c r="E15" s="44" t="n">
        <f aca="false">BS_Proj!E32/1000000000</f>
        <v>302.141983757</v>
      </c>
      <c r="F15" s="44" t="n">
        <f aca="false">BS_Proj!F32/1000000000</f>
        <v>497.895464087</v>
      </c>
      <c r="G15" s="44" t="n">
        <f aca="false">BS_Proj!G32/1000000000</f>
        <v>380.596403084</v>
      </c>
      <c r="H15" s="44" t="n">
        <f aca="false">BS_Proj!H32/1000000000</f>
        <v>529.202623307</v>
      </c>
      <c r="I15" s="45" t="n">
        <f aca="false">BS_Proj!I32/1000000000</f>
        <v>629.647892001846</v>
      </c>
      <c r="J15" s="45" t="n">
        <f aca="false">BS_Proj!J32/1000000000</f>
        <v>722.615773748754</v>
      </c>
      <c r="K15" s="45" t="n">
        <f aca="false">BS_Proj!K32/1000000000</f>
        <v>819.092349919831</v>
      </c>
      <c r="L15" s="45" t="n">
        <f aca="false">BS_Proj!L32/1000000000</f>
        <v>919.342873044351</v>
      </c>
      <c r="M15" s="45" t="n">
        <f aca="false">BS_Proj!M32/1000000000</f>
        <v>1023.56846173893</v>
      </c>
    </row>
    <row r="16" customFormat="false" ht="15" hidden="false" customHeight="false" outlineLevel="0" collapsed="false">
      <c r="B16" s="13" t="s">
        <v>185</v>
      </c>
      <c r="C16" s="48" t="n">
        <f aca="false">BS_Proj!C34</f>
        <v>0.79543405712489</v>
      </c>
      <c r="D16" s="48" t="n">
        <f aca="false">BS_Proj!D34</f>
        <v>-0.281531549902155</v>
      </c>
      <c r="E16" s="48" t="n">
        <f aca="false">BS_Proj!E34</f>
        <v>0.899854483340775</v>
      </c>
      <c r="F16" s="48" t="n">
        <f aca="false">BS_Proj!F34</f>
        <v>2.31059917842507</v>
      </c>
      <c r="G16" s="48" t="n">
        <f aca="false">BS_Proj!G34</f>
        <v>1.8000588824746</v>
      </c>
      <c r="H16" s="48" t="n">
        <f aca="false">BS_Proj!H34</f>
        <v>2.45238549956908</v>
      </c>
      <c r="I16" s="49" t="n">
        <f aca="false">BS_Proj!I34</f>
        <v>2.59813767238522</v>
      </c>
      <c r="J16" s="49" t="n">
        <f aca="false">BS_Proj!J34</f>
        <v>2.85387457222256</v>
      </c>
      <c r="K16" s="49" t="n">
        <f aca="false">BS_Proj!K34</f>
        <v>3.09508552621666</v>
      </c>
      <c r="L16" s="49" t="n">
        <f aca="false">BS_Proj!L34</f>
        <v>3.32259723771928</v>
      </c>
      <c r="M16" s="49" t="n">
        <f aca="false">BS_Proj!M34</f>
        <v>3.53691315939323</v>
      </c>
    </row>
    <row r="17" customFormat="false" ht="15" hidden="false" customHeight="false" outlineLevel="0" collapsed="false">
      <c r="B17" s="13" t="s">
        <v>186</v>
      </c>
      <c r="C17" s="46"/>
      <c r="D17" s="46" t="n">
        <f aca="false">BS_Proj!D33</f>
        <v>0.168492593612244</v>
      </c>
      <c r="E17" s="46" t="n">
        <f aca="false">BS_Proj!E33</f>
        <v>0.0528952167465841</v>
      </c>
      <c r="F17" s="46" t="n">
        <f aca="false">BS_Proj!F33</f>
        <v>0.00468375317398697</v>
      </c>
      <c r="G17" s="46" t="n">
        <f aca="false">BS_Proj!G33</f>
        <v>0.00723127943648783</v>
      </c>
      <c r="H17" s="46" t="n">
        <f aca="false">BS_Proj!H33</f>
        <v>0.0067800313508525</v>
      </c>
      <c r="I17" s="47" t="n">
        <f aca="false">BS_Proj!I33</f>
        <v>0.00532151486831722</v>
      </c>
      <c r="J17" s="47" t="n">
        <f aca="false">BS_Proj!J33</f>
        <v>0.00599652594651894</v>
      </c>
      <c r="K17" s="47" t="n">
        <f aca="false">BS_Proj!K33</f>
        <v>0.00676531853636841</v>
      </c>
      <c r="L17" s="47" t="n">
        <f aca="false">BS_Proj!L33</f>
        <v>0.00757656037583867</v>
      </c>
      <c r="M17" s="47" t="n">
        <f aca="false">BS_Proj!M33</f>
        <v>0.00843130433321474</v>
      </c>
    </row>
    <row r="18" customFormat="false" ht="15" hidden="false" customHeight="false" outlineLevel="0" collapsed="false">
      <c r="B18" s="13" t="s">
        <v>187</v>
      </c>
      <c r="C18" s="50" t="n">
        <f aca="false">BS_Proj!C31</f>
        <v>0</v>
      </c>
      <c r="D18" s="50" t="n">
        <f aca="false">BS_Proj!D31</f>
        <v>0</v>
      </c>
      <c r="E18" s="50" t="n">
        <f aca="false">BS_Proj!E31</f>
        <v>0</v>
      </c>
      <c r="F18" s="50" t="n">
        <f aca="false">BS_Proj!F31</f>
        <v>0</v>
      </c>
      <c r="G18" s="50" t="n">
        <f aca="false">BS_Proj!G31</f>
        <v>0</v>
      </c>
      <c r="H18" s="50" t="n">
        <f aca="false">BS_Proj!H31</f>
        <v>0</v>
      </c>
      <c r="I18" s="51" t="n">
        <f aca="false">BS_Proj!I31</f>
        <v>0</v>
      </c>
      <c r="J18" s="51" t="n">
        <f aca="false">BS_Proj!J31</f>
        <v>0</v>
      </c>
      <c r="K18" s="51" t="n">
        <f aca="false">BS_Proj!K31</f>
        <v>0</v>
      </c>
      <c r="L18" s="51" t="n">
        <f aca="false">BS_Proj!L31</f>
        <v>0</v>
      </c>
      <c r="M18" s="51" t="n">
        <f aca="false">BS_Proj!M31</f>
        <v>0</v>
      </c>
    </row>
    <row r="19" customFormat="false" ht="15" hidden="false" customHeight="false" outlineLevel="0" collapsed="false">
      <c r="B19" s="4" t="s">
        <v>30</v>
      </c>
      <c r="C19" s="42" t="str">
        <f aca="false">Rekonsiliasi!$C$3</f>
        <v>SEMUA 500 CEK SESUAI EKSPEKTASI</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N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s>
  <sheetData>
    <row r="1" customFormat="false" ht="17.35" hidden="false" customHeight="false" outlineLevel="0" collapsed="false">
      <c r="A1" s="14" t="s">
        <v>188</v>
      </c>
    </row>
    <row r="2" customFormat="false" ht="15" hidden="false" customHeight="false" outlineLevel="0" collapsed="false">
      <c r="A2" s="15" t="s">
        <v>189</v>
      </c>
    </row>
    <row r="4" customFormat="false" ht="15" hidden="false" customHeight="false" outlineLevel="0" collapsed="false">
      <c r="A4" s="4" t="s">
        <v>31</v>
      </c>
      <c r="C4" s="52" t="s">
        <v>190</v>
      </c>
      <c r="D4" s="13" t="n">
        <f aca="false">IF(C4="Bull",2,IF(C4="Bear",3,1))</f>
        <v>1</v>
      </c>
      <c r="E4" s="15" t="s">
        <v>191</v>
      </c>
    </row>
    <row r="5" customFormat="false" ht="15" hidden="false" customHeight="false" outlineLevel="0" collapsed="false">
      <c r="A5" s="4" t="s">
        <v>192</v>
      </c>
      <c r="C5" s="53" t="s">
        <v>193</v>
      </c>
    </row>
    <row r="7" customFormat="false" ht="15" hidden="false" customHeight="false" outlineLevel="0" collapsed="false">
      <c r="A7" s="25" t="s">
        <v>194</v>
      </c>
      <c r="B7" s="25" t="s">
        <v>195</v>
      </c>
      <c r="C7" s="25" t="s">
        <v>131</v>
      </c>
      <c r="D7" s="25" t="s">
        <v>132</v>
      </c>
      <c r="E7" s="25" t="s">
        <v>133</v>
      </c>
      <c r="F7" s="25" t="s">
        <v>134</v>
      </c>
      <c r="G7" s="25" t="s">
        <v>135</v>
      </c>
      <c r="H7" s="25" t="s">
        <v>136</v>
      </c>
      <c r="I7" s="43" t="s">
        <v>175</v>
      </c>
      <c r="J7" s="43" t="s">
        <v>176</v>
      </c>
      <c r="K7" s="43" t="s">
        <v>177</v>
      </c>
      <c r="L7" s="43" t="s">
        <v>178</v>
      </c>
      <c r="M7" s="43" t="s">
        <v>179</v>
      </c>
      <c r="N7" s="25" t="s">
        <v>196</v>
      </c>
    </row>
    <row r="8" customFormat="false" ht="15" hidden="false" customHeight="false" outlineLevel="0" collapsed="false">
      <c r="A8" s="16"/>
      <c r="B8" s="17" t="s">
        <v>197</v>
      </c>
      <c r="C8" s="16"/>
      <c r="D8" s="16"/>
      <c r="E8" s="16"/>
      <c r="F8" s="16"/>
      <c r="G8" s="16"/>
      <c r="H8" s="16"/>
      <c r="I8" s="16"/>
      <c r="J8" s="16"/>
      <c r="K8" s="16"/>
      <c r="L8" s="16"/>
      <c r="M8" s="16"/>
      <c r="N8" s="16"/>
    </row>
    <row r="9" customFormat="false" ht="15" hidden="false" customHeight="false" outlineLevel="0" collapsed="false">
      <c r="B9" s="4" t="s">
        <v>198</v>
      </c>
    </row>
    <row r="10" customFormat="false" ht="36" hidden="false" customHeight="true" outlineLevel="0" collapsed="false">
      <c r="A10" s="54" t="s">
        <v>199</v>
      </c>
      <c r="B10" s="13" t="s">
        <v>200</v>
      </c>
      <c r="C10" s="46"/>
      <c r="D10" s="46" t="n">
        <f aca="false">IFERROR(Schedules!D6/Schedules!C6-1,"")</f>
        <v>0.548727284159164</v>
      </c>
      <c r="E10" s="46" t="n">
        <f aca="false">IFERROR(Schedules!E6/Schedules!D6-1,"")</f>
        <v>-0.127750624656371</v>
      </c>
      <c r="F10" s="46" t="n">
        <f aca="false">IFERROR(Schedules!F6/Schedules!E6-1,"")</f>
        <v>-0.157069968555932</v>
      </c>
      <c r="G10" s="46" t="n">
        <f aca="false">IFERROR(Schedules!G6/Schedules!F6-1,"")</f>
        <v>0.0364657878891956</v>
      </c>
      <c r="H10" s="46" t="n">
        <f aca="false">IFERROR(Schedules!H6/Schedules!G6-1,"")</f>
        <v>0.0194394876314179</v>
      </c>
      <c r="I10" s="55" t="n">
        <f aca="false">CHOOSE(Asumsi!$D$4,I39,I67,I95)</f>
        <v>0.03</v>
      </c>
      <c r="J10" s="55" t="n">
        <f aca="false">CHOOSE(Asumsi!$D$4,J39,J67,J95)</f>
        <v>0.03</v>
      </c>
      <c r="K10" s="55" t="n">
        <f aca="false">CHOOSE(Asumsi!$D$4,K39,K67,K95)</f>
        <v>0.03</v>
      </c>
      <c r="L10" s="55" t="n">
        <f aca="false">CHOOSE(Asumsi!$D$4,L39,L67,L95)</f>
        <v>0.03</v>
      </c>
      <c r="M10" s="55" t="n">
        <f aca="false">CHOOSE(Asumsi!$D$4,M39,M67,M95)</f>
        <v>0.03</v>
      </c>
      <c r="N10" s="56" t="s">
        <v>201</v>
      </c>
    </row>
    <row r="11" customFormat="false" ht="36" hidden="false" customHeight="true" outlineLevel="0" collapsed="false">
      <c r="A11" s="54" t="s">
        <v>202</v>
      </c>
      <c r="B11" s="13" t="s">
        <v>203</v>
      </c>
      <c r="C11" s="46"/>
      <c r="D11" s="46" t="n">
        <f aca="false">IFERROR(Schedules!D7/Schedules!C7-1,"")</f>
        <v>0.984953072144028</v>
      </c>
      <c r="E11" s="46" t="n">
        <f aca="false">IFERROR(Schedules!E7/Schedules!D7-1,"")</f>
        <v>-0.256559671185158</v>
      </c>
      <c r="F11" s="46" t="n">
        <f aca="false">IFERROR(Schedules!F7/Schedules!E7-1,"")</f>
        <v>0.0174536208062834</v>
      </c>
      <c r="G11" s="46" t="n">
        <f aca="false">IFERROR(Schedules!G7/Schedules!F7-1,"")</f>
        <v>0.0624345907358483</v>
      </c>
      <c r="H11" s="46" t="n">
        <f aca="false">IFERROR(Schedules!H7/Schedules!G7-1,"")</f>
        <v>0.122771734745399</v>
      </c>
      <c r="I11" s="55" t="n">
        <f aca="false">CHOOSE(Asumsi!$D$4,I40,I68,I96)</f>
        <v>0.07</v>
      </c>
      <c r="J11" s="55" t="n">
        <f aca="false">CHOOSE(Asumsi!$D$4,J40,J68,J96)</f>
        <v>0.07</v>
      </c>
      <c r="K11" s="55" t="n">
        <f aca="false">CHOOSE(Asumsi!$D$4,K40,K68,K96)</f>
        <v>0.07</v>
      </c>
      <c r="L11" s="55" t="n">
        <f aca="false">CHOOSE(Asumsi!$D$4,L40,L68,L96)</f>
        <v>0.07</v>
      </c>
      <c r="M11" s="55" t="n">
        <f aca="false">CHOOSE(Asumsi!$D$4,M40,M68,M96)</f>
        <v>0.07</v>
      </c>
      <c r="N11" s="56" t="s">
        <v>204</v>
      </c>
    </row>
    <row r="12" customFormat="false" ht="36" hidden="false" customHeight="true" outlineLevel="0" collapsed="false">
      <c r="A12" s="54" t="s">
        <v>205</v>
      </c>
      <c r="B12" s="13" t="s">
        <v>206</v>
      </c>
      <c r="C12" s="46"/>
      <c r="D12" s="46" t="n">
        <f aca="false">IFERROR(Schedules!D8/Schedules!C8-1,"")</f>
        <v>0.510619451972324</v>
      </c>
      <c r="E12" s="46" t="n">
        <f aca="false">IFERROR(Schedules!E8/Schedules!D8-1,"")</f>
        <v>0.0856232356945212</v>
      </c>
      <c r="F12" s="46" t="n">
        <f aca="false">IFERROR(Schedules!F8/Schedules!E8-1,"")</f>
        <v>-0.122669149703389</v>
      </c>
      <c r="G12" s="46" t="n">
        <f aca="false">IFERROR(Schedules!G8/Schedules!F8-1,"")</f>
        <v>0.0889616237584934</v>
      </c>
      <c r="H12" s="46" t="n">
        <f aca="false">IFERROR(Schedules!H8/Schedules!G8-1,"")</f>
        <v>-0.0175198706973567</v>
      </c>
      <c r="I12" s="55" t="n">
        <f aca="false">CHOOSE(Asumsi!$D$4,I41,I69,I97)</f>
        <v>0.03</v>
      </c>
      <c r="J12" s="55" t="n">
        <f aca="false">CHOOSE(Asumsi!$D$4,J41,J69,J97)</f>
        <v>0.03</v>
      </c>
      <c r="K12" s="55" t="n">
        <f aca="false">CHOOSE(Asumsi!$D$4,K41,K69,K97)</f>
        <v>0.03</v>
      </c>
      <c r="L12" s="55" t="n">
        <f aca="false">CHOOSE(Asumsi!$D$4,L41,L69,L97)</f>
        <v>0.03</v>
      </c>
      <c r="M12" s="55" t="n">
        <f aca="false">CHOOSE(Asumsi!$D$4,M41,M69,M97)</f>
        <v>0.03</v>
      </c>
      <c r="N12" s="56" t="s">
        <v>207</v>
      </c>
    </row>
    <row r="13" customFormat="false" ht="36" hidden="false" customHeight="true" outlineLevel="0" collapsed="false">
      <c r="A13" s="54" t="s">
        <v>208</v>
      </c>
      <c r="B13" s="13" t="s">
        <v>209</v>
      </c>
      <c r="C13" s="46"/>
      <c r="D13" s="46" t="n">
        <f aca="false">IFERROR(Schedules!D9/Schedules!C9-1,"")</f>
        <v>0.680121686306611</v>
      </c>
      <c r="E13" s="46" t="n">
        <f aca="false">IFERROR(Schedules!E9/Schedules!D9-1,"")</f>
        <v>0.219331440709519</v>
      </c>
      <c r="F13" s="46" t="n">
        <f aca="false">IFERROR(Schedules!F9/Schedules!E9-1,"")</f>
        <v>-0.139136829658093</v>
      </c>
      <c r="G13" s="46" t="n">
        <f aca="false">IFERROR(Schedules!G9/Schedules!F9-1,"")</f>
        <v>-0.200176480185212</v>
      </c>
      <c r="H13" s="46" t="n">
        <f aca="false">IFERROR(Schedules!H9/Schedules!G9-1,"")</f>
        <v>-0.0409494223836662</v>
      </c>
      <c r="I13" s="55" t="n">
        <f aca="false">CHOOSE(Asumsi!$D$4,I42,I70,I98)</f>
        <v>0</v>
      </c>
      <c r="J13" s="55" t="n">
        <f aca="false">CHOOSE(Asumsi!$D$4,J42,J70,J98)</f>
        <v>0</v>
      </c>
      <c r="K13" s="55" t="n">
        <f aca="false">CHOOSE(Asumsi!$D$4,K42,K70,K98)</f>
        <v>0</v>
      </c>
      <c r="L13" s="55" t="n">
        <f aca="false">CHOOSE(Asumsi!$D$4,L42,L70,L98)</f>
        <v>0</v>
      </c>
      <c r="M13" s="55" t="n">
        <f aca="false">CHOOSE(Asumsi!$D$4,M42,M70,M98)</f>
        <v>0</v>
      </c>
      <c r="N13" s="56" t="s">
        <v>210</v>
      </c>
    </row>
    <row r="14" customFormat="false" ht="36" hidden="false" customHeight="true" outlineLevel="0" collapsed="false">
      <c r="A14" s="54" t="s">
        <v>211</v>
      </c>
      <c r="B14" s="13" t="s">
        <v>212</v>
      </c>
      <c r="C14" s="46" t="n">
        <f aca="false">Schedules!C13</f>
        <v>0.0157884872328809</v>
      </c>
      <c r="D14" s="46" t="n">
        <f aca="false">Schedules!D13</f>
        <v>0.0287761661697611</v>
      </c>
      <c r="E14" s="46" t="n">
        <f aca="false">Schedules!E13</f>
        <v>0.0355580538930335</v>
      </c>
      <c r="F14" s="46" t="n">
        <f aca="false">Schedules!F13</f>
        <v>0.0453997898384982</v>
      </c>
      <c r="G14" s="46" t="n">
        <f aca="false">Schedules!G13</f>
        <v>0.0597405638878132</v>
      </c>
      <c r="H14" s="46" t="n">
        <f aca="false">Schedules!H13</f>
        <v>0.0632551416166256</v>
      </c>
      <c r="I14" s="55" t="n">
        <f aca="false">CHOOSE(Asumsi!$D$4,I43,I71,I99)</f>
        <v>0.065</v>
      </c>
      <c r="J14" s="55" t="n">
        <f aca="false">CHOOSE(Asumsi!$D$4,J43,J71,J99)</f>
        <v>0.065</v>
      </c>
      <c r="K14" s="55" t="n">
        <f aca="false">CHOOSE(Asumsi!$D$4,K43,K71,K99)</f>
        <v>0.065</v>
      </c>
      <c r="L14" s="55" t="n">
        <f aca="false">CHOOSE(Asumsi!$D$4,L43,L71,L99)</f>
        <v>0.065</v>
      </c>
      <c r="M14" s="55" t="n">
        <f aca="false">CHOOSE(Asumsi!$D$4,M43,M71,M99)</f>
        <v>0.065</v>
      </c>
      <c r="N14" s="56" t="s">
        <v>213</v>
      </c>
    </row>
    <row r="15" customFormat="false" ht="15" hidden="false" customHeight="false" outlineLevel="0" collapsed="false">
      <c r="B15" s="4" t="s">
        <v>214</v>
      </c>
    </row>
    <row r="16" customFormat="false" ht="36" hidden="false" customHeight="true" outlineLevel="0" collapsed="false">
      <c r="A16" s="54" t="s">
        <v>215</v>
      </c>
      <c r="B16" s="13" t="s">
        <v>216</v>
      </c>
      <c r="C16" s="46" t="n">
        <f aca="false">IFERROR(-(IS!C7+Schedules!C15)/IS!C6,"")</f>
        <v>0.562248822563962</v>
      </c>
      <c r="D16" s="46" t="n">
        <f aca="false">IFERROR(-(IS!D7+Schedules!D15)/IS!D6,"")</f>
        <v>0.477608430058657</v>
      </c>
      <c r="E16" s="46" t="n">
        <f aca="false">IFERROR(-(IS!E7+Schedules!E15)/IS!E6,"")</f>
        <v>0.532017864528158</v>
      </c>
      <c r="F16" s="46" t="n">
        <f aca="false">IFERROR(-(IS!F7+Schedules!F15)/IS!F6,"")</f>
        <v>0.524203044130885</v>
      </c>
      <c r="G16" s="46" t="n">
        <f aca="false">IFERROR(-(IS!G7+Schedules!G15)/IS!G6,"")</f>
        <v>0.538898583193987</v>
      </c>
      <c r="H16" s="46" t="n">
        <f aca="false">IFERROR(-(IS!H7+Schedules!H15)/IS!H6,"")</f>
        <v>0.536839084173845</v>
      </c>
      <c r="I16" s="55" t="n">
        <f aca="false">CHOOSE(Asumsi!$D$4,I45,I73,I101)</f>
        <v>0.535</v>
      </c>
      <c r="J16" s="55" t="n">
        <f aca="false">CHOOSE(Asumsi!$D$4,J45,J73,J101)</f>
        <v>0.535</v>
      </c>
      <c r="K16" s="55" t="n">
        <f aca="false">CHOOSE(Asumsi!$D$4,K45,K73,K101)</f>
        <v>0.535</v>
      </c>
      <c r="L16" s="55" t="n">
        <f aca="false">CHOOSE(Asumsi!$D$4,L45,L73,L101)</f>
        <v>0.535</v>
      </c>
      <c r="M16" s="55" t="n">
        <f aca="false">CHOOSE(Asumsi!$D$4,M45,M73,M101)</f>
        <v>0.535</v>
      </c>
      <c r="N16" s="56" t="s">
        <v>217</v>
      </c>
    </row>
    <row r="17" customFormat="false" ht="36" hidden="false" customHeight="true" outlineLevel="0" collapsed="false">
      <c r="A17" s="54" t="s">
        <v>218</v>
      </c>
      <c r="B17" s="13" t="s">
        <v>219</v>
      </c>
      <c r="C17" s="46" t="n">
        <f aca="false">IFERROR(-(IS!C11+Schedules!C20)/IS!C6,"")</f>
        <v>0.242639566230861</v>
      </c>
      <c r="D17" s="46" t="n">
        <f aca="false">IFERROR(-(IS!D11+Schedules!D20)/IS!D6,"")</f>
        <v>0.232302615181008</v>
      </c>
      <c r="E17" s="46" t="n">
        <f aca="false">IFERROR(-(IS!E11+Schedules!E20)/IS!E6,"")</f>
        <v>0.265822517565806</v>
      </c>
      <c r="F17" s="46" t="n">
        <f aca="false">IFERROR(-(IS!F11+Schedules!F20)/IS!F6,"")</f>
        <v>0.330404644687482</v>
      </c>
      <c r="G17" s="46" t="n">
        <f aca="false">IFERROR(-(IS!G11+Schedules!G20)/IS!G6,"")</f>
        <v>0.317988331356045</v>
      </c>
      <c r="H17" s="46" t="n">
        <f aca="false">IFERROR(-(IS!H11+Schedules!H20)/IS!H6,"")</f>
        <v>0.313352827363216</v>
      </c>
      <c r="I17" s="55" t="n">
        <f aca="false">CHOOSE(Asumsi!$D$4,I46,I74,I102)</f>
        <v>0.315</v>
      </c>
      <c r="J17" s="55" t="n">
        <f aca="false">CHOOSE(Asumsi!$D$4,J46,J74,J102)</f>
        <v>0.315</v>
      </c>
      <c r="K17" s="55" t="n">
        <f aca="false">CHOOSE(Asumsi!$D$4,K46,K74,K102)</f>
        <v>0.315</v>
      </c>
      <c r="L17" s="55" t="n">
        <f aca="false">CHOOSE(Asumsi!$D$4,L46,L74,L102)</f>
        <v>0.315</v>
      </c>
      <c r="M17" s="55" t="n">
        <f aca="false">CHOOSE(Asumsi!$D$4,M46,M74,M102)</f>
        <v>0.315</v>
      </c>
      <c r="N17" s="56" t="s">
        <v>220</v>
      </c>
    </row>
    <row r="18" customFormat="false" ht="36" hidden="false" customHeight="true" outlineLevel="0" collapsed="false">
      <c r="A18" s="54" t="s">
        <v>221</v>
      </c>
      <c r="B18" s="13" t="s">
        <v>222</v>
      </c>
      <c r="C18" s="46" t="n">
        <f aca="false">IFERROR(IS!C12/IS!C6,"")</f>
        <v>0.00982936143812517</v>
      </c>
      <c r="D18" s="46" t="n">
        <f aca="false">IFERROR(IS!D12/IS!D6,"")</f>
        <v>0.00613660556634727</v>
      </c>
      <c r="E18" s="46" t="n">
        <f aca="false">IFERROR(IS!E12/IS!E6,"")</f>
        <v>0.000270026428100044</v>
      </c>
      <c r="F18" s="46" t="n">
        <f aca="false">IFERROR(IS!F12/IS!F6,"")</f>
        <v>-0.000597503161331665</v>
      </c>
      <c r="G18" s="46" t="n">
        <f aca="false">IFERROR(IS!G12/IS!G6,"")</f>
        <v>-0.00711413507074957</v>
      </c>
      <c r="H18" s="46" t="n">
        <f aca="false">IFERROR(IS!H12/IS!H6,"")</f>
        <v>-0.0161368310369818</v>
      </c>
      <c r="I18" s="55" t="n">
        <f aca="false">CHOOSE(Asumsi!$D$4,I47,I75,I103)</f>
        <v>-0.006</v>
      </c>
      <c r="J18" s="55" t="n">
        <f aca="false">CHOOSE(Asumsi!$D$4,J47,J75,J103)</f>
        <v>-0.006</v>
      </c>
      <c r="K18" s="55" t="n">
        <f aca="false">CHOOSE(Asumsi!$D$4,K47,K75,K103)</f>
        <v>-0.006</v>
      </c>
      <c r="L18" s="55" t="n">
        <f aca="false">CHOOSE(Asumsi!$D$4,L47,L75,L103)</f>
        <v>-0.006</v>
      </c>
      <c r="M18" s="55" t="n">
        <f aca="false">CHOOSE(Asumsi!$D$4,M47,M75,M103)</f>
        <v>-0.006</v>
      </c>
      <c r="N18" s="56" t="s">
        <v>223</v>
      </c>
    </row>
    <row r="19" customFormat="false" ht="15" hidden="false" customHeight="false" outlineLevel="0" collapsed="false">
      <c r="B19" s="4" t="s">
        <v>224</v>
      </c>
    </row>
    <row r="20" customFormat="false" ht="36" hidden="false" customHeight="true" outlineLevel="0" collapsed="false">
      <c r="A20" s="54" t="s">
        <v>225</v>
      </c>
      <c r="B20" s="13" t="s">
        <v>226</v>
      </c>
      <c r="C20" s="46" t="n">
        <f aca="false">IFERROR(-(CF!C15+CF!C16)/IS!C6,"")</f>
        <v>0.0432059852063478</v>
      </c>
      <c r="D20" s="46" t="n">
        <f aca="false">IFERROR(-(CF!D15+CF!D16)/IS!D6,"")</f>
        <v>0.157697968424084</v>
      </c>
      <c r="E20" s="46" t="n">
        <f aca="false">IFERROR(-(CF!E15+CF!E16)/IS!E6,"")</f>
        <v>0.181908874431783</v>
      </c>
      <c r="F20" s="46" t="n">
        <f aca="false">IFERROR(-(CF!F15+CF!F16)/IS!F6,"")</f>
        <v>0.140675812796553</v>
      </c>
      <c r="G20" s="46" t="n">
        <f aca="false">IFERROR(-(CF!G15+CF!G16)/IS!G6,"")</f>
        <v>0.111723062444309</v>
      </c>
      <c r="H20" s="46" t="n">
        <f aca="false">IFERROR(-(CF!H15+CF!H16)/IS!H6,"")</f>
        <v>0.135600499445958</v>
      </c>
      <c r="I20" s="55" t="n">
        <f aca="false">CHOOSE(Asumsi!$D$4,I49,I77,I105)</f>
        <v>0.12</v>
      </c>
      <c r="J20" s="55" t="n">
        <f aca="false">CHOOSE(Asumsi!$D$4,J49,J77,J105)</f>
        <v>0.12</v>
      </c>
      <c r="K20" s="55" t="n">
        <f aca="false">CHOOSE(Asumsi!$D$4,K49,K77,K105)</f>
        <v>0.12</v>
      </c>
      <c r="L20" s="55" t="n">
        <f aca="false">CHOOSE(Asumsi!$D$4,L49,L77,L105)</f>
        <v>0.12</v>
      </c>
      <c r="M20" s="55" t="n">
        <f aca="false">CHOOSE(Asumsi!$D$4,M49,M77,M105)</f>
        <v>0.12</v>
      </c>
      <c r="N20" s="56" t="s">
        <v>227</v>
      </c>
    </row>
    <row r="21" customFormat="false" ht="36" hidden="false" customHeight="true" outlineLevel="0" collapsed="false">
      <c r="A21" s="54" t="s">
        <v>228</v>
      </c>
      <c r="B21" s="13" t="s">
        <v>229</v>
      </c>
      <c r="C21" s="46"/>
      <c r="D21" s="46" t="n">
        <f aca="false">IFERROR(Schedules!D14/BS!C19,"")</f>
        <v>0.0501324973286297</v>
      </c>
      <c r="E21" s="46" t="n">
        <f aca="false">IFERROR(Schedules!E14/BS!D19,"")</f>
        <v>0.0597948853484983</v>
      </c>
      <c r="F21" s="46" t="n">
        <f aca="false">IFERROR(Schedules!F14/BS!E19,"")</f>
        <v>0.0539157214935139</v>
      </c>
      <c r="G21" s="46" t="n">
        <f aca="false">IFERROR(Schedules!G14/BS!F19,"")</f>
        <v>0.0510318173276038</v>
      </c>
      <c r="H21" s="46" t="n">
        <f aca="false">IFERROR(Schedules!H14/BS!G19,"")</f>
        <v>0.0419779938035705</v>
      </c>
      <c r="I21" s="55" t="n">
        <f aca="false">CHOOSE(Asumsi!$D$4,I50,I78,I106)</f>
        <v>0.045</v>
      </c>
      <c r="J21" s="55" t="n">
        <f aca="false">CHOOSE(Asumsi!$D$4,J50,J78,J106)</f>
        <v>0.045</v>
      </c>
      <c r="K21" s="55" t="n">
        <f aca="false">CHOOSE(Asumsi!$D$4,K50,K78,K106)</f>
        <v>0.045</v>
      </c>
      <c r="L21" s="55" t="n">
        <f aca="false">CHOOSE(Asumsi!$D$4,L50,L78,L106)</f>
        <v>0.045</v>
      </c>
      <c r="M21" s="55" t="n">
        <f aca="false">CHOOSE(Asumsi!$D$4,M50,M78,M106)</f>
        <v>0.045</v>
      </c>
      <c r="N21" s="56" t="s">
        <v>230</v>
      </c>
    </row>
    <row r="22" customFormat="false" ht="36" hidden="false" customHeight="true" outlineLevel="0" collapsed="false">
      <c r="A22" s="54" t="s">
        <v>231</v>
      </c>
      <c r="B22" s="13" t="s">
        <v>232</v>
      </c>
      <c r="C22" s="46"/>
      <c r="D22" s="46" t="n">
        <f aca="false">IFERROR(Schedules!D17/BS!C20,"")</f>
        <v>0.928818483116833</v>
      </c>
      <c r="E22" s="46" t="n">
        <f aca="false">IFERROR(Schedules!E17/BS!D20,"")</f>
        <v>0.505560113842225</v>
      </c>
      <c r="F22" s="46" t="n">
        <f aca="false">IFERROR(Schedules!F17/BS!E20,"")</f>
        <v>0.358790052598949</v>
      </c>
      <c r="G22" s="46" t="n">
        <f aca="false">IFERROR(Schedules!G17/BS!F20,"")</f>
        <v>0.239291431312978</v>
      </c>
      <c r="H22" s="46" t="n">
        <f aca="false">IFERROR(Schedules!H17/BS!G20,"")</f>
        <v>0.459062712916383</v>
      </c>
      <c r="I22" s="55" t="n">
        <f aca="false">CHOOSE(Asumsi!$D$4,I51,I79,I107)</f>
        <v>0.35</v>
      </c>
      <c r="J22" s="55" t="n">
        <f aca="false">CHOOSE(Asumsi!$D$4,J51,J79,J107)</f>
        <v>0.35</v>
      </c>
      <c r="K22" s="55" t="n">
        <f aca="false">CHOOSE(Asumsi!$D$4,K51,K79,K107)</f>
        <v>0.35</v>
      </c>
      <c r="L22" s="55" t="n">
        <f aca="false">CHOOSE(Asumsi!$D$4,L51,L79,L107)</f>
        <v>0.35</v>
      </c>
      <c r="M22" s="55" t="n">
        <f aca="false">CHOOSE(Asumsi!$D$4,M51,M79,M107)</f>
        <v>0.35</v>
      </c>
      <c r="N22" s="56" t="s">
        <v>233</v>
      </c>
    </row>
    <row r="23" customFormat="false" ht="15" hidden="false" customHeight="false" outlineLevel="0" collapsed="false">
      <c r="B23" s="4" t="s">
        <v>234</v>
      </c>
    </row>
    <row r="24" customFormat="false" ht="36" hidden="false" customHeight="true" outlineLevel="0" collapsed="false">
      <c r="A24" s="54" t="s">
        <v>235</v>
      </c>
      <c r="B24" s="13" t="s">
        <v>236</v>
      </c>
      <c r="C24" s="44" t="n">
        <f aca="false">IFERROR((BS!C9+BS!C8)/IS!C6*365,"")</f>
        <v>39.1437370104324</v>
      </c>
      <c r="D24" s="44" t="n">
        <f aca="false">IFERROR((BS!D9+BS!D8)/IS!D6*365,"")</f>
        <v>30.2610023415271</v>
      </c>
      <c r="E24" s="44" t="n">
        <f aca="false">IFERROR((BS!E9+BS!E8)/IS!E6*365,"")</f>
        <v>25.2277026467636</v>
      </c>
      <c r="F24" s="44" t="n">
        <f aca="false">IFERROR((BS!F9+BS!F8)/IS!F6*365,"")</f>
        <v>27.093892021109</v>
      </c>
      <c r="G24" s="44" t="n">
        <f aca="false">IFERROR((BS!G9+BS!G8)/IS!G6*365,"")</f>
        <v>33.9751802162641</v>
      </c>
      <c r="H24" s="44" t="n">
        <f aca="false">IFERROR((BS!H9+BS!H8)/IS!H6*365,"")</f>
        <v>36.6143684835322</v>
      </c>
      <c r="I24" s="57" t="n">
        <f aca="false">CHOOSE(Asumsi!$D$4,I53,I81,I109)</f>
        <v>36</v>
      </c>
      <c r="J24" s="57" t="n">
        <f aca="false">CHOOSE(Asumsi!$D$4,J53,J81,J109)</f>
        <v>36</v>
      </c>
      <c r="K24" s="57" t="n">
        <f aca="false">CHOOSE(Asumsi!$D$4,K53,K81,K109)</f>
        <v>36</v>
      </c>
      <c r="L24" s="57" t="n">
        <f aca="false">CHOOSE(Asumsi!$D$4,L53,L81,L109)</f>
        <v>36</v>
      </c>
      <c r="M24" s="57" t="n">
        <f aca="false">CHOOSE(Asumsi!$D$4,M53,M81,M109)</f>
        <v>36</v>
      </c>
      <c r="N24" s="56" t="s">
        <v>237</v>
      </c>
    </row>
    <row r="25" customFormat="false" ht="36" hidden="false" customHeight="true" outlineLevel="0" collapsed="false">
      <c r="A25" s="54" t="s">
        <v>238</v>
      </c>
      <c r="B25" s="13" t="s">
        <v>239</v>
      </c>
      <c r="C25" s="44" t="n">
        <f aca="false">IFERROR(BS!C12/-(IS!C7+Schedules!C15)*365,"")</f>
        <v>10.735061067479</v>
      </c>
      <c r="D25" s="44" t="n">
        <f aca="false">IFERROR(BS!D12/-(IS!D7+Schedules!D15)*365,"")</f>
        <v>15.7204777638688</v>
      </c>
      <c r="E25" s="44" t="n">
        <f aca="false">IFERROR(BS!E12/-(IS!E7+Schedules!E15)*365,"")</f>
        <v>16.3169566983235</v>
      </c>
      <c r="F25" s="44" t="n">
        <f aca="false">IFERROR(BS!F12/-(IS!F7+Schedules!F15)*365,"")</f>
        <v>19.7437512407575</v>
      </c>
      <c r="G25" s="44" t="n">
        <f aca="false">IFERROR(BS!G12/-(IS!G7+Schedules!G15)*365,"")</f>
        <v>20.4853808436747</v>
      </c>
      <c r="H25" s="44" t="n">
        <f aca="false">IFERROR(BS!H12/-(IS!H7+Schedules!H15)*365,"")</f>
        <v>21.7406915146121</v>
      </c>
      <c r="I25" s="57" t="n">
        <f aca="false">CHOOSE(Asumsi!$D$4,I54,I82,I110)</f>
        <v>21</v>
      </c>
      <c r="J25" s="57" t="n">
        <f aca="false">CHOOSE(Asumsi!$D$4,J54,J82,J110)</f>
        <v>21</v>
      </c>
      <c r="K25" s="57" t="n">
        <f aca="false">CHOOSE(Asumsi!$D$4,K54,K82,K110)</f>
        <v>21</v>
      </c>
      <c r="L25" s="57" t="n">
        <f aca="false">CHOOSE(Asumsi!$D$4,L54,L82,L110)</f>
        <v>21</v>
      </c>
      <c r="M25" s="57" t="n">
        <f aca="false">CHOOSE(Asumsi!$D$4,M54,M82,M110)</f>
        <v>21</v>
      </c>
      <c r="N25" s="56" t="s">
        <v>240</v>
      </c>
    </row>
    <row r="26" customFormat="false" ht="36" hidden="false" customHeight="true" outlineLevel="0" collapsed="false">
      <c r="A26" s="54" t="s">
        <v>241</v>
      </c>
      <c r="B26" s="13" t="s">
        <v>242</v>
      </c>
      <c r="C26" s="44" t="n">
        <f aca="false">IFERROR((BS!C30+BS!C29)/-(IS!C7+Schedules!C15)*365,"")</f>
        <v>67.9207343079769</v>
      </c>
      <c r="D26" s="44" t="n">
        <f aca="false">IFERROR((BS!D30+BS!D29)/-(IS!D7+Schedules!D15)*365,"")</f>
        <v>48.1623110322855</v>
      </c>
      <c r="E26" s="44" t="n">
        <f aca="false">IFERROR((BS!E30+BS!E29)/-(IS!E7+Schedules!E15)*365,"")</f>
        <v>37.9654989182233</v>
      </c>
      <c r="F26" s="44" t="n">
        <f aca="false">IFERROR((BS!F30+BS!F29)/-(IS!F7+Schedules!F15)*365,"")</f>
        <v>26.0940056660367</v>
      </c>
      <c r="G26" s="44" t="n">
        <f aca="false">IFERROR((BS!G30+BS!G29)/-(IS!G7+Schedules!G15)*365,"")</f>
        <v>13.4537366647201</v>
      </c>
      <c r="H26" s="44" t="n">
        <f aca="false">IFERROR((BS!H30+BS!H29)/-(IS!H7+Schedules!H15)*365,"")</f>
        <v>34.392522761938</v>
      </c>
      <c r="I26" s="57" t="n">
        <f aca="false">CHOOSE(Asumsi!$D$4,I55,I83,I111)</f>
        <v>30</v>
      </c>
      <c r="J26" s="57" t="n">
        <f aca="false">CHOOSE(Asumsi!$D$4,J55,J83,J111)</f>
        <v>30</v>
      </c>
      <c r="K26" s="57" t="n">
        <f aca="false">CHOOSE(Asumsi!$D$4,K55,K83,K111)</f>
        <v>30</v>
      </c>
      <c r="L26" s="57" t="n">
        <f aca="false">CHOOSE(Asumsi!$D$4,L55,L83,L111)</f>
        <v>30</v>
      </c>
      <c r="M26" s="57" t="n">
        <f aca="false">CHOOSE(Asumsi!$D$4,M55,M83,M111)</f>
        <v>30</v>
      </c>
      <c r="N26" s="56" t="s">
        <v>243</v>
      </c>
    </row>
    <row r="27" customFormat="false" ht="15" hidden="false" customHeight="false" outlineLevel="0" collapsed="false">
      <c r="B27" s="4" t="s">
        <v>244</v>
      </c>
    </row>
    <row r="28" customFormat="false" ht="36" hidden="false" customHeight="true" outlineLevel="0" collapsed="false">
      <c r="A28" s="54" t="s">
        <v>245</v>
      </c>
      <c r="B28" s="13" t="s">
        <v>246</v>
      </c>
      <c r="C28" s="46" t="n">
        <f aca="false">IFERROR(-IS!C21/IS!C17,"")</f>
        <v>0.182988462659569</v>
      </c>
      <c r="D28" s="46" t="n">
        <f aca="false">IFERROR(-IS!D21/IS!D17,"")</f>
        <v>0.224198698526178</v>
      </c>
      <c r="E28" s="46" t="n">
        <f aca="false">IFERROR(-IS!E21/IS!E17,"")</f>
        <v>0.270706255624736</v>
      </c>
      <c r="F28" s="46" t="n">
        <f aca="false">IFERROR(-IS!F21/IS!F17,"")</f>
        <v>0.597514906630939</v>
      </c>
      <c r="G28" s="46" t="n">
        <f aca="false">IFERROR(-IS!G21/IS!G17,"")</f>
        <v>0.51039239979701</v>
      </c>
      <c r="H28" s="46" t="n">
        <f aca="false">IFERROR(-IS!H21/IS!H17,"")</f>
        <v>0.344712758067088</v>
      </c>
      <c r="I28" s="55" t="n">
        <f aca="false">CHOOSE(Asumsi!$D$4,I57,I85,I113)</f>
        <v>0.35</v>
      </c>
      <c r="J28" s="55" t="n">
        <f aca="false">CHOOSE(Asumsi!$D$4,J57,J85,J113)</f>
        <v>0.35</v>
      </c>
      <c r="K28" s="55" t="n">
        <f aca="false">CHOOSE(Asumsi!$D$4,K57,K85,K113)</f>
        <v>0.35</v>
      </c>
      <c r="L28" s="55" t="n">
        <f aca="false">CHOOSE(Asumsi!$D$4,L57,L85,L113)</f>
        <v>0.35</v>
      </c>
      <c r="M28" s="55" t="n">
        <f aca="false">CHOOSE(Asumsi!$D$4,M57,M85,M113)</f>
        <v>0.35</v>
      </c>
      <c r="N28" s="56" t="s">
        <v>247</v>
      </c>
    </row>
    <row r="29" customFormat="false" ht="36" hidden="false" customHeight="true" outlineLevel="0" collapsed="false">
      <c r="A29" s="54" t="s">
        <v>248</v>
      </c>
      <c r="B29" s="13" t="s">
        <v>249</v>
      </c>
      <c r="C29" s="46"/>
      <c r="D29" s="46" t="n">
        <f aca="false">IFERROR(-IS!D15/(((BS!D28+BS!D36+BS!D42+BS!D40)+(BS!D37+BS!D43)+(BS!C28+BS!C36+BS!C42+BS!C40)+(BS!C37+BS!C43))/2),"")</f>
        <v>0.037751470550685</v>
      </c>
      <c r="E29" s="46" t="n">
        <f aca="false">IFERROR(-IS!E15/(((BS!E28+BS!E36+BS!E42+BS!E40)+(BS!E37+BS!E43)+(BS!D28+BS!D36+BS!D42+BS!D40)+(BS!D37+BS!D43))/2),"")</f>
        <v>0.0587711327314578</v>
      </c>
      <c r="F29" s="46" t="n">
        <f aca="false">IFERROR(-IS!F15/(((BS!F28+BS!F36+BS!F42+BS!F40)+(BS!F37+BS!F43)+(BS!E28+BS!E36+BS!E42+BS!E40)+(BS!E37+BS!E43))/2),"")</f>
        <v>0.0563170459337971</v>
      </c>
      <c r="G29" s="46" t="n">
        <f aca="false">IFERROR(-IS!G15/(((BS!G28+BS!G36+BS!G42+BS!G40)+(BS!G37+BS!G43)+(BS!F28+BS!F36+BS!F42+BS!F40)+(BS!F37+BS!F43))/2),"")</f>
        <v>0.0595945416280265</v>
      </c>
      <c r="H29" s="46" t="n">
        <f aca="false">IFERROR(-IS!H15/(((BS!H28+BS!H36+BS!H42+BS!H40)+(BS!H37+BS!H43)+(BS!G28+BS!G36+BS!G42+BS!G40)+(BS!G37+BS!G43))/2),"")</f>
        <v>0.0535992132420753</v>
      </c>
      <c r="I29" s="55" t="n">
        <f aca="false">CHOOSE(Asumsi!$D$4,I58,I86,I114)</f>
        <v>0.0575</v>
      </c>
      <c r="J29" s="55" t="n">
        <f aca="false">CHOOSE(Asumsi!$D$4,J58,J86,J114)</f>
        <v>0.0575</v>
      </c>
      <c r="K29" s="55" t="n">
        <f aca="false">CHOOSE(Asumsi!$D$4,K58,K86,K114)</f>
        <v>0.0575</v>
      </c>
      <c r="L29" s="55" t="n">
        <f aca="false">CHOOSE(Asumsi!$D$4,L58,L86,L114)</f>
        <v>0.0575</v>
      </c>
      <c r="M29" s="55" t="n">
        <f aca="false">CHOOSE(Asumsi!$D$4,M58,M86,M114)</f>
        <v>0.0575</v>
      </c>
      <c r="N29" s="56" t="s">
        <v>250</v>
      </c>
    </row>
    <row r="30" customFormat="false" ht="36" hidden="false" customHeight="true" outlineLevel="0" collapsed="false">
      <c r="A30" s="54" t="s">
        <v>251</v>
      </c>
      <c r="B30" s="13" t="s">
        <v>252</v>
      </c>
      <c r="C30" s="46"/>
      <c r="D30" s="46" t="n">
        <f aca="false">IFERROR(IS!D14/BS!C6,"")</f>
        <v>0.0162854206324323</v>
      </c>
      <c r="E30" s="46" t="n">
        <f aca="false">IFERROR(IS!E14/BS!D6,"")</f>
        <v>0.0100786626601917</v>
      </c>
      <c r="F30" s="46" t="n">
        <f aca="false">IFERROR(IS!F14/BS!E6,"")</f>
        <v>0.0133873830229165</v>
      </c>
      <c r="G30" s="46" t="n">
        <f aca="false">IFERROR(IS!G14/BS!F6,"")</f>
        <v>0.0299663959672036</v>
      </c>
      <c r="H30" s="46" t="n">
        <f aca="false">IFERROR(IS!H14/BS!G6,"")</f>
        <v>0.0292734676389061</v>
      </c>
      <c r="I30" s="55" t="n">
        <f aca="false">CHOOSE(Asumsi!$D$4,I59,I87,I115)</f>
        <v>0.0275</v>
      </c>
      <c r="J30" s="55" t="n">
        <f aca="false">CHOOSE(Asumsi!$D$4,J59,J87,J115)</f>
        <v>0.0275</v>
      </c>
      <c r="K30" s="55" t="n">
        <f aca="false">CHOOSE(Asumsi!$D$4,K59,K87,K115)</f>
        <v>0.0275</v>
      </c>
      <c r="L30" s="55" t="n">
        <f aca="false">CHOOSE(Asumsi!$D$4,L59,L87,L115)</f>
        <v>0.0275</v>
      </c>
      <c r="M30" s="55" t="n">
        <f aca="false">CHOOSE(Asumsi!$D$4,M59,M87,M115)</f>
        <v>0.0275</v>
      </c>
      <c r="N30" s="56" t="s">
        <v>253</v>
      </c>
    </row>
    <row r="31" customFormat="false" ht="36" hidden="false" customHeight="true" outlineLevel="0" collapsed="false">
      <c r="A31" s="54" t="s">
        <v>254</v>
      </c>
      <c r="B31" s="13" t="s">
        <v>255</v>
      </c>
      <c r="C31" s="50"/>
      <c r="D31" s="50" t="n">
        <f aca="false">(BS!D28+BS!D36+BS!D42+BS!D40)-(BS!C28+BS!C36+BS!C42+BS!C40)</f>
        <v>-177296816470</v>
      </c>
      <c r="E31" s="50" t="n">
        <f aca="false">(BS!E28+BS!E36+BS!E42+BS!E40)-(BS!D28+BS!D36+BS!D42+BS!D40)</f>
        <v>241664328795</v>
      </c>
      <c r="F31" s="50" t="n">
        <f aca="false">(BS!F28+BS!F36+BS!F42+BS!F40)-(BS!E28+BS!E36+BS!E42+BS!E40)</f>
        <v>172022593628</v>
      </c>
      <c r="G31" s="50" t="n">
        <f aca="false">(BS!G28+BS!G36+BS!G42+BS!G40)-(BS!F28+BS!F36+BS!F42+BS!F40)</f>
        <v>63718071877</v>
      </c>
      <c r="H31" s="50" t="n">
        <f aca="false">(BS!H28+BS!H36+BS!H42+BS!H40)-(BS!G28+BS!G36+BS!G42+BS!G40)</f>
        <v>124743779476</v>
      </c>
      <c r="I31" s="58" t="n">
        <f aca="false">CHOOSE(Asumsi!$D$4,I60,I88,I116)</f>
        <v>0</v>
      </c>
      <c r="J31" s="58" t="n">
        <f aca="false">CHOOSE(Asumsi!$D$4,J60,J88,J116)</f>
        <v>0</v>
      </c>
      <c r="K31" s="58" t="n">
        <f aca="false">CHOOSE(Asumsi!$D$4,K60,K88,K116)</f>
        <v>0</v>
      </c>
      <c r="L31" s="58" t="n">
        <f aca="false">CHOOSE(Asumsi!$D$4,L60,L88,L116)</f>
        <v>0</v>
      </c>
      <c r="M31" s="58" t="n">
        <f aca="false">CHOOSE(Asumsi!$D$4,M60,M88,M116)</f>
        <v>0</v>
      </c>
      <c r="N31" s="56" t="s">
        <v>256</v>
      </c>
    </row>
    <row r="32" customFormat="false" ht="36" hidden="false" customHeight="true" outlineLevel="0" collapsed="false">
      <c r="A32" s="54" t="s">
        <v>257</v>
      </c>
      <c r="B32" s="13" t="s">
        <v>258</v>
      </c>
      <c r="C32" s="46"/>
      <c r="D32" s="46" t="n">
        <f aca="false">IFERROR(-CF!D28/(IS!C33+IS!C34),"")</f>
        <v>0.344882255169506</v>
      </c>
      <c r="E32" s="46" t="n">
        <f aca="false">IFERROR(-CF!E28/(IS!D33+IS!D34),"")</f>
        <v>0.395546274932023</v>
      </c>
      <c r="F32" s="46" t="n">
        <f aca="false">IFERROR(-CF!F28/(IS!E33+IS!E34),"")</f>
        <v>0.176740243634887</v>
      </c>
      <c r="G32" s="46" t="n">
        <f aca="false">IFERROR(-CF!G28/(IS!F33+IS!F34),"")</f>
        <v>3.93917777721909</v>
      </c>
      <c r="H32" s="46" t="n">
        <f aca="false">IFERROR(-CF!H28/(IS!G33+IS!G34),"")</f>
        <v>0.868082341501258</v>
      </c>
      <c r="I32" s="55" t="n">
        <f aca="false">CHOOSE(Asumsi!$D$4,I61,I89,I117)</f>
        <v>0.4</v>
      </c>
      <c r="J32" s="55" t="n">
        <f aca="false">CHOOSE(Asumsi!$D$4,J61,J89,J117)</f>
        <v>0.4</v>
      </c>
      <c r="K32" s="55" t="n">
        <f aca="false">CHOOSE(Asumsi!$D$4,K61,K89,K117)</f>
        <v>0.4</v>
      </c>
      <c r="L32" s="55" t="n">
        <f aca="false">CHOOSE(Asumsi!$D$4,L61,L89,L117)</f>
        <v>0.4</v>
      </c>
      <c r="M32" s="55" t="n">
        <f aca="false">CHOOSE(Asumsi!$D$4,M61,M89,M117)</f>
        <v>0.4</v>
      </c>
      <c r="N32" s="56" t="s">
        <v>259</v>
      </c>
    </row>
    <row r="33" customFormat="false" ht="36" hidden="false" customHeight="true" outlineLevel="0" collapsed="false">
      <c r="A33" s="54" t="s">
        <v>260</v>
      </c>
      <c r="B33" s="13" t="s">
        <v>261</v>
      </c>
      <c r="C33" s="46" t="n">
        <f aca="false">IFERROR(IS!C34/IS!C22,"")</f>
        <v>0.250456060610172</v>
      </c>
      <c r="D33" s="46" t="n">
        <f aca="false">IFERROR(IS!D34/IS!D22,"")</f>
        <v>0.395206938962609</v>
      </c>
      <c r="E33" s="46" t="n">
        <f aca="false">IFERROR(IS!E34/IS!E22,"")</f>
        <v>0.354482825476546</v>
      </c>
      <c r="F33" s="46" t="n">
        <f aca="false">IFERROR(IS!F34/IS!F22,"")</f>
        <v>0.540271291252529</v>
      </c>
      <c r="G33" s="46" t="n">
        <f aca="false">IFERROR(IS!G34/IS!G22,"")</f>
        <v>0.367926985446251</v>
      </c>
      <c r="H33" s="46" t="n">
        <f aca="false">IFERROR(IS!H34/IS!H22,"")</f>
        <v>0.58147468515717</v>
      </c>
      <c r="I33" s="55" t="n">
        <f aca="false">CHOOSE(Asumsi!$D$4,I62,I90,I118)</f>
        <v>0.45</v>
      </c>
      <c r="J33" s="55" t="n">
        <f aca="false">CHOOSE(Asumsi!$D$4,J62,J90,J118)</f>
        <v>0.45</v>
      </c>
      <c r="K33" s="55" t="n">
        <f aca="false">CHOOSE(Asumsi!$D$4,K62,K90,K118)</f>
        <v>0.45</v>
      </c>
      <c r="L33" s="55" t="n">
        <f aca="false">CHOOSE(Asumsi!$D$4,L62,L90,L118)</f>
        <v>0.45</v>
      </c>
      <c r="M33" s="55" t="n">
        <f aca="false">CHOOSE(Asumsi!$D$4,M62,M90,M118)</f>
        <v>0.45</v>
      </c>
      <c r="N33" s="56" t="s">
        <v>262</v>
      </c>
    </row>
    <row r="34" customFormat="false" ht="36" hidden="false" customHeight="true" outlineLevel="0" collapsed="false">
      <c r="A34" s="54" t="s">
        <v>263</v>
      </c>
      <c r="B34" s="13" t="s">
        <v>264</v>
      </c>
      <c r="C34" s="46"/>
      <c r="D34" s="46"/>
      <c r="E34" s="46"/>
      <c r="F34" s="46"/>
      <c r="G34" s="46"/>
      <c r="H34" s="46"/>
      <c r="I34" s="55" t="n">
        <f aca="false">CHOOSE(Asumsi!$D$4,I63,I91,I119)</f>
        <v>0.4</v>
      </c>
      <c r="J34" s="55" t="n">
        <f aca="false">CHOOSE(Asumsi!$D$4,J63,J91,J119)</f>
        <v>0.4</v>
      </c>
      <c r="K34" s="55" t="n">
        <f aca="false">CHOOSE(Asumsi!$D$4,K63,K91,K119)</f>
        <v>0.4</v>
      </c>
      <c r="L34" s="55" t="n">
        <f aca="false">CHOOSE(Asumsi!$D$4,L63,L91,L119)</f>
        <v>0.4</v>
      </c>
      <c r="M34" s="55" t="n">
        <f aca="false">CHOOSE(Asumsi!$D$4,M63,M91,M119)</f>
        <v>0.4</v>
      </c>
      <c r="N34" s="56" t="s">
        <v>265</v>
      </c>
    </row>
    <row r="37" customFormat="false" ht="15" hidden="false" customHeight="false" outlineLevel="0" collapsed="false">
      <c r="A37" s="16"/>
      <c r="B37" s="17" t="s">
        <v>266</v>
      </c>
      <c r="C37" s="16"/>
      <c r="D37" s="16"/>
      <c r="E37" s="16"/>
      <c r="F37" s="16"/>
      <c r="G37" s="16"/>
      <c r="H37" s="16"/>
      <c r="I37" s="16"/>
      <c r="J37" s="16"/>
      <c r="K37" s="16"/>
      <c r="L37" s="16"/>
      <c r="M37" s="16"/>
      <c r="N37" s="16"/>
    </row>
    <row r="38" customFormat="false" ht="15" hidden="false" customHeight="false" outlineLevel="0" collapsed="false">
      <c r="B38" s="4" t="s">
        <v>198</v>
      </c>
    </row>
    <row r="39" customFormat="false" ht="15" hidden="false" customHeight="false" outlineLevel="0" collapsed="false">
      <c r="A39" s="54" t="s">
        <v>267</v>
      </c>
      <c r="B39" s="13" t="s">
        <v>200</v>
      </c>
      <c r="I39" s="59" t="n">
        <v>0.03</v>
      </c>
      <c r="J39" s="59" t="n">
        <v>0.03</v>
      </c>
      <c r="K39" s="59" t="n">
        <v>0.03</v>
      </c>
      <c r="L39" s="59" t="n">
        <v>0.03</v>
      </c>
      <c r="M39" s="59" t="n">
        <v>0.03</v>
      </c>
    </row>
    <row r="40" customFormat="false" ht="15" hidden="false" customHeight="false" outlineLevel="0" collapsed="false">
      <c r="A40" s="54" t="s">
        <v>268</v>
      </c>
      <c r="B40" s="13" t="s">
        <v>203</v>
      </c>
      <c r="I40" s="59" t="n">
        <v>0.07</v>
      </c>
      <c r="J40" s="59" t="n">
        <v>0.07</v>
      </c>
      <c r="K40" s="59" t="n">
        <v>0.07</v>
      </c>
      <c r="L40" s="59" t="n">
        <v>0.07</v>
      </c>
      <c r="M40" s="59" t="n">
        <v>0.07</v>
      </c>
    </row>
    <row r="41" customFormat="false" ht="15" hidden="false" customHeight="false" outlineLevel="0" collapsed="false">
      <c r="A41" s="54" t="s">
        <v>269</v>
      </c>
      <c r="B41" s="13" t="s">
        <v>206</v>
      </c>
      <c r="I41" s="59" t="n">
        <v>0.03</v>
      </c>
      <c r="J41" s="59" t="n">
        <v>0.03</v>
      </c>
      <c r="K41" s="59" t="n">
        <v>0.03</v>
      </c>
      <c r="L41" s="59" t="n">
        <v>0.03</v>
      </c>
      <c r="M41" s="59" t="n">
        <v>0.03</v>
      </c>
    </row>
    <row r="42" customFormat="false" ht="15" hidden="false" customHeight="false" outlineLevel="0" collapsed="false">
      <c r="A42" s="54" t="s">
        <v>270</v>
      </c>
      <c r="B42" s="13" t="s">
        <v>209</v>
      </c>
      <c r="I42" s="59" t="n">
        <v>0</v>
      </c>
      <c r="J42" s="59" t="n">
        <v>0</v>
      </c>
      <c r="K42" s="59" t="n">
        <v>0</v>
      </c>
      <c r="L42" s="59" t="n">
        <v>0</v>
      </c>
      <c r="M42" s="59" t="n">
        <v>0</v>
      </c>
    </row>
    <row r="43" customFormat="false" ht="15" hidden="false" customHeight="false" outlineLevel="0" collapsed="false">
      <c r="A43" s="54" t="s">
        <v>271</v>
      </c>
      <c r="B43" s="13" t="s">
        <v>212</v>
      </c>
      <c r="I43" s="59" t="n">
        <v>0.065</v>
      </c>
      <c r="J43" s="59" t="n">
        <v>0.065</v>
      </c>
      <c r="K43" s="59" t="n">
        <v>0.065</v>
      </c>
      <c r="L43" s="59" t="n">
        <v>0.065</v>
      </c>
      <c r="M43" s="59" t="n">
        <v>0.065</v>
      </c>
    </row>
    <row r="44" customFormat="false" ht="15" hidden="false" customHeight="false" outlineLevel="0" collapsed="false">
      <c r="B44" s="4" t="s">
        <v>214</v>
      </c>
    </row>
    <row r="45" customFormat="false" ht="15" hidden="false" customHeight="false" outlineLevel="0" collapsed="false">
      <c r="A45" s="54" t="s">
        <v>272</v>
      </c>
      <c r="B45" s="13" t="s">
        <v>216</v>
      </c>
      <c r="I45" s="59" t="n">
        <v>0.535</v>
      </c>
      <c r="J45" s="59" t="n">
        <v>0.535</v>
      </c>
      <c r="K45" s="59" t="n">
        <v>0.535</v>
      </c>
      <c r="L45" s="59" t="n">
        <v>0.535</v>
      </c>
      <c r="M45" s="59" t="n">
        <v>0.535</v>
      </c>
    </row>
    <row r="46" customFormat="false" ht="15" hidden="false" customHeight="false" outlineLevel="0" collapsed="false">
      <c r="A46" s="54" t="s">
        <v>273</v>
      </c>
      <c r="B46" s="13" t="s">
        <v>219</v>
      </c>
      <c r="I46" s="59" t="n">
        <v>0.315</v>
      </c>
      <c r="J46" s="59" t="n">
        <v>0.315</v>
      </c>
      <c r="K46" s="59" t="n">
        <v>0.315</v>
      </c>
      <c r="L46" s="59" t="n">
        <v>0.315</v>
      </c>
      <c r="M46" s="59" t="n">
        <v>0.315</v>
      </c>
    </row>
    <row r="47" customFormat="false" ht="15" hidden="false" customHeight="false" outlineLevel="0" collapsed="false">
      <c r="A47" s="54" t="s">
        <v>274</v>
      </c>
      <c r="B47" s="13" t="s">
        <v>222</v>
      </c>
      <c r="I47" s="59" t="n">
        <v>-0.006</v>
      </c>
      <c r="J47" s="59" t="n">
        <v>-0.006</v>
      </c>
      <c r="K47" s="59" t="n">
        <v>-0.006</v>
      </c>
      <c r="L47" s="59" t="n">
        <v>-0.006</v>
      </c>
      <c r="M47" s="59" t="n">
        <v>-0.006</v>
      </c>
    </row>
    <row r="48" customFormat="false" ht="15" hidden="false" customHeight="false" outlineLevel="0" collapsed="false">
      <c r="B48" s="4" t="s">
        <v>224</v>
      </c>
    </row>
    <row r="49" customFormat="false" ht="15" hidden="false" customHeight="false" outlineLevel="0" collapsed="false">
      <c r="A49" s="54" t="s">
        <v>275</v>
      </c>
      <c r="B49" s="13" t="s">
        <v>226</v>
      </c>
      <c r="I49" s="59" t="n">
        <v>0.12</v>
      </c>
      <c r="J49" s="59" t="n">
        <v>0.12</v>
      </c>
      <c r="K49" s="59" t="n">
        <v>0.12</v>
      </c>
      <c r="L49" s="59" t="n">
        <v>0.12</v>
      </c>
      <c r="M49" s="59" t="n">
        <v>0.12</v>
      </c>
    </row>
    <row r="50" customFormat="false" ht="15" hidden="false" customHeight="false" outlineLevel="0" collapsed="false">
      <c r="A50" s="54" t="s">
        <v>276</v>
      </c>
      <c r="B50" s="13" t="s">
        <v>229</v>
      </c>
      <c r="I50" s="59" t="n">
        <v>0.045</v>
      </c>
      <c r="J50" s="59" t="n">
        <v>0.045</v>
      </c>
      <c r="K50" s="59" t="n">
        <v>0.045</v>
      </c>
      <c r="L50" s="59" t="n">
        <v>0.045</v>
      </c>
      <c r="M50" s="59" t="n">
        <v>0.045</v>
      </c>
    </row>
    <row r="51" customFormat="false" ht="15" hidden="false" customHeight="false" outlineLevel="0" collapsed="false">
      <c r="A51" s="54" t="s">
        <v>277</v>
      </c>
      <c r="B51" s="13" t="s">
        <v>232</v>
      </c>
      <c r="I51" s="59" t="n">
        <v>0.35</v>
      </c>
      <c r="J51" s="59" t="n">
        <v>0.35</v>
      </c>
      <c r="K51" s="59" t="n">
        <v>0.35</v>
      </c>
      <c r="L51" s="59" t="n">
        <v>0.35</v>
      </c>
      <c r="M51" s="59" t="n">
        <v>0.35</v>
      </c>
    </row>
    <row r="52" customFormat="false" ht="15" hidden="false" customHeight="false" outlineLevel="0" collapsed="false">
      <c r="B52" s="4" t="s">
        <v>234</v>
      </c>
    </row>
    <row r="53" customFormat="false" ht="15" hidden="false" customHeight="false" outlineLevel="0" collapsed="false">
      <c r="A53" s="54" t="s">
        <v>278</v>
      </c>
      <c r="B53" s="13" t="s">
        <v>236</v>
      </c>
      <c r="I53" s="60" t="n">
        <v>36</v>
      </c>
      <c r="J53" s="60" t="n">
        <v>36</v>
      </c>
      <c r="K53" s="60" t="n">
        <v>36</v>
      </c>
      <c r="L53" s="60" t="n">
        <v>36</v>
      </c>
      <c r="M53" s="60" t="n">
        <v>36</v>
      </c>
    </row>
    <row r="54" customFormat="false" ht="15" hidden="false" customHeight="false" outlineLevel="0" collapsed="false">
      <c r="A54" s="54" t="s">
        <v>279</v>
      </c>
      <c r="B54" s="13" t="s">
        <v>239</v>
      </c>
      <c r="I54" s="60" t="n">
        <v>21</v>
      </c>
      <c r="J54" s="60" t="n">
        <v>21</v>
      </c>
      <c r="K54" s="60" t="n">
        <v>21</v>
      </c>
      <c r="L54" s="60" t="n">
        <v>21</v>
      </c>
      <c r="M54" s="60" t="n">
        <v>21</v>
      </c>
    </row>
    <row r="55" customFormat="false" ht="15" hidden="false" customHeight="false" outlineLevel="0" collapsed="false">
      <c r="A55" s="54" t="s">
        <v>280</v>
      </c>
      <c r="B55" s="13" t="s">
        <v>242</v>
      </c>
      <c r="I55" s="60" t="n">
        <v>30</v>
      </c>
      <c r="J55" s="60" t="n">
        <v>30</v>
      </c>
      <c r="K55" s="60" t="n">
        <v>30</v>
      </c>
      <c r="L55" s="60" t="n">
        <v>30</v>
      </c>
      <c r="M55" s="60" t="n">
        <v>30</v>
      </c>
    </row>
    <row r="56" customFormat="false" ht="15" hidden="false" customHeight="false" outlineLevel="0" collapsed="false">
      <c r="B56" s="4" t="s">
        <v>244</v>
      </c>
    </row>
    <row r="57" customFormat="false" ht="15" hidden="false" customHeight="false" outlineLevel="0" collapsed="false">
      <c r="A57" s="54" t="s">
        <v>281</v>
      </c>
      <c r="B57" s="13" t="s">
        <v>246</v>
      </c>
      <c r="I57" s="59" t="n">
        <v>0.35</v>
      </c>
      <c r="J57" s="59" t="n">
        <v>0.35</v>
      </c>
      <c r="K57" s="59" t="n">
        <v>0.35</v>
      </c>
      <c r="L57" s="59" t="n">
        <v>0.35</v>
      </c>
      <c r="M57" s="59" t="n">
        <v>0.35</v>
      </c>
    </row>
    <row r="58" customFormat="false" ht="15" hidden="false" customHeight="false" outlineLevel="0" collapsed="false">
      <c r="A58" s="54" t="s">
        <v>282</v>
      </c>
      <c r="B58" s="13" t="s">
        <v>249</v>
      </c>
      <c r="I58" s="59" t="n">
        <v>0.0575</v>
      </c>
      <c r="J58" s="59" t="n">
        <v>0.0575</v>
      </c>
      <c r="K58" s="59" t="n">
        <v>0.0575</v>
      </c>
      <c r="L58" s="59" t="n">
        <v>0.0575</v>
      </c>
      <c r="M58" s="59" t="n">
        <v>0.0575</v>
      </c>
    </row>
    <row r="59" customFormat="false" ht="15" hidden="false" customHeight="false" outlineLevel="0" collapsed="false">
      <c r="A59" s="54" t="s">
        <v>283</v>
      </c>
      <c r="B59" s="13" t="s">
        <v>252</v>
      </c>
      <c r="I59" s="59" t="n">
        <v>0.0275</v>
      </c>
      <c r="J59" s="59" t="n">
        <v>0.0275</v>
      </c>
      <c r="K59" s="59" t="n">
        <v>0.0275</v>
      </c>
      <c r="L59" s="59" t="n">
        <v>0.0275</v>
      </c>
      <c r="M59" s="59" t="n">
        <v>0.0275</v>
      </c>
    </row>
    <row r="60" customFormat="false" ht="15" hidden="false" customHeight="false" outlineLevel="0" collapsed="false">
      <c r="A60" s="54" t="s">
        <v>284</v>
      </c>
      <c r="B60" s="13" t="s">
        <v>255</v>
      </c>
      <c r="I60" s="61" t="n">
        <v>0</v>
      </c>
      <c r="J60" s="61" t="n">
        <v>0</v>
      </c>
      <c r="K60" s="61" t="n">
        <v>0</v>
      </c>
      <c r="L60" s="61" t="n">
        <v>0</v>
      </c>
      <c r="M60" s="61" t="n">
        <v>0</v>
      </c>
    </row>
    <row r="61" customFormat="false" ht="15" hidden="false" customHeight="false" outlineLevel="0" collapsed="false">
      <c r="A61" s="54" t="s">
        <v>285</v>
      </c>
      <c r="B61" s="13" t="s">
        <v>258</v>
      </c>
      <c r="I61" s="59" t="n">
        <v>0.4</v>
      </c>
      <c r="J61" s="59" t="n">
        <v>0.4</v>
      </c>
      <c r="K61" s="59" t="n">
        <v>0.4</v>
      </c>
      <c r="L61" s="59" t="n">
        <v>0.4</v>
      </c>
      <c r="M61" s="59" t="n">
        <v>0.4</v>
      </c>
    </row>
    <row r="62" customFormat="false" ht="15" hidden="false" customHeight="false" outlineLevel="0" collapsed="false">
      <c r="A62" s="54" t="s">
        <v>286</v>
      </c>
      <c r="B62" s="13" t="s">
        <v>261</v>
      </c>
      <c r="I62" s="59" t="n">
        <v>0.45</v>
      </c>
      <c r="J62" s="59" t="n">
        <v>0.45</v>
      </c>
      <c r="K62" s="59" t="n">
        <v>0.45</v>
      </c>
      <c r="L62" s="59" t="n">
        <v>0.45</v>
      </c>
      <c r="M62" s="59" t="n">
        <v>0.45</v>
      </c>
    </row>
    <row r="63" customFormat="false" ht="15" hidden="false" customHeight="false" outlineLevel="0" collapsed="false">
      <c r="A63" s="54" t="s">
        <v>287</v>
      </c>
      <c r="B63" s="13" t="s">
        <v>264</v>
      </c>
      <c r="I63" s="59" t="n">
        <v>0.4</v>
      </c>
      <c r="J63" s="59" t="n">
        <v>0.4</v>
      </c>
      <c r="K63" s="59" t="n">
        <v>0.4</v>
      </c>
      <c r="L63" s="59" t="n">
        <v>0.4</v>
      </c>
      <c r="M63" s="59" t="n">
        <v>0.4</v>
      </c>
    </row>
    <row r="65" customFormat="false" ht="15" hidden="false" customHeight="false" outlineLevel="0" collapsed="false">
      <c r="A65" s="16"/>
      <c r="B65" s="17" t="s">
        <v>288</v>
      </c>
      <c r="C65" s="16"/>
      <c r="D65" s="16"/>
      <c r="E65" s="16"/>
      <c r="F65" s="16"/>
      <c r="G65" s="16"/>
      <c r="H65" s="16"/>
      <c r="I65" s="16"/>
      <c r="J65" s="16"/>
      <c r="K65" s="16"/>
      <c r="L65" s="16"/>
      <c r="M65" s="16"/>
      <c r="N65" s="16"/>
    </row>
    <row r="66" customFormat="false" ht="15" hidden="false" customHeight="false" outlineLevel="0" collapsed="false">
      <c r="B66" s="4" t="s">
        <v>198</v>
      </c>
    </row>
    <row r="67" customFormat="false" ht="15" hidden="false" customHeight="false" outlineLevel="0" collapsed="false">
      <c r="A67" s="54" t="s">
        <v>289</v>
      </c>
      <c r="B67" s="13" t="s">
        <v>200</v>
      </c>
      <c r="I67" s="59" t="n">
        <v>0.05</v>
      </c>
      <c r="J67" s="59" t="n">
        <v>0.05</v>
      </c>
      <c r="K67" s="59" t="n">
        <v>0.05</v>
      </c>
      <c r="L67" s="59" t="n">
        <v>0.05</v>
      </c>
      <c r="M67" s="59" t="n">
        <v>0.05</v>
      </c>
    </row>
    <row r="68" customFormat="false" ht="15" hidden="false" customHeight="false" outlineLevel="0" collapsed="false">
      <c r="A68" s="54" t="s">
        <v>290</v>
      </c>
      <c r="B68" s="13" t="s">
        <v>203</v>
      </c>
      <c r="I68" s="59" t="n">
        <v>0.1</v>
      </c>
      <c r="J68" s="59" t="n">
        <v>0.1</v>
      </c>
      <c r="K68" s="59" t="n">
        <v>0.1</v>
      </c>
      <c r="L68" s="59" t="n">
        <v>0.1</v>
      </c>
      <c r="M68" s="59" t="n">
        <v>0.1</v>
      </c>
    </row>
    <row r="69" customFormat="false" ht="15" hidden="false" customHeight="false" outlineLevel="0" collapsed="false">
      <c r="A69" s="54" t="s">
        <v>291</v>
      </c>
      <c r="B69" s="13" t="s">
        <v>206</v>
      </c>
      <c r="I69" s="59" t="n">
        <v>0.06</v>
      </c>
      <c r="J69" s="59" t="n">
        <v>0.06</v>
      </c>
      <c r="K69" s="59" t="n">
        <v>0.06</v>
      </c>
      <c r="L69" s="59" t="n">
        <v>0.06</v>
      </c>
      <c r="M69" s="59" t="n">
        <v>0.06</v>
      </c>
    </row>
    <row r="70" customFormat="false" ht="15" hidden="false" customHeight="false" outlineLevel="0" collapsed="false">
      <c r="A70" s="54" t="s">
        <v>292</v>
      </c>
      <c r="B70" s="13" t="s">
        <v>209</v>
      </c>
      <c r="I70" s="59" t="n">
        <v>0.02</v>
      </c>
      <c r="J70" s="59" t="n">
        <v>0.02</v>
      </c>
      <c r="K70" s="59" t="n">
        <v>0.02</v>
      </c>
      <c r="L70" s="59" t="n">
        <v>0.02</v>
      </c>
      <c r="M70" s="59" t="n">
        <v>0.02</v>
      </c>
    </row>
    <row r="71" customFormat="false" ht="15" hidden="false" customHeight="false" outlineLevel="0" collapsed="false">
      <c r="A71" s="54" t="s">
        <v>293</v>
      </c>
      <c r="B71" s="13" t="s">
        <v>212</v>
      </c>
      <c r="I71" s="59" t="n">
        <v>0.06</v>
      </c>
      <c r="J71" s="59" t="n">
        <v>0.06</v>
      </c>
      <c r="K71" s="59" t="n">
        <v>0.06</v>
      </c>
      <c r="L71" s="59" t="n">
        <v>0.06</v>
      </c>
      <c r="M71" s="59" t="n">
        <v>0.06</v>
      </c>
    </row>
    <row r="72" customFormat="false" ht="15" hidden="false" customHeight="false" outlineLevel="0" collapsed="false">
      <c r="B72" s="4" t="s">
        <v>214</v>
      </c>
    </row>
    <row r="73" customFormat="false" ht="15" hidden="false" customHeight="false" outlineLevel="0" collapsed="false">
      <c r="A73" s="54" t="s">
        <v>294</v>
      </c>
      <c r="B73" s="13" t="s">
        <v>216</v>
      </c>
      <c r="I73" s="59" t="n">
        <v>0.525</v>
      </c>
      <c r="J73" s="59" t="n">
        <v>0.525</v>
      </c>
      <c r="K73" s="59" t="n">
        <v>0.525</v>
      </c>
      <c r="L73" s="59" t="n">
        <v>0.525</v>
      </c>
      <c r="M73" s="59" t="n">
        <v>0.525</v>
      </c>
    </row>
    <row r="74" customFormat="false" ht="15" hidden="false" customHeight="false" outlineLevel="0" collapsed="false">
      <c r="A74" s="54" t="s">
        <v>295</v>
      </c>
      <c r="B74" s="13" t="s">
        <v>219</v>
      </c>
      <c r="I74" s="59" t="n">
        <v>0.3</v>
      </c>
      <c r="J74" s="59" t="n">
        <v>0.3</v>
      </c>
      <c r="K74" s="59" t="n">
        <v>0.3</v>
      </c>
      <c r="L74" s="59" t="n">
        <v>0.3</v>
      </c>
      <c r="M74" s="59" t="n">
        <v>0.3</v>
      </c>
    </row>
    <row r="75" customFormat="false" ht="15" hidden="false" customHeight="false" outlineLevel="0" collapsed="false">
      <c r="A75" s="54" t="s">
        <v>296</v>
      </c>
      <c r="B75" s="13" t="s">
        <v>222</v>
      </c>
      <c r="I75" s="59" t="n">
        <v>-0.003</v>
      </c>
      <c r="J75" s="59" t="n">
        <v>-0.003</v>
      </c>
      <c r="K75" s="59" t="n">
        <v>-0.003</v>
      </c>
      <c r="L75" s="59" t="n">
        <v>-0.003</v>
      </c>
      <c r="M75" s="59" t="n">
        <v>-0.003</v>
      </c>
    </row>
    <row r="76" customFormat="false" ht="15" hidden="false" customHeight="false" outlineLevel="0" collapsed="false">
      <c r="B76" s="4" t="s">
        <v>224</v>
      </c>
    </row>
    <row r="77" customFormat="false" ht="15" hidden="false" customHeight="false" outlineLevel="0" collapsed="false">
      <c r="A77" s="54" t="s">
        <v>297</v>
      </c>
      <c r="B77" s="13" t="s">
        <v>226</v>
      </c>
      <c r="I77" s="59" t="n">
        <v>0.12</v>
      </c>
      <c r="J77" s="59" t="n">
        <v>0.12</v>
      </c>
      <c r="K77" s="59" t="n">
        <v>0.12</v>
      </c>
      <c r="L77" s="59" t="n">
        <v>0.12</v>
      </c>
      <c r="M77" s="59" t="n">
        <v>0.12</v>
      </c>
    </row>
    <row r="78" customFormat="false" ht="15" hidden="false" customHeight="false" outlineLevel="0" collapsed="false">
      <c r="A78" s="54" t="s">
        <v>298</v>
      </c>
      <c r="B78" s="13" t="s">
        <v>229</v>
      </c>
      <c r="I78" s="59" t="n">
        <v>0.045</v>
      </c>
      <c r="J78" s="59" t="n">
        <v>0.045</v>
      </c>
      <c r="K78" s="59" t="n">
        <v>0.045</v>
      </c>
      <c r="L78" s="59" t="n">
        <v>0.045</v>
      </c>
      <c r="M78" s="59" t="n">
        <v>0.045</v>
      </c>
    </row>
    <row r="79" customFormat="false" ht="15" hidden="false" customHeight="false" outlineLevel="0" collapsed="false">
      <c r="A79" s="54" t="s">
        <v>299</v>
      </c>
      <c r="B79" s="13" t="s">
        <v>232</v>
      </c>
      <c r="I79" s="59" t="n">
        <v>0.35</v>
      </c>
      <c r="J79" s="59" t="n">
        <v>0.35</v>
      </c>
      <c r="K79" s="59" t="n">
        <v>0.35</v>
      </c>
      <c r="L79" s="59" t="n">
        <v>0.35</v>
      </c>
      <c r="M79" s="59" t="n">
        <v>0.35</v>
      </c>
    </row>
    <row r="80" customFormat="false" ht="15" hidden="false" customHeight="false" outlineLevel="0" collapsed="false">
      <c r="B80" s="4" t="s">
        <v>234</v>
      </c>
    </row>
    <row r="81" customFormat="false" ht="15" hidden="false" customHeight="false" outlineLevel="0" collapsed="false">
      <c r="A81" s="54" t="s">
        <v>300</v>
      </c>
      <c r="B81" s="13" t="s">
        <v>236</v>
      </c>
      <c r="I81" s="60" t="n">
        <v>32</v>
      </c>
      <c r="J81" s="60" t="n">
        <v>32</v>
      </c>
      <c r="K81" s="60" t="n">
        <v>32</v>
      </c>
      <c r="L81" s="60" t="n">
        <v>32</v>
      </c>
      <c r="M81" s="60" t="n">
        <v>32</v>
      </c>
    </row>
    <row r="82" customFormat="false" ht="15" hidden="false" customHeight="false" outlineLevel="0" collapsed="false">
      <c r="A82" s="54" t="s">
        <v>301</v>
      </c>
      <c r="B82" s="13" t="s">
        <v>239</v>
      </c>
      <c r="I82" s="60" t="n">
        <v>20</v>
      </c>
      <c r="J82" s="60" t="n">
        <v>20</v>
      </c>
      <c r="K82" s="60" t="n">
        <v>20</v>
      </c>
      <c r="L82" s="60" t="n">
        <v>20</v>
      </c>
      <c r="M82" s="60" t="n">
        <v>20</v>
      </c>
    </row>
    <row r="83" customFormat="false" ht="15" hidden="false" customHeight="false" outlineLevel="0" collapsed="false">
      <c r="A83" s="54" t="s">
        <v>302</v>
      </c>
      <c r="B83" s="13" t="s">
        <v>242</v>
      </c>
      <c r="I83" s="60" t="n">
        <v>32</v>
      </c>
      <c r="J83" s="60" t="n">
        <v>32</v>
      </c>
      <c r="K83" s="60" t="n">
        <v>32</v>
      </c>
      <c r="L83" s="60" t="n">
        <v>32</v>
      </c>
      <c r="M83" s="60" t="n">
        <v>32</v>
      </c>
    </row>
    <row r="84" customFormat="false" ht="15" hidden="false" customHeight="false" outlineLevel="0" collapsed="false">
      <c r="B84" s="4" t="s">
        <v>244</v>
      </c>
    </row>
    <row r="85" customFormat="false" ht="15" hidden="false" customHeight="false" outlineLevel="0" collapsed="false">
      <c r="A85" s="54" t="s">
        <v>303</v>
      </c>
      <c r="B85" s="13" t="s">
        <v>246</v>
      </c>
      <c r="I85" s="59" t="n">
        <v>0.3</v>
      </c>
      <c r="J85" s="59" t="n">
        <v>0.3</v>
      </c>
      <c r="K85" s="59" t="n">
        <v>0.3</v>
      </c>
      <c r="L85" s="59" t="n">
        <v>0.3</v>
      </c>
      <c r="M85" s="59" t="n">
        <v>0.3</v>
      </c>
    </row>
    <row r="86" customFormat="false" ht="15" hidden="false" customHeight="false" outlineLevel="0" collapsed="false">
      <c r="A86" s="54" t="s">
        <v>304</v>
      </c>
      <c r="B86" s="13" t="s">
        <v>249</v>
      </c>
      <c r="I86" s="59" t="n">
        <v>0.0525</v>
      </c>
      <c r="J86" s="59" t="n">
        <v>0.0525</v>
      </c>
      <c r="K86" s="59" t="n">
        <v>0.0525</v>
      </c>
      <c r="L86" s="59" t="n">
        <v>0.0525</v>
      </c>
      <c r="M86" s="59" t="n">
        <v>0.0525</v>
      </c>
    </row>
    <row r="87" customFormat="false" ht="15" hidden="false" customHeight="false" outlineLevel="0" collapsed="false">
      <c r="A87" s="54" t="s">
        <v>305</v>
      </c>
      <c r="B87" s="13" t="s">
        <v>252</v>
      </c>
      <c r="I87" s="59" t="n">
        <v>0.03</v>
      </c>
      <c r="J87" s="59" t="n">
        <v>0.03</v>
      </c>
      <c r="K87" s="59" t="n">
        <v>0.03</v>
      </c>
      <c r="L87" s="59" t="n">
        <v>0.03</v>
      </c>
      <c r="M87" s="59" t="n">
        <v>0.03</v>
      </c>
    </row>
    <row r="88" customFormat="false" ht="15" hidden="false" customHeight="false" outlineLevel="0" collapsed="false">
      <c r="A88" s="54" t="s">
        <v>306</v>
      </c>
      <c r="B88" s="13" t="s">
        <v>255</v>
      </c>
      <c r="I88" s="61" t="n">
        <v>0</v>
      </c>
      <c r="J88" s="61" t="n">
        <v>0</v>
      </c>
      <c r="K88" s="61" t="n">
        <v>0</v>
      </c>
      <c r="L88" s="61" t="n">
        <v>0</v>
      </c>
      <c r="M88" s="61" t="n">
        <v>0</v>
      </c>
    </row>
    <row r="89" customFormat="false" ht="15" hidden="false" customHeight="false" outlineLevel="0" collapsed="false">
      <c r="A89" s="54" t="s">
        <v>307</v>
      </c>
      <c r="B89" s="13" t="s">
        <v>258</v>
      </c>
      <c r="I89" s="59" t="n">
        <v>0.4</v>
      </c>
      <c r="J89" s="59" t="n">
        <v>0.4</v>
      </c>
      <c r="K89" s="59" t="n">
        <v>0.4</v>
      </c>
      <c r="L89" s="59" t="n">
        <v>0.4</v>
      </c>
      <c r="M89" s="59" t="n">
        <v>0.4</v>
      </c>
    </row>
    <row r="90" customFormat="false" ht="15" hidden="false" customHeight="false" outlineLevel="0" collapsed="false">
      <c r="A90" s="54" t="s">
        <v>308</v>
      </c>
      <c r="B90" s="13" t="s">
        <v>261</v>
      </c>
      <c r="I90" s="59" t="n">
        <v>0.4</v>
      </c>
      <c r="J90" s="59" t="n">
        <v>0.4</v>
      </c>
      <c r="K90" s="59" t="n">
        <v>0.4</v>
      </c>
      <c r="L90" s="59" t="n">
        <v>0.4</v>
      </c>
      <c r="M90" s="59" t="n">
        <v>0.4</v>
      </c>
    </row>
    <row r="91" customFormat="false" ht="15" hidden="false" customHeight="false" outlineLevel="0" collapsed="false">
      <c r="A91" s="54" t="s">
        <v>309</v>
      </c>
      <c r="B91" s="13" t="s">
        <v>264</v>
      </c>
      <c r="I91" s="59" t="n">
        <v>0.4</v>
      </c>
      <c r="J91" s="59" t="n">
        <v>0.4</v>
      </c>
      <c r="K91" s="59" t="n">
        <v>0.4</v>
      </c>
      <c r="L91" s="59" t="n">
        <v>0.4</v>
      </c>
      <c r="M91" s="59" t="n">
        <v>0.4</v>
      </c>
    </row>
    <row r="93" customFormat="false" ht="15" hidden="false" customHeight="false" outlineLevel="0" collapsed="false">
      <c r="A93" s="16"/>
      <c r="B93" s="17" t="s">
        <v>310</v>
      </c>
      <c r="C93" s="16"/>
      <c r="D93" s="16"/>
      <c r="E93" s="16"/>
      <c r="F93" s="16"/>
      <c r="G93" s="16"/>
      <c r="H93" s="16"/>
      <c r="I93" s="16"/>
      <c r="J93" s="16"/>
      <c r="K93" s="16"/>
      <c r="L93" s="16"/>
      <c r="M93" s="16"/>
      <c r="N93" s="16"/>
    </row>
    <row r="94" customFormat="false" ht="15" hidden="false" customHeight="false" outlineLevel="0" collapsed="false">
      <c r="B94" s="4" t="s">
        <v>198</v>
      </c>
    </row>
    <row r="95" customFormat="false" ht="15" hidden="false" customHeight="false" outlineLevel="0" collapsed="false">
      <c r="A95" s="54" t="s">
        <v>311</v>
      </c>
      <c r="B95" s="13" t="s">
        <v>200</v>
      </c>
      <c r="I95" s="59" t="n">
        <v>0</v>
      </c>
      <c r="J95" s="59" t="n">
        <v>0</v>
      </c>
      <c r="K95" s="59" t="n">
        <v>0</v>
      </c>
      <c r="L95" s="59" t="n">
        <v>0</v>
      </c>
      <c r="M95" s="59" t="n">
        <v>0</v>
      </c>
    </row>
    <row r="96" customFormat="false" ht="15" hidden="false" customHeight="false" outlineLevel="0" collapsed="false">
      <c r="A96" s="54" t="s">
        <v>312</v>
      </c>
      <c r="B96" s="13" t="s">
        <v>203</v>
      </c>
      <c r="I96" s="59" t="n">
        <v>0.03</v>
      </c>
      <c r="J96" s="59" t="n">
        <v>0.03</v>
      </c>
      <c r="K96" s="59" t="n">
        <v>0.03</v>
      </c>
      <c r="L96" s="59" t="n">
        <v>0.03</v>
      </c>
      <c r="M96" s="59" t="n">
        <v>0.03</v>
      </c>
    </row>
    <row r="97" customFormat="false" ht="15" hidden="false" customHeight="false" outlineLevel="0" collapsed="false">
      <c r="A97" s="54" t="s">
        <v>313</v>
      </c>
      <c r="B97" s="13" t="s">
        <v>206</v>
      </c>
      <c r="I97" s="59" t="n">
        <v>-0.01</v>
      </c>
      <c r="J97" s="59" t="n">
        <v>-0.01</v>
      </c>
      <c r="K97" s="59" t="n">
        <v>-0.01</v>
      </c>
      <c r="L97" s="59" t="n">
        <v>-0.01</v>
      </c>
      <c r="M97" s="59" t="n">
        <v>-0.01</v>
      </c>
    </row>
    <row r="98" customFormat="false" ht="15" hidden="false" customHeight="false" outlineLevel="0" collapsed="false">
      <c r="A98" s="54" t="s">
        <v>314</v>
      </c>
      <c r="B98" s="13" t="s">
        <v>209</v>
      </c>
      <c r="I98" s="59" t="n">
        <v>-0.03</v>
      </c>
      <c r="J98" s="59" t="n">
        <v>-0.03</v>
      </c>
      <c r="K98" s="59" t="n">
        <v>-0.03</v>
      </c>
      <c r="L98" s="59" t="n">
        <v>-0.03</v>
      </c>
      <c r="M98" s="59" t="n">
        <v>-0.03</v>
      </c>
    </row>
    <row r="99" customFormat="false" ht="15" hidden="false" customHeight="false" outlineLevel="0" collapsed="false">
      <c r="A99" s="54" t="s">
        <v>315</v>
      </c>
      <c r="B99" s="13" t="s">
        <v>212</v>
      </c>
      <c r="I99" s="59" t="n">
        <v>0.075</v>
      </c>
      <c r="J99" s="59" t="n">
        <v>0.075</v>
      </c>
      <c r="K99" s="59" t="n">
        <v>0.075</v>
      </c>
      <c r="L99" s="59" t="n">
        <v>0.075</v>
      </c>
      <c r="M99" s="59" t="n">
        <v>0.075</v>
      </c>
    </row>
    <row r="100" customFormat="false" ht="15" hidden="false" customHeight="false" outlineLevel="0" collapsed="false">
      <c r="B100" s="4" t="s">
        <v>214</v>
      </c>
    </row>
    <row r="101" customFormat="false" ht="15" hidden="false" customHeight="false" outlineLevel="0" collapsed="false">
      <c r="A101" s="54" t="s">
        <v>316</v>
      </c>
      <c r="B101" s="13" t="s">
        <v>216</v>
      </c>
      <c r="I101" s="59" t="n">
        <v>0.545</v>
      </c>
      <c r="J101" s="59" t="n">
        <v>0.545</v>
      </c>
      <c r="K101" s="59" t="n">
        <v>0.545</v>
      </c>
      <c r="L101" s="59" t="n">
        <v>0.545</v>
      </c>
      <c r="M101" s="59" t="n">
        <v>0.545</v>
      </c>
    </row>
    <row r="102" customFormat="false" ht="15" hidden="false" customHeight="false" outlineLevel="0" collapsed="false">
      <c r="A102" s="54" t="s">
        <v>317</v>
      </c>
      <c r="B102" s="13" t="s">
        <v>219</v>
      </c>
      <c r="I102" s="59" t="n">
        <v>0.325</v>
      </c>
      <c r="J102" s="59" t="n">
        <v>0.325</v>
      </c>
      <c r="K102" s="59" t="n">
        <v>0.325</v>
      </c>
      <c r="L102" s="59" t="n">
        <v>0.325</v>
      </c>
      <c r="M102" s="59" t="n">
        <v>0.325</v>
      </c>
    </row>
    <row r="103" customFormat="false" ht="15" hidden="false" customHeight="false" outlineLevel="0" collapsed="false">
      <c r="A103" s="54" t="s">
        <v>318</v>
      </c>
      <c r="B103" s="13" t="s">
        <v>222</v>
      </c>
      <c r="I103" s="59" t="n">
        <v>-0.01</v>
      </c>
      <c r="J103" s="59" t="n">
        <v>-0.01</v>
      </c>
      <c r="K103" s="59" t="n">
        <v>-0.01</v>
      </c>
      <c r="L103" s="59" t="n">
        <v>-0.01</v>
      </c>
      <c r="M103" s="59" t="n">
        <v>-0.01</v>
      </c>
    </row>
    <row r="104" customFormat="false" ht="15" hidden="false" customHeight="false" outlineLevel="0" collapsed="false">
      <c r="B104" s="4" t="s">
        <v>224</v>
      </c>
    </row>
    <row r="105" customFormat="false" ht="15" hidden="false" customHeight="false" outlineLevel="0" collapsed="false">
      <c r="A105" s="54" t="s">
        <v>319</v>
      </c>
      <c r="B105" s="13" t="s">
        <v>226</v>
      </c>
      <c r="I105" s="59" t="n">
        <v>0.14</v>
      </c>
      <c r="J105" s="59" t="n">
        <v>0.14</v>
      </c>
      <c r="K105" s="59" t="n">
        <v>0.14</v>
      </c>
      <c r="L105" s="59" t="n">
        <v>0.14</v>
      </c>
      <c r="M105" s="59" t="n">
        <v>0.14</v>
      </c>
    </row>
    <row r="106" customFormat="false" ht="15" hidden="false" customHeight="false" outlineLevel="0" collapsed="false">
      <c r="A106" s="54" t="s">
        <v>320</v>
      </c>
      <c r="B106" s="13" t="s">
        <v>229</v>
      </c>
      <c r="I106" s="59" t="n">
        <v>0.045</v>
      </c>
      <c r="J106" s="59" t="n">
        <v>0.045</v>
      </c>
      <c r="K106" s="59" t="n">
        <v>0.045</v>
      </c>
      <c r="L106" s="59" t="n">
        <v>0.045</v>
      </c>
      <c r="M106" s="59" t="n">
        <v>0.045</v>
      </c>
    </row>
    <row r="107" customFormat="false" ht="15" hidden="false" customHeight="false" outlineLevel="0" collapsed="false">
      <c r="A107" s="54" t="s">
        <v>321</v>
      </c>
      <c r="B107" s="13" t="s">
        <v>232</v>
      </c>
      <c r="I107" s="59" t="n">
        <v>0.35</v>
      </c>
      <c r="J107" s="59" t="n">
        <v>0.35</v>
      </c>
      <c r="K107" s="59" t="n">
        <v>0.35</v>
      </c>
      <c r="L107" s="59" t="n">
        <v>0.35</v>
      </c>
      <c r="M107" s="59" t="n">
        <v>0.35</v>
      </c>
    </row>
    <row r="108" customFormat="false" ht="15" hidden="false" customHeight="false" outlineLevel="0" collapsed="false">
      <c r="B108" s="4" t="s">
        <v>234</v>
      </c>
    </row>
    <row r="109" customFormat="false" ht="15" hidden="false" customHeight="false" outlineLevel="0" collapsed="false">
      <c r="A109" s="54" t="s">
        <v>322</v>
      </c>
      <c r="B109" s="13" t="s">
        <v>236</v>
      </c>
      <c r="I109" s="60" t="n">
        <v>40</v>
      </c>
      <c r="J109" s="60" t="n">
        <v>40</v>
      </c>
      <c r="K109" s="60" t="n">
        <v>40</v>
      </c>
      <c r="L109" s="60" t="n">
        <v>40</v>
      </c>
      <c r="M109" s="60" t="n">
        <v>40</v>
      </c>
    </row>
    <row r="110" customFormat="false" ht="15" hidden="false" customHeight="false" outlineLevel="0" collapsed="false">
      <c r="A110" s="54" t="s">
        <v>323</v>
      </c>
      <c r="B110" s="13" t="s">
        <v>239</v>
      </c>
      <c r="I110" s="60" t="n">
        <v>22</v>
      </c>
      <c r="J110" s="60" t="n">
        <v>22</v>
      </c>
      <c r="K110" s="60" t="n">
        <v>22</v>
      </c>
      <c r="L110" s="60" t="n">
        <v>22</v>
      </c>
      <c r="M110" s="60" t="n">
        <v>22</v>
      </c>
    </row>
    <row r="111" customFormat="false" ht="15" hidden="false" customHeight="false" outlineLevel="0" collapsed="false">
      <c r="A111" s="54" t="s">
        <v>324</v>
      </c>
      <c r="B111" s="13" t="s">
        <v>242</v>
      </c>
      <c r="I111" s="60" t="n">
        <v>25</v>
      </c>
      <c r="J111" s="60" t="n">
        <v>25</v>
      </c>
      <c r="K111" s="60" t="n">
        <v>25</v>
      </c>
      <c r="L111" s="60" t="n">
        <v>25</v>
      </c>
      <c r="M111" s="60" t="n">
        <v>25</v>
      </c>
    </row>
    <row r="112" customFormat="false" ht="15" hidden="false" customHeight="false" outlineLevel="0" collapsed="false">
      <c r="B112" s="4" t="s">
        <v>244</v>
      </c>
    </row>
    <row r="113" customFormat="false" ht="15" hidden="false" customHeight="false" outlineLevel="0" collapsed="false">
      <c r="A113" s="54" t="s">
        <v>325</v>
      </c>
      <c r="B113" s="13" t="s">
        <v>246</v>
      </c>
      <c r="I113" s="59" t="n">
        <v>0.4</v>
      </c>
      <c r="J113" s="59" t="n">
        <v>0.4</v>
      </c>
      <c r="K113" s="59" t="n">
        <v>0.4</v>
      </c>
      <c r="L113" s="59" t="n">
        <v>0.4</v>
      </c>
      <c r="M113" s="59" t="n">
        <v>0.4</v>
      </c>
    </row>
    <row r="114" customFormat="false" ht="15" hidden="false" customHeight="false" outlineLevel="0" collapsed="false">
      <c r="A114" s="54" t="s">
        <v>326</v>
      </c>
      <c r="B114" s="13" t="s">
        <v>249</v>
      </c>
      <c r="I114" s="59" t="n">
        <v>0.065</v>
      </c>
      <c r="J114" s="59" t="n">
        <v>0.065</v>
      </c>
      <c r="K114" s="59" t="n">
        <v>0.065</v>
      </c>
      <c r="L114" s="59" t="n">
        <v>0.065</v>
      </c>
      <c r="M114" s="59" t="n">
        <v>0.065</v>
      </c>
    </row>
    <row r="115" customFormat="false" ht="15" hidden="false" customHeight="false" outlineLevel="0" collapsed="false">
      <c r="A115" s="54" t="s">
        <v>327</v>
      </c>
      <c r="B115" s="13" t="s">
        <v>252</v>
      </c>
      <c r="I115" s="59" t="n">
        <v>0.0225</v>
      </c>
      <c r="J115" s="59" t="n">
        <v>0.0225</v>
      </c>
      <c r="K115" s="59" t="n">
        <v>0.0225</v>
      </c>
      <c r="L115" s="59" t="n">
        <v>0.0225</v>
      </c>
      <c r="M115" s="59" t="n">
        <v>0.0225</v>
      </c>
    </row>
    <row r="116" customFormat="false" ht="15" hidden="false" customHeight="false" outlineLevel="0" collapsed="false">
      <c r="A116" s="54" t="s">
        <v>328</v>
      </c>
      <c r="B116" s="13" t="s">
        <v>255</v>
      </c>
      <c r="I116" s="61" t="n">
        <v>0</v>
      </c>
      <c r="J116" s="61" t="n">
        <v>0</v>
      </c>
      <c r="K116" s="61" t="n">
        <v>0</v>
      </c>
      <c r="L116" s="61" t="n">
        <v>0</v>
      </c>
      <c r="M116" s="61" t="n">
        <v>0</v>
      </c>
    </row>
    <row r="117" customFormat="false" ht="15" hidden="false" customHeight="false" outlineLevel="0" collapsed="false">
      <c r="A117" s="54" t="s">
        <v>329</v>
      </c>
      <c r="B117" s="13" t="s">
        <v>258</v>
      </c>
      <c r="I117" s="59" t="n">
        <v>0.3</v>
      </c>
      <c r="J117" s="59" t="n">
        <v>0.3</v>
      </c>
      <c r="K117" s="59" t="n">
        <v>0.3</v>
      </c>
      <c r="L117" s="59" t="n">
        <v>0.3</v>
      </c>
      <c r="M117" s="59" t="n">
        <v>0.3</v>
      </c>
    </row>
    <row r="118" customFormat="false" ht="15" hidden="false" customHeight="false" outlineLevel="0" collapsed="false">
      <c r="A118" s="54" t="s">
        <v>330</v>
      </c>
      <c r="B118" s="13" t="s">
        <v>261</v>
      </c>
      <c r="I118" s="59" t="n">
        <v>0.5</v>
      </c>
      <c r="J118" s="59" t="n">
        <v>0.5</v>
      </c>
      <c r="K118" s="59" t="n">
        <v>0.5</v>
      </c>
      <c r="L118" s="59" t="n">
        <v>0.5</v>
      </c>
      <c r="M118" s="59" t="n">
        <v>0.5</v>
      </c>
    </row>
    <row r="119" customFormat="false" ht="15" hidden="false" customHeight="false" outlineLevel="0" collapsed="false">
      <c r="A119" s="54" t="s">
        <v>331</v>
      </c>
      <c r="B119" s="13" t="s">
        <v>264</v>
      </c>
      <c r="I119" s="59" t="n">
        <v>0.4</v>
      </c>
      <c r="J119" s="59" t="n">
        <v>0.4</v>
      </c>
      <c r="K119" s="59" t="n">
        <v>0.4</v>
      </c>
      <c r="L119" s="59" t="n">
        <v>0.4</v>
      </c>
      <c r="M119" s="59" t="n">
        <v>0.4</v>
      </c>
    </row>
    <row r="121" customFormat="false" ht="15" hidden="false" customHeight="false" outlineLevel="0" collapsed="false">
      <c r="A121" s="16"/>
      <c r="B121" s="17" t="s">
        <v>332</v>
      </c>
      <c r="C121" s="16"/>
      <c r="D121" s="16"/>
      <c r="E121" s="16"/>
      <c r="F121" s="16"/>
      <c r="G121" s="16"/>
      <c r="H121" s="16"/>
      <c r="I121" s="16"/>
      <c r="J121" s="16"/>
      <c r="K121" s="16"/>
      <c r="L121" s="16"/>
      <c r="M121" s="16"/>
      <c r="N121" s="16"/>
    </row>
    <row r="122" customFormat="false" ht="15" hidden="false" customHeight="false" outlineLevel="0" collapsed="false">
      <c r="A122" s="54" t="s">
        <v>333</v>
      </c>
      <c r="B122" s="13" t="s">
        <v>334</v>
      </c>
      <c r="C122" s="62" t="n">
        <v>8603416176</v>
      </c>
      <c r="N122" s="15" t="s">
        <v>335</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336</v>
      </c>
    </row>
    <row r="2" customFormat="false" ht="15" hidden="false" customHeight="false" outlineLevel="0" collapsed="false">
      <c r="A2" s="15" t="s">
        <v>337</v>
      </c>
    </row>
    <row r="3" customFormat="false" ht="15" hidden="false" customHeight="false" outlineLevel="0" collapsed="false">
      <c r="A3" s="4" t="s">
        <v>174</v>
      </c>
      <c r="C3" s="42" t="str">
        <f aca="false">Asumsi!C4</f>
        <v>Base</v>
      </c>
      <c r="I3" s="15" t="s">
        <v>338</v>
      </c>
      <c r="J3" s="15" t="s">
        <v>338</v>
      </c>
      <c r="K3" s="15" t="s">
        <v>338</v>
      </c>
      <c r="L3" s="15" t="s">
        <v>338</v>
      </c>
      <c r="M3" s="15" t="s">
        <v>338</v>
      </c>
    </row>
    <row r="4" customFormat="false" ht="15" hidden="false" customHeight="false" outlineLevel="0" collapsed="false">
      <c r="A4" s="25" t="s">
        <v>339</v>
      </c>
      <c r="B4" s="25" t="s">
        <v>340</v>
      </c>
      <c r="C4" s="25" t="s">
        <v>131</v>
      </c>
      <c r="D4" s="25" t="s">
        <v>132</v>
      </c>
      <c r="E4" s="25" t="s">
        <v>133</v>
      </c>
      <c r="F4" s="25" t="s">
        <v>134</v>
      </c>
      <c r="G4" s="25" t="s">
        <v>135</v>
      </c>
      <c r="H4" s="25" t="s">
        <v>136</v>
      </c>
      <c r="I4" s="43" t="s">
        <v>175</v>
      </c>
      <c r="J4" s="43" t="s">
        <v>176</v>
      </c>
      <c r="K4" s="43" t="s">
        <v>177</v>
      </c>
      <c r="L4" s="43" t="s">
        <v>178</v>
      </c>
      <c r="M4" s="43" t="s">
        <v>179</v>
      </c>
      <c r="N4" s="25" t="s">
        <v>341</v>
      </c>
    </row>
    <row r="5" customFormat="false" ht="15" hidden="false" customHeight="false" outlineLevel="0" collapsed="false">
      <c r="A5" s="16"/>
      <c r="B5" s="17" t="s">
        <v>342</v>
      </c>
      <c r="C5" s="16"/>
      <c r="D5" s="16"/>
      <c r="E5" s="16"/>
      <c r="F5" s="16"/>
      <c r="G5" s="16"/>
      <c r="H5" s="16"/>
      <c r="I5" s="16"/>
      <c r="J5" s="16"/>
      <c r="K5" s="16"/>
      <c r="L5" s="16"/>
      <c r="M5" s="16"/>
      <c r="N5" s="16"/>
    </row>
    <row r="6" customFormat="false" ht="15" hidden="false" customHeight="false" outlineLevel="0" collapsed="false">
      <c r="A6" s="54" t="s">
        <v>343</v>
      </c>
      <c r="B6" s="13" t="s">
        <v>344</v>
      </c>
      <c r="C6" s="50" t="n">
        <f aca="false">Schedules!C6</f>
        <v>475077272907</v>
      </c>
      <c r="D6" s="50" t="n">
        <f aca="false">Schedules!D6</f>
        <v>735765134635</v>
      </c>
      <c r="E6" s="50" t="n">
        <f aca="false">Schedules!E6</f>
        <v>641770679085</v>
      </c>
      <c r="F6" s="50" t="n">
        <f aca="false">Schedules!F6</f>
        <v>540967778701</v>
      </c>
      <c r="G6" s="50" t="n">
        <f aca="false">Schedules!G6</f>
        <v>560694594974</v>
      </c>
      <c r="H6" s="50" t="n">
        <f aca="false">Schedules!H6</f>
        <v>571594210618</v>
      </c>
      <c r="I6" s="51" t="n">
        <f aca="false">H6*(1+Asumsi!I10)</f>
        <v>588742036936.54</v>
      </c>
      <c r="J6" s="51" t="n">
        <f aca="false">I6*(1+Asumsi!J10)</f>
        <v>606404298044.636</v>
      </c>
      <c r="K6" s="51" t="n">
        <f aca="false">J6*(1+Asumsi!K10)</f>
        <v>624596426985.975</v>
      </c>
      <c r="L6" s="51" t="n">
        <f aca="false">K6*(1+Asumsi!L10)</f>
        <v>643334319795.555</v>
      </c>
      <c r="M6" s="51" t="n">
        <f aca="false">L6*(1+Asumsi!M10)</f>
        <v>662634349389.421</v>
      </c>
    </row>
    <row r="7" customFormat="false" ht="15" hidden="false" customHeight="false" outlineLevel="0" collapsed="false">
      <c r="A7" s="54" t="s">
        <v>345</v>
      </c>
      <c r="B7" s="13" t="s">
        <v>346</v>
      </c>
      <c r="C7" s="50" t="n">
        <f aca="false">Schedules!C7</f>
        <v>349676031969</v>
      </c>
      <c r="D7" s="50" t="n">
        <f aca="false">Schedules!D7</f>
        <v>694090513912</v>
      </c>
      <c r="E7" s="50" t="n">
        <f aca="false">Schedules!E7</f>
        <v>516014879890</v>
      </c>
      <c r="F7" s="50" t="n">
        <f aca="false">Schedules!F7</f>
        <v>525021207934</v>
      </c>
      <c r="G7" s="50" t="n">
        <f aca="false">Schedules!G7</f>
        <v>557800692179</v>
      </c>
      <c r="H7" s="50" t="n">
        <f aca="false">Schedules!H7</f>
        <v>626282850800</v>
      </c>
      <c r="I7" s="51" t="n">
        <f aca="false">H7*(1+Asumsi!I11)</f>
        <v>670122650356</v>
      </c>
      <c r="J7" s="51" t="n">
        <f aca="false">I7*(1+Asumsi!J11)</f>
        <v>717031235880.92</v>
      </c>
      <c r="K7" s="51" t="n">
        <f aca="false">J7*(1+Asumsi!K11)</f>
        <v>767223422392.585</v>
      </c>
      <c r="L7" s="51" t="n">
        <f aca="false">K7*(1+Asumsi!L11)</f>
        <v>820929061960.065</v>
      </c>
      <c r="M7" s="51" t="n">
        <f aca="false">L7*(1+Asumsi!M11)</f>
        <v>878394096297.27</v>
      </c>
    </row>
    <row r="8" customFormat="false" ht="15" hidden="false" customHeight="false" outlineLevel="0" collapsed="false">
      <c r="A8" s="54" t="s">
        <v>347</v>
      </c>
      <c r="B8" s="13" t="s">
        <v>348</v>
      </c>
      <c r="C8" s="50" t="n">
        <f aca="false">Schedules!C8</f>
        <v>338134583532</v>
      </c>
      <c r="D8" s="50" t="n">
        <f aca="false">Schedules!D8</f>
        <v>510792679268</v>
      </c>
      <c r="E8" s="50" t="n">
        <f aca="false">Schedules!E8</f>
        <v>554528401236</v>
      </c>
      <c r="F8" s="50" t="n">
        <f aca="false">Schedules!F8</f>
        <v>486504873770</v>
      </c>
      <c r="G8" s="50" t="n">
        <f aca="false">Schedules!G8</f>
        <v>529785137307</v>
      </c>
      <c r="H8" s="50" t="n">
        <f aca="false">Schedules!H8</f>
        <v>520503370204</v>
      </c>
      <c r="I8" s="51" t="n">
        <f aca="false">H8*(1+Asumsi!I12)</f>
        <v>536118471310.12</v>
      </c>
      <c r="J8" s="51" t="n">
        <f aca="false">I8*(1+Asumsi!J12)</f>
        <v>552202025449.424</v>
      </c>
      <c r="K8" s="51" t="n">
        <f aca="false">J8*(1+Asumsi!K12)</f>
        <v>568768086212.906</v>
      </c>
      <c r="L8" s="51" t="n">
        <f aca="false">K8*(1+Asumsi!L12)</f>
        <v>585831128799.294</v>
      </c>
      <c r="M8" s="51" t="n">
        <f aca="false">L8*(1+Asumsi!M12)</f>
        <v>603406062663.272</v>
      </c>
    </row>
    <row r="9" customFormat="false" ht="15" hidden="false" customHeight="false" outlineLevel="0" collapsed="false">
      <c r="A9" s="54" t="s">
        <v>349</v>
      </c>
      <c r="B9" s="13" t="s">
        <v>350</v>
      </c>
      <c r="C9" s="50" t="n">
        <f aca="false">Schedules!C9</f>
        <v>3674752669</v>
      </c>
      <c r="D9" s="50" t="n">
        <f aca="false">Schedules!D9</f>
        <v>6174031651</v>
      </c>
      <c r="E9" s="50" t="n">
        <f aca="false">Schedules!E9</f>
        <v>7528190908</v>
      </c>
      <c r="F9" s="50" t="n">
        <f aca="false">Schedules!F9</f>
        <v>6480742292</v>
      </c>
      <c r="G9" s="50" t="n">
        <f aca="false">Schedules!G9</f>
        <v>5183450111</v>
      </c>
      <c r="H9" s="50" t="n">
        <f aca="false">Schedules!H9</f>
        <v>4971190823</v>
      </c>
      <c r="I9" s="51" t="n">
        <f aca="false">H9*(1+Asumsi!I13)</f>
        <v>4971190823</v>
      </c>
      <c r="J9" s="51" t="n">
        <f aca="false">I9*(1+Asumsi!J13)</f>
        <v>4971190823</v>
      </c>
      <c r="K9" s="51" t="n">
        <f aca="false">J9*(1+Asumsi!K13)</f>
        <v>4971190823</v>
      </c>
      <c r="L9" s="51" t="n">
        <f aca="false">K9*(1+Asumsi!L13)</f>
        <v>4971190823</v>
      </c>
      <c r="M9" s="51" t="n">
        <f aca="false">L9*(1+Asumsi!M13)</f>
        <v>4971190823</v>
      </c>
    </row>
    <row r="10" customFormat="false" ht="15" hidden="false" customHeight="false" outlineLevel="0" collapsed="false">
      <c r="A10" s="63" t="s">
        <v>351</v>
      </c>
      <c r="B10" s="64" t="s">
        <v>352</v>
      </c>
      <c r="C10" s="65" t="n">
        <f aca="false">C6+C7+C8+C9</f>
        <v>1166562641077</v>
      </c>
      <c r="D10" s="65" t="n">
        <f aca="false">D6+D7+D8+D9</f>
        <v>1946822359466</v>
      </c>
      <c r="E10" s="65" t="n">
        <f aca="false">E6+E7+E8+E9</f>
        <v>1719842151119</v>
      </c>
      <c r="F10" s="65" t="n">
        <f aca="false">F6+F7+F8+F9</f>
        <v>1558974602697</v>
      </c>
      <c r="G10" s="65" t="n">
        <f aca="false">G6+G7+G8+G9</f>
        <v>1653463874571</v>
      </c>
      <c r="H10" s="65" t="n">
        <f aca="false">H6+H7+H8+H9</f>
        <v>1723351622445</v>
      </c>
      <c r="I10" s="65" t="n">
        <f aca="false">I6+I7+I8+I9</f>
        <v>1799954349425.66</v>
      </c>
      <c r="J10" s="65" t="n">
        <f aca="false">J6+J7+J8+J9</f>
        <v>1880608750197.98</v>
      </c>
      <c r="K10" s="65" t="n">
        <f aca="false">K6+K7+K8+K9</f>
        <v>1965559126414.47</v>
      </c>
      <c r="L10" s="65" t="n">
        <f aca="false">L6+L7+L8+L9</f>
        <v>2055065701377.91</v>
      </c>
      <c r="M10" s="65" t="n">
        <f aca="false">M6+M7+M8+M9</f>
        <v>2149405699172.96</v>
      </c>
    </row>
    <row r="11" customFormat="false" ht="15" hidden="false" customHeight="false" outlineLevel="0" collapsed="false">
      <c r="A11" s="54" t="s">
        <v>353</v>
      </c>
      <c r="B11" s="13" t="s">
        <v>110</v>
      </c>
      <c r="C11" s="50" t="n">
        <f aca="false">Schedules!C11</f>
        <v>-18418259365</v>
      </c>
      <c r="D11" s="50" t="n">
        <f aca="false">Schedules!D11</f>
        <v>-56022083719</v>
      </c>
      <c r="E11" s="50" t="n">
        <f aca="false">Schedules!E11</f>
        <v>-61154239897</v>
      </c>
      <c r="F11" s="50" t="n">
        <f aca="false">Schedules!F11</f>
        <v>-70777119326</v>
      </c>
      <c r="G11" s="50" t="n">
        <f aca="false">Schedules!G11</f>
        <v>-98778864235</v>
      </c>
      <c r="H11" s="50" t="n">
        <f aca="false">Schedules!H11</f>
        <v>-109010850933</v>
      </c>
      <c r="I11" s="51" t="n">
        <f aca="false">-I10*Asumsi!I14</f>
        <v>-116997032712.668</v>
      </c>
      <c r="J11" s="51" t="n">
        <f aca="false">-J10*Asumsi!J14</f>
        <v>-122239568762.869</v>
      </c>
      <c r="K11" s="51" t="n">
        <f aca="false">-K10*Asumsi!K14</f>
        <v>-127761343216.94</v>
      </c>
      <c r="L11" s="51" t="n">
        <f aca="false">-L10*Asumsi!L14</f>
        <v>-133579270589.564</v>
      </c>
      <c r="M11" s="51" t="n">
        <f aca="false">-M10*Asumsi!M14</f>
        <v>-139711370446.243</v>
      </c>
    </row>
    <row r="12" customFormat="false" ht="15" hidden="false" customHeight="false" outlineLevel="0" collapsed="false">
      <c r="A12" s="63" t="s">
        <v>354</v>
      </c>
      <c r="B12" s="64" t="s">
        <v>137</v>
      </c>
      <c r="C12" s="66" t="n">
        <f aca="false">IS!C6</f>
        <v>1148144381712</v>
      </c>
      <c r="D12" s="66" t="n">
        <f aca="false">IS!D6</f>
        <v>1890800275747</v>
      </c>
      <c r="E12" s="66" t="n">
        <f aca="false">IS!E6</f>
        <v>1658687911222</v>
      </c>
      <c r="F12" s="66" t="n">
        <f aca="false">IS!F6</f>
        <v>1488197483371</v>
      </c>
      <c r="G12" s="66" t="n">
        <f aca="false">IS!G6</f>
        <v>1554685010336</v>
      </c>
      <c r="H12" s="66" t="n">
        <f aca="false">IS!H6</f>
        <v>1614340771512</v>
      </c>
      <c r="I12" s="65" t="n">
        <f aca="false">I10+I11</f>
        <v>1682957316712.99</v>
      </c>
      <c r="J12" s="65" t="n">
        <f aca="false">J10+J11</f>
        <v>1758369181435.11</v>
      </c>
      <c r="K12" s="65" t="n">
        <f aca="false">K10+K11</f>
        <v>1837797783197.53</v>
      </c>
      <c r="L12" s="65" t="n">
        <f aca="false">L10+L11</f>
        <v>1921486430788.35</v>
      </c>
      <c r="M12" s="65" t="n">
        <f aca="false">M10+M11</f>
        <v>2009694328726.72</v>
      </c>
    </row>
    <row r="13" customFormat="false" ht="15" hidden="false" customHeight="false" outlineLevel="0" collapsed="false">
      <c r="A13" s="54" t="s">
        <v>355</v>
      </c>
      <c r="B13" s="13" t="s">
        <v>356</v>
      </c>
      <c r="C13" s="59"/>
      <c r="D13" s="67" t="n">
        <f aca="false">D12/C12-1</f>
        <v>0.646831448957338</v>
      </c>
      <c r="E13" s="67" t="n">
        <f aca="false">E12/D12-1</f>
        <v>-0.122758795575751</v>
      </c>
      <c r="F13" s="67" t="n">
        <f aca="false">F12/E12-1</f>
        <v>-0.102786320860924</v>
      </c>
      <c r="G13" s="67" t="n">
        <f aca="false">G12/F12-1</f>
        <v>0.0446765484473173</v>
      </c>
      <c r="H13" s="67" t="n">
        <f aca="false">H12/G12-1</f>
        <v>0.0383716063250055</v>
      </c>
      <c r="I13" s="68" t="n">
        <f aca="false">I12/H12-1</f>
        <v>0.0425043747961129</v>
      </c>
      <c r="J13" s="68" t="n">
        <f aca="false">J12/I12-1</f>
        <v>0.0448091368528627</v>
      </c>
      <c r="K13" s="68" t="n">
        <f aca="false">K12/J12-1</f>
        <v>0.0451717435684287</v>
      </c>
      <c r="L13" s="68" t="n">
        <f aca="false">L12/K12-1</f>
        <v>0.0455374624759946</v>
      </c>
      <c r="M13" s="68" t="n">
        <f aca="false">M12/L12-1</f>
        <v>0.0459060738212873</v>
      </c>
      <c r="N13" s="15" t="s">
        <v>357</v>
      </c>
    </row>
    <row r="14" customFormat="false" ht="15" hidden="false" customHeight="false" outlineLevel="0" collapsed="false">
      <c r="A14" s="16"/>
      <c r="B14" s="17" t="s">
        <v>358</v>
      </c>
      <c r="C14" s="16"/>
      <c r="D14" s="16"/>
      <c r="E14" s="16"/>
      <c r="F14" s="16"/>
      <c r="G14" s="16"/>
      <c r="H14" s="16"/>
      <c r="I14" s="16"/>
      <c r="J14" s="16"/>
      <c r="K14" s="16"/>
      <c r="L14" s="16"/>
      <c r="M14" s="16"/>
      <c r="N14" s="16"/>
    </row>
    <row r="15" customFormat="false" ht="15" hidden="false" customHeight="false" outlineLevel="0" collapsed="false">
      <c r="A15" s="54" t="s">
        <v>359</v>
      </c>
      <c r="B15" s="13" t="s">
        <v>216</v>
      </c>
      <c r="C15" s="50" t="n">
        <f aca="false">IS!C7+Schedules!C15</f>
        <v>-645542826751</v>
      </c>
      <c r="D15" s="50" t="n">
        <f aca="false">IS!D7+Schedules!D15</f>
        <v>-903062151254</v>
      </c>
      <c r="E15" s="50" t="n">
        <f aca="false">IS!E7+Schedules!E15</f>
        <v>-882451600447</v>
      </c>
      <c r="F15" s="50" t="n">
        <f aca="false">IS!F7+Schedules!F15</f>
        <v>-780117651051</v>
      </c>
      <c r="G15" s="50" t="n">
        <f aca="false">IS!G7+Schedules!G15</f>
        <v>-837817549383</v>
      </c>
      <c r="H15" s="50" t="n">
        <f aca="false">IS!H7+Schedules!H15</f>
        <v>-866641221323</v>
      </c>
      <c r="I15" s="51" t="n">
        <f aca="false">-I12*Asumsi!I16</f>
        <v>-900382164441.451</v>
      </c>
      <c r="J15" s="51" t="n">
        <f aca="false">-J12*Asumsi!J16</f>
        <v>-940727512067.784</v>
      </c>
      <c r="K15" s="51" t="n">
        <f aca="false">-K12*Asumsi!K16</f>
        <v>-983221814010.676</v>
      </c>
      <c r="L15" s="51" t="n">
        <f aca="false">-L12*Asumsi!L16</f>
        <v>-1027995240471.77</v>
      </c>
      <c r="M15" s="51" t="n">
        <f aca="false">-M12*Asumsi!M16</f>
        <v>-1075186465868.8</v>
      </c>
    </row>
    <row r="16" customFormat="false" ht="15" hidden="false" customHeight="false" outlineLevel="0" collapsed="false">
      <c r="A16" s="63" t="s">
        <v>360</v>
      </c>
      <c r="B16" s="64" t="s">
        <v>361</v>
      </c>
      <c r="C16" s="65" t="n">
        <f aca="false">C12+C15</f>
        <v>502601554961</v>
      </c>
      <c r="D16" s="65" t="n">
        <f aca="false">D12+D15</f>
        <v>987738124493</v>
      </c>
      <c r="E16" s="65" t="n">
        <f aca="false">E12+E15</f>
        <v>776236310775</v>
      </c>
      <c r="F16" s="65" t="n">
        <f aca="false">F12+F15</f>
        <v>708079832320</v>
      </c>
      <c r="G16" s="65" t="n">
        <f aca="false">G12+G15</f>
        <v>716867460953</v>
      </c>
      <c r="H16" s="65" t="n">
        <f aca="false">H12+H15</f>
        <v>747699550189</v>
      </c>
      <c r="I16" s="65" t="n">
        <f aca="false">I12+I15</f>
        <v>782575152271.541</v>
      </c>
      <c r="J16" s="65" t="n">
        <f aca="false">J12+J15</f>
        <v>817641669367.327</v>
      </c>
      <c r="K16" s="65" t="n">
        <f aca="false">K12+K15</f>
        <v>854575969186.85</v>
      </c>
      <c r="L16" s="65" t="n">
        <f aca="false">L12+L15</f>
        <v>893491190316.582</v>
      </c>
      <c r="M16" s="65" t="n">
        <f aca="false">M12+M15</f>
        <v>934507862857.925</v>
      </c>
    </row>
    <row r="17" customFormat="false" ht="15" hidden="false" customHeight="false" outlineLevel="0" collapsed="false">
      <c r="A17" s="54" t="s">
        <v>362</v>
      </c>
      <c r="B17" s="13" t="s">
        <v>219</v>
      </c>
      <c r="C17" s="50" t="n">
        <f aca="false">IS!C11+Schedules!C20</f>
        <v>-278585254749</v>
      </c>
      <c r="D17" s="50" t="n">
        <f aca="false">IS!D11+Schedules!D20</f>
        <v>-439237848841</v>
      </c>
      <c r="E17" s="50" t="n">
        <f aca="false">IS!E11+Schedules!E20</f>
        <v>-440916596417</v>
      </c>
      <c r="F17" s="50" t="n">
        <f aca="false">IS!F11+Schedules!F20</f>
        <v>-491707360718</v>
      </c>
      <c r="G17" s="50" t="n">
        <f aca="false">IS!G11+Schedules!G20</f>
        <v>-494371692221</v>
      </c>
      <c r="H17" s="50" t="n">
        <f aca="false">IS!H11+Schedules!H20</f>
        <v>-505858245081</v>
      </c>
      <c r="I17" s="51" t="n">
        <f aca="false">-I12*Asumsi!I17</f>
        <v>-530131554764.593</v>
      </c>
      <c r="J17" s="51" t="n">
        <f aca="false">-J12*Asumsi!J17</f>
        <v>-553886292152.06</v>
      </c>
      <c r="K17" s="51" t="n">
        <f aca="false">-K12*Asumsi!K17</f>
        <v>-578906301707.221</v>
      </c>
      <c r="L17" s="51" t="n">
        <f aca="false">-L12*Asumsi!L17</f>
        <v>-605268225698.33</v>
      </c>
      <c r="M17" s="51" t="n">
        <f aca="false">-M12*Asumsi!M17</f>
        <v>-633053713548.917</v>
      </c>
    </row>
    <row r="18" customFormat="false" ht="15" hidden="false" customHeight="false" outlineLevel="0" collapsed="false">
      <c r="A18" s="54" t="s">
        <v>363</v>
      </c>
      <c r="B18" s="13" t="s">
        <v>364</v>
      </c>
      <c r="C18" s="50" t="n">
        <f aca="false">IS!C12</f>
        <v>11285526111</v>
      </c>
      <c r="D18" s="50" t="n">
        <f aca="false">IS!D12</f>
        <v>11603095497</v>
      </c>
      <c r="E18" s="50" t="n">
        <f aca="false">IS!E12</f>
        <v>447889572</v>
      </c>
      <c r="F18" s="50" t="n">
        <f aca="false">IS!F12</f>
        <v>-889202701</v>
      </c>
      <c r="G18" s="50" t="n">
        <f aca="false">IS!G12</f>
        <v>-11060239156</v>
      </c>
      <c r="H18" s="50" t="n">
        <f aca="false">IS!H12</f>
        <v>-26050344266</v>
      </c>
      <c r="I18" s="51" t="n">
        <f aca="false">I12*Asumsi!I18</f>
        <v>-10097743900.278</v>
      </c>
      <c r="J18" s="51" t="n">
        <f aca="false">J12*Asumsi!J18</f>
        <v>-10550215088.6107</v>
      </c>
      <c r="K18" s="51" t="n">
        <f aca="false">K12*Asumsi!K18</f>
        <v>-11026786699.1852</v>
      </c>
      <c r="L18" s="51" t="n">
        <f aca="false">L12*Asumsi!L18</f>
        <v>-11528918584.7301</v>
      </c>
      <c r="M18" s="51" t="n">
        <f aca="false">M12*Asumsi!M18</f>
        <v>-12058165972.3603</v>
      </c>
    </row>
    <row r="19" customFormat="false" ht="15" hidden="false" customHeight="false" outlineLevel="0" collapsed="false">
      <c r="A19" s="63" t="s">
        <v>365</v>
      </c>
      <c r="B19" s="64" t="s">
        <v>106</v>
      </c>
      <c r="C19" s="65" t="n">
        <f aca="false">C16+C17+C18</f>
        <v>235301826323</v>
      </c>
      <c r="D19" s="65" t="n">
        <f aca="false">D16+D17+D18</f>
        <v>560103371149</v>
      </c>
      <c r="E19" s="65" t="n">
        <f aca="false">E16+E17+E18</f>
        <v>335767603930</v>
      </c>
      <c r="F19" s="65" t="n">
        <f aca="false">F16+F17+F18</f>
        <v>215483268901</v>
      </c>
      <c r="G19" s="65" t="n">
        <f aca="false">G16+G17+G18</f>
        <v>211435529576</v>
      </c>
      <c r="H19" s="65" t="n">
        <f aca="false">H16+H17+H18</f>
        <v>215790960842</v>
      </c>
      <c r="I19" s="65" t="n">
        <f aca="false">I16+I17+I18</f>
        <v>242345853606.671</v>
      </c>
      <c r="J19" s="65" t="n">
        <f aca="false">J16+J17+J18</f>
        <v>253205162126.656</v>
      </c>
      <c r="K19" s="65" t="n">
        <f aca="false">K16+K17+K18</f>
        <v>264642880780.444</v>
      </c>
      <c r="L19" s="65" t="n">
        <f aca="false">L16+L17+L18</f>
        <v>276694046033.522</v>
      </c>
      <c r="M19" s="65" t="n">
        <f aca="false">M16+M17+M18</f>
        <v>289395983336.648</v>
      </c>
      <c r="N19" s="15" t="s">
        <v>366</v>
      </c>
    </row>
    <row r="20" customFormat="false" ht="15" hidden="false" customHeight="false" outlineLevel="0" collapsed="false">
      <c r="A20" s="54" t="s">
        <v>367</v>
      </c>
      <c r="B20" s="13" t="s">
        <v>368</v>
      </c>
      <c r="C20" s="50" t="n">
        <f aca="false">-Schedules!C19</f>
        <v>-67740560658</v>
      </c>
      <c r="D20" s="50" t="n">
        <f aca="false">-Schedules!D19</f>
        <v>-85126962017</v>
      </c>
      <c r="E20" s="50" t="n">
        <f aca="false">-Schedules!E19</f>
        <v>-120220889004</v>
      </c>
      <c r="F20" s="50" t="n">
        <f aca="false">-Schedules!F19</f>
        <v>-125820957042</v>
      </c>
      <c r="G20" s="50" t="n">
        <f aca="false">-Schedules!G19</f>
        <v>-123429186237</v>
      </c>
      <c r="H20" s="50" t="n">
        <f aca="false">-Schedules!H19</f>
        <v>-125911763993</v>
      </c>
      <c r="I20" s="51" t="n">
        <f aca="false">-(Schedules_Proj!I8+Schedules_Proj!I12)</f>
        <v>-158053628835.75</v>
      </c>
      <c r="J20" s="51" t="n">
        <f aca="false">-(Schedules_Proj!J8+Schedules_Proj!J12)</f>
        <v>-162354702589.485</v>
      </c>
      <c r="K20" s="51" t="n">
        <f aca="false">-(Schedules_Proj!K8+Schedules_Proj!K12)</f>
        <v>-166869452093.801</v>
      </c>
      <c r="L20" s="51" t="n">
        <f aca="false">-(Schedules_Proj!L8+Schedules_Proj!L12)</f>
        <v>-171609952319.94</v>
      </c>
      <c r="M20" s="51" t="n">
        <f aca="false">-(Schedules_Proj!M8+Schedules_Proj!M12)</f>
        <v>-176589048732.893</v>
      </c>
    </row>
    <row r="21" customFormat="false" ht="15" hidden="false" customHeight="false" outlineLevel="0" collapsed="false">
      <c r="A21" s="63" t="s">
        <v>369</v>
      </c>
      <c r="B21" s="64" t="s">
        <v>370</v>
      </c>
      <c r="C21" s="65" t="n">
        <f aca="false">C19+C20</f>
        <v>167561265665</v>
      </c>
      <c r="D21" s="65" t="n">
        <f aca="false">D19+D20</f>
        <v>474976409132</v>
      </c>
      <c r="E21" s="65" t="n">
        <f aca="false">E19+E20</f>
        <v>215546714926</v>
      </c>
      <c r="F21" s="65" t="n">
        <f aca="false">F19+F20</f>
        <v>89662311859</v>
      </c>
      <c r="G21" s="65" t="n">
        <f aca="false">G19+G20</f>
        <v>88006343339</v>
      </c>
      <c r="H21" s="65" t="n">
        <f aca="false">H19+H20</f>
        <v>89879196849</v>
      </c>
      <c r="I21" s="65" t="n">
        <f aca="false">I19+I20</f>
        <v>84292224770.9208</v>
      </c>
      <c r="J21" s="65" t="n">
        <f aca="false">J19+J20</f>
        <v>90850459537.1714</v>
      </c>
      <c r="K21" s="65" t="n">
        <f aca="false">K19+K20</f>
        <v>97773428686.6429</v>
      </c>
      <c r="L21" s="65" t="n">
        <f aca="false">L19+L20</f>
        <v>105084093713.583</v>
      </c>
      <c r="M21" s="65" t="n">
        <f aca="false">M19+M20</f>
        <v>112806934603.755</v>
      </c>
      <c r="N21" s="15" t="s">
        <v>371</v>
      </c>
    </row>
    <row r="22" customFormat="false" ht="15" hidden="false" customHeight="false" outlineLevel="0" collapsed="false">
      <c r="A22" s="54" t="s">
        <v>372</v>
      </c>
      <c r="B22" s="13" t="s">
        <v>373</v>
      </c>
      <c r="C22" s="50" t="n">
        <f aca="false">IS!C14</f>
        <v>4733986258</v>
      </c>
      <c r="D22" s="50" t="n">
        <f aca="false">IS!D14</f>
        <v>10178168958</v>
      </c>
      <c r="E22" s="50" t="n">
        <f aca="false">IS!E14</f>
        <v>8362881293</v>
      </c>
      <c r="F22" s="50" t="n">
        <f aca="false">IS!F14</f>
        <v>8424381208</v>
      </c>
      <c r="G22" s="50" t="n">
        <f aca="false">IS!G14</f>
        <v>18640836625</v>
      </c>
      <c r="H22" s="50" t="n">
        <f aca="false">IS!H14</f>
        <v>22930845594</v>
      </c>
      <c r="I22" s="51" t="n">
        <f aca="false">BS_Proj!H6*Asumsi!I30</f>
        <v>22731080402.47</v>
      </c>
      <c r="J22" s="51" t="n">
        <f aca="false">BS_Proj!I6*Asumsi!J30</f>
        <v>19968835513.3617</v>
      </c>
      <c r="K22" s="51" t="n">
        <f aca="false">BS_Proj!J6*Asumsi!K30</f>
        <v>17412218765.3218</v>
      </c>
      <c r="L22" s="51" t="n">
        <f aca="false">BS_Proj!K6*Asumsi!L30</f>
        <v>14759112920.6172</v>
      </c>
      <c r="M22" s="51" t="n">
        <f aca="false">BS_Proj!L6*Asumsi!M30</f>
        <v>12002223534.6928</v>
      </c>
      <c r="N22" s="15" t="s">
        <v>374</v>
      </c>
    </row>
    <row r="23" customFormat="false" ht="15" hidden="false" customHeight="false" outlineLevel="0" collapsed="false">
      <c r="A23" s="54" t="s">
        <v>375</v>
      </c>
      <c r="B23" s="13" t="s">
        <v>376</v>
      </c>
      <c r="C23" s="50" t="n">
        <f aca="false">IS!C15</f>
        <v>-53119718188</v>
      </c>
      <c r="D23" s="50" t="n">
        <f aca="false">IS!D15</f>
        <v>-28015892568</v>
      </c>
      <c r="E23" s="50" t="n">
        <f aca="false">IS!E15</f>
        <v>-47119576208</v>
      </c>
      <c r="F23" s="50" t="n">
        <f aca="false">IS!F15</f>
        <v>-57763637343</v>
      </c>
      <c r="G23" s="50" t="n">
        <f aca="false">IS!G15</f>
        <v>-68053448455</v>
      </c>
      <c r="H23" s="50" t="n">
        <f aca="false">IS!H15</f>
        <v>-67527392890</v>
      </c>
      <c r="I23" s="51" t="n">
        <f aca="false">-Asumsi!I29*(Schedules_Proj!I24+Schedules_Proj!I19)</f>
        <v>-77957773499.8625</v>
      </c>
      <c r="J23" s="51" t="n">
        <f aca="false">-Asumsi!J29*(Schedules_Proj!J24+Schedules_Proj!J19)</f>
        <v>-77957773499.8625</v>
      </c>
      <c r="K23" s="51" t="n">
        <f aca="false">-Asumsi!K29*(Schedules_Proj!K24+Schedules_Proj!K19)</f>
        <v>-77957773499.8625</v>
      </c>
      <c r="L23" s="51" t="n">
        <f aca="false">-Asumsi!L29*(Schedules_Proj!L24+Schedules_Proj!L19)</f>
        <v>-77957773499.8625</v>
      </c>
      <c r="M23" s="51" t="n">
        <f aca="false">-Asumsi!M29*(Schedules_Proj!M24+Schedules_Proj!M19)</f>
        <v>-77957773499.8625</v>
      </c>
      <c r="N23" s="15" t="s">
        <v>377</v>
      </c>
    </row>
    <row r="24" customFormat="false" ht="15" hidden="false" customHeight="false" outlineLevel="0" collapsed="false">
      <c r="A24" s="54" t="s">
        <v>378</v>
      </c>
      <c r="B24" s="13" t="s">
        <v>379</v>
      </c>
      <c r="C24" s="50" t="n">
        <f aca="false">N(IS!C16)</f>
        <v>25816403786</v>
      </c>
      <c r="D24" s="50" t="n">
        <f aca="false">N(IS!D16)</f>
        <v>0</v>
      </c>
      <c r="E24" s="50" t="n">
        <f aca="false">N(IS!E16)</f>
        <v>0</v>
      </c>
      <c r="F24" s="50" t="n">
        <f aca="false">N(IS!F16)</f>
        <v>0</v>
      </c>
      <c r="G24" s="50" t="n">
        <f aca="false">N(IS!G16)</f>
        <v>0</v>
      </c>
      <c r="H24" s="50" t="n">
        <f aca="false">N(IS!H16)</f>
        <v>0</v>
      </c>
      <c r="I24" s="69" t="n">
        <v>0</v>
      </c>
      <c r="J24" s="69" t="n">
        <v>0</v>
      </c>
      <c r="K24" s="69" t="n">
        <v>0</v>
      </c>
      <c r="L24" s="69" t="n">
        <v>0</v>
      </c>
      <c r="M24" s="69" t="n">
        <v>0</v>
      </c>
    </row>
    <row r="25" customFormat="false" ht="15" hidden="false" customHeight="false" outlineLevel="0" collapsed="false">
      <c r="A25" s="63" t="s">
        <v>380</v>
      </c>
      <c r="B25" s="64" t="s">
        <v>381</v>
      </c>
      <c r="C25" s="65" t="n">
        <f aca="false">C21+C22+C23+C24</f>
        <v>144991937521</v>
      </c>
      <c r="D25" s="65" t="n">
        <f aca="false">D21+D22+D23+D24</f>
        <v>457138685522</v>
      </c>
      <c r="E25" s="65" t="n">
        <f aca="false">E21+E22+E23+E24</f>
        <v>176790020011</v>
      </c>
      <c r="F25" s="65" t="n">
        <f aca="false">F21+F22+F23+F24</f>
        <v>40323055724</v>
      </c>
      <c r="G25" s="65" t="n">
        <f aca="false">G21+G22+G23+G24</f>
        <v>38593731509</v>
      </c>
      <c r="H25" s="65" t="n">
        <f aca="false">H21+H22+H23+H24</f>
        <v>45282649553</v>
      </c>
      <c r="I25" s="65" t="n">
        <f aca="false">I21+I22+I23+I24</f>
        <v>29065531673.5283</v>
      </c>
      <c r="J25" s="65" t="n">
        <f aca="false">J21+J22+J23+J24</f>
        <v>32861521550.6707</v>
      </c>
      <c r="K25" s="65" t="n">
        <f aca="false">K21+K22+K23+K24</f>
        <v>37227873952.1022</v>
      </c>
      <c r="L25" s="65" t="n">
        <f aca="false">L21+L22+L23+L24</f>
        <v>41885433134.3373</v>
      </c>
      <c r="M25" s="65" t="n">
        <f aca="false">M21+M22+M23+M24</f>
        <v>46851384638.5854</v>
      </c>
    </row>
    <row r="26" customFormat="false" ht="15" hidden="false" customHeight="false" outlineLevel="0" collapsed="false">
      <c r="A26" s="54" t="s">
        <v>382</v>
      </c>
      <c r="B26" s="13" t="s">
        <v>383</v>
      </c>
      <c r="C26" s="50" t="n">
        <f aca="false">IS!C21</f>
        <v>-26531851745</v>
      </c>
      <c r="D26" s="50" t="n">
        <f aca="false">IS!D21</f>
        <v>-102489898340</v>
      </c>
      <c r="E26" s="50" t="n">
        <f aca="false">IS!E21</f>
        <v>-47858164349</v>
      </c>
      <c r="F26" s="50" t="n">
        <f aca="false">IS!F21</f>
        <v>-24093626876</v>
      </c>
      <c r="G26" s="50" t="n">
        <f aca="false">IS!G21</f>
        <v>-19697947242</v>
      </c>
      <c r="H26" s="50" t="n">
        <f aca="false">IS!H21</f>
        <v>-15609507020</v>
      </c>
      <c r="I26" s="51" t="n">
        <f aca="false">-MAX(I25,0)*Asumsi!I28</f>
        <v>-10172936085.7349</v>
      </c>
      <c r="J26" s="51" t="n">
        <f aca="false">-MAX(J25,0)*Asumsi!J28</f>
        <v>-11501532542.7347</v>
      </c>
      <c r="K26" s="51" t="n">
        <f aca="false">-MAX(K25,0)*Asumsi!K28</f>
        <v>-13029755883.2358</v>
      </c>
      <c r="L26" s="51" t="n">
        <f aca="false">-MAX(L25,0)*Asumsi!L28</f>
        <v>-14659901597.0181</v>
      </c>
      <c r="M26" s="51" t="n">
        <f aca="false">-MAX(M25,0)*Asumsi!M28</f>
        <v>-16397984623.5049</v>
      </c>
    </row>
    <row r="27" customFormat="false" ht="15" hidden="false" customHeight="false" outlineLevel="0" collapsed="false">
      <c r="A27" s="63" t="s">
        <v>384</v>
      </c>
      <c r="B27" s="64" t="s">
        <v>141</v>
      </c>
      <c r="C27" s="65" t="n">
        <f aca="false">C25+C26</f>
        <v>118460085776</v>
      </c>
      <c r="D27" s="65" t="n">
        <f aca="false">D25+D26</f>
        <v>354648787182</v>
      </c>
      <c r="E27" s="65" t="n">
        <f aca="false">E25+E26</f>
        <v>128931855662</v>
      </c>
      <c r="F27" s="65" t="n">
        <f aca="false">F25+F26</f>
        <v>16229428848</v>
      </c>
      <c r="G27" s="65" t="n">
        <f aca="false">G25+G26</f>
        <v>18895784267</v>
      </c>
      <c r="H27" s="65" t="n">
        <f aca="false">H25+H26</f>
        <v>29673142533</v>
      </c>
      <c r="I27" s="65" t="n">
        <f aca="false">I25+I26</f>
        <v>18892595587.7934</v>
      </c>
      <c r="J27" s="65" t="n">
        <f aca="false">J25+J26</f>
        <v>21359989007.9359</v>
      </c>
      <c r="K27" s="65" t="n">
        <f aca="false">K25+K26</f>
        <v>24198118068.8664</v>
      </c>
      <c r="L27" s="65" t="n">
        <f aca="false">L25+L26</f>
        <v>27225531537.3193</v>
      </c>
      <c r="M27" s="65" t="n">
        <f aca="false">M25+M26</f>
        <v>30453400015.0805</v>
      </c>
    </row>
    <row r="28" customFormat="false" ht="15" hidden="false" customHeight="false" outlineLevel="0" collapsed="false">
      <c r="A28" s="54" t="s">
        <v>385</v>
      </c>
      <c r="B28" s="13" t="s">
        <v>386</v>
      </c>
      <c r="C28" s="50" t="n">
        <f aca="false">IS!C34</f>
        <v>29669046423</v>
      </c>
      <c r="D28" s="50" t="n">
        <f aca="false">IS!D34</f>
        <v>140159661589</v>
      </c>
      <c r="E28" s="50" t="n">
        <f aca="false">IS!E34</f>
        <v>45704128489</v>
      </c>
      <c r="F28" s="50" t="n">
        <f aca="false">IS!F34</f>
        <v>8768294480</v>
      </c>
      <c r="G28" s="50" t="n">
        <f aca="false">IS!G34</f>
        <v>6952268943</v>
      </c>
      <c r="H28" s="50" t="n">
        <f aca="false">IS!H34</f>
        <v>17254181212</v>
      </c>
      <c r="I28" s="51" t="n">
        <f aca="false">I27*Asumsi!I33</f>
        <v>8501668014.50702</v>
      </c>
      <c r="J28" s="51" t="n">
        <f aca="false">J27*Asumsi!J33</f>
        <v>9611995053.57117</v>
      </c>
      <c r="K28" s="51" t="n">
        <f aca="false">K27*Asumsi!K33</f>
        <v>10889153130.9899</v>
      </c>
      <c r="L28" s="51" t="n">
        <f aca="false">L27*Asumsi!L33</f>
        <v>12251489191.7937</v>
      </c>
      <c r="M28" s="51" t="n">
        <f aca="false">M27*Asumsi!M33</f>
        <v>13704030006.7862</v>
      </c>
    </row>
    <row r="29" customFormat="false" ht="15" hidden="false" customHeight="false" outlineLevel="0" collapsed="false">
      <c r="A29" s="63" t="s">
        <v>387</v>
      </c>
      <c r="B29" s="64" t="s">
        <v>388</v>
      </c>
      <c r="C29" s="65" t="n">
        <f aca="false">C27-C28</f>
        <v>88791039353</v>
      </c>
      <c r="D29" s="65" t="n">
        <f aca="false">D27-D28</f>
        <v>214489125593</v>
      </c>
      <c r="E29" s="65" t="n">
        <f aca="false">E27-E28</f>
        <v>83227727173</v>
      </c>
      <c r="F29" s="65" t="n">
        <f aca="false">F27-F28</f>
        <v>7461134368</v>
      </c>
      <c r="G29" s="65" t="n">
        <f aca="false">G27-G28</f>
        <v>11943515324</v>
      </c>
      <c r="H29" s="65" t="n">
        <f aca="false">H27-H28</f>
        <v>12418961321</v>
      </c>
      <c r="I29" s="65" t="n">
        <f aca="false">I27-I28</f>
        <v>10390927573.2864</v>
      </c>
      <c r="J29" s="65" t="n">
        <f aca="false">J27-J28</f>
        <v>11747993954.3648</v>
      </c>
      <c r="K29" s="65" t="n">
        <f aca="false">K27-K28</f>
        <v>13308964937.8765</v>
      </c>
      <c r="L29" s="65" t="n">
        <f aca="false">L27-L28</f>
        <v>14974042345.5256</v>
      </c>
      <c r="M29" s="65" t="n">
        <f aca="false">M27-M28</f>
        <v>16749370008.2943</v>
      </c>
    </row>
    <row r="30" customFormat="false" ht="15" hidden="false" customHeight="false" outlineLevel="0" collapsed="false">
      <c r="A30" s="54" t="s">
        <v>389</v>
      </c>
      <c r="B30" s="13" t="s">
        <v>390</v>
      </c>
      <c r="C30" s="70" t="n">
        <f aca="false">C29/Asumsi!$C$122</f>
        <v>10.3204398737202</v>
      </c>
      <c r="D30" s="70" t="n">
        <f aca="false">D29/Asumsi!$C$122</f>
        <v>24.9306927858885</v>
      </c>
      <c r="E30" s="70" t="n">
        <f aca="false">E29/Asumsi!$C$122</f>
        <v>9.67379997322124</v>
      </c>
      <c r="F30" s="70" t="n">
        <f aca="false">F29/Asumsi!$C$122</f>
        <v>0.867229274437927</v>
      </c>
      <c r="G30" s="70" t="n">
        <f aca="false">G29/Asumsi!$C$122</f>
        <v>1.38822940558397</v>
      </c>
      <c r="H30" s="70" t="n">
        <f aca="false">H29/Asumsi!$C$122</f>
        <v>1.44349187194312</v>
      </c>
      <c r="I30" s="71" t="n">
        <f aca="false">I29/Asumsi!$C$122</f>
        <v>1.20776763098742</v>
      </c>
      <c r="J30" s="71" t="n">
        <f aca="false">J29/Asumsi!$C$122</f>
        <v>1.36550339005299</v>
      </c>
      <c r="K30" s="71" t="n">
        <f aca="false">K29/Asumsi!$C$122</f>
        <v>1.54693957209731</v>
      </c>
      <c r="L30" s="71" t="n">
        <f aca="false">L29/Asumsi!$C$122</f>
        <v>1.74047634558201</v>
      </c>
      <c r="M30" s="71" t="n">
        <f aca="false">M29/Asumsi!$C$122</f>
        <v>1.94682782579066</v>
      </c>
    </row>
    <row r="31" customFormat="false" ht="15" hidden="false" customHeight="false" outlineLevel="0" collapsed="false">
      <c r="A31" s="16"/>
      <c r="B31" s="17" t="s">
        <v>391</v>
      </c>
      <c r="C31" s="16"/>
      <c r="D31" s="16"/>
      <c r="E31" s="16"/>
      <c r="F31" s="16"/>
      <c r="G31" s="16"/>
      <c r="H31" s="16"/>
      <c r="I31" s="16"/>
      <c r="J31" s="16"/>
      <c r="K31" s="16"/>
      <c r="L31" s="16"/>
      <c r="M31" s="16"/>
      <c r="N31" s="16"/>
    </row>
    <row r="32" customFormat="false" ht="15" hidden="false" customHeight="false" outlineLevel="0" collapsed="false">
      <c r="A32" s="54" t="s">
        <v>392</v>
      </c>
      <c r="B32" s="13" t="s">
        <v>393</v>
      </c>
      <c r="C32" s="67" t="n">
        <f aca="false">C16/C12</f>
        <v>0.437751177436038</v>
      </c>
      <c r="D32" s="67" t="n">
        <f aca="false">D16/D12</f>
        <v>0.522391569941343</v>
      </c>
      <c r="E32" s="67" t="n">
        <f aca="false">E16/E12</f>
        <v>0.467982135471842</v>
      </c>
      <c r="F32" s="67" t="n">
        <f aca="false">F16/F12</f>
        <v>0.475796955869115</v>
      </c>
      <c r="G32" s="67" t="n">
        <f aca="false">G16/G12</f>
        <v>0.461101416806013</v>
      </c>
      <c r="H32" s="67" t="n">
        <f aca="false">H16/H12</f>
        <v>0.463160915826155</v>
      </c>
      <c r="I32" s="68" t="n">
        <f aca="false">I16/I12</f>
        <v>0.465</v>
      </c>
      <c r="J32" s="68" t="n">
        <f aca="false">J16/J12</f>
        <v>0.465</v>
      </c>
      <c r="K32" s="68" t="n">
        <f aca="false">K16/K12</f>
        <v>0.465</v>
      </c>
      <c r="L32" s="68" t="n">
        <f aca="false">L16/L12</f>
        <v>0.465</v>
      </c>
      <c r="M32" s="68" t="n">
        <f aca="false">M16/M12</f>
        <v>0.465</v>
      </c>
    </row>
    <row r="33" customFormat="false" ht="15" hidden="false" customHeight="false" outlineLevel="0" collapsed="false">
      <c r="A33" s="54" t="s">
        <v>394</v>
      </c>
      <c r="B33" s="13" t="s">
        <v>182</v>
      </c>
      <c r="C33" s="67" t="n">
        <f aca="false">C19/C12</f>
        <v>0.204940972643302</v>
      </c>
      <c r="D33" s="67" t="n">
        <f aca="false">D19/D12</f>
        <v>0.296225560326682</v>
      </c>
      <c r="E33" s="67" t="n">
        <f aca="false">E19/E12</f>
        <v>0.202429644334136</v>
      </c>
      <c r="F33" s="67" t="n">
        <f aca="false">F19/F12</f>
        <v>0.144794808020302</v>
      </c>
      <c r="G33" s="67" t="n">
        <f aca="false">G19/G12</f>
        <v>0.135998950379218</v>
      </c>
      <c r="H33" s="67" t="n">
        <f aca="false">H19/H12</f>
        <v>0.133671257425958</v>
      </c>
      <c r="I33" s="68" t="n">
        <f aca="false">I19/I12</f>
        <v>0.144</v>
      </c>
      <c r="J33" s="68" t="n">
        <f aca="false">J19/J12</f>
        <v>0.144</v>
      </c>
      <c r="K33" s="68" t="n">
        <f aca="false">K19/K12</f>
        <v>0.144</v>
      </c>
      <c r="L33" s="68" t="n">
        <f aca="false">L19/L12</f>
        <v>0.144</v>
      </c>
      <c r="M33" s="68" t="n">
        <f aca="false">M19/M12</f>
        <v>0.144</v>
      </c>
    </row>
    <row r="34" customFormat="false" ht="15" hidden="false" customHeight="false" outlineLevel="0" collapsed="false">
      <c r="A34" s="54" t="s">
        <v>395</v>
      </c>
      <c r="B34" s="13" t="s">
        <v>396</v>
      </c>
      <c r="C34" s="67" t="n">
        <f aca="false">C21/C12</f>
        <v>0.145940935943221</v>
      </c>
      <c r="D34" s="67" t="n">
        <f aca="false">D21/D12</f>
        <v>0.251203903037485</v>
      </c>
      <c r="E34" s="67" t="n">
        <f aca="false">E21/E12</f>
        <v>0.129950133155068</v>
      </c>
      <c r="F34" s="67" t="n">
        <f aca="false">F21/F12</f>
        <v>0.060248933935771</v>
      </c>
      <c r="G34" s="67" t="n">
        <f aca="false">G21/G12</f>
        <v>0.0566071858633152</v>
      </c>
      <c r="H34" s="67" t="n">
        <f aca="false">H21/H12</f>
        <v>0.0556754796973991</v>
      </c>
      <c r="I34" s="68" t="n">
        <f aca="false">I21/I12</f>
        <v>0.050085776943858</v>
      </c>
      <c r="J34" s="68" t="n">
        <f aca="false">J21/J12</f>
        <v>0.0516674544210465</v>
      </c>
      <c r="K34" s="68" t="n">
        <f aca="false">K21/K12</f>
        <v>0.0532014074565538</v>
      </c>
      <c r="L34" s="68" t="n">
        <f aca="false">L21/L12</f>
        <v>0.0546889595626594</v>
      </c>
      <c r="M34" s="68" t="n">
        <f aca="false">M21/M12</f>
        <v>0.0561313892323247</v>
      </c>
    </row>
    <row r="35" customFormat="false" ht="15" hidden="false" customHeight="false" outlineLevel="0" collapsed="false">
      <c r="A35" s="54" t="s">
        <v>397</v>
      </c>
      <c r="B35" s="13" t="s">
        <v>398</v>
      </c>
      <c r="C35" s="67" t="n">
        <f aca="false">C27/C12</f>
        <v>0.103175251878482</v>
      </c>
      <c r="D35" s="67" t="n">
        <f aca="false">D27/D12</f>
        <v>0.187565440798282</v>
      </c>
      <c r="E35" s="67" t="n">
        <f aca="false">E27/E12</f>
        <v>0.0777312324938888</v>
      </c>
      <c r="F35" s="67" t="n">
        <f aca="false">F27/F12</f>
        <v>0.0109054268867851</v>
      </c>
      <c r="G35" s="67" t="n">
        <f aca="false">G27/G12</f>
        <v>0.012154091755806</v>
      </c>
      <c r="H35" s="67" t="n">
        <f aca="false">H27/H12</f>
        <v>0.0183809658138089</v>
      </c>
      <c r="I35" s="68" t="n">
        <f aca="false">I27/I12</f>
        <v>0.0112258316952998</v>
      </c>
      <c r="J35" s="68" t="n">
        <f aca="false">J27/J12</f>
        <v>0.0121476133871402</v>
      </c>
      <c r="K35" s="68" t="n">
        <f aca="false">K27/K12</f>
        <v>0.0131669100322697</v>
      </c>
      <c r="L35" s="68" t="n">
        <f aca="false">L27/L12</f>
        <v>0.0141689949515538</v>
      </c>
      <c r="M35" s="68" t="n">
        <f aca="false">M27/M12</f>
        <v>0.01515324971553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399</v>
      </c>
    </row>
    <row r="2" customFormat="false" ht="15" hidden="false" customHeight="false" outlineLevel="0" collapsed="false">
      <c r="A2" s="15" t="s">
        <v>337</v>
      </c>
    </row>
    <row r="3" customFormat="false" ht="15" hidden="false" customHeight="false" outlineLevel="0" collapsed="false">
      <c r="A3" s="4" t="s">
        <v>174</v>
      </c>
      <c r="C3" s="42" t="str">
        <f aca="false">Asumsi!C4</f>
        <v>Base</v>
      </c>
      <c r="I3" s="15" t="s">
        <v>338</v>
      </c>
      <c r="J3" s="15" t="s">
        <v>338</v>
      </c>
      <c r="K3" s="15" t="s">
        <v>338</v>
      </c>
      <c r="L3" s="15" t="s">
        <v>338</v>
      </c>
      <c r="M3" s="15" t="s">
        <v>338</v>
      </c>
    </row>
    <row r="4" customFormat="false" ht="15" hidden="false" customHeight="false" outlineLevel="0" collapsed="false">
      <c r="A4" s="25" t="s">
        <v>339</v>
      </c>
      <c r="B4" s="25" t="s">
        <v>340</v>
      </c>
      <c r="C4" s="25" t="s">
        <v>131</v>
      </c>
      <c r="D4" s="25" t="s">
        <v>132</v>
      </c>
      <c r="E4" s="25" t="s">
        <v>133</v>
      </c>
      <c r="F4" s="25" t="s">
        <v>134</v>
      </c>
      <c r="G4" s="25" t="s">
        <v>135</v>
      </c>
      <c r="H4" s="25" t="s">
        <v>136</v>
      </c>
      <c r="I4" s="43" t="s">
        <v>175</v>
      </c>
      <c r="J4" s="43" t="s">
        <v>176</v>
      </c>
      <c r="K4" s="43" t="s">
        <v>177</v>
      </c>
      <c r="L4" s="43" t="s">
        <v>178</v>
      </c>
      <c r="M4" s="43" t="s">
        <v>179</v>
      </c>
      <c r="N4" s="25" t="s">
        <v>341</v>
      </c>
    </row>
    <row r="5" customFormat="false" ht="15" hidden="false" customHeight="false" outlineLevel="0" collapsed="false">
      <c r="A5" s="16"/>
      <c r="B5" s="17" t="s">
        <v>400</v>
      </c>
      <c r="C5" s="16"/>
      <c r="D5" s="16"/>
      <c r="E5" s="16"/>
      <c r="F5" s="16"/>
      <c r="G5" s="16"/>
      <c r="H5" s="16"/>
      <c r="I5" s="16"/>
      <c r="J5" s="16"/>
      <c r="K5" s="16"/>
      <c r="L5" s="16"/>
      <c r="M5" s="16"/>
      <c r="N5" s="16"/>
    </row>
    <row r="6" customFormat="false" ht="15" hidden="false" customHeight="false" outlineLevel="0" collapsed="false">
      <c r="A6" s="54" t="s">
        <v>401</v>
      </c>
      <c r="B6" s="13" t="s">
        <v>402</v>
      </c>
      <c r="C6" s="50" t="n">
        <f aca="false">BS!C6</f>
        <v>624986556241</v>
      </c>
      <c r="D6" s="50" t="n">
        <f aca="false">BS!D6</f>
        <v>829761008475</v>
      </c>
      <c r="E6" s="50" t="n">
        <f aca="false">BS!E6</f>
        <v>629277670892</v>
      </c>
      <c r="F6" s="50" t="n">
        <f aca="false">BS!F6</f>
        <v>622058009425</v>
      </c>
      <c r="G6" s="50" t="n">
        <f aca="false">BS!G6</f>
        <v>783332056074</v>
      </c>
      <c r="H6" s="50" t="n">
        <f aca="false">BS!H6</f>
        <v>826584741908</v>
      </c>
      <c r="I6" s="51" t="n">
        <f aca="false">CF_Proj!I26</f>
        <v>726139473213.154</v>
      </c>
      <c r="J6" s="51" t="n">
        <f aca="false">CF_Proj!J26</f>
        <v>633171591466.246</v>
      </c>
      <c r="K6" s="51" t="n">
        <f aca="false">CF_Proj!K26</f>
        <v>536695015295.169</v>
      </c>
      <c r="L6" s="51" t="n">
        <f aca="false">CF_Proj!L26</f>
        <v>436444492170.649</v>
      </c>
      <c r="M6" s="51" t="n">
        <f aca="false">CF_Proj!M26</f>
        <v>332218903476.068</v>
      </c>
      <c r="N6" s="15" t="s">
        <v>403</v>
      </c>
    </row>
    <row r="7" customFormat="false" ht="15" hidden="false" customHeight="false" outlineLevel="0" collapsed="false">
      <c r="A7" s="54" t="s">
        <v>404</v>
      </c>
      <c r="B7" s="13" t="s">
        <v>405</v>
      </c>
      <c r="C7" s="50" t="n">
        <f aca="false">(BS!C9+BS!C8)</f>
        <v>123130580076</v>
      </c>
      <c r="D7" s="50" t="n">
        <f aca="false">(BS!D9+BS!D8)</f>
        <v>156760305676</v>
      </c>
      <c r="E7" s="50" t="n">
        <f aca="false">(BS!E9+BS!E8)</f>
        <v>114643521666</v>
      </c>
      <c r="F7" s="50" t="n">
        <f aca="false">(BS!F9+BS!F8)</f>
        <v>110468662796</v>
      </c>
      <c r="G7" s="50" t="n">
        <f aca="false">(BS!G9+BS!G8)</f>
        <v>144714255906</v>
      </c>
      <c r="H7" s="50" t="n">
        <f aca="false">(BS!H9+BS!H8)</f>
        <v>161939911962</v>
      </c>
      <c r="I7" s="51" t="n">
        <f aca="false">Schedules_Proj!I26</f>
        <v>165990310689.501</v>
      </c>
      <c r="J7" s="51" t="n">
        <f aca="false">Schedules_Proj!J26</f>
        <v>173428193237.436</v>
      </c>
      <c r="K7" s="51" t="n">
        <f aca="false">Schedules_Proj!K26</f>
        <v>181262247109.893</v>
      </c>
      <c r="L7" s="51" t="n">
        <f aca="false">Schedules_Proj!L26</f>
        <v>189516469885.974</v>
      </c>
      <c r="M7" s="51" t="n">
        <f aca="false">Schedules_Proj!M26</f>
        <v>198216426942.909</v>
      </c>
    </row>
    <row r="8" customFormat="false" ht="15" hidden="false" customHeight="false" outlineLevel="0" collapsed="false">
      <c r="A8" s="54" t="s">
        <v>406</v>
      </c>
      <c r="B8" s="13" t="s">
        <v>407</v>
      </c>
      <c r="C8" s="50" t="n">
        <f aca="false">BS!C12</f>
        <v>18986141553</v>
      </c>
      <c r="D8" s="50" t="n">
        <f aca="false">BS!D12</f>
        <v>38894708132</v>
      </c>
      <c r="E8" s="50" t="n">
        <f aca="false">BS!E12</f>
        <v>39449108364</v>
      </c>
      <c r="F8" s="50" t="n">
        <f aca="false">BS!F12</f>
        <v>42198489975</v>
      </c>
      <c r="G8" s="50" t="n">
        <f aca="false">BS!G12</f>
        <v>47021949525</v>
      </c>
      <c r="H8" s="50" t="n">
        <f aca="false">BS!H12</f>
        <v>51620217662</v>
      </c>
      <c r="I8" s="51" t="n">
        <f aca="false">Schedules_Proj!I27</f>
        <v>51802809461.015</v>
      </c>
      <c r="J8" s="51" t="n">
        <f aca="false">Schedules_Proj!J27</f>
        <v>54124048639.5164</v>
      </c>
      <c r="K8" s="51" t="n">
        <f aca="false">Schedules_Proj!K27</f>
        <v>56568926285.5458</v>
      </c>
      <c r="L8" s="51" t="n">
        <f aca="false">Schedules_Proj!L27</f>
        <v>59144931643.5811</v>
      </c>
      <c r="M8" s="51" t="n">
        <f aca="false">Schedules_Proj!M27</f>
        <v>61860043241.7663</v>
      </c>
    </row>
    <row r="9" customFormat="false" ht="15" hidden="false" customHeight="false" outlineLevel="0" collapsed="false">
      <c r="A9" s="54" t="s">
        <v>408</v>
      </c>
      <c r="B9" s="13" t="s">
        <v>409</v>
      </c>
      <c r="C9" s="50" t="n">
        <f aca="false">(BS!C7+BS!C10+BS!C11+BS!C13+BS!C14)</f>
        <v>48631215596</v>
      </c>
      <c r="D9" s="50" t="n">
        <f aca="false">(BS!D7+BS!D10+BS!D11+BS!D13+BS!D14)</f>
        <v>105689701650</v>
      </c>
      <c r="E9" s="50" t="n">
        <f aca="false">(BS!E7+BS!E10+BS!E11+BS!E13+BS!E14)</f>
        <v>104459780313</v>
      </c>
      <c r="F9" s="50" t="n">
        <f aca="false">(BS!F7+BS!F10+BS!F11+BS!F13+BS!F14)</f>
        <v>94320999476</v>
      </c>
      <c r="G9" s="50" t="n">
        <f aca="false">(BS!G7+BS!G10+BS!G11+BS!G13+BS!G14)</f>
        <v>113812524447</v>
      </c>
      <c r="H9" s="50" t="n">
        <f aca="false">(BS!H7+BS!H10+BS!H11+BS!H13+BS!H14)</f>
        <v>170094244852</v>
      </c>
      <c r="I9" s="72" t="n">
        <f aca="false">H9</f>
        <v>170094244852</v>
      </c>
      <c r="J9" s="72" t="n">
        <f aca="false">I9</f>
        <v>170094244852</v>
      </c>
      <c r="K9" s="72" t="n">
        <f aca="false">J9</f>
        <v>170094244852</v>
      </c>
      <c r="L9" s="72" t="n">
        <f aca="false">K9</f>
        <v>170094244852</v>
      </c>
      <c r="M9" s="72" t="n">
        <f aca="false">L9</f>
        <v>170094244852</v>
      </c>
      <c r="N9" s="15" t="s">
        <v>410</v>
      </c>
    </row>
    <row r="10" customFormat="false" ht="15" hidden="false" customHeight="false" outlineLevel="0" collapsed="false">
      <c r="A10" s="63" t="s">
        <v>411</v>
      </c>
      <c r="B10" s="64" t="s">
        <v>412</v>
      </c>
      <c r="C10" s="65" t="n">
        <f aca="false">C6+C7+C8+C9</f>
        <v>815734493466</v>
      </c>
      <c r="D10" s="65" t="n">
        <f aca="false">D6+D7+D8+D9</f>
        <v>1131105723933</v>
      </c>
      <c r="E10" s="65" t="n">
        <f aca="false">E6+E7+E8+E9</f>
        <v>887830081235</v>
      </c>
      <c r="F10" s="65" t="n">
        <f aca="false">F6+F7+F8+F9</f>
        <v>869046161672</v>
      </c>
      <c r="G10" s="65" t="n">
        <f aca="false">G6+G7+G8+G9</f>
        <v>1088880785952</v>
      </c>
      <c r="H10" s="65" t="n">
        <f aca="false">H6+H7+H8+H9</f>
        <v>1210239116384</v>
      </c>
      <c r="I10" s="65" t="n">
        <f aca="false">I6+I7+I8+I9</f>
        <v>1114026838215.67</v>
      </c>
      <c r="J10" s="65" t="n">
        <f aca="false">J6+J7+J8+J9</f>
        <v>1030818078195.2</v>
      </c>
      <c r="K10" s="65" t="n">
        <f aca="false">K6+K7+K8+K9</f>
        <v>944620433542.608</v>
      </c>
      <c r="L10" s="65" t="n">
        <f aca="false">L6+L7+L8+L9</f>
        <v>855200138552.204</v>
      </c>
      <c r="M10" s="65" t="n">
        <f aca="false">M6+M7+M8+M9</f>
        <v>762389618512.744</v>
      </c>
    </row>
    <row r="11" customFormat="false" ht="15" hidden="false" customHeight="false" outlineLevel="0" collapsed="false">
      <c r="A11" s="54" t="s">
        <v>413</v>
      </c>
      <c r="B11" s="13" t="s">
        <v>414</v>
      </c>
      <c r="C11" s="50" t="n">
        <f aca="false">BS!C19</f>
        <v>1248769678311</v>
      </c>
      <c r="D11" s="50" t="n">
        <f aca="false">BS!D19</f>
        <v>1499198307038</v>
      </c>
      <c r="E11" s="50" t="n">
        <f aca="false">BS!E19</f>
        <v>1757540033465</v>
      </c>
      <c r="F11" s="50" t="n">
        <f aca="false">BS!F19</f>
        <v>1863253878489</v>
      </c>
      <c r="G11" s="50" t="n">
        <f aca="false">BS!G19</f>
        <v>1934924754148</v>
      </c>
      <c r="H11" s="50" t="n">
        <f aca="false">BS!H19</f>
        <v>2363899139020</v>
      </c>
      <c r="I11" s="51" t="n">
        <f aca="false">Schedules_Proj!I9</f>
        <v>2459478555769.66</v>
      </c>
      <c r="J11" s="51" t="n">
        <f aca="false">Schedules_Proj!J9</f>
        <v>2559806322532.24</v>
      </c>
      <c r="K11" s="51" t="n">
        <f aca="false">Schedules_Proj!K9</f>
        <v>2665150772001.99</v>
      </c>
      <c r="L11" s="51" t="n">
        <f aca="false">Schedules_Proj!L9</f>
        <v>2775797358956.5</v>
      </c>
      <c r="M11" s="51" t="n">
        <f aca="false">Schedules_Proj!M9</f>
        <v>2892049797250.67</v>
      </c>
    </row>
    <row r="12" customFormat="false" ht="15" hidden="false" customHeight="false" outlineLevel="0" collapsed="false">
      <c r="A12" s="54" t="s">
        <v>415</v>
      </c>
      <c r="B12" s="13" t="s">
        <v>416</v>
      </c>
      <c r="C12" s="50" t="n">
        <f aca="false">BS!C20</f>
        <v>24249107726</v>
      </c>
      <c r="D12" s="50" t="n">
        <f aca="false">BS!D20</f>
        <v>60480439977</v>
      </c>
      <c r="E12" s="50" t="n">
        <f aca="false">BS!E20</f>
        <v>86574078236</v>
      </c>
      <c r="F12" s="50" t="n">
        <f aca="false">BS!F20</f>
        <v>102986330128</v>
      </c>
      <c r="G12" s="50" t="n">
        <f aca="false">BS!G20</f>
        <v>94506359437</v>
      </c>
      <c r="H12" s="50" t="n">
        <f aca="false">BS!H20</f>
        <v>147651907371</v>
      </c>
      <c r="I12" s="51" t="n">
        <f aca="false">Schedules_Proj!I14</f>
        <v>147651907371</v>
      </c>
      <c r="J12" s="51" t="n">
        <f aca="false">Schedules_Proj!J14</f>
        <v>147651907371</v>
      </c>
      <c r="K12" s="51" t="n">
        <f aca="false">Schedules_Proj!K14</f>
        <v>147651907371</v>
      </c>
      <c r="L12" s="51" t="n">
        <f aca="false">Schedules_Proj!L14</f>
        <v>147651907371</v>
      </c>
      <c r="M12" s="51" t="n">
        <f aca="false">Schedules_Proj!M14</f>
        <v>147651907371</v>
      </c>
    </row>
    <row r="13" customFormat="false" ht="15" hidden="false" customHeight="false" outlineLevel="0" collapsed="false">
      <c r="A13" s="54" t="s">
        <v>417</v>
      </c>
      <c r="B13" s="13" t="s">
        <v>418</v>
      </c>
      <c r="C13" s="50" t="n">
        <f aca="false">(BS!C16+BS!C17+BS!C18+BS!C21+BS!C22+BS!C23+BS!C24)</f>
        <v>73783554962</v>
      </c>
      <c r="D13" s="50" t="n">
        <f aca="false">(BS!D16+BS!D17+BS!D18+BS!D21+BS!D22+BS!D23+BS!D24)</f>
        <v>122912051480</v>
      </c>
      <c r="E13" s="50" t="n">
        <f aca="false">(BS!E16+BS!E17+BS!E18+BS!E21+BS!E22+BS!E23+BS!E24)</f>
        <v>206665956054</v>
      </c>
      <c r="F13" s="50" t="n">
        <f aca="false">(BS!F16+BS!F17+BS!F18+BS!F21+BS!F22+BS!F23+BS!F24)</f>
        <v>247875664159</v>
      </c>
      <c r="G13" s="50" t="n">
        <f aca="false">(BS!G16+BS!G17+BS!G18+BS!G21+BS!G22+BS!G23+BS!G24)</f>
        <v>328049004211</v>
      </c>
      <c r="H13" s="50" t="n">
        <f aca="false">(BS!H16+BS!H17+BS!H18+BS!H21+BS!H22+BS!H23+BS!H24)</f>
        <v>294639272368</v>
      </c>
      <c r="I13" s="72" t="n">
        <f aca="false">H13</f>
        <v>294639272368</v>
      </c>
      <c r="J13" s="72" t="n">
        <f aca="false">I13</f>
        <v>294639272368</v>
      </c>
      <c r="K13" s="72" t="n">
        <f aca="false">J13</f>
        <v>294639272368</v>
      </c>
      <c r="L13" s="72" t="n">
        <f aca="false">K13</f>
        <v>294639272368</v>
      </c>
      <c r="M13" s="72" t="n">
        <f aca="false">L13</f>
        <v>294639272368</v>
      </c>
      <c r="N13" s="15" t="s">
        <v>419</v>
      </c>
    </row>
    <row r="14" customFormat="false" ht="15" hidden="false" customHeight="false" outlineLevel="0" collapsed="false">
      <c r="A14" s="63" t="s">
        <v>420</v>
      </c>
      <c r="B14" s="64" t="s">
        <v>421</v>
      </c>
      <c r="C14" s="65" t="n">
        <f aca="false">C11+C12+C13</f>
        <v>1346802340999</v>
      </c>
      <c r="D14" s="65" t="n">
        <f aca="false">D11+D12+D13</f>
        <v>1682590798495</v>
      </c>
      <c r="E14" s="65" t="n">
        <f aca="false">E11+E12+E13</f>
        <v>2050780067755</v>
      </c>
      <c r="F14" s="65" t="n">
        <f aca="false">F11+F12+F13</f>
        <v>2214115872776</v>
      </c>
      <c r="G14" s="65" t="n">
        <f aca="false">G11+G12+G13</f>
        <v>2357480117796</v>
      </c>
      <c r="H14" s="65" t="n">
        <f aca="false">H11+H12+H13</f>
        <v>2806190318759</v>
      </c>
      <c r="I14" s="65" t="n">
        <f aca="false">I11+I12+I13</f>
        <v>2901769735508.66</v>
      </c>
      <c r="J14" s="65" t="n">
        <f aca="false">J11+J12+J13</f>
        <v>3002097502271.24</v>
      </c>
      <c r="K14" s="65" t="n">
        <f aca="false">K11+K12+K13</f>
        <v>3107441951740.99</v>
      </c>
      <c r="L14" s="65" t="n">
        <f aca="false">L11+L12+L13</f>
        <v>3218088538695.5</v>
      </c>
      <c r="M14" s="65" t="n">
        <f aca="false">M11+M12+M13</f>
        <v>3334340976989.67</v>
      </c>
    </row>
    <row r="15" customFormat="false" ht="15" hidden="false" customHeight="false" outlineLevel="0" collapsed="false">
      <c r="A15" s="63" t="s">
        <v>422</v>
      </c>
      <c r="B15" s="64" t="s">
        <v>423</v>
      </c>
      <c r="C15" s="65" t="n">
        <f aca="false">C10+C14</f>
        <v>2162536834465</v>
      </c>
      <c r="D15" s="65" t="n">
        <f aca="false">D10+D14</f>
        <v>2813696522428</v>
      </c>
      <c r="E15" s="65" t="n">
        <f aca="false">E10+E14</f>
        <v>2938610148990</v>
      </c>
      <c r="F15" s="65" t="n">
        <f aca="false">F10+F14</f>
        <v>3083162034448</v>
      </c>
      <c r="G15" s="65" t="n">
        <f aca="false">G10+G14</f>
        <v>3446360903748</v>
      </c>
      <c r="H15" s="65" t="n">
        <f aca="false">H10+H14</f>
        <v>4016429435143</v>
      </c>
      <c r="I15" s="65" t="n">
        <f aca="false">I10+I14</f>
        <v>4015796573724.33</v>
      </c>
      <c r="J15" s="65" t="n">
        <f aca="false">J10+J14</f>
        <v>4032915580466.44</v>
      </c>
      <c r="K15" s="65" t="n">
        <f aca="false">K10+K14</f>
        <v>4052062385283.6</v>
      </c>
      <c r="L15" s="65" t="n">
        <f aca="false">L10+L14</f>
        <v>4073288677247.71</v>
      </c>
      <c r="M15" s="65" t="n">
        <f aca="false">M10+M14</f>
        <v>4096730595502.41</v>
      </c>
    </row>
    <row r="16" customFormat="false" ht="15" hidden="false" customHeight="false" outlineLevel="0" collapsed="false">
      <c r="A16" s="16"/>
      <c r="B16" s="17" t="s">
        <v>424</v>
      </c>
      <c r="C16" s="16"/>
      <c r="D16" s="16"/>
      <c r="E16" s="16"/>
      <c r="F16" s="16"/>
      <c r="G16" s="16"/>
      <c r="H16" s="16"/>
      <c r="I16" s="16"/>
      <c r="J16" s="16"/>
      <c r="K16" s="16"/>
      <c r="L16" s="16"/>
      <c r="M16" s="16"/>
      <c r="N16" s="16"/>
    </row>
    <row r="17" customFormat="false" ht="15" hidden="false" customHeight="false" outlineLevel="0" collapsed="false">
      <c r="A17" s="54" t="s">
        <v>425</v>
      </c>
      <c r="B17" s="13" t="s">
        <v>426</v>
      </c>
      <c r="C17" s="50" t="n">
        <f aca="false">(BS!C30+BS!C29)</f>
        <v>120125322795</v>
      </c>
      <c r="D17" s="50" t="n">
        <f aca="false">(BS!D30+BS!D29)</f>
        <v>119160438932</v>
      </c>
      <c r="E17" s="50" t="n">
        <f aca="false">(BS!E30+BS!E29)</f>
        <v>91788261047</v>
      </c>
      <c r="F17" s="50" t="n">
        <f aca="false">(BS!F30+BS!F29)</f>
        <v>55770943580</v>
      </c>
      <c r="G17" s="50" t="n">
        <f aca="false">(BS!G30+BS!G29)</f>
        <v>30881579952</v>
      </c>
      <c r="H17" s="50" t="n">
        <f aca="false">(BS!H30+BS!H29)</f>
        <v>81660213509</v>
      </c>
      <c r="I17" s="51" t="n">
        <f aca="false">Schedules_Proj!I28</f>
        <v>74004013515.7357</v>
      </c>
      <c r="J17" s="51" t="n">
        <f aca="false">Schedules_Proj!J28</f>
        <v>77320069485.0234</v>
      </c>
      <c r="K17" s="51" t="n">
        <f aca="false">Schedules_Proj!K28</f>
        <v>80812751836.494</v>
      </c>
      <c r="L17" s="51" t="n">
        <f aca="false">Schedules_Proj!L28</f>
        <v>84492759490.8302</v>
      </c>
      <c r="M17" s="51" t="n">
        <f aca="false">Schedules_Proj!M28</f>
        <v>88371490345.3805</v>
      </c>
    </row>
    <row r="18" customFormat="false" ht="15" hidden="false" customHeight="false" outlineLevel="0" collapsed="false">
      <c r="A18" s="54" t="s">
        <v>427</v>
      </c>
      <c r="B18" s="13" t="s">
        <v>428</v>
      </c>
      <c r="C18" s="50" t="n">
        <f aca="false">(BS!C31+BS!C32+BS!C33+BS!C34+BS!C35)</f>
        <v>136946160482</v>
      </c>
      <c r="D18" s="50" t="n">
        <f aca="false">(BS!D31+BS!D32+BS!D33+BS!D34+BS!D35)</f>
        <v>174699364490</v>
      </c>
      <c r="E18" s="50" t="n">
        <f aca="false">(BS!E31+BS!E32+BS!E33+BS!E34+BS!E35)</f>
        <v>78616813766</v>
      </c>
      <c r="F18" s="50" t="n">
        <f aca="false">(BS!F31+BS!F32+BS!F33+BS!F34+BS!F35)</f>
        <v>82337777368</v>
      </c>
      <c r="G18" s="50" t="n">
        <f aca="false">(BS!G31+BS!G32+BS!G33+BS!G34+BS!G35)</f>
        <v>73546848400</v>
      </c>
      <c r="H18" s="50" t="n">
        <f aca="false">(BS!H31+BS!H32+BS!H33+BS!H34+BS!H35)</f>
        <v>148863523453</v>
      </c>
      <c r="I18" s="72" t="n">
        <f aca="false">H18</f>
        <v>148863523453</v>
      </c>
      <c r="J18" s="72" t="n">
        <f aca="false">I18</f>
        <v>148863523453</v>
      </c>
      <c r="K18" s="72" t="n">
        <f aca="false">J18</f>
        <v>148863523453</v>
      </c>
      <c r="L18" s="72" t="n">
        <f aca="false">K18</f>
        <v>148863523453</v>
      </c>
      <c r="M18" s="72" t="n">
        <f aca="false">L18</f>
        <v>148863523453</v>
      </c>
      <c r="N18" s="15" t="s">
        <v>429</v>
      </c>
    </row>
    <row r="19" customFormat="false" ht="15" hidden="false" customHeight="false" outlineLevel="0" collapsed="false">
      <c r="A19" s="54" t="s">
        <v>430</v>
      </c>
      <c r="B19" s="13" t="s">
        <v>431</v>
      </c>
      <c r="C19" s="50" t="n">
        <f aca="false">(BS!C28+BS!C36+BS!C42+BS!C40)</f>
        <v>790788109440</v>
      </c>
      <c r="D19" s="50" t="n">
        <f aca="false">(BS!D28+BS!D36+BS!D42+BS!D40)</f>
        <v>613491292970</v>
      </c>
      <c r="E19" s="50" t="n">
        <f aca="false">(BS!E28+BS!E36+BS!E42+BS!E40)</f>
        <v>855155621765</v>
      </c>
      <c r="F19" s="50" t="n">
        <f aca="false">(BS!F28+BS!F36+BS!F42+BS!F40)</f>
        <v>1027178215393</v>
      </c>
      <c r="G19" s="50" t="n">
        <f aca="false">(BS!G28+BS!G36+BS!G42+BS!G40)</f>
        <v>1090896287270</v>
      </c>
      <c r="H19" s="50" t="n">
        <f aca="false">(BS!H28+BS!H36+BS!H42+BS!H40)</f>
        <v>1215640066746</v>
      </c>
      <c r="I19" s="51" t="n">
        <f aca="false">Schedules_Proj!I23</f>
        <v>1215640066746</v>
      </c>
      <c r="J19" s="51" t="n">
        <f aca="false">Schedules_Proj!J23</f>
        <v>1215640066746</v>
      </c>
      <c r="K19" s="51" t="n">
        <f aca="false">Schedules_Proj!K23</f>
        <v>1215640066746</v>
      </c>
      <c r="L19" s="51" t="n">
        <f aca="false">Schedules_Proj!L23</f>
        <v>1215640066746</v>
      </c>
      <c r="M19" s="51" t="n">
        <f aca="false">Schedules_Proj!M23</f>
        <v>1215640066746</v>
      </c>
    </row>
    <row r="20" customFormat="false" ht="15" hidden="false" customHeight="false" outlineLevel="0" collapsed="false">
      <c r="A20" s="54" t="s">
        <v>432</v>
      </c>
      <c r="B20" s="13" t="s">
        <v>433</v>
      </c>
      <c r="C20" s="50" t="n">
        <f aca="false">(BS!C37+BS!C43)</f>
        <v>21365533162</v>
      </c>
      <c r="D20" s="50" t="n">
        <f aca="false">(BS!D37+BS!D43)</f>
        <v>58582945320</v>
      </c>
      <c r="E20" s="50" t="n">
        <f aca="false">(BS!E37+BS!E43)</f>
        <v>76264032884</v>
      </c>
      <c r="F20" s="50" t="n">
        <f aca="false">(BS!F37+BS!F43)</f>
        <v>92775258119</v>
      </c>
      <c r="G20" s="50" t="n">
        <f aca="false">(BS!G37+BS!G43)</f>
        <v>73032171888</v>
      </c>
      <c r="H20" s="50" t="n">
        <f aca="false">(BS!H37+BS!H43)</f>
        <v>140147298469</v>
      </c>
      <c r="I20" s="51" t="n">
        <f aca="false">Schedules_Proj!I18</f>
        <v>140147298469</v>
      </c>
      <c r="J20" s="51" t="n">
        <f aca="false">Schedules_Proj!J18</f>
        <v>140147298469</v>
      </c>
      <c r="K20" s="51" t="n">
        <f aca="false">Schedules_Proj!K18</f>
        <v>140147298469</v>
      </c>
      <c r="L20" s="51" t="n">
        <f aca="false">Schedules_Proj!L18</f>
        <v>140147298469</v>
      </c>
      <c r="M20" s="51" t="n">
        <f aca="false">Schedules_Proj!M18</f>
        <v>140147298469</v>
      </c>
    </row>
    <row r="21" customFormat="false" ht="15" hidden="false" customHeight="false" outlineLevel="0" collapsed="false">
      <c r="A21" s="54" t="s">
        <v>434</v>
      </c>
      <c r="B21" s="13" t="s">
        <v>435</v>
      </c>
      <c r="C21" s="50" t="n">
        <f aca="false">(BS!C39+BS!C41)</f>
        <v>43612322974</v>
      </c>
      <c r="D21" s="50" t="n">
        <f aca="false">(BS!D39+BS!D41)</f>
        <v>51546479066</v>
      </c>
      <c r="E21" s="50" t="n">
        <f aca="false">(BS!E39+BS!E41)</f>
        <v>28552975123</v>
      </c>
      <c r="F21" s="50" t="n">
        <f aca="false">(BS!F39+BS!F41)</f>
        <v>25063931536</v>
      </c>
      <c r="G21" s="50" t="n">
        <f aca="false">(BS!G39+BS!G41)</f>
        <v>30268331517</v>
      </c>
      <c r="H21" s="50" t="n">
        <f aca="false">(BS!H39+BS!H41)</f>
        <v>35611316455</v>
      </c>
      <c r="I21" s="72" t="n">
        <f aca="false">H21</f>
        <v>35611316455</v>
      </c>
      <c r="J21" s="72" t="n">
        <f aca="false">I21</f>
        <v>35611316455</v>
      </c>
      <c r="K21" s="72" t="n">
        <f aca="false">J21</f>
        <v>35611316455</v>
      </c>
      <c r="L21" s="72" t="n">
        <f aca="false">K21</f>
        <v>35611316455</v>
      </c>
      <c r="M21" s="72" t="n">
        <f aca="false">L21</f>
        <v>35611316455</v>
      </c>
      <c r="N21" s="15" t="s">
        <v>436</v>
      </c>
    </row>
    <row r="22" customFormat="false" ht="15" hidden="false" customHeight="false" outlineLevel="0" collapsed="false">
      <c r="A22" s="63" t="s">
        <v>437</v>
      </c>
      <c r="B22" s="64" t="s">
        <v>438</v>
      </c>
      <c r="C22" s="65" t="n">
        <f aca="false">C17+C18+C19+C20+C21</f>
        <v>1112837448853</v>
      </c>
      <c r="D22" s="65" t="n">
        <f aca="false">D17+D18+D19+D20+D21</f>
        <v>1017480520778</v>
      </c>
      <c r="E22" s="65" t="n">
        <f aca="false">E17+E18+E19+E20+E21</f>
        <v>1130377704585</v>
      </c>
      <c r="F22" s="65" t="n">
        <f aca="false">F17+F18+F19+F20+F21</f>
        <v>1283126125996</v>
      </c>
      <c r="G22" s="65" t="n">
        <f aca="false">G17+G18+G19+G20+G21</f>
        <v>1298625219027</v>
      </c>
      <c r="H22" s="65" t="n">
        <f aca="false">H17+H18+H19+H20+H21</f>
        <v>1621922418632</v>
      </c>
      <c r="I22" s="65" t="n">
        <f aca="false">I17+I18+I19+I20+I21</f>
        <v>1614266218638.74</v>
      </c>
      <c r="J22" s="65" t="n">
        <f aca="false">J17+J18+J19+J20+J21</f>
        <v>1617582274608.02</v>
      </c>
      <c r="K22" s="65" t="n">
        <f aca="false">K17+K18+K19+K20+K21</f>
        <v>1621074956959.49</v>
      </c>
      <c r="L22" s="65" t="n">
        <f aca="false">L17+L18+L19+L20+L21</f>
        <v>1624754964613.83</v>
      </c>
      <c r="M22" s="65" t="n">
        <f aca="false">M17+M18+M19+M20+M21</f>
        <v>1628633695468.38</v>
      </c>
    </row>
    <row r="23" customFormat="false" ht="15" hidden="false" customHeight="false" outlineLevel="0" collapsed="false">
      <c r="A23" s="16"/>
      <c r="B23" s="17" t="s">
        <v>439</v>
      </c>
      <c r="C23" s="16"/>
      <c r="D23" s="16"/>
      <c r="E23" s="16"/>
      <c r="F23" s="16"/>
      <c r="G23" s="16"/>
      <c r="H23" s="16"/>
      <c r="I23" s="16"/>
      <c r="J23" s="16"/>
      <c r="K23" s="16"/>
      <c r="L23" s="16"/>
      <c r="M23" s="16"/>
      <c r="N23" s="16"/>
    </row>
    <row r="24" customFormat="false" ht="15" hidden="false" customHeight="false" outlineLevel="0" collapsed="false">
      <c r="A24" s="54" t="s">
        <v>440</v>
      </c>
      <c r="B24" s="13" t="s">
        <v>441</v>
      </c>
      <c r="C24" s="50" t="n">
        <f aca="false">(BS!C47+BS!C48+BS!C49+BS!C50+BS!C51+BS!C52+BS!C53)</f>
        <v>911495545620</v>
      </c>
      <c r="D24" s="50" t="n">
        <f aca="false">(BS!D47+BS!D48+BS!D49+BS!D50+BS!D51+BS!D52+BS!D53)</f>
        <v>1308672631969</v>
      </c>
      <c r="E24" s="50" t="n">
        <f aca="false">(BS!E47+BS!E48+BS!E49+BS!E50+BS!E51+BS!E52+BS!E53)</f>
        <v>1292856011815</v>
      </c>
      <c r="F24" s="50" t="n">
        <f aca="false">(BS!F47+BS!F48+BS!F49+BS!F50+BS!F51+BS!F52+BS!F53)</f>
        <v>1291962352710</v>
      </c>
      <c r="G24" s="50" t="n">
        <f aca="false">(BS!G47+BS!G48+BS!G49+BS!G50+BS!G51+BS!G52+BS!G53)</f>
        <v>1408502888843</v>
      </c>
      <c r="H24" s="50" t="n">
        <f aca="false">(BS!H47+BS!H48+BS!H49+BS!H50+BS!H51+BS!H52+BS!H53)</f>
        <v>1638111055581</v>
      </c>
      <c r="I24" s="72" t="n">
        <f aca="false">H24</f>
        <v>1638111055581</v>
      </c>
      <c r="J24" s="72" t="n">
        <f aca="false">I24</f>
        <v>1638111055581</v>
      </c>
      <c r="K24" s="72" t="n">
        <f aca="false">J24</f>
        <v>1638111055581</v>
      </c>
      <c r="L24" s="72" t="n">
        <f aca="false">K24</f>
        <v>1638111055581</v>
      </c>
      <c r="M24" s="72" t="n">
        <f aca="false">L24</f>
        <v>1638111055581</v>
      </c>
      <c r="N24" s="15" t="s">
        <v>442</v>
      </c>
    </row>
    <row r="25" customFormat="false" ht="15" hidden="false" customHeight="false" outlineLevel="0" collapsed="false">
      <c r="A25" s="54" t="s">
        <v>443</v>
      </c>
      <c r="B25" s="13" t="s">
        <v>444</v>
      </c>
      <c r="C25" s="50" t="n">
        <f aca="false">BS!C54</f>
        <v>83741664950</v>
      </c>
      <c r="D25" s="50" t="n">
        <f aca="false">BS!D54</f>
        <v>242067057628</v>
      </c>
      <c r="E25" s="50" t="n">
        <f aca="false">BS!E54</f>
        <v>303294784801</v>
      </c>
      <c r="F25" s="50" t="n">
        <f aca="false">BS!F54</f>
        <v>297850794905</v>
      </c>
      <c r="G25" s="50" t="n">
        <f aca="false">BS!G54</f>
        <v>304976397170</v>
      </c>
      <c r="H25" s="50" t="n">
        <f aca="false">BS!H54</f>
        <v>311803137977</v>
      </c>
      <c r="I25" s="51" t="n">
        <f aca="false">H25+IS_Proj!I29+CF_Proj!I18</f>
        <v>317226481021.886</v>
      </c>
      <c r="J25" s="51" t="n">
        <f aca="false">I25+IS_Proj!J29+CF_Proj!J18</f>
        <v>324818103946.937</v>
      </c>
      <c r="K25" s="51" t="n">
        <f aca="false">J25+IS_Proj!K29+CF_Proj!K18</f>
        <v>333427871303.067</v>
      </c>
      <c r="L25" s="51" t="n">
        <f aca="false">K25+IS_Proj!L29+CF_Proj!L18</f>
        <v>343078327673.442</v>
      </c>
      <c r="M25" s="51" t="n">
        <f aca="false">L25+IS_Proj!M29+CF_Proj!M18</f>
        <v>353838080743.526</v>
      </c>
    </row>
    <row r="26" customFormat="false" ht="15" hidden="false" customHeight="false" outlineLevel="0" collapsed="false">
      <c r="A26" s="63" t="s">
        <v>445</v>
      </c>
      <c r="B26" s="64" t="s">
        <v>446</v>
      </c>
      <c r="C26" s="65" t="n">
        <f aca="false">C24+C25</f>
        <v>995237210570</v>
      </c>
      <c r="D26" s="65" t="n">
        <f aca="false">D24+D25</f>
        <v>1550739689597</v>
      </c>
      <c r="E26" s="65" t="n">
        <f aca="false">E24+E25</f>
        <v>1596150796616</v>
      </c>
      <c r="F26" s="65" t="n">
        <f aca="false">F24+F25</f>
        <v>1589813147615</v>
      </c>
      <c r="G26" s="65" t="n">
        <f aca="false">G24+G25</f>
        <v>1713479286013</v>
      </c>
      <c r="H26" s="65" t="n">
        <f aca="false">H24+H25</f>
        <v>1949914193558</v>
      </c>
      <c r="I26" s="65" t="n">
        <f aca="false">I24+I25</f>
        <v>1955337536602.89</v>
      </c>
      <c r="J26" s="65" t="n">
        <f aca="false">J24+J25</f>
        <v>1962929159527.94</v>
      </c>
      <c r="K26" s="65" t="n">
        <f aca="false">K24+K25</f>
        <v>1971538926884.07</v>
      </c>
      <c r="L26" s="65" t="n">
        <f aca="false">L24+L25</f>
        <v>1981189383254.44</v>
      </c>
      <c r="M26" s="65" t="n">
        <f aca="false">M24+M25</f>
        <v>1991949136324.53</v>
      </c>
    </row>
    <row r="27" customFormat="false" ht="15" hidden="false" customHeight="false" outlineLevel="0" collapsed="false">
      <c r="A27" s="54" t="s">
        <v>447</v>
      </c>
      <c r="B27" s="13" t="s">
        <v>448</v>
      </c>
      <c r="C27" s="50" t="n">
        <f aca="false">BS!C56</f>
        <v>54462175042</v>
      </c>
      <c r="D27" s="50" t="n">
        <f aca="false">BS!D56</f>
        <v>245476312053</v>
      </c>
      <c r="E27" s="50" t="n">
        <f aca="false">BS!E56</f>
        <v>212081647789</v>
      </c>
      <c r="F27" s="50" t="n">
        <f aca="false">BS!F56</f>
        <v>210222760837</v>
      </c>
      <c r="G27" s="50" t="n">
        <f aca="false">BS!G56</f>
        <v>434256398708</v>
      </c>
      <c r="H27" s="50" t="n">
        <f aca="false">BS!H56</f>
        <v>444592822953</v>
      </c>
      <c r="I27" s="51" t="n">
        <f aca="false">H27+IS_Proj!I28+CF_Proj!I19</f>
        <v>446192818482.707</v>
      </c>
      <c r="J27" s="51" t="n">
        <f aca="false">I27+IS_Proj!J28+CF_Proj!J19</f>
        <v>452404146330.475</v>
      </c>
      <c r="K27" s="51" t="n">
        <f aca="false">J27+IS_Proj!K28+CF_Proj!K19</f>
        <v>459448501440.037</v>
      </c>
      <c r="L27" s="51" t="n">
        <f aca="false">K27+IS_Proj!L28+CF_Proj!L19</f>
        <v>467344329379.435</v>
      </c>
      <c r="M27" s="51" t="n">
        <f aca="false">L27+IS_Proj!M28+CF_Proj!M19</f>
        <v>476147763709.503</v>
      </c>
    </row>
    <row r="28" customFormat="false" ht="15" hidden="false" customHeight="false" outlineLevel="0" collapsed="false">
      <c r="A28" s="63" t="s">
        <v>449</v>
      </c>
      <c r="B28" s="64" t="s">
        <v>450</v>
      </c>
      <c r="C28" s="65" t="n">
        <f aca="false">C26+C27</f>
        <v>1049699385612</v>
      </c>
      <c r="D28" s="65" t="n">
        <f aca="false">D26+D27</f>
        <v>1796216001650</v>
      </c>
      <c r="E28" s="65" t="n">
        <f aca="false">E26+E27</f>
        <v>1808232444405</v>
      </c>
      <c r="F28" s="65" t="n">
        <f aca="false">F26+F27</f>
        <v>1800035908452</v>
      </c>
      <c r="G28" s="65" t="n">
        <f aca="false">G26+G27</f>
        <v>2147735684721</v>
      </c>
      <c r="H28" s="65" t="n">
        <f aca="false">H26+H27</f>
        <v>2394507016511</v>
      </c>
      <c r="I28" s="65" t="n">
        <f aca="false">I26+I27</f>
        <v>2401530355085.59</v>
      </c>
      <c r="J28" s="65" t="n">
        <f aca="false">J26+J27</f>
        <v>2415333305858.41</v>
      </c>
      <c r="K28" s="65" t="n">
        <f aca="false">K26+K27</f>
        <v>2430987428324.1</v>
      </c>
      <c r="L28" s="65" t="n">
        <f aca="false">L26+L27</f>
        <v>2448533712633.88</v>
      </c>
      <c r="M28" s="65" t="n">
        <f aca="false">M26+M27</f>
        <v>2468096900034.03</v>
      </c>
    </row>
    <row r="29" customFormat="false" ht="15" hidden="false" customHeight="false" outlineLevel="0" collapsed="false">
      <c r="A29" s="63" t="s">
        <v>451</v>
      </c>
      <c r="B29" s="64" t="s">
        <v>452</v>
      </c>
      <c r="C29" s="65" t="n">
        <f aca="false">C22+C28</f>
        <v>2162536834465</v>
      </c>
      <c r="D29" s="65" t="n">
        <f aca="false">D22+D28</f>
        <v>2813696522428</v>
      </c>
      <c r="E29" s="65" t="n">
        <f aca="false">E22+E28</f>
        <v>2938610148990</v>
      </c>
      <c r="F29" s="65" t="n">
        <f aca="false">F22+F28</f>
        <v>3083162034448</v>
      </c>
      <c r="G29" s="65" t="n">
        <f aca="false">G22+G28</f>
        <v>3446360903748</v>
      </c>
      <c r="H29" s="65" t="n">
        <f aca="false">H22+H28</f>
        <v>4016429435143</v>
      </c>
      <c r="I29" s="65" t="n">
        <f aca="false">I22+I28</f>
        <v>4015796573724.33</v>
      </c>
      <c r="J29" s="65" t="n">
        <f aca="false">J22+J28</f>
        <v>4032915580466.44</v>
      </c>
      <c r="K29" s="65" t="n">
        <f aca="false">K22+K28</f>
        <v>4052062385283.6</v>
      </c>
      <c r="L29" s="65" t="n">
        <f aca="false">L22+L28</f>
        <v>4073288677247.71</v>
      </c>
      <c r="M29" s="65" t="n">
        <f aca="false">M22+M28</f>
        <v>4096730595502.41</v>
      </c>
    </row>
    <row r="31" customFormat="false" ht="15" hidden="false" customHeight="false" outlineLevel="0" collapsed="false">
      <c r="A31" s="54" t="s">
        <v>453</v>
      </c>
      <c r="B31" s="13" t="s">
        <v>454</v>
      </c>
      <c r="C31" s="73" t="n">
        <f aca="false">ROUND(C15-C29,0)</f>
        <v>0</v>
      </c>
      <c r="D31" s="73" t="n">
        <f aca="false">ROUND(D15-D29,0)</f>
        <v>0</v>
      </c>
      <c r="E31" s="73" t="n">
        <f aca="false">ROUND(E15-E29,0)</f>
        <v>0</v>
      </c>
      <c r="F31" s="73" t="n">
        <f aca="false">ROUND(F15-F29,0)</f>
        <v>0</v>
      </c>
      <c r="G31" s="73" t="n">
        <f aca="false">ROUND(G15-G29,0)</f>
        <v>0</v>
      </c>
      <c r="H31" s="73" t="n">
        <f aca="false">ROUND(H15-H29,0)</f>
        <v>0</v>
      </c>
      <c r="I31" s="72" t="n">
        <f aca="false">ROUND(I15-I29,0)</f>
        <v>0</v>
      </c>
      <c r="J31" s="72" t="n">
        <f aca="false">ROUND(J15-J29,0)</f>
        <v>0</v>
      </c>
      <c r="K31" s="72" t="n">
        <f aca="false">ROUND(K15-K29,0)</f>
        <v>0</v>
      </c>
      <c r="L31" s="72" t="n">
        <f aca="false">ROUND(L15-L29,0)</f>
        <v>0</v>
      </c>
      <c r="M31" s="72" t="n">
        <f aca="false">ROUND(M15-M29,0)</f>
        <v>0</v>
      </c>
    </row>
    <row r="32" customFormat="false" ht="15" hidden="false" customHeight="false" outlineLevel="0" collapsed="false">
      <c r="A32" s="54" t="s">
        <v>455</v>
      </c>
      <c r="B32" s="13" t="s">
        <v>456</v>
      </c>
      <c r="C32" s="73" t="n">
        <f aca="false">C19+C20-C6</f>
        <v>187167086361</v>
      </c>
      <c r="D32" s="73" t="n">
        <f aca="false">D19+D20-D6</f>
        <v>-157686770185</v>
      </c>
      <c r="E32" s="73" t="n">
        <f aca="false">E19+E20-E6</f>
        <v>302141983757</v>
      </c>
      <c r="F32" s="73" t="n">
        <f aca="false">F19+F20-F6</f>
        <v>497895464087</v>
      </c>
      <c r="G32" s="73" t="n">
        <f aca="false">G19+G20-G6</f>
        <v>380596403084</v>
      </c>
      <c r="H32" s="73" t="n">
        <f aca="false">H19+H20-H6</f>
        <v>529202623307</v>
      </c>
      <c r="I32" s="72" t="n">
        <f aca="false">I19+I20-I6</f>
        <v>629647892001.846</v>
      </c>
      <c r="J32" s="72" t="n">
        <f aca="false">J19+J20-J6</f>
        <v>722615773748.754</v>
      </c>
      <c r="K32" s="72" t="n">
        <f aca="false">K19+K20-K6</f>
        <v>819092349919.831</v>
      </c>
      <c r="L32" s="72" t="n">
        <f aca="false">L19+L20-L6</f>
        <v>919342873044.351</v>
      </c>
      <c r="M32" s="72" t="n">
        <f aca="false">M19+M20-M6</f>
        <v>1023568461738.93</v>
      </c>
    </row>
    <row r="33" customFormat="false" ht="15" hidden="false" customHeight="false" outlineLevel="0" collapsed="false">
      <c r="A33" s="54" t="s">
        <v>457</v>
      </c>
      <c r="B33" s="13" t="s">
        <v>458</v>
      </c>
      <c r="C33" s="59"/>
      <c r="D33" s="46" t="n">
        <f aca="false">IS_Proj!D29/AVERAGE(C26,D26)</f>
        <v>0.168492593612244</v>
      </c>
      <c r="E33" s="46" t="n">
        <f aca="false">IS_Proj!E29/AVERAGE(D26,E26)</f>
        <v>0.0528952167465841</v>
      </c>
      <c r="F33" s="46" t="n">
        <f aca="false">IS_Proj!F29/AVERAGE(E26,F26)</f>
        <v>0.00468375317398697</v>
      </c>
      <c r="G33" s="46" t="n">
        <f aca="false">IS_Proj!G29/AVERAGE(F26,G26)</f>
        <v>0.00723127943648783</v>
      </c>
      <c r="H33" s="46" t="n">
        <f aca="false">IS_Proj!H29/AVERAGE(G26,H26)</f>
        <v>0.0067800313508525</v>
      </c>
      <c r="I33" s="47" t="n">
        <f aca="false">IS_Proj!I29/AVERAGE(H26,I26)</f>
        <v>0.00532151486831722</v>
      </c>
      <c r="J33" s="47" t="n">
        <f aca="false">IS_Proj!J29/AVERAGE(I26,J26)</f>
        <v>0.00599652594651894</v>
      </c>
      <c r="K33" s="47" t="n">
        <f aca="false">IS_Proj!K29/AVERAGE(J26,K26)</f>
        <v>0.00676531853636841</v>
      </c>
      <c r="L33" s="47" t="n">
        <f aca="false">IS_Proj!L29/AVERAGE(K26,L26)</f>
        <v>0.00757656037583867</v>
      </c>
      <c r="M33" s="47" t="n">
        <f aca="false">IS_Proj!M29/AVERAGE(L26,M26)</f>
        <v>0.00843130433321474</v>
      </c>
    </row>
    <row r="34" customFormat="false" ht="15" hidden="false" customHeight="false" outlineLevel="0" collapsed="false">
      <c r="A34" s="54" t="s">
        <v>459</v>
      </c>
      <c r="B34" s="13" t="s">
        <v>460</v>
      </c>
      <c r="C34" s="48" t="n">
        <f aca="false">C32/IS_Proj!C19</f>
        <v>0.79543405712489</v>
      </c>
      <c r="D34" s="48" t="n">
        <f aca="false">D32/IS_Proj!D19</f>
        <v>-0.281531549902155</v>
      </c>
      <c r="E34" s="48" t="n">
        <f aca="false">E32/IS_Proj!E19</f>
        <v>0.899854483340775</v>
      </c>
      <c r="F34" s="48" t="n">
        <f aca="false">F32/IS_Proj!F19</f>
        <v>2.31059917842507</v>
      </c>
      <c r="G34" s="48" t="n">
        <f aca="false">G32/IS_Proj!G19</f>
        <v>1.8000588824746</v>
      </c>
      <c r="H34" s="48" t="n">
        <f aca="false">H32/IS_Proj!H19</f>
        <v>2.45238549956908</v>
      </c>
      <c r="I34" s="49" t="n">
        <f aca="false">I32/IS_Proj!I19</f>
        <v>2.59813767238522</v>
      </c>
      <c r="J34" s="49" t="n">
        <f aca="false">J32/IS_Proj!J19</f>
        <v>2.85387457222256</v>
      </c>
      <c r="K34" s="49" t="n">
        <f aca="false">K32/IS_Proj!K19</f>
        <v>3.09508552621666</v>
      </c>
      <c r="L34" s="49" t="n">
        <f aca="false">L32/IS_Proj!L19</f>
        <v>3.32259723771928</v>
      </c>
      <c r="M34" s="49" t="n">
        <f aca="false">M32/IS_Proj!M19</f>
        <v>3.53691315939323</v>
      </c>
    </row>
  </sheetData>
  <conditionalFormatting sqref="C31:M31">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461</v>
      </c>
    </row>
    <row r="2" customFormat="false" ht="15" hidden="false" customHeight="false" outlineLevel="0" collapsed="false">
      <c r="A2" s="15" t="s">
        <v>337</v>
      </c>
    </row>
    <row r="3" customFormat="false" ht="15" hidden="false" customHeight="false" outlineLevel="0" collapsed="false">
      <c r="A3" s="4" t="s">
        <v>174</v>
      </c>
      <c r="C3" s="42" t="str">
        <f aca="false">Asumsi!C4</f>
        <v>Base</v>
      </c>
      <c r="I3" s="15" t="s">
        <v>338</v>
      </c>
      <c r="J3" s="15" t="s">
        <v>338</v>
      </c>
      <c r="K3" s="15" t="s">
        <v>338</v>
      </c>
      <c r="L3" s="15" t="s">
        <v>338</v>
      </c>
      <c r="M3" s="15" t="s">
        <v>338</v>
      </c>
    </row>
    <row r="4" customFormat="false" ht="15" hidden="false" customHeight="false" outlineLevel="0" collapsed="false">
      <c r="A4" s="25" t="s">
        <v>339</v>
      </c>
      <c r="B4" s="25" t="s">
        <v>340</v>
      </c>
      <c r="C4" s="25" t="s">
        <v>131</v>
      </c>
      <c r="D4" s="25" t="s">
        <v>132</v>
      </c>
      <c r="E4" s="25" t="s">
        <v>133</v>
      </c>
      <c r="F4" s="25" t="s">
        <v>134</v>
      </c>
      <c r="G4" s="25" t="s">
        <v>135</v>
      </c>
      <c r="H4" s="25" t="s">
        <v>136</v>
      </c>
      <c r="I4" s="43" t="s">
        <v>175</v>
      </c>
      <c r="J4" s="43" t="s">
        <v>176</v>
      </c>
      <c r="K4" s="43" t="s">
        <v>177</v>
      </c>
      <c r="L4" s="43" t="s">
        <v>178</v>
      </c>
      <c r="M4" s="43" t="s">
        <v>179</v>
      </c>
      <c r="N4" s="25" t="s">
        <v>341</v>
      </c>
    </row>
    <row r="5" customFormat="false" ht="15" hidden="false" customHeight="false" outlineLevel="0" collapsed="false">
      <c r="A5" s="16"/>
      <c r="B5" s="17" t="s">
        <v>462</v>
      </c>
      <c r="C5" s="16"/>
      <c r="D5" s="16"/>
      <c r="E5" s="16"/>
      <c r="F5" s="16"/>
      <c r="G5" s="16"/>
      <c r="H5" s="16"/>
      <c r="I5" s="16"/>
      <c r="J5" s="16"/>
      <c r="K5" s="16"/>
      <c r="L5" s="16"/>
      <c r="M5" s="16"/>
      <c r="N5" s="16"/>
    </row>
    <row r="6" customFormat="false" ht="15" hidden="false" customHeight="false" outlineLevel="0" collapsed="false">
      <c r="A6" s="54" t="s">
        <v>463</v>
      </c>
      <c r="B6" s="13" t="s">
        <v>141</v>
      </c>
      <c r="C6" s="50" t="n">
        <f aca="false">IS_Proj!C27</f>
        <v>118460085776</v>
      </c>
      <c r="D6" s="50" t="n">
        <f aca="false">IS_Proj!D27</f>
        <v>354648787182</v>
      </c>
      <c r="E6" s="50" t="n">
        <f aca="false">IS_Proj!E27</f>
        <v>128931855662</v>
      </c>
      <c r="F6" s="50" t="n">
        <f aca="false">IS_Proj!F27</f>
        <v>16229428848</v>
      </c>
      <c r="G6" s="50" t="n">
        <f aca="false">IS_Proj!G27</f>
        <v>18895784267</v>
      </c>
      <c r="H6" s="50" t="n">
        <f aca="false">IS_Proj!H27</f>
        <v>29673142533</v>
      </c>
      <c r="I6" s="51" t="n">
        <f aca="false">IS_Proj!I27</f>
        <v>18892595587.7934</v>
      </c>
      <c r="J6" s="51" t="n">
        <f aca="false">IS_Proj!J27</f>
        <v>21359989007.9359</v>
      </c>
      <c r="K6" s="51" t="n">
        <f aca="false">IS_Proj!K27</f>
        <v>24198118068.8664</v>
      </c>
      <c r="L6" s="51" t="n">
        <f aca="false">IS_Proj!L27</f>
        <v>27225531537.3193</v>
      </c>
      <c r="M6" s="51" t="n">
        <f aca="false">IS_Proj!M27</f>
        <v>30453400015.0805</v>
      </c>
    </row>
    <row r="7" customFormat="false" ht="15" hidden="false" customHeight="false" outlineLevel="0" collapsed="false">
      <c r="A7" s="54" t="s">
        <v>464</v>
      </c>
      <c r="B7" s="13" t="s">
        <v>465</v>
      </c>
      <c r="C7" s="61"/>
      <c r="D7" s="61"/>
      <c r="E7" s="61"/>
      <c r="F7" s="61"/>
      <c r="G7" s="61"/>
      <c r="H7" s="61"/>
      <c r="I7" s="51" t="n">
        <f aca="false">-IS_Proj!I20</f>
        <v>158053628835.75</v>
      </c>
      <c r="J7" s="51" t="n">
        <f aca="false">-IS_Proj!J20</f>
        <v>162354702589.485</v>
      </c>
      <c r="K7" s="51" t="n">
        <f aca="false">-IS_Proj!K20</f>
        <v>166869452093.801</v>
      </c>
      <c r="L7" s="51" t="n">
        <f aca="false">-IS_Proj!L20</f>
        <v>171609952319.94</v>
      </c>
      <c r="M7" s="51" t="n">
        <f aca="false">-IS_Proj!M20</f>
        <v>176589048732.893</v>
      </c>
    </row>
    <row r="8" customFormat="false" ht="15" hidden="false" customHeight="false" outlineLevel="0" collapsed="false">
      <c r="A8" s="54" t="s">
        <v>466</v>
      </c>
      <c r="B8" s="13" t="s">
        <v>467</v>
      </c>
      <c r="C8" s="61"/>
      <c r="D8" s="61"/>
      <c r="E8" s="61"/>
      <c r="F8" s="61"/>
      <c r="G8" s="61"/>
      <c r="H8" s="61"/>
      <c r="I8" s="51" t="n">
        <f aca="false">BS_Proj!H7-BS_Proj!I7</f>
        <v>-4050398727.50061</v>
      </c>
      <c r="J8" s="51" t="n">
        <f aca="false">BS_Proj!I7-BS_Proj!J7</f>
        <v>-7437882547.935</v>
      </c>
      <c r="K8" s="51" t="n">
        <f aca="false">BS_Proj!J7-BS_Proj!K7</f>
        <v>-7834053872.45734</v>
      </c>
      <c r="L8" s="51" t="n">
        <f aca="false">BS_Proj!K7-BS_Proj!L7</f>
        <v>-8254222776.08121</v>
      </c>
      <c r="M8" s="51" t="n">
        <f aca="false">BS_Proj!L7-BS_Proj!M7</f>
        <v>-8699957056.9353</v>
      </c>
    </row>
    <row r="9" customFormat="false" ht="15" hidden="false" customHeight="false" outlineLevel="0" collapsed="false">
      <c r="A9" s="54" t="s">
        <v>468</v>
      </c>
      <c r="B9" s="13" t="s">
        <v>469</v>
      </c>
      <c r="C9" s="61"/>
      <c r="D9" s="61"/>
      <c r="E9" s="61"/>
      <c r="F9" s="61"/>
      <c r="G9" s="61"/>
      <c r="H9" s="61"/>
      <c r="I9" s="51" t="n">
        <f aca="false">BS_Proj!H8-BS_Proj!I8</f>
        <v>-182591799.014984</v>
      </c>
      <c r="J9" s="51" t="n">
        <f aca="false">BS_Proj!I8-BS_Proj!J8</f>
        <v>-2321239178.50138</v>
      </c>
      <c r="K9" s="51" t="n">
        <f aca="false">BS_Proj!J8-BS_Proj!K8</f>
        <v>-2444877646.0294</v>
      </c>
      <c r="L9" s="51" t="n">
        <f aca="false">BS_Proj!K8-BS_Proj!L8</f>
        <v>-2576005358.03535</v>
      </c>
      <c r="M9" s="51" t="n">
        <f aca="false">BS_Proj!L8-BS_Proj!M8</f>
        <v>-2715111598.18523</v>
      </c>
    </row>
    <row r="10" customFormat="false" ht="15" hidden="false" customHeight="false" outlineLevel="0" collapsed="false">
      <c r="A10" s="54" t="s">
        <v>470</v>
      </c>
      <c r="B10" s="13" t="s">
        <v>471</v>
      </c>
      <c r="C10" s="61"/>
      <c r="D10" s="61"/>
      <c r="E10" s="61"/>
      <c r="F10" s="61"/>
      <c r="G10" s="61"/>
      <c r="H10" s="61"/>
      <c r="I10" s="51" t="n">
        <f aca="false">BS_Proj!I17-BS_Proj!H17</f>
        <v>-7656199993.26431</v>
      </c>
      <c r="J10" s="51" t="n">
        <f aca="false">BS_Proj!J17-BS_Proj!I17</f>
        <v>3316055969.28769</v>
      </c>
      <c r="K10" s="51" t="n">
        <f aca="false">BS_Proj!K17-BS_Proj!J17</f>
        <v>3492682351.47058</v>
      </c>
      <c r="L10" s="51" t="n">
        <f aca="false">BS_Proj!L17-BS_Proj!K17</f>
        <v>3680007654.3362</v>
      </c>
      <c r="M10" s="51" t="n">
        <f aca="false">BS_Proj!M17-BS_Proj!L17</f>
        <v>3878730854.55032</v>
      </c>
    </row>
    <row r="11" customFormat="false" ht="15" hidden="false" customHeight="false" outlineLevel="0" collapsed="false">
      <c r="A11" s="63" t="s">
        <v>472</v>
      </c>
      <c r="B11" s="64" t="s">
        <v>145</v>
      </c>
      <c r="C11" s="66" t="n">
        <f aca="false">CF!C13</f>
        <v>190358533077</v>
      </c>
      <c r="D11" s="66" t="n">
        <f aca="false">CF!D13</f>
        <v>349438392180</v>
      </c>
      <c r="E11" s="66" t="n">
        <f aca="false">CF!E13</f>
        <v>131084359442</v>
      </c>
      <c r="F11" s="66" t="n">
        <f aca="false">CF!F13</f>
        <v>51438728484</v>
      </c>
      <c r="G11" s="66" t="n">
        <f aca="false">CF!G13</f>
        <v>33979487371</v>
      </c>
      <c r="H11" s="66" t="n">
        <f aca="false">CF!H13</f>
        <v>250621859694</v>
      </c>
      <c r="I11" s="65" t="n">
        <f aca="false">I6+I7+I8+I9+I10</f>
        <v>165057033903.764</v>
      </c>
      <c r="J11" s="65" t="n">
        <f aca="false">J6+J7+J8+J9+J10</f>
        <v>177271625840.272</v>
      </c>
      <c r="K11" s="65" t="n">
        <f aca="false">K6+K7+K8+K9+K10</f>
        <v>184281320995.651</v>
      </c>
      <c r="L11" s="65" t="n">
        <f aca="false">L6+L7+L8+L9+L10</f>
        <v>191685263377.478</v>
      </c>
      <c r="M11" s="65" t="n">
        <f aca="false">M6+M7+M8+M9+M10</f>
        <v>199506110947.403</v>
      </c>
      <c r="N11" s="15" t="s">
        <v>473</v>
      </c>
    </row>
    <row r="12" customFormat="false" ht="15" hidden="false" customHeight="false" outlineLevel="0" collapsed="false">
      <c r="A12" s="16"/>
      <c r="B12" s="17" t="s">
        <v>474</v>
      </c>
      <c r="C12" s="16"/>
      <c r="D12" s="16"/>
      <c r="E12" s="16"/>
      <c r="F12" s="16"/>
      <c r="G12" s="16"/>
      <c r="H12" s="16"/>
      <c r="I12" s="16"/>
      <c r="J12" s="16"/>
      <c r="K12" s="16"/>
      <c r="L12" s="16"/>
      <c r="M12" s="16"/>
      <c r="N12" s="16"/>
    </row>
    <row r="13" customFormat="false" ht="15" hidden="false" customHeight="false" outlineLevel="0" collapsed="false">
      <c r="A13" s="54" t="s">
        <v>475</v>
      </c>
      <c r="B13" s="13" t="s">
        <v>476</v>
      </c>
      <c r="C13" s="50" t="n">
        <f aca="false">CF!C15+CF!C16</f>
        <v>-49606709171</v>
      </c>
      <c r="D13" s="50" t="n">
        <f aca="false">CF!D15+CF!D16</f>
        <v>-298175362181</v>
      </c>
      <c r="E13" s="50" t="n">
        <f aca="false">CF!E15+CF!E16</f>
        <v>-301730050964</v>
      </c>
      <c r="F13" s="50" t="n">
        <f aca="false">CF!F15+CF!F16</f>
        <v>-209353390575</v>
      </c>
      <c r="G13" s="50" t="n">
        <f aca="false">CF!G15+CF!G16</f>
        <v>-173694170491</v>
      </c>
      <c r="H13" s="50" t="n">
        <f aca="false">CF!H15+CF!H16</f>
        <v>-218905414893</v>
      </c>
      <c r="I13" s="51" t="n">
        <f aca="false">-Schedules_Proj!I7</f>
        <v>-201954878005.559</v>
      </c>
      <c r="J13" s="51" t="n">
        <f aca="false">-Schedules_Proj!J7</f>
        <v>-211004301772.213</v>
      </c>
      <c r="K13" s="51" t="n">
        <f aca="false">-Schedules_Proj!K7</f>
        <v>-220535733983.703</v>
      </c>
      <c r="L13" s="51" t="n">
        <f aca="false">-Schedules_Proj!L7</f>
        <v>-230578371694.602</v>
      </c>
      <c r="M13" s="51" t="n">
        <f aca="false">-Schedules_Proj!M7</f>
        <v>-241163319447.207</v>
      </c>
    </row>
    <row r="14" customFormat="false" ht="15" hidden="false" customHeight="false" outlineLevel="0" collapsed="false">
      <c r="A14" s="63" t="s">
        <v>477</v>
      </c>
      <c r="B14" s="64" t="s">
        <v>478</v>
      </c>
      <c r="C14" s="66" t="n">
        <f aca="false">CF!C21</f>
        <v>-49172130106</v>
      </c>
      <c r="D14" s="66" t="n">
        <f aca="false">CF!D21</f>
        <v>-319670362181</v>
      </c>
      <c r="E14" s="66" t="n">
        <f aca="false">CF!E21</f>
        <v>-438033856431</v>
      </c>
      <c r="F14" s="66" t="n">
        <f aca="false">CF!F21</f>
        <v>-212221540575</v>
      </c>
      <c r="G14" s="66" t="n">
        <f aca="false">CF!G21</f>
        <v>-245291393404</v>
      </c>
      <c r="H14" s="66" t="n">
        <f aca="false">CF!H21</f>
        <v>-217412095335</v>
      </c>
      <c r="I14" s="65" t="n">
        <f aca="false">I13</f>
        <v>-201954878005.559</v>
      </c>
      <c r="J14" s="65" t="n">
        <f aca="false">J13</f>
        <v>-211004301772.213</v>
      </c>
      <c r="K14" s="65" t="n">
        <f aca="false">K13</f>
        <v>-220535733983.703</v>
      </c>
      <c r="L14" s="65" t="n">
        <f aca="false">L13</f>
        <v>-230578371694.602</v>
      </c>
      <c r="M14" s="65" t="n">
        <f aca="false">M13</f>
        <v>-241163319447.207</v>
      </c>
      <c r="N14" s="15" t="s">
        <v>479</v>
      </c>
    </row>
    <row r="15" customFormat="false" ht="15" hidden="false" customHeight="false" outlineLevel="0" collapsed="false">
      <c r="A15" s="16"/>
      <c r="B15" s="17" t="s">
        <v>480</v>
      </c>
      <c r="C15" s="16"/>
      <c r="D15" s="16"/>
      <c r="E15" s="16"/>
      <c r="F15" s="16"/>
      <c r="G15" s="16"/>
      <c r="H15" s="16"/>
      <c r="I15" s="16"/>
      <c r="J15" s="16"/>
      <c r="K15" s="16"/>
      <c r="L15" s="16"/>
      <c r="M15" s="16"/>
      <c r="N15" s="16"/>
    </row>
    <row r="16" customFormat="false" ht="15" hidden="false" customHeight="false" outlineLevel="0" collapsed="false">
      <c r="A16" s="54" t="s">
        <v>481</v>
      </c>
      <c r="B16" s="13" t="s">
        <v>482</v>
      </c>
      <c r="C16" s="50" t="n">
        <f aca="false">CF!C26+CF!C27+CF!C24</f>
        <v>273168082432</v>
      </c>
      <c r="D16" s="50" t="n">
        <f aca="false">CF!D26+CF!D27+CF!D24</f>
        <v>-34015316630</v>
      </c>
      <c r="E16" s="50" t="n">
        <f aca="false">CF!E26+CF!E27+CF!E24</f>
        <v>241664328795</v>
      </c>
      <c r="F16" s="50" t="n">
        <f aca="false">CF!F26+CF!F27+CF!F24</f>
        <v>176350598206</v>
      </c>
      <c r="G16" s="50" t="n">
        <f aca="false">CF!G26+CF!G27+CF!G24</f>
        <v>63718071877</v>
      </c>
      <c r="H16" s="50" t="n">
        <f aca="false">CF!H26+CF!H27+CF!H24</f>
        <v>124743779476</v>
      </c>
      <c r="I16" s="51" t="n">
        <f aca="false">Asumsi!I31</f>
        <v>0</v>
      </c>
      <c r="J16" s="51" t="n">
        <f aca="false">Asumsi!J31</f>
        <v>0</v>
      </c>
      <c r="K16" s="51" t="n">
        <f aca="false">Asumsi!K31</f>
        <v>0</v>
      </c>
      <c r="L16" s="51" t="n">
        <f aca="false">Asumsi!L31</f>
        <v>0</v>
      </c>
      <c r="M16" s="51" t="n">
        <f aca="false">Asumsi!M31</f>
        <v>0</v>
      </c>
    </row>
    <row r="17" customFormat="false" ht="15" hidden="false" customHeight="false" outlineLevel="0" collapsed="false">
      <c r="A17" s="54" t="s">
        <v>483</v>
      </c>
      <c r="B17" s="13" t="s">
        <v>484</v>
      </c>
      <c r="C17" s="50" t="n">
        <f aca="false">CF!C23</f>
        <v>0</v>
      </c>
      <c r="D17" s="50" t="n">
        <f aca="false">CF!D23</f>
        <v>0</v>
      </c>
      <c r="E17" s="50" t="n">
        <f aca="false">CF!E23</f>
        <v>0</v>
      </c>
      <c r="F17" s="50" t="n">
        <f aca="false">CF!F23</f>
        <v>0</v>
      </c>
      <c r="G17" s="50" t="n">
        <f aca="false">CF!G23</f>
        <v>-23968116240</v>
      </c>
      <c r="H17" s="50" t="n">
        <f aca="false">CF!H23</f>
        <v>-98699072459</v>
      </c>
      <c r="I17" s="51" t="n">
        <f aca="false">-Schedules_Proj!I17</f>
        <v>-51678167579.85</v>
      </c>
      <c r="J17" s="51" t="n">
        <f aca="false">-Schedules_Proj!J17</f>
        <v>-51678167579.85</v>
      </c>
      <c r="K17" s="51" t="n">
        <f aca="false">-Schedules_Proj!K17</f>
        <v>-51678167579.85</v>
      </c>
      <c r="L17" s="51" t="n">
        <f aca="false">-Schedules_Proj!L17</f>
        <v>-51678167579.85</v>
      </c>
      <c r="M17" s="51" t="n">
        <f aca="false">-Schedules_Proj!M17</f>
        <v>-51678167579.85</v>
      </c>
      <c r="N17" s="15" t="s">
        <v>485</v>
      </c>
    </row>
    <row r="18" customFormat="false" ht="15" hidden="false" customHeight="false" outlineLevel="0" collapsed="false">
      <c r="A18" s="54" t="s">
        <v>486</v>
      </c>
      <c r="B18" s="13" t="s">
        <v>487</v>
      </c>
      <c r="C18" s="61"/>
      <c r="D18" s="61"/>
      <c r="E18" s="61"/>
      <c r="F18" s="61"/>
      <c r="G18" s="61"/>
      <c r="H18" s="61"/>
      <c r="I18" s="51" t="n">
        <f aca="false">-Asumsi!I32*MAX(IS_Proj!H29,0)</f>
        <v>-4967584528.4</v>
      </c>
      <c r="J18" s="51" t="n">
        <f aca="false">-Asumsi!J32*MAX(IS_Proj!I29,0)</f>
        <v>-4156371029.31454</v>
      </c>
      <c r="K18" s="51" t="n">
        <f aca="false">-Asumsi!K32*MAX(IS_Proj!J29,0)</f>
        <v>-4699197581.74591</v>
      </c>
      <c r="L18" s="51" t="n">
        <f aca="false">-Asumsi!L32*MAX(IS_Proj!K29,0)</f>
        <v>-5323585975.15061</v>
      </c>
      <c r="M18" s="51" t="n">
        <f aca="false">-Asumsi!M32*MAX(IS_Proj!L29,0)</f>
        <v>-5989616938.21024</v>
      </c>
    </row>
    <row r="19" customFormat="false" ht="15" hidden="false" customHeight="false" outlineLevel="0" collapsed="false">
      <c r="A19" s="54" t="s">
        <v>488</v>
      </c>
      <c r="B19" s="13" t="s">
        <v>489</v>
      </c>
      <c r="C19" s="61"/>
      <c r="D19" s="61"/>
      <c r="E19" s="61"/>
      <c r="F19" s="61"/>
      <c r="G19" s="61"/>
      <c r="H19" s="61"/>
      <c r="I19" s="51" t="n">
        <f aca="false">-Asumsi!I34*MAX(IS_Proj!H28,0)</f>
        <v>-6901672484.8</v>
      </c>
      <c r="J19" s="51" t="n">
        <f aca="false">-Asumsi!J34*MAX(IS_Proj!I28,0)</f>
        <v>-3400667205.80281</v>
      </c>
      <c r="K19" s="51" t="n">
        <f aca="false">-Asumsi!K34*MAX(IS_Proj!J28,0)</f>
        <v>-3844798021.42847</v>
      </c>
      <c r="L19" s="51" t="n">
        <f aca="false">-Asumsi!L34*MAX(IS_Proj!K28,0)</f>
        <v>-4355661252.39596</v>
      </c>
      <c r="M19" s="51" t="n">
        <f aca="false">-Asumsi!M34*MAX(IS_Proj!L28,0)</f>
        <v>-4900595676.71747</v>
      </c>
    </row>
    <row r="20" customFormat="false" ht="15" hidden="false" customHeight="false" outlineLevel="0" collapsed="false">
      <c r="A20" s="54" t="s">
        <v>490</v>
      </c>
      <c r="B20" s="13" t="s">
        <v>491</v>
      </c>
      <c r="C20" s="50" t="n">
        <f aca="false">CF!C28</f>
        <v>-10540895446</v>
      </c>
      <c r="D20" s="50" t="n">
        <f aca="false">CF!D28</f>
        <v>-40854781530</v>
      </c>
      <c r="E20" s="50" t="n">
        <f aca="false">CF!E28</f>
        <v>-140280006679</v>
      </c>
      <c r="F20" s="50" t="n">
        <f aca="false">CF!F28</f>
        <v>-22787447582</v>
      </c>
      <c r="G20" s="50" t="n">
        <f aca="false">CF!G28</f>
        <v>-63930605455</v>
      </c>
      <c r="H20" s="50" t="n">
        <f aca="false">CF!H28</f>
        <v>-16403096651</v>
      </c>
      <c r="I20" s="72" t="n">
        <f aca="false">I18+I19</f>
        <v>-11869257013.2</v>
      </c>
      <c r="J20" s="72" t="n">
        <f aca="false">J18+J19</f>
        <v>-7557038235.11735</v>
      </c>
      <c r="K20" s="72" t="n">
        <f aca="false">K18+K19</f>
        <v>-8543995603.17438</v>
      </c>
      <c r="L20" s="72" t="n">
        <f aca="false">L18+L19</f>
        <v>-9679247227.54657</v>
      </c>
      <c r="M20" s="72" t="n">
        <f aca="false">M18+M19</f>
        <v>-10890212614.9277</v>
      </c>
    </row>
    <row r="21" customFormat="false" ht="15" hidden="false" customHeight="false" outlineLevel="0" collapsed="false">
      <c r="A21" s="54" t="s">
        <v>492</v>
      </c>
      <c r="B21" s="13" t="s">
        <v>493</v>
      </c>
      <c r="C21" s="50" t="n">
        <f aca="false">CF!C29+CF!C30+CF!C25</f>
        <v>120918378818</v>
      </c>
      <c r="D21" s="50" t="n">
        <f aca="false">CF!D29+CF!D30+CF!D25</f>
        <v>233338250045</v>
      </c>
      <c r="E21" s="50" t="n">
        <f aca="false">CF!E29+CF!E30+CF!E25</f>
        <v>5081837290</v>
      </c>
      <c r="F21" s="50" t="n">
        <f aca="false">CF!F29+CF!F30+CF!F25</f>
        <v>0</v>
      </c>
      <c r="G21" s="50" t="n">
        <f aca="false">CF!G29+CF!G30+CF!G25</f>
        <v>396766602500</v>
      </c>
      <c r="H21" s="50" t="n">
        <f aca="false">CF!H29+CF!H30+CF!H25</f>
        <v>401311109</v>
      </c>
      <c r="I21" s="69" t="n">
        <v>0</v>
      </c>
      <c r="J21" s="69" t="n">
        <v>0</v>
      </c>
      <c r="K21" s="69" t="n">
        <v>0</v>
      </c>
      <c r="L21" s="69" t="n">
        <v>0</v>
      </c>
      <c r="M21" s="69" t="n">
        <v>0</v>
      </c>
    </row>
    <row r="22" customFormat="false" ht="15" hidden="false" customHeight="false" outlineLevel="0" collapsed="false">
      <c r="A22" s="63" t="s">
        <v>494</v>
      </c>
      <c r="B22" s="64" t="s">
        <v>495</v>
      </c>
      <c r="C22" s="66" t="n">
        <f aca="false">CF!C31</f>
        <v>383545565804</v>
      </c>
      <c r="D22" s="66" t="n">
        <f aca="false">CF!D31</f>
        <v>158468151885</v>
      </c>
      <c r="E22" s="66" t="n">
        <f aca="false">CF!E31</f>
        <v>106466159406</v>
      </c>
      <c r="F22" s="66" t="n">
        <f aca="false">CF!F31</f>
        <v>153563150624</v>
      </c>
      <c r="G22" s="66" t="n">
        <f aca="false">CF!G31</f>
        <v>372585952682</v>
      </c>
      <c r="H22" s="66" t="n">
        <f aca="false">CF!H31</f>
        <v>10042921475</v>
      </c>
      <c r="I22" s="65" t="n">
        <f aca="false">I16+I17+I20+I21</f>
        <v>-63547424593.05</v>
      </c>
      <c r="J22" s="65" t="n">
        <f aca="false">J16+J17+J20+J21</f>
        <v>-59235205814.9674</v>
      </c>
      <c r="K22" s="65" t="n">
        <f aca="false">K16+K17+K20+K21</f>
        <v>-60222163183.0244</v>
      </c>
      <c r="L22" s="65" t="n">
        <f aca="false">L16+L17+L20+L21</f>
        <v>-61357414807.3966</v>
      </c>
      <c r="M22" s="65" t="n">
        <f aca="false">M16+M17+M20+M21</f>
        <v>-62568380194.7777</v>
      </c>
      <c r="N22" s="15" t="s">
        <v>479</v>
      </c>
    </row>
    <row r="24" customFormat="false" ht="15" hidden="false" customHeight="false" outlineLevel="0" collapsed="false">
      <c r="A24" s="63" t="s">
        <v>496</v>
      </c>
      <c r="B24" s="64" t="s">
        <v>497</v>
      </c>
      <c r="C24" s="65" t="n">
        <f aca="false">C11+C14+C22</f>
        <v>524731968775</v>
      </c>
      <c r="D24" s="65" t="n">
        <f aca="false">D11+D14+D22</f>
        <v>188236181884</v>
      </c>
      <c r="E24" s="65" t="n">
        <f aca="false">E11+E14+E22</f>
        <v>-200483337583</v>
      </c>
      <c r="F24" s="65" t="n">
        <f aca="false">F11+F14+F22</f>
        <v>-7219661467</v>
      </c>
      <c r="G24" s="65" t="n">
        <f aca="false">G11+G14+G22</f>
        <v>161274046649</v>
      </c>
      <c r="H24" s="65" t="n">
        <f aca="false">H11+H14+H22</f>
        <v>43252685834</v>
      </c>
      <c r="I24" s="65" t="n">
        <f aca="false">I11+I14+I22</f>
        <v>-100445268694.846</v>
      </c>
      <c r="J24" s="65" t="n">
        <f aca="false">J11+J14+J22</f>
        <v>-92967881746.9088</v>
      </c>
      <c r="K24" s="65" t="n">
        <f aca="false">K11+K14+K22</f>
        <v>-96476576171.0765</v>
      </c>
      <c r="L24" s="65" t="n">
        <f aca="false">L11+L14+L22</f>
        <v>-100250523124.52</v>
      </c>
      <c r="M24" s="65" t="n">
        <f aca="false">M11+M14+M22</f>
        <v>-104225588694.581</v>
      </c>
    </row>
    <row r="25" customFormat="false" ht="15" hidden="false" customHeight="false" outlineLevel="0" collapsed="false">
      <c r="A25" s="54" t="s">
        <v>498</v>
      </c>
      <c r="B25" s="13" t="s">
        <v>499</v>
      </c>
      <c r="C25" s="50" t="n">
        <f aca="false">CF!C34</f>
        <v>100254587466</v>
      </c>
      <c r="D25" s="50" t="n">
        <f aca="false">CF!D34</f>
        <v>641524826591</v>
      </c>
      <c r="E25" s="50" t="n">
        <f aca="false">CF!E34</f>
        <v>829761008475</v>
      </c>
      <c r="F25" s="50" t="n">
        <f aca="false">CF!F34</f>
        <v>629277670892</v>
      </c>
      <c r="G25" s="50" t="n">
        <f aca="false">CF!G34</f>
        <v>622058009425</v>
      </c>
      <c r="H25" s="50" t="n">
        <f aca="false">CF!H34</f>
        <v>783332056074</v>
      </c>
      <c r="I25" s="51" t="n">
        <f aca="false">BS_Proj!H6</f>
        <v>826584741908</v>
      </c>
      <c r="J25" s="51" t="n">
        <f aca="false">BS_Proj!I6</f>
        <v>726139473213.154</v>
      </c>
      <c r="K25" s="51" t="n">
        <f aca="false">BS_Proj!J6</f>
        <v>633171591466.246</v>
      </c>
      <c r="L25" s="51" t="n">
        <f aca="false">BS_Proj!K6</f>
        <v>536695015295.169</v>
      </c>
      <c r="M25" s="51" t="n">
        <f aca="false">BS_Proj!L6</f>
        <v>436444492170.649</v>
      </c>
    </row>
    <row r="26" customFormat="false" ht="15" hidden="false" customHeight="false" outlineLevel="0" collapsed="false">
      <c r="A26" s="63" t="s">
        <v>500</v>
      </c>
      <c r="B26" s="64" t="s">
        <v>501</v>
      </c>
      <c r="C26" s="66" t="n">
        <f aca="false">C25+C24+N(CF!C33)</f>
        <v>624986556241</v>
      </c>
      <c r="D26" s="66" t="n">
        <f aca="false">D25+D24+N(CF!D33)</f>
        <v>829761008475</v>
      </c>
      <c r="E26" s="66" t="n">
        <f aca="false">E25+E24+N(CF!E33)</f>
        <v>629277670892</v>
      </c>
      <c r="F26" s="66" t="n">
        <f aca="false">F25+F24+N(CF!F33)</f>
        <v>622058009425</v>
      </c>
      <c r="G26" s="66" t="n">
        <f aca="false">G25+G24+N(CF!G33)</f>
        <v>783332056074</v>
      </c>
      <c r="H26" s="66" t="n">
        <f aca="false">H25+H24+N(CF!H33)</f>
        <v>826584741908</v>
      </c>
      <c r="I26" s="65" t="n">
        <f aca="false">I25+I24</f>
        <v>726139473213.154</v>
      </c>
      <c r="J26" s="65" t="n">
        <f aca="false">J25+J24</f>
        <v>633171591466.246</v>
      </c>
      <c r="K26" s="65" t="n">
        <f aca="false">K25+K24</f>
        <v>536695015295.169</v>
      </c>
      <c r="L26" s="65" t="n">
        <f aca="false">L25+L24</f>
        <v>436444492170.649</v>
      </c>
      <c r="M26" s="65" t="n">
        <f aca="false">M25+M24</f>
        <v>332218903476.068</v>
      </c>
    </row>
    <row r="27" customFormat="false" ht="15" hidden="false" customHeight="false" outlineLevel="0" collapsed="false">
      <c r="A27" s="16"/>
      <c r="B27" s="17" t="s">
        <v>502</v>
      </c>
      <c r="C27" s="16"/>
      <c r="D27" s="16"/>
      <c r="E27" s="16"/>
      <c r="F27" s="16"/>
      <c r="G27" s="16"/>
      <c r="H27" s="16"/>
      <c r="I27" s="16"/>
      <c r="J27" s="16"/>
      <c r="K27" s="16"/>
      <c r="L27" s="16"/>
      <c r="M27" s="16"/>
      <c r="N27" s="16"/>
    </row>
    <row r="28" customFormat="false" ht="15" hidden="false" customHeight="false" outlineLevel="0" collapsed="false">
      <c r="A28" s="54" t="s">
        <v>503</v>
      </c>
      <c r="B28" s="13" t="s">
        <v>504</v>
      </c>
      <c r="C28" s="73" t="n">
        <f aca="false">C11+C13</f>
        <v>140751823906</v>
      </c>
      <c r="D28" s="73" t="n">
        <f aca="false">D11+D13</f>
        <v>51263029999</v>
      </c>
      <c r="E28" s="73" t="n">
        <f aca="false">E11+E13</f>
        <v>-170645691522</v>
      </c>
      <c r="F28" s="73" t="n">
        <f aca="false">F11+F13</f>
        <v>-157914662091</v>
      </c>
      <c r="G28" s="73" t="n">
        <f aca="false">G11+G13</f>
        <v>-139714683120</v>
      </c>
      <c r="H28" s="73" t="n">
        <f aca="false">H11+H13</f>
        <v>31716444801</v>
      </c>
      <c r="I28" s="72" t="n">
        <f aca="false">I11+I13</f>
        <v>-36897844101.7956</v>
      </c>
      <c r="J28" s="72" t="n">
        <f aca="false">J11+J13</f>
        <v>-33732675931.9414</v>
      </c>
      <c r="K28" s="72" t="n">
        <f aca="false">K11+K13</f>
        <v>-36254412988.0521</v>
      </c>
      <c r="L28" s="72" t="n">
        <f aca="false">L11+L13</f>
        <v>-38893108317.1234</v>
      </c>
      <c r="M28" s="72" t="n">
        <f aca="false">M11+M13</f>
        <v>-41657208499.8036</v>
      </c>
    </row>
    <row r="29" customFormat="false" ht="15" hidden="false" customHeight="false" outlineLevel="0" collapsed="false">
      <c r="A29" s="54" t="s">
        <v>505</v>
      </c>
      <c r="B29" s="13" t="s">
        <v>506</v>
      </c>
      <c r="C29" s="73" t="n">
        <f aca="false">C28+C17</f>
        <v>140751823906</v>
      </c>
      <c r="D29" s="73" t="n">
        <f aca="false">D28+D17</f>
        <v>51263029999</v>
      </c>
      <c r="E29" s="73" t="n">
        <f aca="false">E28+E17</f>
        <v>-170645691522</v>
      </c>
      <c r="F29" s="73" t="n">
        <f aca="false">F28+F17</f>
        <v>-157914662091</v>
      </c>
      <c r="G29" s="73" t="n">
        <f aca="false">G28+G17</f>
        <v>-163682799360</v>
      </c>
      <c r="H29" s="73" t="n">
        <f aca="false">H28+H17</f>
        <v>-66982627658</v>
      </c>
      <c r="I29" s="72" t="n">
        <f aca="false">I28+I17</f>
        <v>-88576011681.6456</v>
      </c>
      <c r="J29" s="72" t="n">
        <f aca="false">J28+J17</f>
        <v>-85410843511.7914</v>
      </c>
      <c r="K29" s="72" t="n">
        <f aca="false">K28+K17</f>
        <v>-87932580567.9021</v>
      </c>
      <c r="L29" s="72" t="n">
        <f aca="false">L28+L17</f>
        <v>-90571275896.9735</v>
      </c>
      <c r="M29" s="72" t="n">
        <f aca="false">M28+M17</f>
        <v>-93335376079.6536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507</v>
      </c>
    </row>
    <row r="2" customFormat="false" ht="15" hidden="false" customHeight="false" outlineLevel="0" collapsed="false">
      <c r="A2" s="15" t="s">
        <v>337</v>
      </c>
    </row>
    <row r="3" customFormat="false" ht="15" hidden="false" customHeight="false" outlineLevel="0" collapsed="false">
      <c r="A3" s="4" t="s">
        <v>174</v>
      </c>
      <c r="C3" s="42" t="str">
        <f aca="false">Asumsi!C4</f>
        <v>Base</v>
      </c>
      <c r="I3" s="15" t="s">
        <v>338</v>
      </c>
      <c r="J3" s="15" t="s">
        <v>338</v>
      </c>
      <c r="K3" s="15" t="s">
        <v>338</v>
      </c>
      <c r="L3" s="15" t="s">
        <v>338</v>
      </c>
      <c r="M3" s="15" t="s">
        <v>338</v>
      </c>
    </row>
    <row r="4" customFormat="false" ht="15" hidden="false" customHeight="false" outlineLevel="0" collapsed="false">
      <c r="A4" s="25" t="s">
        <v>339</v>
      </c>
      <c r="B4" s="25" t="s">
        <v>340</v>
      </c>
      <c r="C4" s="25" t="s">
        <v>131</v>
      </c>
      <c r="D4" s="25" t="s">
        <v>132</v>
      </c>
      <c r="E4" s="25" t="s">
        <v>133</v>
      </c>
      <c r="F4" s="25" t="s">
        <v>134</v>
      </c>
      <c r="G4" s="25" t="s">
        <v>135</v>
      </c>
      <c r="H4" s="25" t="s">
        <v>136</v>
      </c>
      <c r="I4" s="43" t="s">
        <v>175</v>
      </c>
      <c r="J4" s="43" t="s">
        <v>176</v>
      </c>
      <c r="K4" s="43" t="s">
        <v>177</v>
      </c>
      <c r="L4" s="43" t="s">
        <v>178</v>
      </c>
      <c r="M4" s="43" t="s">
        <v>179</v>
      </c>
      <c r="N4" s="25" t="s">
        <v>341</v>
      </c>
    </row>
    <row r="5" customFormat="false" ht="15" hidden="false" customHeight="false" outlineLevel="0" collapsed="false">
      <c r="A5" s="16"/>
      <c r="B5" s="17" t="s">
        <v>508</v>
      </c>
      <c r="C5" s="16"/>
      <c r="D5" s="16"/>
      <c r="E5" s="16"/>
      <c r="F5" s="16"/>
      <c r="G5" s="16"/>
      <c r="H5" s="16"/>
      <c r="I5" s="16"/>
      <c r="J5" s="16"/>
      <c r="K5" s="16"/>
      <c r="L5" s="16"/>
      <c r="M5" s="16"/>
      <c r="N5" s="16"/>
    </row>
    <row r="6" customFormat="false" ht="15" hidden="false" customHeight="false" outlineLevel="0" collapsed="false">
      <c r="A6" s="54" t="s">
        <v>509</v>
      </c>
      <c r="B6" s="13" t="s">
        <v>510</v>
      </c>
      <c r="C6" s="61"/>
      <c r="D6" s="61"/>
      <c r="E6" s="61"/>
      <c r="F6" s="61"/>
      <c r="G6" s="61"/>
      <c r="H6" s="61"/>
      <c r="I6" s="51" t="n">
        <f aca="false">BS_Proj!H11</f>
        <v>2363899139020</v>
      </c>
      <c r="J6" s="51" t="n">
        <f aca="false">BS_Proj!I11</f>
        <v>2459478555769.66</v>
      </c>
      <c r="K6" s="51" t="n">
        <f aca="false">BS_Proj!J11</f>
        <v>2559806322532.24</v>
      </c>
      <c r="L6" s="51" t="n">
        <f aca="false">BS_Proj!K11</f>
        <v>2665150772001.99</v>
      </c>
      <c r="M6" s="51" t="n">
        <f aca="false">BS_Proj!L11</f>
        <v>2775797358956.5</v>
      </c>
    </row>
    <row r="7" customFormat="false" ht="15" hidden="false" customHeight="false" outlineLevel="0" collapsed="false">
      <c r="A7" s="54" t="s">
        <v>511</v>
      </c>
      <c r="B7" s="13" t="s">
        <v>512</v>
      </c>
      <c r="C7" s="50" t="n">
        <f aca="false">-(CF!C15+CF!C16)</f>
        <v>49606709171</v>
      </c>
      <c r="D7" s="50" t="n">
        <f aca="false">-(CF!D15+CF!D16)</f>
        <v>298175362181</v>
      </c>
      <c r="E7" s="50" t="n">
        <f aca="false">-(CF!E15+CF!E16)</f>
        <v>301730050964</v>
      </c>
      <c r="F7" s="50" t="n">
        <f aca="false">-(CF!F15+CF!F16)</f>
        <v>209353390575</v>
      </c>
      <c r="G7" s="50" t="n">
        <f aca="false">-(CF!G15+CF!G16)</f>
        <v>173694170491</v>
      </c>
      <c r="H7" s="50" t="n">
        <f aca="false">-(CF!H15+CF!H16)</f>
        <v>218905414893</v>
      </c>
      <c r="I7" s="51" t="n">
        <f aca="false">Asumsi!I20*IS_Proj!I12</f>
        <v>201954878005.559</v>
      </c>
      <c r="J7" s="51" t="n">
        <f aca="false">Asumsi!J20*IS_Proj!J12</f>
        <v>211004301772.213</v>
      </c>
      <c r="K7" s="51" t="n">
        <f aca="false">Asumsi!K20*IS_Proj!K12</f>
        <v>220535733983.703</v>
      </c>
      <c r="L7" s="51" t="n">
        <f aca="false">Asumsi!L20*IS_Proj!L12</f>
        <v>230578371694.602</v>
      </c>
      <c r="M7" s="51" t="n">
        <f aca="false">Asumsi!M20*IS_Proj!M12</f>
        <v>241163319447.207</v>
      </c>
    </row>
    <row r="8" customFormat="false" ht="15" hidden="false" customHeight="false" outlineLevel="0" collapsed="false">
      <c r="A8" s="54" t="s">
        <v>513</v>
      </c>
      <c r="B8" s="13" t="s">
        <v>514</v>
      </c>
      <c r="C8" s="50" t="n">
        <f aca="false">Schedules!C14</f>
        <v>55596065221</v>
      </c>
      <c r="D8" s="50" t="n">
        <f aca="false">Schedules!D14</f>
        <v>62603942562</v>
      </c>
      <c r="E8" s="50" t="n">
        <f aca="false">Schedules!E14</f>
        <v>89644390884</v>
      </c>
      <c r="F8" s="50" t="n">
        <f aca="false">Schedules!F14</f>
        <v>94759038958</v>
      </c>
      <c r="G8" s="50" t="n">
        <f aca="false">Schedules!G14</f>
        <v>95085231562</v>
      </c>
      <c r="H8" s="50" t="n">
        <f aca="false">Schedules!H14</f>
        <v>81224259340</v>
      </c>
      <c r="I8" s="51" t="n">
        <f aca="false">I6*Asumsi!I21</f>
        <v>106375461255.9</v>
      </c>
      <c r="J8" s="51" t="n">
        <f aca="false">J6*Asumsi!J21</f>
        <v>110676535009.635</v>
      </c>
      <c r="K8" s="51" t="n">
        <f aca="false">K6*Asumsi!K21</f>
        <v>115191284513.951</v>
      </c>
      <c r="L8" s="51" t="n">
        <f aca="false">L6*Asumsi!L21</f>
        <v>119931784740.09</v>
      </c>
      <c r="M8" s="51" t="n">
        <f aca="false">M6*Asumsi!M21</f>
        <v>124910881153.043</v>
      </c>
    </row>
    <row r="9" customFormat="false" ht="15" hidden="false" customHeight="false" outlineLevel="0" collapsed="false">
      <c r="A9" s="63" t="s">
        <v>515</v>
      </c>
      <c r="B9" s="64" t="s">
        <v>516</v>
      </c>
      <c r="C9" s="66" t="n">
        <f aca="false">BS!C19</f>
        <v>1248769678311</v>
      </c>
      <c r="D9" s="66" t="n">
        <f aca="false">BS!D19</f>
        <v>1499198307038</v>
      </c>
      <c r="E9" s="66" t="n">
        <f aca="false">BS!E19</f>
        <v>1757540033465</v>
      </c>
      <c r="F9" s="66" t="n">
        <f aca="false">BS!F19</f>
        <v>1863253878489</v>
      </c>
      <c r="G9" s="66" t="n">
        <f aca="false">BS!G19</f>
        <v>1934924754148</v>
      </c>
      <c r="H9" s="66" t="n">
        <f aca="false">BS!H19</f>
        <v>2363899139020</v>
      </c>
      <c r="I9" s="65" t="n">
        <f aca="false">I6+I7-I8</f>
        <v>2459478555769.66</v>
      </c>
      <c r="J9" s="65" t="n">
        <f aca="false">J6+J7-J8</f>
        <v>2559806322532.24</v>
      </c>
      <c r="K9" s="65" t="n">
        <f aca="false">K6+K7-K8</f>
        <v>2665150772001.99</v>
      </c>
      <c r="L9" s="65" t="n">
        <f aca="false">L6+L7-L8</f>
        <v>2775797358956.5</v>
      </c>
      <c r="M9" s="65" t="n">
        <f aca="false">M6+M7-M8</f>
        <v>2892049797250.67</v>
      </c>
      <c r="N9" s="15" t="s">
        <v>517</v>
      </c>
    </row>
    <row r="10" customFormat="false" ht="15" hidden="false" customHeight="false" outlineLevel="0" collapsed="false">
      <c r="A10" s="16"/>
      <c r="B10" s="17" t="s">
        <v>518</v>
      </c>
      <c r="C10" s="16"/>
      <c r="D10" s="16"/>
      <c r="E10" s="16"/>
      <c r="F10" s="16"/>
      <c r="G10" s="16"/>
      <c r="H10" s="16"/>
      <c r="I10" s="16"/>
      <c r="J10" s="16"/>
      <c r="K10" s="16"/>
      <c r="L10" s="16"/>
      <c r="M10" s="16"/>
      <c r="N10" s="16"/>
    </row>
    <row r="11" customFormat="false" ht="15" hidden="false" customHeight="false" outlineLevel="0" collapsed="false">
      <c r="A11" s="54" t="s">
        <v>519</v>
      </c>
      <c r="B11" s="13" t="s">
        <v>520</v>
      </c>
      <c r="C11" s="61"/>
      <c r="D11" s="61"/>
      <c r="E11" s="61"/>
      <c r="F11" s="61"/>
      <c r="G11" s="61"/>
      <c r="H11" s="61"/>
      <c r="I11" s="51" t="n">
        <f aca="false">BS_Proj!H12</f>
        <v>147651907371</v>
      </c>
      <c r="J11" s="51" t="n">
        <f aca="false">BS_Proj!I12</f>
        <v>147651907371</v>
      </c>
      <c r="K11" s="51" t="n">
        <f aca="false">BS_Proj!J12</f>
        <v>147651907371</v>
      </c>
      <c r="L11" s="51" t="n">
        <f aca="false">BS_Proj!K12</f>
        <v>147651907371</v>
      </c>
      <c r="M11" s="51" t="n">
        <f aca="false">BS_Proj!L12</f>
        <v>147651907371</v>
      </c>
    </row>
    <row r="12" customFormat="false" ht="15" hidden="false" customHeight="false" outlineLevel="0" collapsed="false">
      <c r="A12" s="54" t="s">
        <v>521</v>
      </c>
      <c r="B12" s="13" t="s">
        <v>522</v>
      </c>
      <c r="C12" s="50" t="n">
        <f aca="false">Schedules!C17+Schedules!C18</f>
        <v>12144495437</v>
      </c>
      <c r="D12" s="50" t="n">
        <f aca="false">Schedules!D17+Schedules!D18</f>
        <v>22523019455</v>
      </c>
      <c r="E12" s="50" t="n">
        <f aca="false">Schedules!E17+Schedules!E18</f>
        <v>30576498120</v>
      </c>
      <c r="F12" s="50" t="n">
        <f aca="false">Schedules!F17+Schedules!F18</f>
        <v>31061918084</v>
      </c>
      <c r="G12" s="50" t="n">
        <f aca="false">Schedules!G17+Schedules!G18</f>
        <v>28343954675</v>
      </c>
      <c r="H12" s="50" t="n">
        <f aca="false">Schedules!H17+Schedules!H18</f>
        <v>44687504653</v>
      </c>
      <c r="I12" s="51" t="n">
        <f aca="false">I11*Asumsi!I22</f>
        <v>51678167579.85</v>
      </c>
      <c r="J12" s="51" t="n">
        <f aca="false">J11*Asumsi!J22</f>
        <v>51678167579.85</v>
      </c>
      <c r="K12" s="51" t="n">
        <f aca="false">K11*Asumsi!K22</f>
        <v>51678167579.85</v>
      </c>
      <c r="L12" s="51" t="n">
        <f aca="false">L11*Asumsi!L22</f>
        <v>51678167579.85</v>
      </c>
      <c r="M12" s="51" t="n">
        <f aca="false">M11*Asumsi!M22</f>
        <v>51678167579.85</v>
      </c>
    </row>
    <row r="13" customFormat="false" ht="15" hidden="false" customHeight="false" outlineLevel="0" collapsed="false">
      <c r="A13" s="54" t="s">
        <v>523</v>
      </c>
      <c r="B13" s="13" t="s">
        <v>524</v>
      </c>
      <c r="C13" s="61"/>
      <c r="D13" s="61"/>
      <c r="E13" s="61"/>
      <c r="F13" s="61"/>
      <c r="G13" s="61"/>
      <c r="H13" s="61"/>
      <c r="I13" s="72" t="n">
        <f aca="false">I12</f>
        <v>51678167579.85</v>
      </c>
      <c r="J13" s="72" t="n">
        <f aca="false">J12</f>
        <v>51678167579.85</v>
      </c>
      <c r="K13" s="72" t="n">
        <f aca="false">K12</f>
        <v>51678167579.85</v>
      </c>
      <c r="L13" s="72" t="n">
        <f aca="false">L12</f>
        <v>51678167579.85</v>
      </c>
      <c r="M13" s="72" t="n">
        <f aca="false">M12</f>
        <v>51678167579.85</v>
      </c>
    </row>
    <row r="14" customFormat="false" ht="15" hidden="false" customHeight="false" outlineLevel="0" collapsed="false">
      <c r="A14" s="63" t="s">
        <v>525</v>
      </c>
      <c r="B14" s="64" t="s">
        <v>526</v>
      </c>
      <c r="C14" s="66" t="n">
        <f aca="false">BS!C20</f>
        <v>24249107726</v>
      </c>
      <c r="D14" s="66" t="n">
        <f aca="false">BS!D20</f>
        <v>60480439977</v>
      </c>
      <c r="E14" s="66" t="n">
        <f aca="false">BS!E20</f>
        <v>86574078236</v>
      </c>
      <c r="F14" s="66" t="n">
        <f aca="false">BS!F20</f>
        <v>102986330128</v>
      </c>
      <c r="G14" s="66" t="n">
        <f aca="false">BS!G20</f>
        <v>94506359437</v>
      </c>
      <c r="H14" s="66" t="n">
        <f aca="false">BS!H20</f>
        <v>147651907371</v>
      </c>
      <c r="I14" s="65" t="n">
        <f aca="false">I11-I12+I13</f>
        <v>147651907371</v>
      </c>
      <c r="J14" s="65" t="n">
        <f aca="false">J11-J12+J13</f>
        <v>147651907371</v>
      </c>
      <c r="K14" s="65" t="n">
        <f aca="false">K11-K12+K13</f>
        <v>147651907371</v>
      </c>
      <c r="L14" s="65" t="n">
        <f aca="false">L11-L12+L13</f>
        <v>147651907371</v>
      </c>
      <c r="M14" s="65" t="n">
        <f aca="false">M11-M12+M13</f>
        <v>147651907371</v>
      </c>
    </row>
    <row r="15" customFormat="false" ht="15" hidden="false" customHeight="false" outlineLevel="0" collapsed="false">
      <c r="A15" s="54" t="s">
        <v>527</v>
      </c>
      <c r="B15" s="13" t="s">
        <v>528</v>
      </c>
      <c r="C15" s="61"/>
      <c r="D15" s="61"/>
      <c r="E15" s="61"/>
      <c r="F15" s="61"/>
      <c r="G15" s="61"/>
      <c r="H15" s="61"/>
      <c r="I15" s="51" t="n">
        <f aca="false">BS_Proj!H20</f>
        <v>140147298469</v>
      </c>
      <c r="J15" s="51" t="n">
        <f aca="false">BS_Proj!I20</f>
        <v>140147298469</v>
      </c>
      <c r="K15" s="51" t="n">
        <f aca="false">BS_Proj!J20</f>
        <v>140147298469</v>
      </c>
      <c r="L15" s="51" t="n">
        <f aca="false">BS_Proj!K20</f>
        <v>140147298469</v>
      </c>
      <c r="M15" s="51" t="n">
        <f aca="false">BS_Proj!L20</f>
        <v>140147298469</v>
      </c>
    </row>
    <row r="16" customFormat="false" ht="15" hidden="false" customHeight="false" outlineLevel="0" collapsed="false">
      <c r="A16" s="54" t="s">
        <v>529</v>
      </c>
      <c r="B16" s="13" t="s">
        <v>530</v>
      </c>
      <c r="C16" s="61"/>
      <c r="D16" s="61"/>
      <c r="E16" s="61"/>
      <c r="F16" s="61"/>
      <c r="G16" s="61"/>
      <c r="H16" s="61"/>
      <c r="I16" s="72" t="n">
        <f aca="false">I13</f>
        <v>51678167579.85</v>
      </c>
      <c r="J16" s="72" t="n">
        <f aca="false">J13</f>
        <v>51678167579.85</v>
      </c>
      <c r="K16" s="72" t="n">
        <f aca="false">K13</f>
        <v>51678167579.85</v>
      </c>
      <c r="L16" s="72" t="n">
        <f aca="false">L13</f>
        <v>51678167579.85</v>
      </c>
      <c r="M16" s="72" t="n">
        <f aca="false">M13</f>
        <v>51678167579.85</v>
      </c>
    </row>
    <row r="17" customFormat="false" ht="15" hidden="false" customHeight="false" outlineLevel="0" collapsed="false">
      <c r="A17" s="54" t="s">
        <v>531</v>
      </c>
      <c r="B17" s="13" t="s">
        <v>532</v>
      </c>
      <c r="C17" s="50" t="n">
        <f aca="false">Schedules!C21</f>
        <v>9711892583</v>
      </c>
      <c r="D17" s="50" t="n">
        <f aca="false">Schedules!D21</f>
        <v>9214811101</v>
      </c>
      <c r="E17" s="50" t="n">
        <f aca="false">Schedules!E21</f>
        <v>12285666027</v>
      </c>
      <c r="F17" s="50" t="n">
        <f aca="false">Schedules!F21</f>
        <v>9702367137</v>
      </c>
      <c r="G17" s="50" t="n">
        <f aca="false">Schedules!G21</f>
        <v>20365042260</v>
      </c>
      <c r="H17" s="50" t="n">
        <f aca="false">Schedules!H21</f>
        <v>56457929143</v>
      </c>
      <c r="I17" s="72" t="n">
        <f aca="false">I12</f>
        <v>51678167579.85</v>
      </c>
      <c r="J17" s="72" t="n">
        <f aca="false">J12</f>
        <v>51678167579.85</v>
      </c>
      <c r="K17" s="72" t="n">
        <f aca="false">K12</f>
        <v>51678167579.85</v>
      </c>
      <c r="L17" s="72" t="n">
        <f aca="false">L12</f>
        <v>51678167579.85</v>
      </c>
      <c r="M17" s="72" t="n">
        <f aca="false">M12</f>
        <v>51678167579.85</v>
      </c>
      <c r="N17" s="15" t="s">
        <v>533</v>
      </c>
    </row>
    <row r="18" customFormat="false" ht="15" hidden="false" customHeight="false" outlineLevel="0" collapsed="false">
      <c r="A18" s="63" t="s">
        <v>534</v>
      </c>
      <c r="B18" s="64" t="s">
        <v>535</v>
      </c>
      <c r="C18" s="66" t="n">
        <f aca="false">(BS!C37+BS!C43)</f>
        <v>21365533162</v>
      </c>
      <c r="D18" s="66" t="n">
        <f aca="false">(BS!D37+BS!D43)</f>
        <v>58582945320</v>
      </c>
      <c r="E18" s="66" t="n">
        <f aca="false">(BS!E37+BS!E43)</f>
        <v>76264032884</v>
      </c>
      <c r="F18" s="66" t="n">
        <f aca="false">(BS!F37+BS!F43)</f>
        <v>92775258119</v>
      </c>
      <c r="G18" s="66" t="n">
        <f aca="false">(BS!G37+BS!G43)</f>
        <v>73032171888</v>
      </c>
      <c r="H18" s="66" t="n">
        <f aca="false">(BS!H37+BS!H43)</f>
        <v>140147298469</v>
      </c>
      <c r="I18" s="65" t="n">
        <f aca="false">I15+I16-I17</f>
        <v>140147298469</v>
      </c>
      <c r="J18" s="65" t="n">
        <f aca="false">J15+J16-J17</f>
        <v>140147298469</v>
      </c>
      <c r="K18" s="65" t="n">
        <f aca="false">K15+K16-K17</f>
        <v>140147298469</v>
      </c>
      <c r="L18" s="65" t="n">
        <f aca="false">L15+L16-L17</f>
        <v>140147298469</v>
      </c>
      <c r="M18" s="65" t="n">
        <f aca="false">M15+M16-M17</f>
        <v>140147298469</v>
      </c>
    </row>
    <row r="19" customFormat="false" ht="15" hidden="false" customHeight="false" outlineLevel="0" collapsed="false">
      <c r="A19" s="54" t="s">
        <v>536</v>
      </c>
      <c r="B19" s="13" t="s">
        <v>537</v>
      </c>
      <c r="C19" s="61"/>
      <c r="D19" s="50" t="n">
        <f aca="false">AVERAGE((BS!C37+BS!C43),D18)</f>
        <v>39974239241</v>
      </c>
      <c r="E19" s="50" t="n">
        <f aca="false">AVERAGE((BS!D37+BS!D43),E18)</f>
        <v>67423489102</v>
      </c>
      <c r="F19" s="50" t="n">
        <f aca="false">AVERAGE((BS!E37+BS!E43),F18)</f>
        <v>84519645501.5</v>
      </c>
      <c r="G19" s="50" t="n">
        <f aca="false">AVERAGE((BS!F37+BS!F43),G18)</f>
        <v>82903715003.5</v>
      </c>
      <c r="H19" s="50" t="n">
        <f aca="false">AVERAGE((BS!G37+BS!G43),H18)</f>
        <v>106589735178.5</v>
      </c>
      <c r="I19" s="72" t="n">
        <f aca="false">AVERAGE(I15,I18)</f>
        <v>140147298469</v>
      </c>
      <c r="J19" s="72" t="n">
        <f aca="false">AVERAGE(J15,J18)</f>
        <v>140147298469</v>
      </c>
      <c r="K19" s="72" t="n">
        <f aca="false">AVERAGE(K15,K18)</f>
        <v>140147298469</v>
      </c>
      <c r="L19" s="72" t="n">
        <f aca="false">AVERAGE(L15,L18)</f>
        <v>140147298469</v>
      </c>
      <c r="M19" s="72" t="n">
        <f aca="false">AVERAGE(M15,M18)</f>
        <v>140147298469</v>
      </c>
    </row>
    <row r="20" customFormat="false" ht="15" hidden="false" customHeight="false" outlineLevel="0" collapsed="false">
      <c r="A20" s="16"/>
      <c r="B20" s="17" t="s">
        <v>538</v>
      </c>
      <c r="C20" s="16"/>
      <c r="D20" s="16"/>
      <c r="E20" s="16"/>
      <c r="F20" s="16"/>
      <c r="G20" s="16"/>
      <c r="H20" s="16"/>
      <c r="I20" s="16"/>
      <c r="J20" s="16"/>
      <c r="K20" s="16"/>
      <c r="L20" s="16"/>
      <c r="M20" s="16"/>
      <c r="N20" s="16"/>
    </row>
    <row r="21" customFormat="false" ht="15" hidden="false" customHeight="false" outlineLevel="0" collapsed="false">
      <c r="A21" s="54" t="s">
        <v>539</v>
      </c>
      <c r="B21" s="13" t="s">
        <v>540</v>
      </c>
      <c r="C21" s="61"/>
      <c r="D21" s="61"/>
      <c r="E21" s="61"/>
      <c r="F21" s="61"/>
      <c r="G21" s="61"/>
      <c r="H21" s="61"/>
      <c r="I21" s="51" t="n">
        <f aca="false">BS_Proj!H19</f>
        <v>1215640066746</v>
      </c>
      <c r="J21" s="51" t="n">
        <f aca="false">BS_Proj!I19</f>
        <v>1215640066746</v>
      </c>
      <c r="K21" s="51" t="n">
        <f aca="false">BS_Proj!J19</f>
        <v>1215640066746</v>
      </c>
      <c r="L21" s="51" t="n">
        <f aca="false">BS_Proj!K19</f>
        <v>1215640066746</v>
      </c>
      <c r="M21" s="51" t="n">
        <f aca="false">BS_Proj!L19</f>
        <v>1215640066746</v>
      </c>
    </row>
    <row r="22" customFormat="false" ht="15" hidden="false" customHeight="false" outlineLevel="0" collapsed="false">
      <c r="A22" s="54" t="s">
        <v>541</v>
      </c>
      <c r="B22" s="13" t="s">
        <v>542</v>
      </c>
      <c r="C22" s="61"/>
      <c r="D22" s="61"/>
      <c r="E22" s="61"/>
      <c r="F22" s="61"/>
      <c r="G22" s="61"/>
      <c r="H22" s="61"/>
      <c r="I22" s="51" t="n">
        <f aca="false">Asumsi!I31</f>
        <v>0</v>
      </c>
      <c r="J22" s="51" t="n">
        <f aca="false">Asumsi!J31</f>
        <v>0</v>
      </c>
      <c r="K22" s="51" t="n">
        <f aca="false">Asumsi!K31</f>
        <v>0</v>
      </c>
      <c r="L22" s="51" t="n">
        <f aca="false">Asumsi!L31</f>
        <v>0</v>
      </c>
      <c r="M22" s="51" t="n">
        <f aca="false">Asumsi!M31</f>
        <v>0</v>
      </c>
    </row>
    <row r="23" customFormat="false" ht="15" hidden="false" customHeight="false" outlineLevel="0" collapsed="false">
      <c r="A23" s="63" t="s">
        <v>543</v>
      </c>
      <c r="B23" s="64" t="s">
        <v>544</v>
      </c>
      <c r="C23" s="66" t="n">
        <f aca="false">(BS!C28+BS!C36+BS!C42+BS!C40)</f>
        <v>790788109440</v>
      </c>
      <c r="D23" s="66" t="n">
        <f aca="false">(BS!D28+BS!D36+BS!D42+BS!D40)</f>
        <v>613491292970</v>
      </c>
      <c r="E23" s="66" t="n">
        <f aca="false">(BS!E28+BS!E36+BS!E42+BS!E40)</f>
        <v>855155621765</v>
      </c>
      <c r="F23" s="66" t="n">
        <f aca="false">(BS!F28+BS!F36+BS!F42+BS!F40)</f>
        <v>1027178215393</v>
      </c>
      <c r="G23" s="66" t="n">
        <f aca="false">(BS!G28+BS!G36+BS!G42+BS!G40)</f>
        <v>1090896287270</v>
      </c>
      <c r="H23" s="66" t="n">
        <f aca="false">(BS!H28+BS!H36+BS!H42+BS!H40)</f>
        <v>1215640066746</v>
      </c>
      <c r="I23" s="65" t="n">
        <f aca="false">I21+I22</f>
        <v>1215640066746</v>
      </c>
      <c r="J23" s="65" t="n">
        <f aca="false">J21+J22</f>
        <v>1215640066746</v>
      </c>
      <c r="K23" s="65" t="n">
        <f aca="false">K21+K22</f>
        <v>1215640066746</v>
      </c>
      <c r="L23" s="65" t="n">
        <f aca="false">L21+L22</f>
        <v>1215640066746</v>
      </c>
      <c r="M23" s="65" t="n">
        <f aca="false">M21+M22</f>
        <v>1215640066746</v>
      </c>
    </row>
    <row r="24" customFormat="false" ht="15" hidden="false" customHeight="false" outlineLevel="0" collapsed="false">
      <c r="A24" s="54" t="s">
        <v>545</v>
      </c>
      <c r="B24" s="13" t="s">
        <v>546</v>
      </c>
      <c r="C24" s="61"/>
      <c r="D24" s="50" t="n">
        <f aca="false">AVERAGE((BS!C28+BS!C36+BS!C42+BS!C40),D23)</f>
        <v>702139701205</v>
      </c>
      <c r="E24" s="50" t="n">
        <f aca="false">AVERAGE((BS!D28+BS!D36+BS!D42+BS!D40),E23)</f>
        <v>734323457367.5</v>
      </c>
      <c r="F24" s="50" t="n">
        <f aca="false">AVERAGE((BS!E28+BS!E36+BS!E42+BS!E40),F23)</f>
        <v>941166918579</v>
      </c>
      <c r="G24" s="50" t="n">
        <f aca="false">AVERAGE((BS!F28+BS!F36+BS!F42+BS!F40),G23)</f>
        <v>1059037251331.5</v>
      </c>
      <c r="H24" s="50" t="n">
        <f aca="false">AVERAGE((BS!G28+BS!G36+BS!G42+BS!G40),H23)</f>
        <v>1153268177008</v>
      </c>
      <c r="I24" s="72" t="n">
        <f aca="false">AVERAGE(I21,I23)</f>
        <v>1215640066746</v>
      </c>
      <c r="J24" s="72" t="n">
        <f aca="false">AVERAGE(J21,J23)</f>
        <v>1215640066746</v>
      </c>
      <c r="K24" s="72" t="n">
        <f aca="false">AVERAGE(K21,K23)</f>
        <v>1215640066746</v>
      </c>
      <c r="L24" s="72" t="n">
        <f aca="false">AVERAGE(L21,L23)</f>
        <v>1215640066746</v>
      </c>
      <c r="M24" s="72" t="n">
        <f aca="false">AVERAGE(M21,M23)</f>
        <v>1215640066746</v>
      </c>
    </row>
    <row r="25" customFormat="false" ht="15" hidden="false" customHeight="false" outlineLevel="0" collapsed="false">
      <c r="A25" s="16"/>
      <c r="B25" s="17" t="s">
        <v>547</v>
      </c>
      <c r="C25" s="16"/>
      <c r="D25" s="16"/>
      <c r="E25" s="16"/>
      <c r="F25" s="16"/>
      <c r="G25" s="16"/>
      <c r="H25" s="16"/>
      <c r="I25" s="16"/>
      <c r="J25" s="16"/>
      <c r="K25" s="16"/>
      <c r="L25" s="16"/>
      <c r="M25" s="16"/>
      <c r="N25" s="16"/>
    </row>
    <row r="26" customFormat="false" ht="15" hidden="false" customHeight="false" outlineLevel="0" collapsed="false">
      <c r="A26" s="54" t="s">
        <v>548</v>
      </c>
      <c r="B26" s="13" t="s">
        <v>549</v>
      </c>
      <c r="C26" s="50" t="n">
        <f aca="false">(BS!C9+BS!C8)</f>
        <v>123130580076</v>
      </c>
      <c r="D26" s="50" t="n">
        <f aca="false">(BS!D9+BS!D8)</f>
        <v>156760305676</v>
      </c>
      <c r="E26" s="50" t="n">
        <f aca="false">(BS!E9+BS!E8)</f>
        <v>114643521666</v>
      </c>
      <c r="F26" s="50" t="n">
        <f aca="false">(BS!F9+BS!F8)</f>
        <v>110468662796</v>
      </c>
      <c r="G26" s="50" t="n">
        <f aca="false">(BS!G9+BS!G8)</f>
        <v>144714255906</v>
      </c>
      <c r="H26" s="50" t="n">
        <f aca="false">(BS!H9+BS!H8)</f>
        <v>161939911962</v>
      </c>
      <c r="I26" s="51" t="n">
        <f aca="false">IS_Proj!I12*Asumsi!I24/365</f>
        <v>165990310689.501</v>
      </c>
      <c r="J26" s="51" t="n">
        <f aca="false">IS_Proj!J12*Asumsi!J24/365</f>
        <v>173428193237.436</v>
      </c>
      <c r="K26" s="51" t="n">
        <f aca="false">IS_Proj!K12*Asumsi!K24/365</f>
        <v>181262247109.893</v>
      </c>
      <c r="L26" s="51" t="n">
        <f aca="false">IS_Proj!L12*Asumsi!L24/365</f>
        <v>189516469885.974</v>
      </c>
      <c r="M26" s="51" t="n">
        <f aca="false">IS_Proj!M12*Asumsi!M24/365</f>
        <v>198216426942.909</v>
      </c>
    </row>
    <row r="27" customFormat="false" ht="15" hidden="false" customHeight="false" outlineLevel="0" collapsed="false">
      <c r="A27" s="54" t="s">
        <v>550</v>
      </c>
      <c r="B27" s="13" t="s">
        <v>551</v>
      </c>
      <c r="C27" s="50" t="n">
        <f aca="false">BS!C12</f>
        <v>18986141553</v>
      </c>
      <c r="D27" s="50" t="n">
        <f aca="false">BS!D12</f>
        <v>38894708132</v>
      </c>
      <c r="E27" s="50" t="n">
        <f aca="false">BS!E12</f>
        <v>39449108364</v>
      </c>
      <c r="F27" s="50" t="n">
        <f aca="false">BS!F12</f>
        <v>42198489975</v>
      </c>
      <c r="G27" s="50" t="n">
        <f aca="false">BS!G12</f>
        <v>47021949525</v>
      </c>
      <c r="H27" s="50" t="n">
        <f aca="false">BS!H12</f>
        <v>51620217662</v>
      </c>
      <c r="I27" s="51" t="n">
        <f aca="false">-IS_Proj!I15*Asumsi!I25/365</f>
        <v>51802809461.015</v>
      </c>
      <c r="J27" s="51" t="n">
        <f aca="false">-IS_Proj!J15*Asumsi!J25/365</f>
        <v>54124048639.5164</v>
      </c>
      <c r="K27" s="51" t="n">
        <f aca="false">-IS_Proj!K15*Asumsi!K25/365</f>
        <v>56568926285.5458</v>
      </c>
      <c r="L27" s="51" t="n">
        <f aca="false">-IS_Proj!L15*Asumsi!L25/365</f>
        <v>59144931643.5811</v>
      </c>
      <c r="M27" s="51" t="n">
        <f aca="false">-IS_Proj!M15*Asumsi!M25/365</f>
        <v>61860043241.7663</v>
      </c>
    </row>
    <row r="28" customFormat="false" ht="15" hidden="false" customHeight="false" outlineLevel="0" collapsed="false">
      <c r="A28" s="54" t="s">
        <v>552</v>
      </c>
      <c r="B28" s="13" t="s">
        <v>553</v>
      </c>
      <c r="C28" s="50" t="n">
        <f aca="false">(BS!C30+BS!C29)</f>
        <v>120125322795</v>
      </c>
      <c r="D28" s="50" t="n">
        <f aca="false">(BS!D30+BS!D29)</f>
        <v>119160438932</v>
      </c>
      <c r="E28" s="50" t="n">
        <f aca="false">(BS!E30+BS!E29)</f>
        <v>91788261047</v>
      </c>
      <c r="F28" s="50" t="n">
        <f aca="false">(BS!F30+BS!F29)</f>
        <v>55770943580</v>
      </c>
      <c r="G28" s="50" t="n">
        <f aca="false">(BS!G30+BS!G29)</f>
        <v>30881579952</v>
      </c>
      <c r="H28" s="50" t="n">
        <f aca="false">(BS!H30+BS!H29)</f>
        <v>81660213509</v>
      </c>
      <c r="I28" s="51" t="n">
        <f aca="false">-IS_Proj!I15*Asumsi!I26/365</f>
        <v>74004013515.7357</v>
      </c>
      <c r="J28" s="51" t="n">
        <f aca="false">-IS_Proj!J15*Asumsi!J26/365</f>
        <v>77320069485.0234</v>
      </c>
      <c r="K28" s="51" t="n">
        <f aca="false">-IS_Proj!K15*Asumsi!K26/365</f>
        <v>80812751836.494</v>
      </c>
      <c r="L28" s="51" t="n">
        <f aca="false">-IS_Proj!L15*Asumsi!L26/365</f>
        <v>84492759490.8302</v>
      </c>
      <c r="M28" s="51" t="n">
        <f aca="false">-IS_Proj!M15*Asumsi!M26/365</f>
        <v>88371490345.3805</v>
      </c>
    </row>
    <row r="29" customFormat="false" ht="15" hidden="false" customHeight="false" outlineLevel="0" collapsed="false">
      <c r="A29" s="63" t="s">
        <v>554</v>
      </c>
      <c r="B29" s="64" t="s">
        <v>555</v>
      </c>
      <c r="C29" s="65" t="n">
        <f aca="false">C26+C27-C28</f>
        <v>21991398834</v>
      </c>
      <c r="D29" s="65" t="n">
        <f aca="false">D26+D27-D28</f>
        <v>76494574876</v>
      </c>
      <c r="E29" s="65" t="n">
        <f aca="false">E26+E27-E28</f>
        <v>62304368983</v>
      </c>
      <c r="F29" s="65" t="n">
        <f aca="false">F26+F27-F28</f>
        <v>96896209191</v>
      </c>
      <c r="G29" s="65" t="n">
        <f aca="false">G26+G27-G28</f>
        <v>160854625479</v>
      </c>
      <c r="H29" s="65" t="n">
        <f aca="false">H26+H27-H28</f>
        <v>131899916115</v>
      </c>
      <c r="I29" s="65" t="n">
        <f aca="false">I26+I27-I28</f>
        <v>143789106634.78</v>
      </c>
      <c r="J29" s="65" t="n">
        <f aca="false">J26+J27-J28</f>
        <v>150232172391.929</v>
      </c>
      <c r="K29" s="65" t="n">
        <f aca="false">K26+K27-K28</f>
        <v>157018421558.945</v>
      </c>
      <c r="L29" s="65" t="n">
        <f aca="false">L26+L27-L28</f>
        <v>164168642038.725</v>
      </c>
      <c r="M29" s="65" t="n">
        <f aca="false">M26+M27-M28</f>
        <v>171704979839.295</v>
      </c>
    </row>
    <row r="30" customFormat="false" ht="15" hidden="false" customHeight="false" outlineLevel="0" collapsed="false">
      <c r="A30" s="54" t="s">
        <v>556</v>
      </c>
      <c r="B30" s="13" t="s">
        <v>557</v>
      </c>
      <c r="C30" s="61"/>
      <c r="D30" s="73" t="n">
        <f aca="false">C29-D29</f>
        <v>-54503176042</v>
      </c>
      <c r="E30" s="73" t="n">
        <f aca="false">D29-E29</f>
        <v>14190205893</v>
      </c>
      <c r="F30" s="73" t="n">
        <f aca="false">E29-F29</f>
        <v>-34591840208</v>
      </c>
      <c r="G30" s="73" t="n">
        <f aca="false">F29-G29</f>
        <v>-63958416288</v>
      </c>
      <c r="H30" s="73" t="n">
        <f aca="false">G29-H29</f>
        <v>28954709364</v>
      </c>
      <c r="I30" s="72" t="n">
        <f aca="false">H29-I29</f>
        <v>-11889190519.7799</v>
      </c>
      <c r="J30" s="72" t="n">
        <f aca="false">I29-J29</f>
        <v>-6443065757.14868</v>
      </c>
      <c r="K30" s="72" t="n">
        <f aca="false">J29-K29</f>
        <v>-6786249167.01617</v>
      </c>
      <c r="L30" s="72" t="n">
        <f aca="false">K29-L29</f>
        <v>-7150220479.78033</v>
      </c>
      <c r="M30" s="72" t="n">
        <f aca="false">L29-M29</f>
        <v>-7536337800.57019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558</v>
      </c>
    </row>
    <row r="2" customFormat="false" ht="15" hidden="false" customHeight="false" outlineLevel="0" collapsed="false">
      <c r="A2" s="15" t="s">
        <v>559</v>
      </c>
    </row>
    <row r="4" customFormat="false" ht="15" hidden="false" customHeight="false" outlineLevel="0" collapsed="false">
      <c r="A4" s="16"/>
      <c r="B4" s="17" t="s">
        <v>560</v>
      </c>
      <c r="C4" s="16"/>
      <c r="D4" s="16"/>
      <c r="E4" s="16"/>
      <c r="F4" s="16"/>
      <c r="G4" s="16"/>
      <c r="H4" s="16"/>
      <c r="I4" s="16"/>
      <c r="J4" s="16"/>
      <c r="K4" s="16"/>
      <c r="L4" s="16"/>
      <c r="M4" s="16"/>
      <c r="N4" s="16"/>
    </row>
    <row r="5" customFormat="false" ht="15" hidden="false" customHeight="false" outlineLevel="0" collapsed="false">
      <c r="B5" s="13" t="s">
        <v>561</v>
      </c>
      <c r="C5" s="74"/>
      <c r="D5" s="15" t="s">
        <v>562</v>
      </c>
    </row>
    <row r="6" customFormat="false" ht="15" hidden="false" customHeight="false" outlineLevel="0" collapsed="false">
      <c r="B6" s="13" t="s">
        <v>563</v>
      </c>
      <c r="C6" s="74"/>
      <c r="D6" s="15" t="s">
        <v>564</v>
      </c>
    </row>
    <row r="7" customFormat="false" ht="15" hidden="false" customHeight="false" outlineLevel="0" collapsed="false">
      <c r="B7" s="13" t="s">
        <v>565</v>
      </c>
      <c r="C7" s="75"/>
      <c r="D7" s="15" t="s">
        <v>566</v>
      </c>
    </row>
    <row r="8" customFormat="false" ht="15" hidden="false" customHeight="false" outlineLevel="0" collapsed="false">
      <c r="B8" s="13" t="s">
        <v>567</v>
      </c>
      <c r="C8" s="74"/>
      <c r="D8" s="15" t="s">
        <v>568</v>
      </c>
    </row>
    <row r="9" customFormat="false" ht="15" hidden="false" customHeight="false" outlineLevel="0" collapsed="false">
      <c r="B9" s="13" t="s">
        <v>569</v>
      </c>
      <c r="C9" s="74"/>
      <c r="D9" s="15" t="s">
        <v>570</v>
      </c>
    </row>
    <row r="10" customFormat="false" ht="15" hidden="false" customHeight="false" outlineLevel="0" collapsed="false">
      <c r="B10" s="13" t="s">
        <v>571</v>
      </c>
      <c r="C10" s="74"/>
      <c r="D10" s="15" t="s">
        <v>572</v>
      </c>
    </row>
    <row r="11" customFormat="false" ht="15" hidden="false" customHeight="false" outlineLevel="0" collapsed="false">
      <c r="B11" s="13" t="s">
        <v>573</v>
      </c>
      <c r="C11" s="74"/>
      <c r="D11" s="15" t="s">
        <v>570</v>
      </c>
    </row>
    <row r="12" customFormat="false" ht="15" hidden="false" customHeight="false" outlineLevel="0" collapsed="false">
      <c r="B12" s="13" t="s">
        <v>574</v>
      </c>
      <c r="C12" s="74"/>
      <c r="D12" s="15" t="s">
        <v>570</v>
      </c>
    </row>
    <row r="13" customFormat="false" ht="15" hidden="false" customHeight="false" outlineLevel="0" collapsed="false">
      <c r="B13" s="13" t="s">
        <v>575</v>
      </c>
      <c r="C13" s="76"/>
      <c r="D13" s="15" t="s">
        <v>576</v>
      </c>
    </row>
    <row r="14" customFormat="false" ht="15" hidden="false" customHeight="false" outlineLevel="0" collapsed="false">
      <c r="B14" s="13" t="s">
        <v>577</v>
      </c>
      <c r="C14" s="77"/>
      <c r="D14" s="15" t="s">
        <v>568</v>
      </c>
    </row>
    <row r="15" customFormat="false" ht="15" hidden="false" customHeight="false" outlineLevel="0" collapsed="false">
      <c r="B15" s="13" t="s">
        <v>578</v>
      </c>
      <c r="C15" s="78" t="b">
        <f aca="false">COUNT($C$5,$C$6,$C$7,$C$9,$C$10,$C$11)=6</f>
        <v>0</v>
      </c>
    </row>
    <row r="16" customFormat="false" ht="15" hidden="false" customHeight="false" outlineLevel="0" collapsed="false">
      <c r="B16" s="13" t="s">
        <v>579</v>
      </c>
      <c r="C16" s="78" t="b">
        <f aca="false">AND($C$15,COUNT($C$12)=1)</f>
        <v>0</v>
      </c>
    </row>
    <row r="17" customFormat="false" ht="15" hidden="false" customHeight="false" outlineLevel="0" collapsed="false">
      <c r="B17" s="13" t="s">
        <v>580</v>
      </c>
      <c r="C17" s="78" t="b">
        <f aca="false">AND($C$15,COUNT($C$13)=1)</f>
        <v>0</v>
      </c>
    </row>
    <row r="19" customFormat="false" ht="15" hidden="false" customHeight="false" outlineLevel="0" collapsed="false">
      <c r="A19" s="16"/>
      <c r="B19" s="17" t="s">
        <v>581</v>
      </c>
      <c r="C19" s="16"/>
      <c r="D19" s="16"/>
      <c r="E19" s="16"/>
      <c r="F19" s="16"/>
      <c r="G19" s="16"/>
      <c r="H19" s="16"/>
      <c r="I19" s="16"/>
      <c r="J19" s="16"/>
      <c r="K19" s="16"/>
      <c r="L19" s="16"/>
      <c r="M19" s="16"/>
      <c r="N19" s="16"/>
    </row>
    <row r="20" customFormat="false" ht="15" hidden="false" customHeight="false" outlineLevel="0" collapsed="false">
      <c r="B20" s="13" t="s">
        <v>582</v>
      </c>
      <c r="C20" s="67" t="str">
        <f aca="false">IF($C$15,$C$5+$C$7*$C$6+N($C$8),"")</f>
        <v/>
      </c>
    </row>
    <row r="21" customFormat="false" ht="15" hidden="false" customHeight="false" outlineLevel="0" collapsed="false">
      <c r="B21" s="13" t="s">
        <v>583</v>
      </c>
      <c r="C21" s="67" t="str">
        <f aca="false">IF($C$15,$C$9*(1-$C$10),"")</f>
        <v/>
      </c>
    </row>
    <row r="22" customFormat="false" ht="15" hidden="false" customHeight="false" outlineLevel="0" collapsed="false">
      <c r="B22" s="13" t="s">
        <v>581</v>
      </c>
      <c r="C22" s="67" t="str">
        <f aca="false">IF($C$15,$C$20*(1-$C$11)+$C$21*$C$11,"")</f>
        <v/>
      </c>
    </row>
    <row r="24" customFormat="false" ht="15" hidden="false" customHeight="false" outlineLevel="0" collapsed="false">
      <c r="A24" s="16"/>
      <c r="B24" s="17" t="s">
        <v>584</v>
      </c>
      <c r="C24" s="16"/>
      <c r="D24" s="16"/>
      <c r="E24" s="16"/>
      <c r="F24" s="16"/>
      <c r="G24" s="16"/>
      <c r="H24" s="16"/>
      <c r="I24" s="16"/>
      <c r="J24" s="16"/>
      <c r="K24" s="16"/>
      <c r="L24" s="16"/>
      <c r="M24" s="16"/>
      <c r="N24" s="16"/>
    </row>
    <row r="25" customFormat="false" ht="15" hidden="false" customHeight="false" outlineLevel="0" collapsed="false">
      <c r="I25" s="43" t="s">
        <v>175</v>
      </c>
      <c r="J25" s="43" t="s">
        <v>176</v>
      </c>
      <c r="K25" s="43" t="s">
        <v>177</v>
      </c>
      <c r="L25" s="43" t="s">
        <v>178</v>
      </c>
      <c r="M25" s="43" t="s">
        <v>179</v>
      </c>
    </row>
    <row r="26" customFormat="false" ht="15" hidden="false" customHeight="false" outlineLevel="0" collapsed="false">
      <c r="B26" s="13" t="s">
        <v>585</v>
      </c>
      <c r="I26" s="79" t="n">
        <v>1</v>
      </c>
      <c r="J26" s="79" t="n">
        <v>2</v>
      </c>
      <c r="K26" s="79" t="n">
        <v>3</v>
      </c>
      <c r="L26" s="79" t="n">
        <v>4</v>
      </c>
      <c r="M26" s="79" t="n">
        <v>5</v>
      </c>
    </row>
    <row r="27" customFormat="false" ht="15" hidden="false" customHeight="false" outlineLevel="0" collapsed="false">
      <c r="B27" s="13" t="s">
        <v>586</v>
      </c>
      <c r="I27" s="50" t="n">
        <f aca="false">IS_Proj!I21</f>
        <v>84292224770.9208</v>
      </c>
      <c r="J27" s="50" t="n">
        <f aca="false">IS_Proj!J21</f>
        <v>90850459537.1714</v>
      </c>
      <c r="K27" s="50" t="n">
        <f aca="false">IS_Proj!K21</f>
        <v>97773428686.6429</v>
      </c>
      <c r="L27" s="50" t="n">
        <f aca="false">IS_Proj!L21</f>
        <v>105084093713.583</v>
      </c>
      <c r="M27" s="50" t="n">
        <f aca="false">IS_Proj!M21</f>
        <v>112806934603.755</v>
      </c>
    </row>
    <row r="28" customFormat="false" ht="15" hidden="false" customHeight="false" outlineLevel="0" collapsed="false">
      <c r="B28" s="13" t="s">
        <v>587</v>
      </c>
      <c r="I28" s="50" t="n">
        <f aca="false">-MAX(I27,0)*Asumsi!I28</f>
        <v>-29502278669.8223</v>
      </c>
      <c r="J28" s="50" t="n">
        <f aca="false">-MAX(J27,0)*Asumsi!J28</f>
        <v>-31797660838.01</v>
      </c>
      <c r="K28" s="50" t="n">
        <f aca="false">-MAX(K27,0)*Asumsi!K28</f>
        <v>-34220700040.325</v>
      </c>
      <c r="L28" s="50" t="n">
        <f aca="false">-MAX(L27,0)*Asumsi!L28</f>
        <v>-36779432799.7539</v>
      </c>
      <c r="M28" s="50" t="n">
        <f aca="false">-MAX(M27,0)*Asumsi!M28</f>
        <v>-39482427111.3143</v>
      </c>
    </row>
    <row r="29" customFormat="false" ht="15" hidden="false" customHeight="false" outlineLevel="0" collapsed="false">
      <c r="B29" s="13" t="s">
        <v>588</v>
      </c>
      <c r="I29" s="73" t="n">
        <f aca="false">I27+I28</f>
        <v>54789946101.0985</v>
      </c>
      <c r="J29" s="73" t="n">
        <f aca="false">J27+J28</f>
        <v>59052798699.1614</v>
      </c>
      <c r="K29" s="73" t="n">
        <f aca="false">K27+K28</f>
        <v>63552728646.3179</v>
      </c>
      <c r="L29" s="73" t="n">
        <f aca="false">L27+L28</f>
        <v>68304660913.8287</v>
      </c>
      <c r="M29" s="73" t="n">
        <f aca="false">M27+M28</f>
        <v>73324507492.4408</v>
      </c>
    </row>
    <row r="30" customFormat="false" ht="15" hidden="false" customHeight="false" outlineLevel="0" collapsed="false">
      <c r="B30" s="13" t="s">
        <v>589</v>
      </c>
      <c r="I30" s="50" t="n">
        <f aca="false">-IS_Proj!I20</f>
        <v>158053628835.75</v>
      </c>
      <c r="J30" s="50" t="n">
        <f aca="false">-IS_Proj!J20</f>
        <v>162354702589.485</v>
      </c>
      <c r="K30" s="50" t="n">
        <f aca="false">-IS_Proj!K20</f>
        <v>166869452093.801</v>
      </c>
      <c r="L30" s="50" t="n">
        <f aca="false">-IS_Proj!L20</f>
        <v>171609952319.94</v>
      </c>
      <c r="M30" s="50" t="n">
        <f aca="false">-IS_Proj!M20</f>
        <v>176589048732.893</v>
      </c>
    </row>
    <row r="31" customFormat="false" ht="15" hidden="false" customHeight="false" outlineLevel="0" collapsed="false">
      <c r="B31" s="13" t="s">
        <v>590</v>
      </c>
      <c r="I31" s="50" t="n">
        <f aca="false">CF_Proj!I13</f>
        <v>-201954878005.559</v>
      </c>
      <c r="J31" s="50" t="n">
        <f aca="false">CF_Proj!J13</f>
        <v>-211004301772.213</v>
      </c>
      <c r="K31" s="50" t="n">
        <f aca="false">CF_Proj!K13</f>
        <v>-220535733983.703</v>
      </c>
      <c r="L31" s="50" t="n">
        <f aca="false">CF_Proj!L13</f>
        <v>-230578371694.602</v>
      </c>
      <c r="M31" s="50" t="n">
        <f aca="false">CF_Proj!M13</f>
        <v>-241163319447.207</v>
      </c>
    </row>
    <row r="32" customFormat="false" ht="15" hidden="false" customHeight="false" outlineLevel="0" collapsed="false">
      <c r="B32" s="13" t="s">
        <v>591</v>
      </c>
      <c r="I32" s="50" t="n">
        <f aca="false">Schedules_Proj!I30</f>
        <v>-11889190519.7799</v>
      </c>
      <c r="J32" s="50" t="n">
        <f aca="false">Schedules_Proj!J30</f>
        <v>-6443065757.14868</v>
      </c>
      <c r="K32" s="50" t="n">
        <f aca="false">Schedules_Proj!K30</f>
        <v>-6786249167.01617</v>
      </c>
      <c r="L32" s="50" t="n">
        <f aca="false">Schedules_Proj!L30</f>
        <v>-7150220479.78033</v>
      </c>
      <c r="M32" s="50" t="n">
        <f aca="false">Schedules_Proj!M30</f>
        <v>-7536337800.57019</v>
      </c>
    </row>
    <row r="33" customFormat="false" ht="15" hidden="false" customHeight="false" outlineLevel="0" collapsed="false">
      <c r="B33" s="4" t="s">
        <v>592</v>
      </c>
      <c r="I33" s="80" t="n">
        <f aca="false">SUM(I29:I32)</f>
        <v>-1000493588.49045</v>
      </c>
      <c r="J33" s="80" t="n">
        <f aca="false">SUM(J29:J32)</f>
        <v>3960133759.28407</v>
      </c>
      <c r="K33" s="80" t="n">
        <f aca="false">SUM(K29:K32)</f>
        <v>3100197589.39934</v>
      </c>
      <c r="L33" s="80" t="n">
        <f aca="false">SUM(L29:L32)</f>
        <v>2186021059.38606</v>
      </c>
      <c r="M33" s="80" t="n">
        <f aca="false">SUM(M29:M32)</f>
        <v>1213898977.55673</v>
      </c>
    </row>
    <row r="34" customFormat="false" ht="15" hidden="false" customHeight="false" outlineLevel="0" collapsed="false">
      <c r="B34" s="13" t="s">
        <v>593</v>
      </c>
      <c r="I34" s="81" t="str">
        <f aca="false">IF($C$15,1/(1+$C$22)^I26,"")</f>
        <v/>
      </c>
      <c r="J34" s="81" t="str">
        <f aca="false">IF($C$15,1/(1+$C$22)^J26,"")</f>
        <v/>
      </c>
      <c r="K34" s="81" t="str">
        <f aca="false">IF($C$15,1/(1+$C$22)^K26,"")</f>
        <v/>
      </c>
      <c r="L34" s="81" t="str">
        <f aca="false">IF($C$15,1/(1+$C$22)^L26,"")</f>
        <v/>
      </c>
      <c r="M34" s="81" t="str">
        <f aca="false">IF($C$15,1/(1+$C$22)^M26,"")</f>
        <v/>
      </c>
    </row>
    <row r="35" customFormat="false" ht="15" hidden="false" customHeight="false" outlineLevel="0" collapsed="false">
      <c r="B35" s="13" t="s">
        <v>594</v>
      </c>
      <c r="I35" s="73" t="str">
        <f aca="false">IF($C$15,I33*I34,"")</f>
        <v/>
      </c>
      <c r="J35" s="73" t="str">
        <f aca="false">IF($C$15,J33*J34,"")</f>
        <v/>
      </c>
      <c r="K35" s="73" t="str">
        <f aca="false">IF($C$15,K33*K34,"")</f>
        <v/>
      </c>
      <c r="L35" s="73" t="str">
        <f aca="false">IF($C$15,L33*L34,"")</f>
        <v/>
      </c>
      <c r="M35" s="73" t="str">
        <f aca="false">IF($C$15,M33*M34,"")</f>
        <v/>
      </c>
    </row>
    <row r="36" customFormat="false" ht="15" hidden="false" customHeight="false" outlineLevel="0" collapsed="false">
      <c r="B36" s="15" t="s">
        <v>595</v>
      </c>
    </row>
    <row r="38" customFormat="false" ht="15" hidden="false" customHeight="false" outlineLevel="0" collapsed="false">
      <c r="A38" s="16"/>
      <c r="B38" s="17" t="s">
        <v>596</v>
      </c>
      <c r="C38" s="82" t="s">
        <v>597</v>
      </c>
      <c r="D38" s="82" t="s">
        <v>598</v>
      </c>
      <c r="E38" s="16"/>
      <c r="F38" s="16"/>
      <c r="G38" s="16"/>
      <c r="H38" s="16"/>
      <c r="I38" s="16"/>
      <c r="J38" s="16"/>
      <c r="K38" s="16"/>
      <c r="L38" s="16"/>
      <c r="M38" s="16"/>
      <c r="N38" s="16"/>
    </row>
    <row r="39" customFormat="false" ht="15" hidden="false" customHeight="false" outlineLevel="0" collapsed="false">
      <c r="B39" s="13" t="s">
        <v>599</v>
      </c>
      <c r="C39" s="73" t="str">
        <f aca="false">IF($C$16,SUMPRODUCT($I$33:$M$33/(1+$C$22)^$I$26:$M$26),"")</f>
        <v/>
      </c>
      <c r="D39" s="73" t="str">
        <f aca="false">IF($C$17,SUMPRODUCT($I$33:$M$33/(1+$C$22)^$I$26:$M$26),"")</f>
        <v/>
      </c>
    </row>
    <row r="40" customFormat="false" ht="15" hidden="false" customHeight="false" outlineLevel="0" collapsed="false">
      <c r="B40" s="13" t="s">
        <v>600</v>
      </c>
      <c r="C40" s="73" t="str">
        <f aca="false">IF($C$16,IF($C$22&gt;$C$12,$M$33*(1+$C$12)/($C$22-$C$12),"WACC&lt;=g"),"")</f>
        <v/>
      </c>
      <c r="D40" s="50" t="str">
        <f aca="false">IF($C$17,IS_Proj!$M$19*$C$13,"")</f>
        <v/>
      </c>
    </row>
    <row r="41" customFormat="false" ht="15" hidden="false" customHeight="false" outlineLevel="0" collapsed="false">
      <c r="B41" s="13" t="s">
        <v>601</v>
      </c>
      <c r="C41" s="73" t="str">
        <f aca="false">IFERROR(C40/(1+$C$22)^5,"")</f>
        <v/>
      </c>
      <c r="D41" s="73" t="str">
        <f aca="false">IFERROR(D40/(1+$C$22)^5,"")</f>
        <v/>
      </c>
    </row>
    <row r="42" customFormat="false" ht="15" hidden="false" customHeight="false" outlineLevel="0" collapsed="false">
      <c r="B42" s="4" t="s">
        <v>602</v>
      </c>
      <c r="C42" s="83" t="str">
        <f aca="false">IFERROR(C39+C41,"")</f>
        <v/>
      </c>
      <c r="D42" s="83" t="str">
        <f aca="false">IFERROR(D39+D41,"")</f>
        <v/>
      </c>
    </row>
    <row r="43" customFormat="false" ht="15" hidden="false" customHeight="false" outlineLevel="0" collapsed="false">
      <c r="B43" s="13" t="s">
        <v>603</v>
      </c>
      <c r="C43" s="50" t="n">
        <f aca="false">-BS_Proj!H19</f>
        <v>-1215640066746</v>
      </c>
      <c r="D43" s="50" t="n">
        <f aca="false">-BS_Proj!H19</f>
        <v>-1215640066746</v>
      </c>
    </row>
    <row r="44" customFormat="false" ht="15" hidden="false" customHeight="false" outlineLevel="0" collapsed="false">
      <c r="B44" s="13" t="s">
        <v>604</v>
      </c>
      <c r="C44" s="50" t="n">
        <f aca="false">-BS_Proj!H20</f>
        <v>-140147298469</v>
      </c>
      <c r="D44" s="50" t="n">
        <f aca="false">-BS_Proj!H20</f>
        <v>-140147298469</v>
      </c>
    </row>
    <row r="45" customFormat="false" ht="15" hidden="false" customHeight="false" outlineLevel="0" collapsed="false">
      <c r="B45" s="13" t="s">
        <v>605</v>
      </c>
      <c r="C45" s="50" t="n">
        <f aca="false">BS_Proj!H6</f>
        <v>826584741908</v>
      </c>
      <c r="D45" s="50" t="n">
        <f aca="false">BS_Proj!H6</f>
        <v>826584741908</v>
      </c>
    </row>
    <row r="46" customFormat="false" ht="15" hidden="false" customHeight="false" outlineLevel="0" collapsed="false">
      <c r="B46" s="13" t="s">
        <v>606</v>
      </c>
      <c r="C46" s="50" t="n">
        <f aca="false">-BS_Proj!H27</f>
        <v>-444592822953</v>
      </c>
      <c r="D46" s="50" t="n">
        <f aca="false">-BS_Proj!H27</f>
        <v>-444592822953</v>
      </c>
    </row>
    <row r="47" customFormat="false" ht="15" hidden="false" customHeight="false" outlineLevel="0" collapsed="false">
      <c r="B47" s="13" t="s">
        <v>607</v>
      </c>
      <c r="C47" s="73" t="n">
        <f aca="false">N($C$14)</f>
        <v>0</v>
      </c>
      <c r="D47" s="73" t="n">
        <f aca="false">N($C$14)</f>
        <v>0</v>
      </c>
    </row>
    <row r="48" customFormat="false" ht="15" hidden="false" customHeight="false" outlineLevel="0" collapsed="false">
      <c r="B48" s="4" t="s">
        <v>608</v>
      </c>
      <c r="C48" s="83" t="str">
        <f aca="false">IFERROR(C42+SUM(C43:C47),"")</f>
        <v/>
      </c>
      <c r="D48" s="83" t="str">
        <f aca="false">IFERROR(D42+SUM(D43:D47),"")</f>
        <v/>
      </c>
    </row>
    <row r="49" customFormat="false" ht="15" hidden="false" customHeight="false" outlineLevel="0" collapsed="false">
      <c r="B49" s="13" t="s">
        <v>609</v>
      </c>
      <c r="C49" s="70" t="str">
        <f aca="false">IFERROR(C48/Asumsi!$C$122,"")</f>
        <v/>
      </c>
      <c r="D49" s="70" t="str">
        <f aca="false">IFERROR(D48/Asumsi!$C$122,"")</f>
        <v/>
      </c>
    </row>
    <row r="50" customFormat="false" ht="15" hidden="false" customHeight="false" outlineLevel="0" collapsed="false">
      <c r="B50" s="15" t="s">
        <v>610</v>
      </c>
    </row>
    <row r="52" customFormat="false" ht="15" hidden="false" customHeight="false" outlineLevel="0" collapsed="false">
      <c r="A52" s="16"/>
      <c r="B52" s="17" t="s">
        <v>611</v>
      </c>
      <c r="C52" s="16"/>
      <c r="D52" s="16"/>
      <c r="E52" s="16"/>
      <c r="F52" s="16"/>
      <c r="G52" s="16"/>
      <c r="H52" s="16"/>
      <c r="I52" s="16"/>
      <c r="J52" s="16"/>
      <c r="K52" s="16"/>
      <c r="L52" s="16"/>
      <c r="M52" s="16"/>
      <c r="N52" s="16"/>
    </row>
    <row r="53" customFormat="false" ht="15" hidden="false" customHeight="false" outlineLevel="0" collapsed="false">
      <c r="B53" s="4" t="s">
        <v>612</v>
      </c>
      <c r="C53" s="84" t="str">
        <f aca="false">IF($C$16,$C$12+(-0.01),"")</f>
        <v/>
      </c>
      <c r="D53" s="84" t="str">
        <f aca="false">IF($C$16,$C$12+(-0.005),"")</f>
        <v/>
      </c>
      <c r="E53" s="84" t="str">
        <f aca="false">IF($C$16,$C$12+(0),"")</f>
        <v/>
      </c>
      <c r="F53" s="84" t="str">
        <f aca="false">IF($C$16,$C$12+(0.005),"")</f>
        <v/>
      </c>
      <c r="G53" s="84" t="str">
        <f aca="false">IF($C$16,$C$12+(0.01),"")</f>
        <v/>
      </c>
    </row>
    <row r="54" customFormat="false" ht="15" hidden="false" customHeight="false" outlineLevel="0" collapsed="false">
      <c r="B54" s="84" t="str">
        <f aca="false">IF($C$16,$C$22+(-0.02),"")</f>
        <v/>
      </c>
      <c r="C54" s="85" t="str">
        <f aca="false">IF($C$16,IFERROR(IF($B54&gt;C$53,(SUMPRODUCT($I$33:$M$33/(1+$B54)^$I$26:$M$26)+$M$33*(1+C$53)/($B54-C$53)/(1+$B54)^5+SUM($C$43:$C$47))/Asumsi!$C$122,"n/a"),""),"")</f>
        <v/>
      </c>
      <c r="D54" s="85" t="str">
        <f aca="false">IF($C$16,IFERROR(IF($B54&gt;D$53,(SUMPRODUCT($I$33:$M$33/(1+$B54)^$I$26:$M$26)+$M$33*(1+D$53)/($B54-D$53)/(1+$B54)^5+SUM($C$43:$C$47))/Asumsi!$C$122,"n/a"),""),"")</f>
        <v/>
      </c>
      <c r="E54" s="85" t="str">
        <f aca="false">IF($C$16,IFERROR(IF($B54&gt;E$53,(SUMPRODUCT($I$33:$M$33/(1+$B54)^$I$26:$M$26)+$M$33*(1+E$53)/($B54-E$53)/(1+$B54)^5+SUM($C$43:$C$47))/Asumsi!$C$122,"n/a"),""),"")</f>
        <v/>
      </c>
      <c r="F54" s="85" t="str">
        <f aca="false">IF($C$16,IFERROR(IF($B54&gt;F$53,(SUMPRODUCT($I$33:$M$33/(1+$B54)^$I$26:$M$26)+$M$33*(1+F$53)/($B54-F$53)/(1+$B54)^5+SUM($C$43:$C$47))/Asumsi!$C$122,"n/a"),""),"")</f>
        <v/>
      </c>
      <c r="G54" s="85" t="str">
        <f aca="false">IF($C$16,IFERROR(IF($B54&gt;G$53,(SUMPRODUCT($I$33:$M$33/(1+$B54)^$I$26:$M$26)+$M$33*(1+G$53)/($B54-G$53)/(1+$B54)^5+SUM($C$43:$C$47))/Asumsi!$C$122,"n/a"),""),"")</f>
        <v/>
      </c>
    </row>
    <row r="55" customFormat="false" ht="15" hidden="false" customHeight="false" outlineLevel="0" collapsed="false">
      <c r="B55" s="84" t="str">
        <f aca="false">IF($C$16,$C$22+(-0.01),"")</f>
        <v/>
      </c>
      <c r="C55" s="85" t="str">
        <f aca="false">IF($C$16,IFERROR(IF($B55&gt;C$53,(SUMPRODUCT($I$33:$M$33/(1+$B55)^$I$26:$M$26)+$M$33*(1+C$53)/($B55-C$53)/(1+$B55)^5+SUM($C$43:$C$47))/Asumsi!$C$122,"n/a"),""),"")</f>
        <v/>
      </c>
      <c r="D55" s="85" t="str">
        <f aca="false">IF($C$16,IFERROR(IF($B55&gt;D$53,(SUMPRODUCT($I$33:$M$33/(1+$B55)^$I$26:$M$26)+$M$33*(1+D$53)/($B55-D$53)/(1+$B55)^5+SUM($C$43:$C$47))/Asumsi!$C$122,"n/a"),""),"")</f>
        <v/>
      </c>
      <c r="E55" s="85" t="str">
        <f aca="false">IF($C$16,IFERROR(IF($B55&gt;E$53,(SUMPRODUCT($I$33:$M$33/(1+$B55)^$I$26:$M$26)+$M$33*(1+E$53)/($B55-E$53)/(1+$B55)^5+SUM($C$43:$C$47))/Asumsi!$C$122,"n/a"),""),"")</f>
        <v/>
      </c>
      <c r="F55" s="85" t="str">
        <f aca="false">IF($C$16,IFERROR(IF($B55&gt;F$53,(SUMPRODUCT($I$33:$M$33/(1+$B55)^$I$26:$M$26)+$M$33*(1+F$53)/($B55-F$53)/(1+$B55)^5+SUM($C$43:$C$47))/Asumsi!$C$122,"n/a"),""),"")</f>
        <v/>
      </c>
      <c r="G55" s="85" t="str">
        <f aca="false">IF($C$16,IFERROR(IF($B55&gt;G$53,(SUMPRODUCT($I$33:$M$33/(1+$B55)^$I$26:$M$26)+$M$33*(1+G$53)/($B55-G$53)/(1+$B55)^5+SUM($C$43:$C$47))/Asumsi!$C$122,"n/a"),""),"")</f>
        <v/>
      </c>
    </row>
    <row r="56" customFormat="false" ht="15" hidden="false" customHeight="false" outlineLevel="0" collapsed="false">
      <c r="B56" s="84" t="str">
        <f aca="false">IF($C$16,$C$22+(0),"")</f>
        <v/>
      </c>
      <c r="C56" s="85" t="str">
        <f aca="false">IF($C$16,IFERROR(IF($B56&gt;C$53,(SUMPRODUCT($I$33:$M$33/(1+$B56)^$I$26:$M$26)+$M$33*(1+C$53)/($B56-C$53)/(1+$B56)^5+SUM($C$43:$C$47))/Asumsi!$C$122,"n/a"),""),"")</f>
        <v/>
      </c>
      <c r="D56" s="85" t="str">
        <f aca="false">IF($C$16,IFERROR(IF($B56&gt;D$53,(SUMPRODUCT($I$33:$M$33/(1+$B56)^$I$26:$M$26)+$M$33*(1+D$53)/($B56-D$53)/(1+$B56)^5+SUM($C$43:$C$47))/Asumsi!$C$122,"n/a"),""),"")</f>
        <v/>
      </c>
      <c r="E56" s="85" t="str">
        <f aca="false">IF($C$16,IFERROR(IF($B56&gt;E$53,(SUMPRODUCT($I$33:$M$33/(1+$B56)^$I$26:$M$26)+$M$33*(1+E$53)/($B56-E$53)/(1+$B56)^5+SUM($C$43:$C$47))/Asumsi!$C$122,"n/a"),""),"")</f>
        <v/>
      </c>
      <c r="F56" s="85" t="str">
        <f aca="false">IF($C$16,IFERROR(IF($B56&gt;F$53,(SUMPRODUCT($I$33:$M$33/(1+$B56)^$I$26:$M$26)+$M$33*(1+F$53)/($B56-F$53)/(1+$B56)^5+SUM($C$43:$C$47))/Asumsi!$C$122,"n/a"),""),"")</f>
        <v/>
      </c>
      <c r="G56" s="85" t="str">
        <f aca="false">IF($C$16,IFERROR(IF($B56&gt;G$53,(SUMPRODUCT($I$33:$M$33/(1+$B56)^$I$26:$M$26)+$M$33*(1+G$53)/($B56-G$53)/(1+$B56)^5+SUM($C$43:$C$47))/Asumsi!$C$122,"n/a"),""),"")</f>
        <v/>
      </c>
    </row>
    <row r="57" customFormat="false" ht="15" hidden="false" customHeight="false" outlineLevel="0" collapsed="false">
      <c r="B57" s="84" t="str">
        <f aca="false">IF($C$16,$C$22+(0.01),"")</f>
        <v/>
      </c>
      <c r="C57" s="85" t="str">
        <f aca="false">IF($C$16,IFERROR(IF($B57&gt;C$53,(SUMPRODUCT($I$33:$M$33/(1+$B57)^$I$26:$M$26)+$M$33*(1+C$53)/($B57-C$53)/(1+$B57)^5+SUM($C$43:$C$47))/Asumsi!$C$122,"n/a"),""),"")</f>
        <v/>
      </c>
      <c r="D57" s="85" t="str">
        <f aca="false">IF($C$16,IFERROR(IF($B57&gt;D$53,(SUMPRODUCT($I$33:$M$33/(1+$B57)^$I$26:$M$26)+$M$33*(1+D$53)/($B57-D$53)/(1+$B57)^5+SUM($C$43:$C$47))/Asumsi!$C$122,"n/a"),""),"")</f>
        <v/>
      </c>
      <c r="E57" s="85" t="str">
        <f aca="false">IF($C$16,IFERROR(IF($B57&gt;E$53,(SUMPRODUCT($I$33:$M$33/(1+$B57)^$I$26:$M$26)+$M$33*(1+E$53)/($B57-E$53)/(1+$B57)^5+SUM($C$43:$C$47))/Asumsi!$C$122,"n/a"),""),"")</f>
        <v/>
      </c>
      <c r="F57" s="85" t="str">
        <f aca="false">IF($C$16,IFERROR(IF($B57&gt;F$53,(SUMPRODUCT($I$33:$M$33/(1+$B57)^$I$26:$M$26)+$M$33*(1+F$53)/($B57-F$53)/(1+$B57)^5+SUM($C$43:$C$47))/Asumsi!$C$122,"n/a"),""),"")</f>
        <v/>
      </c>
      <c r="G57" s="85" t="str">
        <f aca="false">IF($C$16,IFERROR(IF($B57&gt;G$53,(SUMPRODUCT($I$33:$M$33/(1+$B57)^$I$26:$M$26)+$M$33*(1+G$53)/($B57-G$53)/(1+$B57)^5+SUM($C$43:$C$47))/Asumsi!$C$122,"n/a"),""),"")</f>
        <v/>
      </c>
    </row>
    <row r="58" customFormat="false" ht="15" hidden="false" customHeight="false" outlineLevel="0" collapsed="false">
      <c r="B58" s="84" t="str">
        <f aca="false">IF($C$16,$C$22+(0.02),"")</f>
        <v/>
      </c>
      <c r="C58" s="85" t="str">
        <f aca="false">IF($C$16,IFERROR(IF($B58&gt;C$53,(SUMPRODUCT($I$33:$M$33/(1+$B58)^$I$26:$M$26)+$M$33*(1+C$53)/($B58-C$53)/(1+$B58)^5+SUM($C$43:$C$47))/Asumsi!$C$122,"n/a"),""),"")</f>
        <v/>
      </c>
      <c r="D58" s="85" t="str">
        <f aca="false">IF($C$16,IFERROR(IF($B58&gt;D$53,(SUMPRODUCT($I$33:$M$33/(1+$B58)^$I$26:$M$26)+$M$33*(1+D$53)/($B58-D$53)/(1+$B58)^5+SUM($C$43:$C$47))/Asumsi!$C$122,"n/a"),""),"")</f>
        <v/>
      </c>
      <c r="E58" s="85" t="str">
        <f aca="false">IF($C$16,IFERROR(IF($B58&gt;E$53,(SUMPRODUCT($I$33:$M$33/(1+$B58)^$I$26:$M$26)+$M$33*(1+E$53)/($B58-E$53)/(1+$B58)^5+SUM($C$43:$C$47))/Asumsi!$C$122,"n/a"),""),"")</f>
        <v/>
      </c>
      <c r="F58" s="85" t="str">
        <f aca="false">IF($C$16,IFERROR(IF($B58&gt;F$53,(SUMPRODUCT($I$33:$M$33/(1+$B58)^$I$26:$M$26)+$M$33*(1+F$53)/($B58-F$53)/(1+$B58)^5+SUM($C$43:$C$47))/Asumsi!$C$122,"n/a"),""),"")</f>
        <v/>
      </c>
      <c r="G58" s="85" t="str">
        <f aca="false">IF($C$16,IFERROR(IF($B58&gt;G$53,(SUMPRODUCT($I$33:$M$33/(1+$B58)^$I$26:$M$26)+$M$33*(1+G$53)/($B58-G$53)/(1+$B58)^5+SUM($C$43:$C$47))/Asumsi!$C$122,"n/a"),""),"")</f>
        <v/>
      </c>
    </row>
    <row r="60" customFormat="false" ht="15" hidden="false" customHeight="false" outlineLevel="0" collapsed="false">
      <c r="B60" s="53" t="s">
        <v>613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614</v>
      </c>
    </row>
    <row r="2" customFormat="false" ht="15" hidden="false" customHeight="false" outlineLevel="0" collapsed="false">
      <c r="A2" s="15" t="s">
        <v>615</v>
      </c>
    </row>
    <row r="4" customFormat="false" ht="42" hidden="false" customHeight="true" outlineLevel="0" collapsed="false">
      <c r="A4" s="25" t="s">
        <v>339</v>
      </c>
      <c r="B4" s="25" t="s">
        <v>616</v>
      </c>
      <c r="C4" s="25" t="s">
        <v>617</v>
      </c>
      <c r="D4" s="25" t="s">
        <v>618</v>
      </c>
      <c r="E4" s="25" t="s">
        <v>619</v>
      </c>
      <c r="F4" s="25" t="s">
        <v>181</v>
      </c>
      <c r="G4" s="25" t="s">
        <v>182</v>
      </c>
      <c r="H4" s="25" t="s">
        <v>398</v>
      </c>
      <c r="I4" s="25" t="s">
        <v>186</v>
      </c>
      <c r="J4" s="25" t="s">
        <v>620</v>
      </c>
      <c r="K4" s="25" t="s">
        <v>621</v>
      </c>
      <c r="L4" s="25" t="s">
        <v>185</v>
      </c>
      <c r="M4" s="25" t="s">
        <v>622</v>
      </c>
      <c r="N4" s="25" t="s">
        <v>623</v>
      </c>
      <c r="O4" s="25" t="s">
        <v>624</v>
      </c>
      <c r="P4" s="25" t="s">
        <v>625</v>
      </c>
      <c r="Q4" s="25" t="s">
        <v>626</v>
      </c>
    </row>
    <row r="5" customFormat="false" ht="15" hidden="false" customHeight="false" outlineLevel="0" collapsed="false">
      <c r="A5" s="13" t="s">
        <v>627</v>
      </c>
      <c r="B5" s="13" t="s">
        <v>628</v>
      </c>
      <c r="C5" s="13" t="s">
        <v>629</v>
      </c>
      <c r="D5" s="86" t="n">
        <v>2025</v>
      </c>
      <c r="E5" s="44" t="n">
        <f aca="false">IS_Proj!H12/1000000000</f>
        <v>1614.340771512</v>
      </c>
      <c r="F5" s="46" t="n">
        <f aca="false">IS_Proj!H13</f>
        <v>0.0383716063250055</v>
      </c>
      <c r="G5" s="46" t="n">
        <f aca="false">IS_Proj!H33</f>
        <v>0.133671257425958</v>
      </c>
      <c r="H5" s="46" t="n">
        <f aca="false">IS_Proj!H35</f>
        <v>0.0183809658138089</v>
      </c>
      <c r="I5" s="46" t="n">
        <f aca="false">BS_Proj!H33</f>
        <v>0.0067800313508525</v>
      </c>
      <c r="J5" s="46" t="n">
        <f aca="false">IS_Proj!H27/BS_Proj!H15</f>
        <v>0.00738794071006591</v>
      </c>
      <c r="K5" s="48" t="n">
        <f aca="false">BS_Proj!H19/BS_Proj!H28</f>
        <v>0.507678640473266</v>
      </c>
      <c r="L5" s="48" t="n">
        <f aca="false">BS_Proj!H34</f>
        <v>2.45238549956908</v>
      </c>
      <c r="M5" s="87"/>
      <c r="N5" s="87"/>
      <c r="O5" s="46" t="n">
        <f aca="false">IS_Proj!H7/IS_Proj!H10</f>
        <v>0.363409789762732</v>
      </c>
      <c r="P5" s="13" t="s">
        <v>630</v>
      </c>
      <c r="Q5" s="13"/>
    </row>
    <row r="6" customFormat="false" ht="15" hidden="false" customHeight="false" outlineLevel="0" collapsed="false">
      <c r="A6" s="4" t="s">
        <v>631</v>
      </c>
      <c r="B6" s="13" t="s">
        <v>632</v>
      </c>
      <c r="C6" s="88"/>
      <c r="D6" s="89"/>
      <c r="E6" s="90"/>
      <c r="F6" s="74"/>
      <c r="G6" s="74"/>
      <c r="H6" s="74"/>
      <c r="I6" s="74"/>
      <c r="J6" s="74"/>
      <c r="K6" s="76"/>
      <c r="L6" s="76"/>
      <c r="M6" s="91"/>
      <c r="N6" s="91"/>
      <c r="O6" s="74"/>
      <c r="P6" s="88"/>
      <c r="Q6" s="88"/>
    </row>
    <row r="7" customFormat="false" ht="15" hidden="false" customHeight="false" outlineLevel="0" collapsed="false">
      <c r="A7" s="4" t="s">
        <v>633</v>
      </c>
      <c r="B7" s="13" t="s">
        <v>634</v>
      </c>
      <c r="C7" s="88"/>
      <c r="D7" s="89"/>
      <c r="E7" s="90"/>
      <c r="F7" s="74"/>
      <c r="G7" s="74"/>
      <c r="H7" s="74"/>
      <c r="I7" s="74"/>
      <c r="J7" s="74"/>
      <c r="K7" s="76"/>
      <c r="L7" s="76"/>
      <c r="M7" s="91"/>
      <c r="N7" s="91"/>
      <c r="O7" s="74"/>
      <c r="P7" s="88"/>
      <c r="Q7" s="88"/>
    </row>
    <row r="8" customFormat="false" ht="15" hidden="false" customHeight="false" outlineLevel="0" collapsed="false">
      <c r="A8" s="4" t="s">
        <v>635</v>
      </c>
      <c r="B8" s="13" t="s">
        <v>636</v>
      </c>
      <c r="C8" s="88"/>
      <c r="D8" s="89"/>
      <c r="E8" s="90"/>
      <c r="F8" s="74"/>
      <c r="G8" s="74"/>
      <c r="H8" s="74"/>
      <c r="I8" s="74"/>
      <c r="J8" s="74"/>
      <c r="K8" s="76"/>
      <c r="L8" s="76"/>
      <c r="M8" s="91"/>
      <c r="N8" s="91"/>
      <c r="O8" s="74"/>
      <c r="P8" s="88"/>
      <c r="Q8" s="88"/>
    </row>
    <row r="9" customFormat="false" ht="15" hidden="false" customHeight="false" outlineLevel="0" collapsed="false">
      <c r="A9" s="4" t="s">
        <v>637</v>
      </c>
      <c r="B9" s="13" t="s">
        <v>638</v>
      </c>
      <c r="C9" s="88"/>
      <c r="D9" s="89"/>
      <c r="E9" s="90"/>
      <c r="F9" s="74"/>
      <c r="G9" s="74"/>
      <c r="H9" s="74"/>
      <c r="I9" s="74"/>
      <c r="J9" s="74"/>
      <c r="K9" s="76"/>
      <c r="L9" s="76"/>
      <c r="M9" s="91"/>
      <c r="N9" s="91"/>
      <c r="O9" s="74"/>
      <c r="P9" s="88"/>
      <c r="Q9" s="88"/>
    </row>
    <row r="10" customFormat="false" ht="15" hidden="false" customHeight="false" outlineLevel="0" collapsed="false">
      <c r="A10" s="4" t="s">
        <v>639</v>
      </c>
      <c r="B10" s="13" t="s">
        <v>640</v>
      </c>
      <c r="C10" s="88"/>
      <c r="D10" s="89"/>
      <c r="E10" s="90"/>
      <c r="F10" s="74"/>
      <c r="G10" s="74"/>
      <c r="H10" s="74"/>
      <c r="I10" s="74"/>
      <c r="J10" s="74"/>
      <c r="K10" s="76"/>
      <c r="L10" s="76"/>
      <c r="M10" s="91"/>
      <c r="N10" s="91"/>
      <c r="O10" s="74"/>
      <c r="P10" s="88"/>
      <c r="Q10" s="88"/>
    </row>
    <row r="11" customFormat="false" ht="15" hidden="false" customHeight="false" outlineLevel="0" collapsed="false">
      <c r="A11" s="4" t="s">
        <v>641</v>
      </c>
      <c r="B11" s="13" t="s">
        <v>642</v>
      </c>
      <c r="C11" s="88"/>
      <c r="D11" s="89"/>
      <c r="E11" s="90"/>
      <c r="F11" s="74"/>
      <c r="G11" s="74"/>
      <c r="H11" s="74"/>
      <c r="I11" s="74"/>
      <c r="J11" s="74"/>
      <c r="K11" s="76"/>
      <c r="L11" s="76"/>
      <c r="M11" s="91"/>
      <c r="N11" s="91"/>
      <c r="O11" s="74"/>
      <c r="P11" s="88"/>
      <c r="Q11" s="88"/>
    </row>
    <row r="12" customFormat="false" ht="15" hidden="false" customHeight="false" outlineLevel="0" collapsed="false">
      <c r="A12" s="4" t="s">
        <v>643</v>
      </c>
      <c r="B12" s="13" t="s">
        <v>644</v>
      </c>
      <c r="C12" s="88"/>
      <c r="D12" s="89"/>
      <c r="E12" s="90"/>
      <c r="F12" s="74"/>
      <c r="G12" s="74"/>
      <c r="H12" s="74"/>
      <c r="I12" s="74"/>
      <c r="J12" s="74"/>
      <c r="K12" s="76"/>
      <c r="L12" s="76"/>
      <c r="M12" s="91"/>
      <c r="N12" s="91"/>
      <c r="O12" s="74"/>
      <c r="P12" s="88"/>
      <c r="Q12" s="88"/>
    </row>
    <row r="13" customFormat="false" ht="15" hidden="false" customHeight="false" outlineLevel="0" collapsed="false">
      <c r="A13" s="4" t="s">
        <v>645</v>
      </c>
      <c r="B13" s="13" t="s">
        <v>646</v>
      </c>
      <c r="C13" s="88"/>
      <c r="D13" s="89"/>
      <c r="E13" s="90"/>
      <c r="F13" s="74"/>
      <c r="G13" s="74"/>
      <c r="H13" s="74"/>
      <c r="I13" s="74"/>
      <c r="J13" s="74"/>
      <c r="K13" s="76"/>
      <c r="L13" s="76"/>
      <c r="M13" s="91"/>
      <c r="N13" s="91"/>
      <c r="O13" s="74"/>
      <c r="P13" s="88"/>
      <c r="Q13" s="88"/>
    </row>
    <row r="14" customFormat="false" ht="15" hidden="false" customHeight="false" outlineLevel="0" collapsed="false">
      <c r="A14" s="4"/>
      <c r="B14" s="13" t="s">
        <v>647</v>
      </c>
      <c r="C14" s="88"/>
      <c r="D14" s="89"/>
      <c r="E14" s="90"/>
      <c r="F14" s="74"/>
      <c r="G14" s="74"/>
      <c r="H14" s="74"/>
      <c r="I14" s="74"/>
      <c r="J14" s="74"/>
      <c r="K14" s="76"/>
      <c r="L14" s="76"/>
      <c r="M14" s="91"/>
      <c r="N14" s="91"/>
      <c r="O14" s="74"/>
      <c r="P14" s="88"/>
      <c r="Q14" s="88"/>
    </row>
    <row r="15" customFormat="false" ht="15" hidden="false" customHeight="false" outlineLevel="0" collapsed="false">
      <c r="B15" s="4" t="s">
        <v>648</v>
      </c>
      <c r="E15" s="92" t="str">
        <f aca="false">IF(COUNT(E6:E14)=0,"",MEDIAN(E6:E14))</f>
        <v/>
      </c>
      <c r="F15" s="84" t="str">
        <f aca="false">IF(COUNT(F6:F14)=0,"",MEDIAN(F6:F14))</f>
        <v/>
      </c>
      <c r="G15" s="84" t="str">
        <f aca="false">IF(COUNT(G6:G14)=0,"",MEDIAN(G6:G14))</f>
        <v/>
      </c>
      <c r="H15" s="84" t="str">
        <f aca="false">IF(COUNT(H6:H14)=0,"",MEDIAN(H6:H14))</f>
        <v/>
      </c>
      <c r="I15" s="84" t="str">
        <f aca="false">IF(COUNT(I6:I14)=0,"",MEDIAN(I6:I14))</f>
        <v/>
      </c>
      <c r="J15" s="84" t="str">
        <f aca="false">IF(COUNT(J6:J14)=0,"",MEDIAN(J6:J14))</f>
        <v/>
      </c>
      <c r="K15" s="93" t="str">
        <f aca="false">IF(COUNT(K6:K14)=0,"",MEDIAN(K6:K14))</f>
        <v/>
      </c>
      <c r="L15" s="93" t="str">
        <f aca="false">IF(COUNT(L6:L14)=0,"",MEDIAN(L6:L14))</f>
        <v/>
      </c>
      <c r="M15" s="94" t="str">
        <f aca="false">IF(COUNT(M6:M14)=0,"",MEDIAN(M6:M14))</f>
        <v/>
      </c>
      <c r="N15" s="94" t="str">
        <f aca="false">IF(COUNT(N6:N14)=0,"",MEDIAN(N6:N14))</f>
        <v/>
      </c>
      <c r="O15" s="84" t="str">
        <f aca="false">IF(COUNT(O6:O14)=0,"",MEDIAN(O6:O14))</f>
        <v/>
      </c>
    </row>
    <row r="16" customFormat="false" ht="15" hidden="false" customHeight="false" outlineLevel="0" collapsed="false">
      <c r="B16" s="4" t="s">
        <v>649</v>
      </c>
      <c r="E16" s="92" t="str">
        <f aca="false">IF(COUNT(E6:E14)=0,"",AVERAGE(E6:E14))</f>
        <v/>
      </c>
      <c r="F16" s="84" t="str">
        <f aca="false">IF(COUNT(F6:F14)=0,"",AVERAGE(F6:F14))</f>
        <v/>
      </c>
      <c r="G16" s="84" t="str">
        <f aca="false">IF(COUNT(G6:G14)=0,"",AVERAGE(G6:G14))</f>
        <v/>
      </c>
      <c r="H16" s="84" t="str">
        <f aca="false">IF(COUNT(H6:H14)=0,"",AVERAGE(H6:H14))</f>
        <v/>
      </c>
      <c r="I16" s="84" t="str">
        <f aca="false">IF(COUNT(I6:I14)=0,"",AVERAGE(I6:I14))</f>
        <v/>
      </c>
      <c r="J16" s="84" t="str">
        <f aca="false">IF(COUNT(J6:J14)=0,"",AVERAGE(J6:J14))</f>
        <v/>
      </c>
      <c r="K16" s="93" t="str">
        <f aca="false">IF(COUNT(K6:K14)=0,"",AVERAGE(K6:K14))</f>
        <v/>
      </c>
      <c r="L16" s="93" t="str">
        <f aca="false">IF(COUNT(L6:L14)=0,"",AVERAGE(L6:L14))</f>
        <v/>
      </c>
      <c r="M16" s="94" t="str">
        <f aca="false">IF(COUNT(M6:M14)=0,"",AVERAGE(M6:M14))</f>
        <v/>
      </c>
      <c r="N16" s="94" t="str">
        <f aca="false">IF(COUNT(N6:N14)=0,"",AVERAGE(N6:N14))</f>
        <v/>
      </c>
      <c r="O16" s="84" t="str">
        <f aca="false">IF(COUNT(O6:O14)=0,"",AVERAGE(O6:O14))</f>
        <v/>
      </c>
    </row>
    <row r="18" customFormat="false" ht="15" hidden="false" customHeight="false" outlineLevel="0" collapsed="false">
      <c r="B18" s="15" t="s">
        <v>650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651</v>
      </c>
    </row>
    <row r="2" customFormat="false" ht="15" hidden="false" customHeight="false" outlineLevel="0" collapsed="false">
      <c r="A2" s="15" t="s">
        <v>652</v>
      </c>
    </row>
    <row r="3" customFormat="false" ht="39.75" hidden="false" customHeight="true" outlineLevel="0" collapsed="false">
      <c r="B3" s="15" t="s">
        <v>653</v>
      </c>
      <c r="C3" s="95" t="s">
        <v>654</v>
      </c>
      <c r="D3" s="96" t="s">
        <v>655</v>
      </c>
      <c r="E3" s="96" t="s">
        <v>656</v>
      </c>
      <c r="F3" s="96" t="s">
        <v>657</v>
      </c>
      <c r="G3" s="96" t="s">
        <v>658</v>
      </c>
      <c r="H3" s="96" t="s">
        <v>659</v>
      </c>
      <c r="I3" s="5" t="s">
        <v>660</v>
      </c>
    </row>
    <row r="4" customFormat="false" ht="15" hidden="false" customHeight="false" outlineLevel="0" collapsed="false">
      <c r="A4" s="25" t="s">
        <v>339</v>
      </c>
      <c r="B4" s="25" t="s">
        <v>340</v>
      </c>
      <c r="C4" s="25" t="s">
        <v>131</v>
      </c>
      <c r="D4" s="25" t="s">
        <v>132</v>
      </c>
      <c r="E4" s="25" t="s">
        <v>133</v>
      </c>
      <c r="F4" s="25" t="s">
        <v>134</v>
      </c>
      <c r="G4" s="25" t="s">
        <v>135</v>
      </c>
      <c r="H4" s="25" t="s">
        <v>136</v>
      </c>
      <c r="I4" s="25" t="s">
        <v>341</v>
      </c>
    </row>
    <row r="5" customFormat="false" ht="15" hidden="false" customHeight="false" outlineLevel="0" collapsed="false">
      <c r="A5" s="16"/>
      <c r="B5" s="17" t="s">
        <v>661</v>
      </c>
      <c r="C5" s="16"/>
      <c r="D5" s="16"/>
      <c r="E5" s="16"/>
      <c r="F5" s="16"/>
      <c r="G5" s="16"/>
      <c r="H5" s="16"/>
      <c r="I5" s="16"/>
    </row>
    <row r="6" customFormat="false" ht="15" hidden="false" customHeight="false" outlineLevel="0" collapsed="false">
      <c r="A6" s="54" t="s">
        <v>662</v>
      </c>
      <c r="B6" s="13" t="s">
        <v>137</v>
      </c>
      <c r="C6" s="61" t="n">
        <v>1148144381712</v>
      </c>
      <c r="D6" s="61" t="n">
        <v>1890800275747</v>
      </c>
      <c r="E6" s="61" t="n">
        <v>1658687911222</v>
      </c>
      <c r="F6" s="61" t="n">
        <v>1488197483371</v>
      </c>
      <c r="G6" s="61" t="n">
        <v>1554685010336</v>
      </c>
      <c r="H6" s="61" t="n">
        <v>1614340771512</v>
      </c>
      <c r="I6" s="15" t="s">
        <v>663</v>
      </c>
    </row>
    <row r="7" customFormat="false" ht="15" hidden="false" customHeight="false" outlineLevel="0" collapsed="false">
      <c r="A7" s="54" t="s">
        <v>664</v>
      </c>
      <c r="B7" s="13" t="s">
        <v>665</v>
      </c>
      <c r="C7" s="61" t="n">
        <v>-654993791224</v>
      </c>
      <c r="D7" s="61" t="n">
        <v>-916779194679</v>
      </c>
      <c r="E7" s="61" t="n">
        <v>-894135274139</v>
      </c>
      <c r="F7" s="61" t="n">
        <v>-792384606260</v>
      </c>
      <c r="G7" s="61" t="n">
        <v>-847547994844</v>
      </c>
      <c r="H7" s="61" t="n">
        <v>-869848305402</v>
      </c>
      <c r="I7" s="15" t="s">
        <v>666</v>
      </c>
    </row>
    <row r="8" customFormat="false" ht="15" hidden="false" customHeight="false" outlineLevel="0" collapsed="false">
      <c r="A8" s="63" t="s">
        <v>667</v>
      </c>
      <c r="B8" s="64" t="s">
        <v>668</v>
      </c>
      <c r="C8" s="65" t="n">
        <f aca="false">C6+C7</f>
        <v>493150590488</v>
      </c>
      <c r="D8" s="65" t="n">
        <f aca="false">D6+D7</f>
        <v>974021081068</v>
      </c>
      <c r="E8" s="65" t="n">
        <f aca="false">E6+E7</f>
        <v>764552637083</v>
      </c>
      <c r="F8" s="65" t="n">
        <f aca="false">F6+F7</f>
        <v>695812877111</v>
      </c>
      <c r="G8" s="65" t="n">
        <f aca="false">G6+G7</f>
        <v>707137015492</v>
      </c>
      <c r="H8" s="65" t="n">
        <f aca="false">H6+H7</f>
        <v>744492466110</v>
      </c>
    </row>
    <row r="9" customFormat="false" ht="15" hidden="false" customHeight="false" outlineLevel="0" collapsed="false">
      <c r="A9" s="54" t="s">
        <v>669</v>
      </c>
      <c r="B9" s="13" t="s">
        <v>670</v>
      </c>
      <c r="C9" s="61" t="n">
        <v>-10361877103</v>
      </c>
      <c r="D9" s="61" t="n">
        <v>-37745632578</v>
      </c>
      <c r="E9" s="61" t="n">
        <v>-39106497692</v>
      </c>
      <c r="F9" s="61" t="n">
        <v>-34852503763</v>
      </c>
      <c r="G9" s="61" t="n">
        <v>-31257567617</v>
      </c>
      <c r="H9" s="61" t="n">
        <v>-35009680673</v>
      </c>
      <c r="I9" s="15" t="s">
        <v>671</v>
      </c>
    </row>
    <row r="10" customFormat="false" ht="15" hidden="false" customHeight="false" outlineLevel="0" collapsed="false">
      <c r="A10" s="54" t="s">
        <v>672</v>
      </c>
      <c r="B10" s="13" t="s">
        <v>673</v>
      </c>
      <c r="C10" s="61" t="n">
        <v>-326512973831</v>
      </c>
      <c r="D10" s="61" t="n">
        <v>-472902134855</v>
      </c>
      <c r="E10" s="61" t="n">
        <v>-510347314037</v>
      </c>
      <c r="F10" s="61" t="n">
        <v>-570408858788</v>
      </c>
      <c r="G10" s="61" t="n">
        <v>-576812865380</v>
      </c>
      <c r="H10" s="61" t="n">
        <v>-593553244322</v>
      </c>
      <c r="I10" s="15" t="s">
        <v>674</v>
      </c>
    </row>
    <row r="11" customFormat="false" ht="15" hidden="false" customHeight="false" outlineLevel="0" collapsed="false">
      <c r="A11" s="63" t="s">
        <v>675</v>
      </c>
      <c r="B11" s="64" t="s">
        <v>676</v>
      </c>
      <c r="C11" s="65" t="n">
        <f aca="false">C9+C10</f>
        <v>-336874850934</v>
      </c>
      <c r="D11" s="65" t="n">
        <f aca="false">D9+D10</f>
        <v>-510647767433</v>
      </c>
      <c r="E11" s="65" t="n">
        <f aca="false">E9+E10</f>
        <v>-549453811729</v>
      </c>
      <c r="F11" s="65" t="n">
        <f aca="false">F9+F10</f>
        <v>-605261362551</v>
      </c>
      <c r="G11" s="65" t="n">
        <f aca="false">G9+G10</f>
        <v>-608070432997</v>
      </c>
      <c r="H11" s="65" t="n">
        <f aca="false">H9+H10</f>
        <v>-628562924995</v>
      </c>
    </row>
    <row r="12" customFormat="false" ht="15" hidden="false" customHeight="false" outlineLevel="0" collapsed="false">
      <c r="A12" s="54" t="s">
        <v>677</v>
      </c>
      <c r="B12" s="13" t="s">
        <v>678</v>
      </c>
      <c r="C12" s="61" t="n">
        <v>11285526111</v>
      </c>
      <c r="D12" s="61" t="n">
        <v>11603095497</v>
      </c>
      <c r="E12" s="61" t="n">
        <v>447889572</v>
      </c>
      <c r="F12" s="61" t="n">
        <v>-889202701</v>
      </c>
      <c r="G12" s="61" t="n">
        <v>-11060239156</v>
      </c>
      <c r="H12" s="61" t="n">
        <v>-26050344266</v>
      </c>
      <c r="I12" s="15" t="s">
        <v>679</v>
      </c>
    </row>
    <row r="13" customFormat="false" ht="15" hidden="false" customHeight="false" outlineLevel="0" collapsed="false">
      <c r="A13" s="63" t="s">
        <v>680</v>
      </c>
      <c r="B13" s="64" t="s">
        <v>681</v>
      </c>
      <c r="C13" s="65" t="n">
        <f aca="false">C8+C11+C12</f>
        <v>167561265665</v>
      </c>
      <c r="D13" s="65" t="n">
        <f aca="false">D8+D11+D12</f>
        <v>474976409132</v>
      </c>
      <c r="E13" s="65" t="n">
        <f aca="false">E8+E11+E12</f>
        <v>215546714926</v>
      </c>
      <c r="F13" s="65" t="n">
        <f aca="false">F8+F11+F12</f>
        <v>89662311859</v>
      </c>
      <c r="G13" s="65" t="n">
        <f aca="false">G8+G11+G12</f>
        <v>88006343339</v>
      </c>
      <c r="H13" s="65" t="n">
        <f aca="false">H8+H11+H12</f>
        <v>89879196849</v>
      </c>
    </row>
    <row r="14" customFormat="false" ht="15" hidden="false" customHeight="false" outlineLevel="0" collapsed="false">
      <c r="A14" s="54" t="s">
        <v>682</v>
      </c>
      <c r="B14" s="13" t="s">
        <v>373</v>
      </c>
      <c r="C14" s="61" t="n">
        <v>4733986258</v>
      </c>
      <c r="D14" s="61" t="n">
        <v>10178168958</v>
      </c>
      <c r="E14" s="61" t="n">
        <v>8362881293</v>
      </c>
      <c r="F14" s="61" t="n">
        <v>8424381208</v>
      </c>
      <c r="G14" s="61" t="n">
        <v>18640836625</v>
      </c>
      <c r="H14" s="61" t="n">
        <v>22930845594</v>
      </c>
      <c r="I14" s="15" t="s">
        <v>683</v>
      </c>
    </row>
    <row r="15" customFormat="false" ht="15" hidden="false" customHeight="false" outlineLevel="0" collapsed="false">
      <c r="A15" s="54" t="s">
        <v>684</v>
      </c>
      <c r="B15" s="13" t="s">
        <v>376</v>
      </c>
      <c r="C15" s="61" t="n">
        <v>-53119718188</v>
      </c>
      <c r="D15" s="61" t="n">
        <v>-28015892568</v>
      </c>
      <c r="E15" s="61" t="n">
        <v>-47119576208</v>
      </c>
      <c r="F15" s="61" t="n">
        <v>-57763637343</v>
      </c>
      <c r="G15" s="61" t="n">
        <v>-68053448455</v>
      </c>
      <c r="H15" s="61" t="n">
        <v>-67527392890</v>
      </c>
      <c r="I15" s="15" t="s">
        <v>685</v>
      </c>
    </row>
    <row r="16" customFormat="false" ht="15" hidden="false" customHeight="false" outlineLevel="0" collapsed="false">
      <c r="A16" s="54" t="s">
        <v>686</v>
      </c>
      <c r="B16" s="13" t="s">
        <v>687</v>
      </c>
      <c r="C16" s="61" t="n">
        <v>25816403786</v>
      </c>
      <c r="D16" s="61"/>
      <c r="E16" s="61"/>
      <c r="F16" s="61"/>
      <c r="G16" s="61"/>
      <c r="H16" s="61"/>
      <c r="I16" s="15" t="s">
        <v>688</v>
      </c>
    </row>
    <row r="17" customFormat="false" ht="15" hidden="false" customHeight="false" outlineLevel="0" collapsed="false">
      <c r="A17" s="63" t="s">
        <v>689</v>
      </c>
      <c r="B17" s="64" t="s">
        <v>381</v>
      </c>
      <c r="C17" s="65" t="n">
        <f aca="false">C13+C14+C15+C16</f>
        <v>144991937521</v>
      </c>
      <c r="D17" s="65" t="n">
        <f aca="false">D13+D14+D15+D16</f>
        <v>457138685522</v>
      </c>
      <c r="E17" s="65" t="n">
        <f aca="false">E13+E14+E15+E16</f>
        <v>176790020011</v>
      </c>
      <c r="F17" s="65" t="n">
        <f aca="false">F13+F14+F15+F16</f>
        <v>40323055724</v>
      </c>
      <c r="G17" s="65" t="n">
        <f aca="false">G13+G14+G15+G16</f>
        <v>38593731509</v>
      </c>
      <c r="H17" s="65" t="n">
        <f aca="false">H13+H14+H15+H16</f>
        <v>45282649553</v>
      </c>
    </row>
    <row r="18" customFormat="false" ht="15" hidden="false" customHeight="false" outlineLevel="0" collapsed="false">
      <c r="A18" s="54" t="s">
        <v>690</v>
      </c>
      <c r="B18" s="13" t="s">
        <v>691</v>
      </c>
      <c r="C18" s="61" t="n">
        <v>-28826201833</v>
      </c>
      <c r="D18" s="61" t="n">
        <v>-103659050125</v>
      </c>
      <c r="E18" s="61" t="n">
        <v>-47085046810</v>
      </c>
      <c r="F18" s="61" t="n">
        <v>-30090701183</v>
      </c>
      <c r="G18" s="61" t="n">
        <v>-18096225121</v>
      </c>
      <c r="H18" s="61" t="n">
        <v>-21742416673</v>
      </c>
      <c r="I18" s="15" t="s">
        <v>692</v>
      </c>
    </row>
    <row r="19" customFormat="false" ht="15" hidden="false" customHeight="false" outlineLevel="0" collapsed="false">
      <c r="A19" s="54" t="s">
        <v>693</v>
      </c>
      <c r="B19" s="13" t="s">
        <v>694</v>
      </c>
      <c r="C19" s="61" t="n">
        <v>2912223986</v>
      </c>
      <c r="D19" s="61" t="n">
        <v>1169151785</v>
      </c>
      <c r="E19" s="61" t="n">
        <v>1415668933</v>
      </c>
      <c r="F19" s="61" t="n">
        <v>8123224807</v>
      </c>
      <c r="G19" s="61" t="n">
        <v>1643320773</v>
      </c>
      <c r="H19" s="61" t="n">
        <v>6521673752</v>
      </c>
      <c r="I19" s="15" t="s">
        <v>695</v>
      </c>
    </row>
    <row r="20" customFormat="false" ht="15" hidden="false" customHeight="false" outlineLevel="0" collapsed="false">
      <c r="A20" s="54" t="s">
        <v>696</v>
      </c>
      <c r="B20" s="13" t="s">
        <v>697</v>
      </c>
      <c r="C20" s="61" t="n">
        <v>-617873898</v>
      </c>
      <c r="D20" s="61" t="n">
        <v>0</v>
      </c>
      <c r="E20" s="61" t="n">
        <v>-2188786472</v>
      </c>
      <c r="F20" s="61" t="n">
        <v>-2126150500</v>
      </c>
      <c r="G20" s="61" t="n">
        <v>-3245042894</v>
      </c>
      <c r="H20" s="61" t="n">
        <v>-388764099</v>
      </c>
      <c r="I20" s="15" t="s">
        <v>698</v>
      </c>
    </row>
    <row r="21" customFormat="false" ht="15" hidden="false" customHeight="false" outlineLevel="0" collapsed="false">
      <c r="A21" s="63" t="s">
        <v>699</v>
      </c>
      <c r="B21" s="64" t="s">
        <v>700</v>
      </c>
      <c r="C21" s="65" t="n">
        <f aca="false">C18+C19+C20</f>
        <v>-26531851745</v>
      </c>
      <c r="D21" s="65" t="n">
        <f aca="false">D18+D19+D20</f>
        <v>-102489898340</v>
      </c>
      <c r="E21" s="65" t="n">
        <f aca="false">E18+E19+E20</f>
        <v>-47858164349</v>
      </c>
      <c r="F21" s="65" t="n">
        <f aca="false">F18+F19+F20</f>
        <v>-24093626876</v>
      </c>
      <c r="G21" s="65" t="n">
        <f aca="false">G18+G19+G20</f>
        <v>-19697947242</v>
      </c>
      <c r="H21" s="65" t="n">
        <f aca="false">H18+H19+H20</f>
        <v>-15609507020</v>
      </c>
    </row>
    <row r="22" customFormat="false" ht="15" hidden="false" customHeight="false" outlineLevel="0" collapsed="false">
      <c r="A22" s="63" t="s">
        <v>701</v>
      </c>
      <c r="B22" s="64" t="s">
        <v>141</v>
      </c>
      <c r="C22" s="65" t="n">
        <f aca="false">C17+C21</f>
        <v>118460085776</v>
      </c>
      <c r="D22" s="65" t="n">
        <f aca="false">D17+D21</f>
        <v>354648787182</v>
      </c>
      <c r="E22" s="65" t="n">
        <f aca="false">E17+E21</f>
        <v>128931855662</v>
      </c>
      <c r="F22" s="65" t="n">
        <f aca="false">F17+F21</f>
        <v>16229428848</v>
      </c>
      <c r="G22" s="65" t="n">
        <f aca="false">G17+G21</f>
        <v>18895784267</v>
      </c>
      <c r="H22" s="65" t="n">
        <f aca="false">H17+H21</f>
        <v>29673142533</v>
      </c>
    </row>
    <row r="23" customFormat="false" ht="15" hidden="false" customHeight="false" outlineLevel="0" collapsed="false">
      <c r="A23" s="16"/>
      <c r="B23" s="17" t="s">
        <v>702</v>
      </c>
      <c r="C23" s="16"/>
      <c r="D23" s="16"/>
      <c r="E23" s="16"/>
      <c r="F23" s="16"/>
      <c r="G23" s="16"/>
      <c r="H23" s="16"/>
      <c r="I23" s="16"/>
    </row>
    <row r="24" customFormat="false" ht="15" hidden="false" customHeight="false" outlineLevel="0" collapsed="false">
      <c r="A24" s="54" t="s">
        <v>703</v>
      </c>
      <c r="B24" s="13" t="s">
        <v>704</v>
      </c>
      <c r="C24" s="61" t="n">
        <v>1229779851</v>
      </c>
      <c r="D24" s="61" t="n">
        <v>-6720079053</v>
      </c>
      <c r="E24" s="61" t="n">
        <v>4743936294</v>
      </c>
      <c r="F24" s="61" t="n">
        <v>4985509356</v>
      </c>
      <c r="G24" s="61" t="n">
        <v>-2004583162</v>
      </c>
      <c r="H24" s="61" t="n">
        <v>2581070789</v>
      </c>
      <c r="I24" s="15" t="s">
        <v>705</v>
      </c>
    </row>
    <row r="25" customFormat="false" ht="15" hidden="false" customHeight="false" outlineLevel="0" collapsed="false">
      <c r="A25" s="54" t="s">
        <v>706</v>
      </c>
      <c r="B25" s="13" t="s">
        <v>707</v>
      </c>
      <c r="C25" s="61" t="n">
        <v>-77960235</v>
      </c>
      <c r="D25" s="61" t="n">
        <v>1471155868</v>
      </c>
      <c r="E25" s="61" t="n">
        <v>-1036912101</v>
      </c>
      <c r="F25" s="61" t="n">
        <v>-1025216308</v>
      </c>
      <c r="G25" s="61" t="n">
        <v>475975725</v>
      </c>
      <c r="H25" s="61" t="n">
        <v>-558111502</v>
      </c>
      <c r="I25" s="15" t="s">
        <v>708</v>
      </c>
    </row>
    <row r="26" customFormat="false" ht="15" hidden="false" customHeight="false" outlineLevel="0" collapsed="false">
      <c r="A26" s="54" t="s">
        <v>709</v>
      </c>
      <c r="B26" s="13" t="s">
        <v>710</v>
      </c>
      <c r="C26" s="61" t="n">
        <v>-38979361</v>
      </c>
      <c r="D26" s="61"/>
      <c r="E26" s="61"/>
      <c r="F26" s="61"/>
      <c r="G26" s="61"/>
      <c r="H26" s="61"/>
      <c r="I26" s="15" t="s">
        <v>711</v>
      </c>
    </row>
    <row r="27" customFormat="false" ht="15" hidden="false" customHeight="false" outlineLevel="0" collapsed="false">
      <c r="A27" s="54" t="s">
        <v>712</v>
      </c>
      <c r="B27" s="13" t="s">
        <v>713</v>
      </c>
      <c r="C27" s="61" t="n">
        <v>126337956118</v>
      </c>
      <c r="D27" s="61" t="n">
        <v>0</v>
      </c>
      <c r="E27" s="61" t="n">
        <v>0</v>
      </c>
      <c r="F27" s="61" t="n">
        <v>0</v>
      </c>
      <c r="G27" s="61" t="n">
        <v>0</v>
      </c>
      <c r="H27" s="61" t="n">
        <v>231142399297</v>
      </c>
      <c r="I27" s="15" t="s">
        <v>714</v>
      </c>
    </row>
    <row r="28" customFormat="false" ht="15" hidden="false" customHeight="false" outlineLevel="0" collapsed="false">
      <c r="A28" s="54" t="s">
        <v>715</v>
      </c>
      <c r="B28" s="13" t="s">
        <v>716</v>
      </c>
      <c r="C28" s="61" t="n">
        <v>-144259777</v>
      </c>
      <c r="D28" s="61"/>
      <c r="E28" s="61"/>
      <c r="F28" s="61"/>
      <c r="G28" s="61"/>
      <c r="H28" s="61"/>
      <c r="I28" s="15" t="s">
        <v>717</v>
      </c>
    </row>
    <row r="29" customFormat="false" ht="15" hidden="false" customHeight="false" outlineLevel="0" collapsed="false">
      <c r="A29" s="54" t="s">
        <v>718</v>
      </c>
      <c r="B29" s="13" t="s">
        <v>719</v>
      </c>
      <c r="C29" s="61" t="n">
        <v>0</v>
      </c>
      <c r="D29" s="61" t="n">
        <v>5124975123</v>
      </c>
      <c r="E29" s="61" t="n">
        <v>-9515363803</v>
      </c>
      <c r="F29" s="61" t="n">
        <v>-2878886693</v>
      </c>
      <c r="G29" s="61" t="n">
        <v>-2503397606</v>
      </c>
      <c r="H29" s="61" t="n">
        <v>-26780676</v>
      </c>
      <c r="I29" s="15" t="s">
        <v>720</v>
      </c>
    </row>
    <row r="30" customFormat="false" ht="15" hidden="false" customHeight="false" outlineLevel="0" collapsed="false">
      <c r="A30" s="63" t="s">
        <v>721</v>
      </c>
      <c r="B30" s="64" t="s">
        <v>722</v>
      </c>
      <c r="C30" s="65" t="n">
        <f aca="false">C24+C25+C26+C27+C28+C29</f>
        <v>127306536596</v>
      </c>
      <c r="D30" s="65" t="n">
        <f aca="false">D24+D25+D26+D27+D28+D29</f>
        <v>-123948062</v>
      </c>
      <c r="E30" s="65" t="n">
        <f aca="false">E24+E25+E26+E27+E28+E29</f>
        <v>-5808339610</v>
      </c>
      <c r="F30" s="65" t="n">
        <f aca="false">F24+F25+F26+F27+F28+F29</f>
        <v>1081406355</v>
      </c>
      <c r="G30" s="65" t="n">
        <f aca="false">G24+G25+G26+G27+G28+G29</f>
        <v>-4032005043</v>
      </c>
      <c r="H30" s="65" t="n">
        <f aca="false">H24+H25+H26+H27+H28+H29</f>
        <v>233138577908</v>
      </c>
    </row>
    <row r="31" customFormat="false" ht="15" hidden="false" customHeight="false" outlineLevel="0" collapsed="false">
      <c r="A31" s="63" t="s">
        <v>723</v>
      </c>
      <c r="B31" s="64" t="s">
        <v>724</v>
      </c>
      <c r="C31" s="65" t="n">
        <f aca="false">C22+C30</f>
        <v>245766622372</v>
      </c>
      <c r="D31" s="65" t="n">
        <f aca="false">D22+D30</f>
        <v>354524839120</v>
      </c>
      <c r="E31" s="65" t="n">
        <f aca="false">E22+E30</f>
        <v>123123516052</v>
      </c>
      <c r="F31" s="65" t="n">
        <f aca="false">F22+F30</f>
        <v>17310835203</v>
      </c>
      <c r="G31" s="65" t="n">
        <f aca="false">G22+G30</f>
        <v>14863779224</v>
      </c>
      <c r="H31" s="65" t="n">
        <f aca="false">H22+H30</f>
        <v>262811720441</v>
      </c>
    </row>
    <row r="32" customFormat="false" ht="15" hidden="false" customHeight="false" outlineLevel="0" collapsed="false">
      <c r="A32" s="16"/>
      <c r="B32" s="17" t="s">
        <v>725</v>
      </c>
      <c r="C32" s="16"/>
      <c r="D32" s="16"/>
      <c r="E32" s="16"/>
      <c r="F32" s="16"/>
      <c r="G32" s="16"/>
      <c r="H32" s="16"/>
      <c r="I32" s="16"/>
    </row>
    <row r="33" customFormat="false" ht="15" hidden="false" customHeight="false" outlineLevel="0" collapsed="false">
      <c r="A33" s="54" t="s">
        <v>726</v>
      </c>
      <c r="B33" s="13" t="s">
        <v>727</v>
      </c>
      <c r="C33" s="61" t="n">
        <v>88791039353</v>
      </c>
      <c r="D33" s="61" t="n">
        <v>214489125593</v>
      </c>
      <c r="E33" s="61" t="n">
        <v>83227727173</v>
      </c>
      <c r="F33" s="61" t="n">
        <v>7461134368</v>
      </c>
      <c r="G33" s="61" t="n">
        <v>11943515324</v>
      </c>
      <c r="H33" s="61" t="n">
        <v>12418961321</v>
      </c>
      <c r="I33" s="15" t="s">
        <v>728</v>
      </c>
    </row>
    <row r="34" customFormat="false" ht="15" hidden="false" customHeight="false" outlineLevel="0" collapsed="false">
      <c r="A34" s="54" t="s">
        <v>729</v>
      </c>
      <c r="B34" s="13" t="s">
        <v>730</v>
      </c>
      <c r="C34" s="61" t="n">
        <v>29669046423</v>
      </c>
      <c r="D34" s="61" t="n">
        <v>140159661589</v>
      </c>
      <c r="E34" s="61" t="n">
        <v>45704128489</v>
      </c>
      <c r="F34" s="61" t="n">
        <v>8768294480</v>
      </c>
      <c r="G34" s="61" t="n">
        <v>6952268943</v>
      </c>
      <c r="H34" s="61" t="n">
        <v>17254181212</v>
      </c>
      <c r="I34" s="15" t="s">
        <v>731</v>
      </c>
    </row>
    <row r="35" customFormat="false" ht="15" hidden="false" customHeight="false" outlineLevel="0" collapsed="false">
      <c r="A35" s="54" t="s">
        <v>732</v>
      </c>
      <c r="B35" s="13" t="s">
        <v>733</v>
      </c>
      <c r="C35" s="61" t="n">
        <v>215655199866</v>
      </c>
      <c r="D35" s="61" t="n">
        <v>215034318680</v>
      </c>
      <c r="E35" s="61" t="n">
        <v>79196348798</v>
      </c>
      <c r="F35" s="61" t="n">
        <v>8951231339</v>
      </c>
      <c r="G35" s="61" t="n">
        <v>9192171847</v>
      </c>
      <c r="H35" s="61" t="n">
        <v>242065731168</v>
      </c>
      <c r="I35" s="15" t="s">
        <v>734</v>
      </c>
    </row>
    <row r="36" customFormat="false" ht="15" hidden="false" customHeight="false" outlineLevel="0" collapsed="false">
      <c r="A36" s="54" t="s">
        <v>735</v>
      </c>
      <c r="B36" s="13" t="s">
        <v>736</v>
      </c>
      <c r="C36" s="61" t="n">
        <v>30111422506</v>
      </c>
      <c r="D36" s="61" t="n">
        <v>139490520440</v>
      </c>
      <c r="E36" s="61" t="n">
        <v>43927167254</v>
      </c>
      <c r="F36" s="61" t="n">
        <v>8359603864</v>
      </c>
      <c r="G36" s="61" t="n">
        <v>5671607377</v>
      </c>
      <c r="H36" s="61" t="n">
        <v>20745989273</v>
      </c>
      <c r="I36" s="15" t="s">
        <v>737</v>
      </c>
    </row>
    <row r="37" customFormat="false" ht="15" hidden="false" customHeight="false" outlineLevel="0" collapsed="false">
      <c r="A37" s="54" t="s">
        <v>738</v>
      </c>
      <c r="B37" s="13" t="s">
        <v>739</v>
      </c>
      <c r="C37" s="97" t="n">
        <v>18</v>
      </c>
      <c r="D37" s="97" t="n">
        <v>44</v>
      </c>
      <c r="E37" s="97" t="n">
        <v>9.7</v>
      </c>
      <c r="F37" s="97" t="n">
        <v>0.9</v>
      </c>
      <c r="G37" s="97" t="n">
        <v>1.4</v>
      </c>
      <c r="H37" s="97" t="n">
        <v>1.4</v>
      </c>
      <c r="I37" s="15" t="s">
        <v>740</v>
      </c>
    </row>
    <row r="38" customFormat="false" ht="15" hidden="false" customHeight="false" outlineLevel="0" collapsed="false">
      <c r="A38" s="16"/>
      <c r="B38" s="17" t="s">
        <v>741</v>
      </c>
      <c r="C38" s="16"/>
      <c r="D38" s="16"/>
      <c r="E38" s="16"/>
      <c r="F38" s="16"/>
      <c r="G38" s="16"/>
      <c r="H38" s="16"/>
      <c r="I38" s="16"/>
    </row>
    <row r="39" customFormat="false" ht="15" hidden="false" customHeight="false" outlineLevel="0" collapsed="false">
      <c r="A39" s="54" t="s">
        <v>742</v>
      </c>
      <c r="B39" s="13" t="s">
        <v>743</v>
      </c>
      <c r="C39" s="61" t="n">
        <v>493150590488</v>
      </c>
      <c r="D39" s="61" t="n">
        <v>974021081068</v>
      </c>
      <c r="E39" s="61" t="n">
        <v>764552637083</v>
      </c>
      <c r="F39" s="61" t="n">
        <v>695812877111</v>
      </c>
      <c r="G39" s="61" t="n">
        <v>707137015492</v>
      </c>
      <c r="H39" s="61" t="n">
        <v>744492466110</v>
      </c>
      <c r="I39" s="15" t="s">
        <v>744</v>
      </c>
    </row>
    <row r="40" customFormat="false" ht="15" hidden="false" customHeight="false" outlineLevel="0" collapsed="false">
      <c r="A40" s="54" t="s">
        <v>745</v>
      </c>
      <c r="B40" s="13" t="s">
        <v>746</v>
      </c>
      <c r="C40" s="61" t="n">
        <v>-336874850934</v>
      </c>
      <c r="D40" s="61" t="n">
        <v>-510647767433</v>
      </c>
      <c r="E40" s="61" t="n">
        <v>-549453811729</v>
      </c>
      <c r="F40" s="61" t="n">
        <v>-605261362551</v>
      </c>
      <c r="G40" s="61" t="n">
        <v>-608070432997</v>
      </c>
      <c r="H40" s="61" t="n">
        <v>-628562924995</v>
      </c>
      <c r="I40" s="15" t="s">
        <v>747</v>
      </c>
    </row>
    <row r="41" customFormat="false" ht="15" hidden="false" customHeight="false" outlineLevel="0" collapsed="false">
      <c r="A41" s="54" t="s">
        <v>748</v>
      </c>
      <c r="B41" s="13" t="s">
        <v>749</v>
      </c>
      <c r="C41" s="61" t="n">
        <v>144991937521</v>
      </c>
      <c r="D41" s="61" t="n">
        <v>457138685522</v>
      </c>
      <c r="E41" s="61" t="n">
        <v>176790020011</v>
      </c>
      <c r="F41" s="61" t="n">
        <v>40323055724</v>
      </c>
      <c r="G41" s="61" t="n">
        <v>38593731509</v>
      </c>
      <c r="H41" s="61" t="n">
        <v>45282649553</v>
      </c>
      <c r="I41" s="15" t="s">
        <v>750</v>
      </c>
    </row>
    <row r="42" customFormat="false" ht="15" hidden="false" customHeight="false" outlineLevel="0" collapsed="false">
      <c r="A42" s="54" t="s">
        <v>751</v>
      </c>
      <c r="B42" s="13" t="s">
        <v>752</v>
      </c>
      <c r="C42" s="61" t="n">
        <v>-26531851745</v>
      </c>
      <c r="D42" s="61" t="n">
        <v>-102489898340</v>
      </c>
      <c r="E42" s="61" t="n">
        <v>-47858164349</v>
      </c>
      <c r="F42" s="61" t="n">
        <v>-24093626876</v>
      </c>
      <c r="G42" s="61" t="n">
        <v>-19697947242</v>
      </c>
      <c r="H42" s="61" t="n">
        <v>-15609507020</v>
      </c>
      <c r="I42" s="15" t="s">
        <v>753</v>
      </c>
    </row>
    <row r="43" customFormat="false" ht="15" hidden="false" customHeight="false" outlineLevel="0" collapsed="false">
      <c r="A43" s="54" t="s">
        <v>754</v>
      </c>
      <c r="B43" s="13" t="s">
        <v>755</v>
      </c>
      <c r="C43" s="61" t="n">
        <v>118460085776</v>
      </c>
      <c r="D43" s="61" t="n">
        <v>354648787182</v>
      </c>
      <c r="E43" s="61" t="n">
        <v>128931855662</v>
      </c>
      <c r="F43" s="61" t="n">
        <v>16229428848</v>
      </c>
      <c r="G43" s="61" t="n">
        <v>18895784267</v>
      </c>
      <c r="H43" s="61" t="n">
        <v>29673142533</v>
      </c>
      <c r="I43" s="15" t="s">
        <v>756</v>
      </c>
    </row>
    <row r="44" customFormat="false" ht="15" hidden="false" customHeight="false" outlineLevel="0" collapsed="false">
      <c r="A44" s="54" t="s">
        <v>757</v>
      </c>
      <c r="B44" s="13" t="s">
        <v>758</v>
      </c>
      <c r="C44" s="61" t="n">
        <v>127306536596</v>
      </c>
      <c r="D44" s="61" t="n">
        <v>-123948062</v>
      </c>
      <c r="E44" s="61" t="n">
        <v>-5808339610</v>
      </c>
      <c r="F44" s="61" t="n">
        <v>1081406355</v>
      </c>
      <c r="G44" s="61" t="n">
        <v>-4032005043</v>
      </c>
      <c r="H44" s="61" t="n">
        <v>233138577908</v>
      </c>
      <c r="I44" s="15" t="s">
        <v>759</v>
      </c>
    </row>
    <row r="45" customFormat="false" ht="15" hidden="false" customHeight="false" outlineLevel="0" collapsed="false">
      <c r="A45" s="54" t="s">
        <v>760</v>
      </c>
      <c r="B45" s="13" t="s">
        <v>761</v>
      </c>
      <c r="C45" s="61" t="n">
        <v>245766622372</v>
      </c>
      <c r="D45" s="61" t="n">
        <v>354524839120</v>
      </c>
      <c r="E45" s="61" t="n">
        <v>123123516052</v>
      </c>
      <c r="F45" s="61" t="n">
        <v>17310835203</v>
      </c>
      <c r="G45" s="61" t="n">
        <v>14863779223</v>
      </c>
      <c r="H45" s="61" t="n">
        <v>262811720441</v>
      </c>
      <c r="I45" s="15" t="s">
        <v>762</v>
      </c>
    </row>
    <row r="46" customFormat="false" ht="15" hidden="false" customHeight="false" outlineLevel="0" collapsed="false">
      <c r="A46" s="54" t="s">
        <v>763</v>
      </c>
      <c r="B46" s="13" t="s">
        <v>764</v>
      </c>
      <c r="C46" s="61" t="n">
        <v>245766622372</v>
      </c>
      <c r="D46" s="61" t="n">
        <v>354524839120</v>
      </c>
      <c r="E46" s="61" t="n">
        <v>123123516052</v>
      </c>
      <c r="F46" s="61" t="n">
        <v>17310835203</v>
      </c>
      <c r="G46" s="61" t="n">
        <v>14863779224</v>
      </c>
      <c r="H46" s="61" t="n">
        <v>262811720441</v>
      </c>
      <c r="I46" s="15" t="s">
        <v>765</v>
      </c>
    </row>
    <row r="48" customFormat="false" ht="15" hidden="false" customHeight="false" outlineLevel="0" collapsed="false">
      <c r="A48" s="16"/>
      <c r="B48" s="17" t="s">
        <v>766</v>
      </c>
      <c r="C48" s="16"/>
      <c r="D48" s="16"/>
      <c r="E48" s="16"/>
      <c r="F48" s="16"/>
      <c r="G48" s="16"/>
      <c r="H48" s="16"/>
      <c r="I48" s="16"/>
    </row>
    <row r="49" customFormat="false" ht="15" hidden="false" customHeight="false" outlineLevel="0" collapsed="false">
      <c r="A49" s="54" t="s">
        <v>767</v>
      </c>
      <c r="B49" s="13" t="s">
        <v>768</v>
      </c>
      <c r="C49" s="98" t="n">
        <v>1331315062035</v>
      </c>
      <c r="I49" s="15" t="s">
        <v>769</v>
      </c>
    </row>
    <row r="50" customFormat="false" ht="15" hidden="false" customHeight="false" outlineLevel="0" collapsed="false">
      <c r="A50" s="54" t="s">
        <v>770</v>
      </c>
      <c r="B50" s="13" t="s">
        <v>771</v>
      </c>
      <c r="C50" s="98" t="n">
        <v>145330220328</v>
      </c>
      <c r="I50" s="15" t="s">
        <v>769</v>
      </c>
    </row>
    <row r="51" customFormat="false" ht="15" hidden="false" customHeight="false" outlineLevel="0" collapsed="false">
      <c r="A51" s="54" t="s">
        <v>772</v>
      </c>
      <c r="B51" s="13" t="s">
        <v>773</v>
      </c>
      <c r="C51" s="98" t="n">
        <v>272557207208</v>
      </c>
      <c r="I51" s="15" t="s">
        <v>769</v>
      </c>
    </row>
    <row r="52" customFormat="false" ht="15" hidden="false" customHeight="false" outlineLevel="0" collapsed="false">
      <c r="A52" s="54" t="s">
        <v>774</v>
      </c>
      <c r="B52" s="13" t="s">
        <v>775</v>
      </c>
      <c r="C52" s="98" t="n">
        <v>183170680323</v>
      </c>
      <c r="I52" s="15" t="s">
        <v>776</v>
      </c>
    </row>
    <row r="53" customFormat="false" ht="15" hidden="false" customHeight="false" outlineLevel="0" collapsed="false">
      <c r="A53" s="54" t="s">
        <v>777</v>
      </c>
      <c r="B53" s="13" t="s">
        <v>778</v>
      </c>
      <c r="C53" s="98" t="n">
        <v>26870134552</v>
      </c>
      <c r="I53" s="15" t="s">
        <v>776</v>
      </c>
    </row>
    <row r="54" customFormat="false" ht="15" hidden="false" customHeight="false" outlineLevel="0" collapsed="false">
      <c r="A54" s="54" t="s">
        <v>779</v>
      </c>
      <c r="B54" s="13" t="s">
        <v>780</v>
      </c>
      <c r="C54" s="98" t="n">
        <v>25790584836</v>
      </c>
      <c r="I54" s="15" t="s">
        <v>776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781</v>
      </c>
    </row>
    <row r="2" customFormat="false" ht="15" hidden="false" customHeight="false" outlineLevel="0" collapsed="false">
      <c r="A2" s="15" t="s">
        <v>652</v>
      </c>
    </row>
    <row r="3" customFormat="false" ht="39.75" hidden="false" customHeight="true" outlineLevel="0" collapsed="false">
      <c r="B3" s="15" t="s">
        <v>653</v>
      </c>
      <c r="C3" s="95" t="s">
        <v>654</v>
      </c>
      <c r="D3" s="96" t="s">
        <v>655</v>
      </c>
      <c r="E3" s="96" t="s">
        <v>656</v>
      </c>
      <c r="F3" s="96" t="s">
        <v>657</v>
      </c>
      <c r="G3" s="96" t="s">
        <v>658</v>
      </c>
      <c r="H3" s="96" t="s">
        <v>659</v>
      </c>
      <c r="I3" s="5" t="s">
        <v>660</v>
      </c>
    </row>
    <row r="4" customFormat="false" ht="15" hidden="false" customHeight="false" outlineLevel="0" collapsed="false">
      <c r="A4" s="25" t="s">
        <v>339</v>
      </c>
      <c r="B4" s="25" t="s">
        <v>340</v>
      </c>
      <c r="C4" s="25" t="s">
        <v>131</v>
      </c>
      <c r="D4" s="25" t="s">
        <v>132</v>
      </c>
      <c r="E4" s="25" t="s">
        <v>133</v>
      </c>
      <c r="F4" s="25" t="s">
        <v>134</v>
      </c>
      <c r="G4" s="25" t="s">
        <v>135</v>
      </c>
      <c r="H4" s="25" t="s">
        <v>136</v>
      </c>
      <c r="I4" s="25" t="s">
        <v>341</v>
      </c>
    </row>
    <row r="5" customFormat="false" ht="15" hidden="false" customHeight="false" outlineLevel="0" collapsed="false">
      <c r="A5" s="16"/>
      <c r="B5" s="17" t="s">
        <v>400</v>
      </c>
      <c r="C5" s="16"/>
      <c r="D5" s="16"/>
      <c r="E5" s="16"/>
      <c r="F5" s="16"/>
      <c r="G5" s="16"/>
      <c r="H5" s="16"/>
      <c r="I5" s="16"/>
    </row>
    <row r="6" customFormat="false" ht="15" hidden="false" customHeight="false" outlineLevel="0" collapsed="false">
      <c r="A6" s="54" t="s">
        <v>782</v>
      </c>
      <c r="B6" s="13" t="s">
        <v>402</v>
      </c>
      <c r="C6" s="61" t="n">
        <v>624986556241</v>
      </c>
      <c r="D6" s="61" t="n">
        <v>829761008475</v>
      </c>
      <c r="E6" s="61" t="n">
        <v>629277670892</v>
      </c>
      <c r="F6" s="61" t="n">
        <v>622058009425</v>
      </c>
      <c r="G6" s="61" t="n">
        <v>783332056074</v>
      </c>
      <c r="H6" s="61" t="n">
        <v>826584741908</v>
      </c>
      <c r="I6" s="15" t="s">
        <v>783</v>
      </c>
    </row>
    <row r="7" customFormat="false" ht="15" hidden="false" customHeight="false" outlineLevel="0" collapsed="false">
      <c r="A7" s="54" t="s">
        <v>784</v>
      </c>
      <c r="B7" s="13" t="s">
        <v>785</v>
      </c>
      <c r="C7" s="61" t="n">
        <v>0</v>
      </c>
      <c r="D7" s="61" t="n">
        <v>22124975124</v>
      </c>
      <c r="E7" s="61" t="n">
        <v>8644876453</v>
      </c>
      <c r="F7" s="61" t="n">
        <v>5765989760</v>
      </c>
      <c r="G7" s="61" t="n">
        <v>3262592254</v>
      </c>
      <c r="H7" s="61" t="n">
        <v>6519211579</v>
      </c>
      <c r="I7" s="15" t="s">
        <v>786</v>
      </c>
    </row>
    <row r="8" customFormat="false" ht="15" hidden="false" customHeight="false" outlineLevel="0" collapsed="false">
      <c r="A8" s="54" t="s">
        <v>787</v>
      </c>
      <c r="B8" s="13" t="s">
        <v>788</v>
      </c>
      <c r="C8" s="61" t="n">
        <v>53252999</v>
      </c>
      <c r="D8" s="61" t="n">
        <v>0</v>
      </c>
      <c r="E8" s="61"/>
      <c r="F8" s="61"/>
      <c r="G8" s="61"/>
      <c r="H8" s="61"/>
      <c r="I8" s="15" t="s">
        <v>789</v>
      </c>
    </row>
    <row r="9" customFormat="false" ht="15" hidden="false" customHeight="false" outlineLevel="0" collapsed="false">
      <c r="A9" s="54" t="s">
        <v>790</v>
      </c>
      <c r="B9" s="13" t="s">
        <v>791</v>
      </c>
      <c r="C9" s="61" t="n">
        <v>123077327077</v>
      </c>
      <c r="D9" s="61" t="n">
        <v>156760305676</v>
      </c>
      <c r="E9" s="61" t="n">
        <v>114643521666</v>
      </c>
      <c r="F9" s="61" t="n">
        <v>110468662796</v>
      </c>
      <c r="G9" s="61" t="n">
        <v>144714255906</v>
      </c>
      <c r="H9" s="61" t="n">
        <v>161939911962</v>
      </c>
      <c r="I9" s="15" t="s">
        <v>792</v>
      </c>
    </row>
    <row r="10" customFormat="false" ht="15" hidden="false" customHeight="false" outlineLevel="0" collapsed="false">
      <c r="A10" s="54" t="s">
        <v>793</v>
      </c>
      <c r="B10" s="13" t="s">
        <v>794</v>
      </c>
      <c r="C10" s="61" t="n">
        <v>29780328862</v>
      </c>
      <c r="D10" s="61" t="n">
        <v>46888909257</v>
      </c>
      <c r="E10" s="61" t="n">
        <v>16045109255</v>
      </c>
      <c r="F10" s="61" t="n">
        <v>15239704881</v>
      </c>
      <c r="G10" s="61" t="n">
        <v>20074879572</v>
      </c>
      <c r="H10" s="61" t="n">
        <v>25325460858</v>
      </c>
      <c r="I10" s="15" t="s">
        <v>795</v>
      </c>
    </row>
    <row r="11" customFormat="false" ht="15" hidden="false" customHeight="false" outlineLevel="0" collapsed="false">
      <c r="A11" s="54" t="s">
        <v>796</v>
      </c>
      <c r="B11" s="13" t="s">
        <v>797</v>
      </c>
      <c r="C11" s="61" t="n">
        <v>7159799879</v>
      </c>
      <c r="D11" s="61" t="n">
        <v>5022979545</v>
      </c>
      <c r="E11" s="61" t="n">
        <v>19858722690</v>
      </c>
      <c r="F11" s="61" t="n">
        <v>11451721638</v>
      </c>
      <c r="G11" s="61" t="n">
        <v>9970928889</v>
      </c>
      <c r="H11" s="61" t="n">
        <v>23831602694</v>
      </c>
      <c r="I11" s="15" t="s">
        <v>798</v>
      </c>
    </row>
    <row r="12" customFormat="false" ht="15" hidden="false" customHeight="false" outlineLevel="0" collapsed="false">
      <c r="A12" s="54" t="s">
        <v>799</v>
      </c>
      <c r="B12" s="13" t="s">
        <v>407</v>
      </c>
      <c r="C12" s="61" t="n">
        <v>18986141553</v>
      </c>
      <c r="D12" s="61" t="n">
        <v>38894708132</v>
      </c>
      <c r="E12" s="61" t="n">
        <v>39449108364</v>
      </c>
      <c r="F12" s="61" t="n">
        <v>42198489975</v>
      </c>
      <c r="G12" s="61" t="n">
        <v>47021949525</v>
      </c>
      <c r="H12" s="61" t="n">
        <v>51620217662</v>
      </c>
      <c r="I12" s="15" t="s">
        <v>800</v>
      </c>
    </row>
    <row r="13" customFormat="false" ht="15" hidden="false" customHeight="false" outlineLevel="0" collapsed="false">
      <c r="A13" s="54" t="s">
        <v>801</v>
      </c>
      <c r="B13" s="13" t="s">
        <v>802</v>
      </c>
      <c r="C13" s="61" t="n">
        <v>9575528561</v>
      </c>
      <c r="D13" s="61" t="n">
        <v>29085852029</v>
      </c>
      <c r="E13" s="61" t="n">
        <v>58381514946</v>
      </c>
      <c r="F13" s="61" t="n">
        <v>60886480841</v>
      </c>
      <c r="G13" s="61" t="n">
        <v>69993313658</v>
      </c>
      <c r="H13" s="61" t="n">
        <v>100933381798</v>
      </c>
      <c r="I13" s="15" t="s">
        <v>803</v>
      </c>
    </row>
    <row r="14" customFormat="false" ht="15" hidden="false" customHeight="false" outlineLevel="0" collapsed="false">
      <c r="A14" s="54" t="s">
        <v>804</v>
      </c>
      <c r="B14" s="13" t="s">
        <v>805</v>
      </c>
      <c r="C14" s="61" t="n">
        <v>2115558294</v>
      </c>
      <c r="D14" s="61" t="n">
        <v>2566985695</v>
      </c>
      <c r="E14" s="61" t="n">
        <v>1529556969</v>
      </c>
      <c r="F14" s="61" t="n">
        <v>977102356</v>
      </c>
      <c r="G14" s="61" t="n">
        <v>10510810074</v>
      </c>
      <c r="H14" s="61" t="n">
        <v>13484587923</v>
      </c>
      <c r="I14" s="15" t="s">
        <v>806</v>
      </c>
    </row>
    <row r="15" customFormat="false" ht="15" hidden="false" customHeight="false" outlineLevel="0" collapsed="false">
      <c r="A15" s="63" t="s">
        <v>807</v>
      </c>
      <c r="B15" s="64" t="s">
        <v>412</v>
      </c>
      <c r="C15" s="65" t="n">
        <f aca="false">C6+C7+C8+C9+C10+C11+C12+C13+C14</f>
        <v>815734493466</v>
      </c>
      <c r="D15" s="65" t="n">
        <f aca="false">D6+D7+D8+D9+D10+D11+D12+D13+D14</f>
        <v>1131105723933</v>
      </c>
      <c r="E15" s="65" t="n">
        <f aca="false">E6+E7+E8+E9+E10+E11+E12+E13+E14</f>
        <v>887830081235</v>
      </c>
      <c r="F15" s="65" t="n">
        <f aca="false">F6+F7+F8+F9+F10+F11+F12+F13+F14</f>
        <v>869046161672</v>
      </c>
      <c r="G15" s="65" t="n">
        <f aca="false">G6+G7+G8+G9+G10+G11+G12+G13+G14</f>
        <v>1088880785952</v>
      </c>
      <c r="H15" s="65" t="n">
        <f aca="false">H6+H7+H8+H9+H10+H11+H12+H13+H14</f>
        <v>1210239116384</v>
      </c>
    </row>
    <row r="16" customFormat="false" ht="15" hidden="false" customHeight="false" outlineLevel="0" collapsed="false">
      <c r="A16" s="54" t="s">
        <v>808</v>
      </c>
      <c r="B16" s="13" t="s">
        <v>809</v>
      </c>
      <c r="C16" s="61" t="n">
        <v>11811161479</v>
      </c>
      <c r="D16" s="61" t="n">
        <v>15236931143</v>
      </c>
      <c r="E16" s="61" t="n">
        <v>15497585903</v>
      </c>
      <c r="F16" s="61" t="n">
        <v>22630890720</v>
      </c>
      <c r="G16" s="61" t="n">
        <v>25310529957</v>
      </c>
      <c r="H16" s="61" t="n">
        <v>31691945497</v>
      </c>
      <c r="I16" s="15" t="s">
        <v>810</v>
      </c>
    </row>
    <row r="17" customFormat="false" ht="15" hidden="false" customHeight="false" outlineLevel="0" collapsed="false">
      <c r="A17" s="54" t="s">
        <v>811</v>
      </c>
      <c r="B17" s="13" t="s">
        <v>812</v>
      </c>
      <c r="C17" s="61" t="n">
        <v>0</v>
      </c>
      <c r="D17" s="61" t="n">
        <v>0</v>
      </c>
      <c r="E17" s="61" t="n">
        <v>0</v>
      </c>
      <c r="F17" s="61" t="n">
        <v>0</v>
      </c>
      <c r="G17" s="61" t="n">
        <v>37511247</v>
      </c>
      <c r="H17" s="61" t="n">
        <v>0</v>
      </c>
      <c r="I17" s="15" t="s">
        <v>813</v>
      </c>
    </row>
    <row r="18" customFormat="false" ht="15" hidden="false" customHeight="false" outlineLevel="0" collapsed="false">
      <c r="A18" s="54" t="s">
        <v>814</v>
      </c>
      <c r="B18" s="13" t="s">
        <v>815</v>
      </c>
      <c r="C18" s="61" t="n">
        <v>48542526759</v>
      </c>
      <c r="D18" s="61" t="n">
        <v>21495000000</v>
      </c>
      <c r="E18" s="61" t="n">
        <v>78689500000</v>
      </c>
      <c r="F18" s="61" t="n">
        <v>83195500000</v>
      </c>
      <c r="G18" s="61" t="n">
        <v>83195500000</v>
      </c>
      <c r="H18" s="61" t="n">
        <v>83195500000</v>
      </c>
      <c r="I18" s="15" t="s">
        <v>816</v>
      </c>
    </row>
    <row r="19" customFormat="false" ht="15" hidden="false" customHeight="false" outlineLevel="0" collapsed="false">
      <c r="A19" s="54" t="s">
        <v>817</v>
      </c>
      <c r="B19" s="13" t="s">
        <v>818</v>
      </c>
      <c r="C19" s="61" t="n">
        <v>1248769678311</v>
      </c>
      <c r="D19" s="61" t="n">
        <v>1499198307038</v>
      </c>
      <c r="E19" s="61" t="n">
        <v>1757540033465</v>
      </c>
      <c r="F19" s="61" t="n">
        <v>1863253878489</v>
      </c>
      <c r="G19" s="61" t="n">
        <v>1934924754148</v>
      </c>
      <c r="H19" s="61" t="n">
        <v>2363899139020</v>
      </c>
      <c r="I19" s="15" t="s">
        <v>819</v>
      </c>
    </row>
    <row r="20" customFormat="false" ht="15" hidden="false" customHeight="false" outlineLevel="0" collapsed="false">
      <c r="A20" s="54" t="s">
        <v>820</v>
      </c>
      <c r="B20" s="13" t="s">
        <v>416</v>
      </c>
      <c r="C20" s="61" t="n">
        <v>24249107726</v>
      </c>
      <c r="D20" s="61" t="n">
        <v>60480439977</v>
      </c>
      <c r="E20" s="61" t="n">
        <v>86574078236</v>
      </c>
      <c r="F20" s="61" t="n">
        <v>102986330128</v>
      </c>
      <c r="G20" s="61" t="n">
        <v>94506359437</v>
      </c>
      <c r="H20" s="61" t="n">
        <v>147651907371</v>
      </c>
      <c r="I20" s="15" t="s">
        <v>821</v>
      </c>
    </row>
    <row r="21" customFormat="false" ht="15" hidden="false" customHeight="false" outlineLevel="0" collapsed="false">
      <c r="A21" s="54" t="s">
        <v>822</v>
      </c>
      <c r="B21" s="13" t="s">
        <v>823</v>
      </c>
      <c r="C21" s="61" t="n">
        <v>0</v>
      </c>
      <c r="D21" s="61" t="n">
        <v>0</v>
      </c>
      <c r="E21" s="61" t="n">
        <v>0</v>
      </c>
      <c r="F21" s="61" t="n">
        <v>0</v>
      </c>
      <c r="G21" s="61" t="n">
        <v>6581452803</v>
      </c>
      <c r="H21" s="61" t="n">
        <v>4271939744</v>
      </c>
      <c r="I21" s="15" t="s">
        <v>824</v>
      </c>
    </row>
    <row r="22" customFormat="false" ht="15" hidden="false" customHeight="false" outlineLevel="0" collapsed="false">
      <c r="A22" s="54" t="s">
        <v>825</v>
      </c>
      <c r="B22" s="13" t="s">
        <v>826</v>
      </c>
      <c r="C22" s="61" t="n">
        <v>0</v>
      </c>
      <c r="D22" s="61" t="n">
        <v>50811634395</v>
      </c>
      <c r="E22" s="61" t="n">
        <v>94793507471</v>
      </c>
      <c r="F22" s="61" t="n">
        <v>94793507471</v>
      </c>
      <c r="G22" s="61" t="n">
        <v>94793507471</v>
      </c>
      <c r="H22" s="61" t="n">
        <v>94793507471</v>
      </c>
      <c r="I22" s="15" t="s">
        <v>827</v>
      </c>
    </row>
    <row r="23" customFormat="false" ht="15" hidden="false" customHeight="false" outlineLevel="0" collapsed="false">
      <c r="A23" s="54" t="s">
        <v>828</v>
      </c>
      <c r="B23" s="13" t="s">
        <v>829</v>
      </c>
      <c r="C23" s="61" t="n">
        <v>0</v>
      </c>
      <c r="D23" s="61" t="n">
        <v>0</v>
      </c>
      <c r="E23" s="61" t="n">
        <v>8241426422</v>
      </c>
      <c r="F23" s="61" t="n">
        <v>13099723470</v>
      </c>
      <c r="G23" s="61" t="n">
        <v>78055515818</v>
      </c>
      <c r="H23" s="61" t="n">
        <v>44571957697</v>
      </c>
      <c r="I23" s="15" t="s">
        <v>830</v>
      </c>
    </row>
    <row r="24" customFormat="false" ht="15" hidden="false" customHeight="false" outlineLevel="0" collapsed="false">
      <c r="A24" s="54" t="s">
        <v>831</v>
      </c>
      <c r="B24" s="13" t="s">
        <v>418</v>
      </c>
      <c r="C24" s="61" t="n">
        <v>13429866724</v>
      </c>
      <c r="D24" s="61" t="n">
        <v>35368485942</v>
      </c>
      <c r="E24" s="61" t="n">
        <v>9443936258</v>
      </c>
      <c r="F24" s="61" t="n">
        <v>34156042498</v>
      </c>
      <c r="G24" s="61" t="n">
        <v>40074986915</v>
      </c>
      <c r="H24" s="61" t="n">
        <v>36114421959</v>
      </c>
      <c r="I24" s="15" t="s">
        <v>832</v>
      </c>
    </row>
    <row r="25" customFormat="false" ht="15" hidden="false" customHeight="false" outlineLevel="0" collapsed="false">
      <c r="A25" s="63" t="s">
        <v>833</v>
      </c>
      <c r="B25" s="64" t="s">
        <v>421</v>
      </c>
      <c r="C25" s="65" t="n">
        <f aca="false">C16+C17+C18+C19+C20+C21+C22+C23+C24</f>
        <v>1346802340999</v>
      </c>
      <c r="D25" s="65" t="n">
        <f aca="false">D16+D17+D18+D19+D20+D21+D22+D23+D24</f>
        <v>1682590798495</v>
      </c>
      <c r="E25" s="65" t="n">
        <f aca="false">E16+E17+E18+E19+E20+E21+E22+E23+E24</f>
        <v>2050780067755</v>
      </c>
      <c r="F25" s="65" t="n">
        <f aca="false">F16+F17+F18+F19+F20+F21+F22+F23+F24</f>
        <v>2214115872776</v>
      </c>
      <c r="G25" s="65" t="n">
        <f aca="false">G16+G17+G18+G19+G20+G21+G22+G23+G24</f>
        <v>2357480117796</v>
      </c>
      <c r="H25" s="65" t="n">
        <f aca="false">H16+H17+H18+H19+H20+H21+H22+H23+H24</f>
        <v>2806190318759</v>
      </c>
    </row>
    <row r="26" customFormat="false" ht="15" hidden="false" customHeight="false" outlineLevel="0" collapsed="false">
      <c r="A26" s="63" t="s">
        <v>834</v>
      </c>
      <c r="B26" s="64" t="s">
        <v>423</v>
      </c>
      <c r="C26" s="65" t="n">
        <f aca="false">C15+C25</f>
        <v>2162536834465</v>
      </c>
      <c r="D26" s="65" t="n">
        <f aca="false">D15+D25</f>
        <v>2813696522428</v>
      </c>
      <c r="E26" s="65" t="n">
        <f aca="false">E15+E25</f>
        <v>2938610148990</v>
      </c>
      <c r="F26" s="65" t="n">
        <f aca="false">F15+F25</f>
        <v>3083162034448</v>
      </c>
      <c r="G26" s="65" t="n">
        <f aca="false">G15+G25</f>
        <v>3446360903748</v>
      </c>
      <c r="H26" s="65" t="n">
        <f aca="false">H15+H25</f>
        <v>4016429435143</v>
      </c>
    </row>
    <row r="27" customFormat="false" ht="15" hidden="false" customHeight="false" outlineLevel="0" collapsed="false">
      <c r="A27" s="16"/>
      <c r="B27" s="17" t="s">
        <v>424</v>
      </c>
      <c r="C27" s="16"/>
      <c r="D27" s="16"/>
      <c r="E27" s="16"/>
      <c r="F27" s="16"/>
      <c r="G27" s="16"/>
      <c r="H27" s="16"/>
      <c r="I27" s="16"/>
    </row>
    <row r="28" customFormat="false" ht="15" hidden="false" customHeight="false" outlineLevel="0" collapsed="false">
      <c r="A28" s="54" t="s">
        <v>835</v>
      </c>
      <c r="B28" s="13" t="s">
        <v>836</v>
      </c>
      <c r="C28" s="61" t="n">
        <v>391717789095</v>
      </c>
      <c r="D28" s="61" t="n">
        <v>391717789095</v>
      </c>
      <c r="E28" s="61" t="n">
        <v>391717789095</v>
      </c>
      <c r="F28" s="61" t="n">
        <v>411753242245</v>
      </c>
      <c r="G28" s="61" t="n">
        <v>440600262935</v>
      </c>
      <c r="H28" s="61" t="n">
        <v>445816762935</v>
      </c>
      <c r="I28" s="15" t="s">
        <v>837</v>
      </c>
    </row>
    <row r="29" customFormat="false" ht="15" hidden="false" customHeight="false" outlineLevel="0" collapsed="false">
      <c r="A29" s="54" t="s">
        <v>838</v>
      </c>
      <c r="B29" s="13" t="s">
        <v>839</v>
      </c>
      <c r="C29" s="61" t="n">
        <v>26709213177</v>
      </c>
      <c r="D29" s="61" t="n">
        <v>0</v>
      </c>
      <c r="E29" s="61"/>
      <c r="F29" s="61"/>
      <c r="G29" s="61"/>
      <c r="H29" s="61"/>
      <c r="I29" s="15" t="s">
        <v>840</v>
      </c>
    </row>
    <row r="30" customFormat="false" ht="15" hidden="false" customHeight="false" outlineLevel="0" collapsed="false">
      <c r="A30" s="54" t="s">
        <v>841</v>
      </c>
      <c r="B30" s="13" t="s">
        <v>842</v>
      </c>
      <c r="C30" s="61" t="n">
        <v>93416109618</v>
      </c>
      <c r="D30" s="61" t="n">
        <v>119160438932</v>
      </c>
      <c r="E30" s="61" t="n">
        <v>91788261047</v>
      </c>
      <c r="F30" s="61" t="n">
        <v>55770943580</v>
      </c>
      <c r="G30" s="61" t="n">
        <v>30881579952</v>
      </c>
      <c r="H30" s="61" t="n">
        <v>81660213509</v>
      </c>
      <c r="I30" s="15" t="s">
        <v>843</v>
      </c>
    </row>
    <row r="31" customFormat="false" ht="15" hidden="false" customHeight="false" outlineLevel="0" collapsed="false">
      <c r="A31" s="54" t="s">
        <v>844</v>
      </c>
      <c r="B31" s="13" t="s">
        <v>845</v>
      </c>
      <c r="C31" s="61" t="n">
        <v>5104663500</v>
      </c>
      <c r="D31" s="61" t="n">
        <v>3243418748</v>
      </c>
      <c r="E31" s="61" t="n">
        <v>0</v>
      </c>
      <c r="F31" s="61" t="n">
        <v>460175720</v>
      </c>
      <c r="G31" s="61"/>
      <c r="H31" s="61"/>
      <c r="I31" s="15" t="s">
        <v>846</v>
      </c>
    </row>
    <row r="32" customFormat="false" ht="15" hidden="false" customHeight="false" outlineLevel="0" collapsed="false">
      <c r="A32" s="54" t="s">
        <v>847</v>
      </c>
      <c r="B32" s="13" t="s">
        <v>848</v>
      </c>
      <c r="C32" s="61" t="n">
        <v>12650937706</v>
      </c>
      <c r="D32" s="61" t="n">
        <v>4730904801</v>
      </c>
      <c r="E32" s="61" t="n">
        <v>6772289976</v>
      </c>
      <c r="F32" s="61" t="n">
        <v>16449688543</v>
      </c>
      <c r="G32" s="61" t="n">
        <v>14708865083</v>
      </c>
      <c r="H32" s="61" t="n">
        <v>23743315736</v>
      </c>
      <c r="I32" s="15" t="s">
        <v>849</v>
      </c>
    </row>
    <row r="33" customFormat="false" ht="15" hidden="false" customHeight="false" outlineLevel="0" collapsed="false">
      <c r="A33" s="54" t="s">
        <v>850</v>
      </c>
      <c r="B33" s="13" t="s">
        <v>851</v>
      </c>
      <c r="C33" s="61" t="n">
        <v>61107462440</v>
      </c>
      <c r="D33" s="61" t="n">
        <v>32836740934</v>
      </c>
      <c r="E33" s="61" t="n">
        <v>23572537474</v>
      </c>
      <c r="F33" s="61" t="n">
        <v>16128774673</v>
      </c>
      <c r="G33" s="61" t="n">
        <v>21248355658</v>
      </c>
      <c r="H33" s="61" t="n">
        <v>33551746321</v>
      </c>
      <c r="I33" s="15" t="s">
        <v>852</v>
      </c>
    </row>
    <row r="34" customFormat="false" ht="15" hidden="false" customHeight="false" outlineLevel="0" collapsed="false">
      <c r="A34" s="54" t="s">
        <v>853</v>
      </c>
      <c r="B34" s="13" t="s">
        <v>854</v>
      </c>
      <c r="C34" s="61" t="n">
        <v>28134321068</v>
      </c>
      <c r="D34" s="61" t="n">
        <v>43395716407</v>
      </c>
      <c r="E34" s="61" t="n">
        <v>27024933340</v>
      </c>
      <c r="F34" s="61" t="n">
        <v>30344679306</v>
      </c>
      <c r="G34" s="61" t="n">
        <v>28573978375</v>
      </c>
      <c r="H34" s="61" t="n">
        <v>72836181464</v>
      </c>
      <c r="I34" s="15" t="s">
        <v>855</v>
      </c>
    </row>
    <row r="35" customFormat="false" ht="15" hidden="false" customHeight="false" outlineLevel="0" collapsed="false">
      <c r="A35" s="54" t="s">
        <v>856</v>
      </c>
      <c r="B35" s="13" t="s">
        <v>857</v>
      </c>
      <c r="C35" s="61" t="n">
        <v>29948775768</v>
      </c>
      <c r="D35" s="61" t="n">
        <v>90492583600</v>
      </c>
      <c r="E35" s="61" t="n">
        <v>21247052976</v>
      </c>
      <c r="F35" s="61" t="n">
        <v>18954459126</v>
      </c>
      <c r="G35" s="61" t="n">
        <v>9015649284</v>
      </c>
      <c r="H35" s="61" t="n">
        <v>18732279932</v>
      </c>
      <c r="I35" s="15" t="s">
        <v>858</v>
      </c>
    </row>
    <row r="36" customFormat="false" ht="15" hidden="false" customHeight="false" outlineLevel="0" collapsed="false">
      <c r="A36" s="54" t="s">
        <v>859</v>
      </c>
      <c r="B36" s="13" t="s">
        <v>860</v>
      </c>
      <c r="C36" s="61" t="n">
        <v>21295199457</v>
      </c>
      <c r="D36" s="61" t="n">
        <v>28275076891</v>
      </c>
      <c r="E36" s="61" t="n">
        <v>60501895336</v>
      </c>
      <c r="F36" s="61" t="n">
        <v>4427592447</v>
      </c>
      <c r="G36" s="61" t="n">
        <v>3886703167</v>
      </c>
      <c r="H36" s="61" t="n">
        <v>47931990928</v>
      </c>
      <c r="I36" s="15" t="s">
        <v>861</v>
      </c>
    </row>
    <row r="37" customFormat="false" ht="15" hidden="false" customHeight="false" outlineLevel="0" collapsed="false">
      <c r="A37" s="54" t="s">
        <v>862</v>
      </c>
      <c r="B37" s="13" t="s">
        <v>863</v>
      </c>
      <c r="C37" s="61" t="n">
        <v>13131353419</v>
      </c>
      <c r="D37" s="61" t="n">
        <v>22644455428</v>
      </c>
      <c r="E37" s="61" t="n">
        <v>21237249027</v>
      </c>
      <c r="F37" s="61" t="n">
        <v>15341991373</v>
      </c>
      <c r="G37" s="61" t="n">
        <v>19500574022</v>
      </c>
      <c r="H37" s="61" t="n">
        <v>21812380174</v>
      </c>
      <c r="I37" s="15" t="s">
        <v>864</v>
      </c>
    </row>
    <row r="38" customFormat="false" ht="15" hidden="false" customHeight="false" outlineLevel="0" collapsed="false">
      <c r="A38" s="63" t="s">
        <v>865</v>
      </c>
      <c r="B38" s="64" t="s">
        <v>866</v>
      </c>
      <c r="C38" s="65" t="n">
        <f aca="false">C28+C29+C30+C31+C32+C33+C34+C35+C36+C37</f>
        <v>683215825248</v>
      </c>
      <c r="D38" s="65" t="n">
        <f aca="false">D28+D29+D30+D31+D32+D33+D34+D35+D36+D37</f>
        <v>736497124836</v>
      </c>
      <c r="E38" s="65" t="n">
        <f aca="false">E28+E29+E30+E31+E32+E33+E34+E35+E36+E37</f>
        <v>643862008271</v>
      </c>
      <c r="F38" s="65" t="n">
        <f aca="false">F28+F29+F30+F31+F32+F33+F34+F35+F36+F37</f>
        <v>569631547013</v>
      </c>
      <c r="G38" s="65" t="n">
        <f aca="false">G28+G29+G30+G31+G32+G33+G34+G35+G36+G37</f>
        <v>568415968476</v>
      </c>
      <c r="H38" s="65" t="n">
        <f aca="false">H28+H29+H30+H31+H32+H33+H34+H35+H36+H37</f>
        <v>746084870999</v>
      </c>
    </row>
    <row r="39" customFormat="false" ht="15" hidden="false" customHeight="false" outlineLevel="0" collapsed="false">
      <c r="A39" s="54" t="s">
        <v>867</v>
      </c>
      <c r="B39" s="13" t="s">
        <v>868</v>
      </c>
      <c r="C39" s="61" t="n">
        <v>114698348</v>
      </c>
      <c r="D39" s="61" t="n">
        <v>136472211</v>
      </c>
      <c r="E39" s="61" t="n">
        <v>18370139</v>
      </c>
      <c r="F39" s="61" t="n">
        <v>0</v>
      </c>
      <c r="G39" s="61" t="n">
        <v>641176357</v>
      </c>
      <c r="H39" s="61" t="n">
        <v>1059029647</v>
      </c>
      <c r="I39" s="15" t="s">
        <v>869</v>
      </c>
    </row>
    <row r="40" customFormat="false" ht="15" hidden="false" customHeight="false" outlineLevel="0" collapsed="false">
      <c r="A40" s="54" t="s">
        <v>870</v>
      </c>
      <c r="B40" s="13" t="s">
        <v>871</v>
      </c>
      <c r="C40" s="61" t="n">
        <v>301000000000</v>
      </c>
      <c r="D40" s="61" t="n">
        <v>0</v>
      </c>
      <c r="E40" s="61"/>
      <c r="F40" s="61"/>
      <c r="G40" s="61"/>
      <c r="H40" s="61"/>
      <c r="I40" s="15" t="s">
        <v>872</v>
      </c>
    </row>
    <row r="41" customFormat="false" ht="15" hidden="false" customHeight="false" outlineLevel="0" collapsed="false">
      <c r="A41" s="54" t="s">
        <v>873</v>
      </c>
      <c r="B41" s="13" t="s">
        <v>874</v>
      </c>
      <c r="C41" s="61" t="n">
        <v>43497624626</v>
      </c>
      <c r="D41" s="61" t="n">
        <v>51410006855</v>
      </c>
      <c r="E41" s="61" t="n">
        <v>28534604984</v>
      </c>
      <c r="F41" s="61" t="n">
        <v>25063931536</v>
      </c>
      <c r="G41" s="61" t="n">
        <v>29627155160</v>
      </c>
      <c r="H41" s="61" t="n">
        <v>34552286808</v>
      </c>
      <c r="I41" s="15" t="s">
        <v>875</v>
      </c>
    </row>
    <row r="42" customFormat="false" ht="15" hidden="false" customHeight="false" outlineLevel="0" collapsed="false">
      <c r="A42" s="54" t="s">
        <v>876</v>
      </c>
      <c r="B42" s="13" t="s">
        <v>877</v>
      </c>
      <c r="C42" s="61" t="n">
        <v>76775120888</v>
      </c>
      <c r="D42" s="61" t="n">
        <v>193498426984</v>
      </c>
      <c r="E42" s="61" t="n">
        <v>402935937334</v>
      </c>
      <c r="F42" s="61" t="n">
        <v>610997380701</v>
      </c>
      <c r="G42" s="61" t="n">
        <v>646409321168</v>
      </c>
      <c r="H42" s="61" t="n">
        <v>721891312883</v>
      </c>
      <c r="I42" s="15" t="s">
        <v>878</v>
      </c>
    </row>
    <row r="43" customFormat="false" ht="15" hidden="false" customHeight="false" outlineLevel="0" collapsed="false">
      <c r="A43" s="54" t="s">
        <v>879</v>
      </c>
      <c r="B43" s="13" t="s">
        <v>880</v>
      </c>
      <c r="C43" s="61" t="n">
        <v>8234179743</v>
      </c>
      <c r="D43" s="61" t="n">
        <v>35938489892</v>
      </c>
      <c r="E43" s="61" t="n">
        <v>55026783857</v>
      </c>
      <c r="F43" s="61" t="n">
        <v>77433266746</v>
      </c>
      <c r="G43" s="61" t="n">
        <v>53531597866</v>
      </c>
      <c r="H43" s="61" t="n">
        <v>118334918295</v>
      </c>
      <c r="I43" s="15" t="s">
        <v>881</v>
      </c>
    </row>
    <row r="44" customFormat="false" ht="15" hidden="false" customHeight="false" outlineLevel="0" collapsed="false">
      <c r="A44" s="63" t="s">
        <v>882</v>
      </c>
      <c r="B44" s="64" t="s">
        <v>883</v>
      </c>
      <c r="C44" s="65" t="n">
        <f aca="false">C39+C40+C41+C42+C43</f>
        <v>429621623605</v>
      </c>
      <c r="D44" s="65" t="n">
        <f aca="false">D39+D40+D41+D42+D43</f>
        <v>280983395942</v>
      </c>
      <c r="E44" s="65" t="n">
        <f aca="false">E39+E40+E41+E42+E43</f>
        <v>486515696314</v>
      </c>
      <c r="F44" s="65" t="n">
        <f aca="false">F39+F40+F41+F42+F43</f>
        <v>713494578983</v>
      </c>
      <c r="G44" s="65" t="n">
        <f aca="false">G39+G40+G41+G42+G43</f>
        <v>730209250551</v>
      </c>
      <c r="H44" s="65" t="n">
        <f aca="false">H39+H40+H41+H42+H43</f>
        <v>875837547633</v>
      </c>
    </row>
    <row r="45" customFormat="false" ht="15" hidden="false" customHeight="false" outlineLevel="0" collapsed="false">
      <c r="A45" s="63" t="s">
        <v>884</v>
      </c>
      <c r="B45" s="64" t="s">
        <v>438</v>
      </c>
      <c r="C45" s="65" t="n">
        <f aca="false">C38+C44</f>
        <v>1112837448853</v>
      </c>
      <c r="D45" s="65" t="n">
        <f aca="false">D38+D44</f>
        <v>1017480520778</v>
      </c>
      <c r="E45" s="65" t="n">
        <f aca="false">E38+E44</f>
        <v>1130377704585</v>
      </c>
      <c r="F45" s="65" t="n">
        <f aca="false">F38+F44</f>
        <v>1283126125996</v>
      </c>
      <c r="G45" s="65" t="n">
        <f aca="false">G38+G44</f>
        <v>1298625219027</v>
      </c>
      <c r="H45" s="65" t="n">
        <f aca="false">H38+H44</f>
        <v>1621922418632</v>
      </c>
    </row>
    <row r="46" customFormat="false" ht="15" hidden="false" customHeight="false" outlineLevel="0" collapsed="false">
      <c r="A46" s="16"/>
      <c r="B46" s="17" t="s">
        <v>439</v>
      </c>
      <c r="C46" s="16"/>
      <c r="D46" s="16"/>
      <c r="E46" s="16"/>
      <c r="F46" s="16"/>
      <c r="G46" s="16"/>
      <c r="H46" s="16"/>
      <c r="I46" s="16"/>
    </row>
    <row r="47" customFormat="false" ht="15" hidden="false" customHeight="false" outlineLevel="0" collapsed="false">
      <c r="A47" s="54" t="s">
        <v>885</v>
      </c>
      <c r="B47" s="13" t="s">
        <v>886</v>
      </c>
      <c r="C47" s="61" t="n">
        <v>150000000000</v>
      </c>
      <c r="D47" s="61" t="n">
        <v>172068323520</v>
      </c>
      <c r="E47" s="61" t="n">
        <v>172068323520</v>
      </c>
      <c r="F47" s="61" t="n">
        <v>172068323520</v>
      </c>
      <c r="G47" s="61" t="n">
        <v>172068323520</v>
      </c>
      <c r="H47" s="61" t="n">
        <v>172068323520</v>
      </c>
      <c r="I47" s="15" t="s">
        <v>887</v>
      </c>
    </row>
    <row r="48" customFormat="false" ht="15" hidden="false" customHeight="false" outlineLevel="0" collapsed="false">
      <c r="A48" s="54" t="s">
        <v>888</v>
      </c>
      <c r="B48" s="13" t="s">
        <v>889</v>
      </c>
      <c r="C48" s="61" t="n">
        <v>74440819965</v>
      </c>
      <c r="D48" s="61" t="n">
        <v>449168394522</v>
      </c>
      <c r="E48" s="61" t="n">
        <v>437383152743</v>
      </c>
      <c r="F48" s="61" t="n">
        <v>437383152743</v>
      </c>
      <c r="G48" s="61" t="n">
        <v>556675032353</v>
      </c>
      <c r="H48" s="61" t="n">
        <v>556636429244</v>
      </c>
      <c r="I48" s="15" t="s">
        <v>890</v>
      </c>
    </row>
    <row r="49" customFormat="false" ht="15" hidden="false" customHeight="false" outlineLevel="0" collapsed="false">
      <c r="A49" s="54" t="s">
        <v>891</v>
      </c>
      <c r="B49" s="13" t="s">
        <v>892</v>
      </c>
      <c r="C49" s="61" t="n">
        <v>0</v>
      </c>
      <c r="D49" s="61" t="n">
        <v>0</v>
      </c>
      <c r="E49" s="61" t="n">
        <v>0</v>
      </c>
      <c r="F49" s="61" t="n">
        <v>-2383756076</v>
      </c>
      <c r="G49" s="61" t="n">
        <v>-2383756076</v>
      </c>
      <c r="H49" s="61" t="n">
        <v>-2383756076</v>
      </c>
      <c r="I49" s="15" t="s">
        <v>893</v>
      </c>
    </row>
    <row r="50" customFormat="false" ht="15" hidden="false" customHeight="false" outlineLevel="0" collapsed="false">
      <c r="A50" s="54" t="s">
        <v>894</v>
      </c>
      <c r="B50" s="13" t="s">
        <v>895</v>
      </c>
      <c r="C50" s="61" t="n">
        <v>690499269307</v>
      </c>
      <c r="D50" s="61" t="n">
        <v>690499269307</v>
      </c>
      <c r="E50" s="61" t="n">
        <v>690499269307</v>
      </c>
      <c r="F50" s="61" t="n">
        <v>690499269307</v>
      </c>
      <c r="G50" s="61" t="n">
        <v>690499269307</v>
      </c>
      <c r="H50" s="61" t="n">
        <v>918899732919</v>
      </c>
      <c r="I50" s="15" t="s">
        <v>896</v>
      </c>
    </row>
    <row r="51" customFormat="false" ht="15" hidden="false" customHeight="false" outlineLevel="0" collapsed="false">
      <c r="A51" s="54" t="s">
        <v>897</v>
      </c>
      <c r="B51" s="13" t="s">
        <v>704</v>
      </c>
      <c r="C51" s="61" t="n">
        <v>-3362396679</v>
      </c>
      <c r="D51" s="61" t="n">
        <v>-7377842361</v>
      </c>
      <c r="E51" s="61" t="n">
        <v>-1893856934</v>
      </c>
      <c r="F51" s="61" t="n">
        <v>2475126730</v>
      </c>
      <c r="G51" s="61" t="n">
        <v>2227180859</v>
      </c>
      <c r="H51" s="61" t="n">
        <v>3504855110</v>
      </c>
      <c r="I51" s="15" t="s">
        <v>898</v>
      </c>
    </row>
    <row r="52" customFormat="false" ht="15" hidden="false" customHeight="false" outlineLevel="0" collapsed="false">
      <c r="A52" s="54" t="s">
        <v>899</v>
      </c>
      <c r="B52" s="13" t="s">
        <v>900</v>
      </c>
      <c r="C52" s="61" t="n">
        <v>-82146973</v>
      </c>
      <c r="D52" s="61"/>
      <c r="E52" s="61"/>
      <c r="F52" s="61"/>
      <c r="G52" s="61"/>
      <c r="H52" s="61"/>
      <c r="I52" s="15" t="s">
        <v>901</v>
      </c>
    </row>
    <row r="53" customFormat="false" ht="15" hidden="false" customHeight="false" outlineLevel="0" collapsed="false">
      <c r="A53" s="54" t="s">
        <v>902</v>
      </c>
      <c r="B53" s="13" t="s">
        <v>903</v>
      </c>
      <c r="C53" s="61" t="n">
        <v>0</v>
      </c>
      <c r="D53" s="61" t="n">
        <v>4314486981</v>
      </c>
      <c r="E53" s="61" t="n">
        <v>-5200876821</v>
      </c>
      <c r="F53" s="61" t="n">
        <v>-8079763514</v>
      </c>
      <c r="G53" s="61" t="n">
        <v>-10583161120</v>
      </c>
      <c r="H53" s="61" t="n">
        <v>-10614529136</v>
      </c>
      <c r="I53" s="15" t="s">
        <v>904</v>
      </c>
    </row>
    <row r="54" customFormat="false" ht="15" hidden="false" customHeight="false" outlineLevel="0" collapsed="false">
      <c r="A54" s="54" t="s">
        <v>905</v>
      </c>
      <c r="B54" s="13" t="s">
        <v>444</v>
      </c>
      <c r="C54" s="61" t="n">
        <v>83741664950</v>
      </c>
      <c r="D54" s="61" t="n">
        <v>242067057628</v>
      </c>
      <c r="E54" s="61" t="n">
        <v>303294784801</v>
      </c>
      <c r="F54" s="61" t="n">
        <v>297850794905</v>
      </c>
      <c r="G54" s="61" t="n">
        <v>304976397170</v>
      </c>
      <c r="H54" s="61" t="n">
        <v>311803137977</v>
      </c>
      <c r="I54" s="15" t="s">
        <v>906</v>
      </c>
    </row>
    <row r="55" customFormat="false" ht="15" hidden="false" customHeight="false" outlineLevel="0" collapsed="false">
      <c r="A55" s="63" t="s">
        <v>907</v>
      </c>
      <c r="B55" s="64" t="s">
        <v>446</v>
      </c>
      <c r="C55" s="65" t="n">
        <f aca="false">C47+C48+C49+C50+C51+C52+C53+C54</f>
        <v>995237210570</v>
      </c>
      <c r="D55" s="65" t="n">
        <f aca="false">D47+D48+D49+D50+D51+D52+D53+D54</f>
        <v>1550739689597</v>
      </c>
      <c r="E55" s="65" t="n">
        <f aca="false">E47+E48+E49+E50+E51+E52+E53+E54</f>
        <v>1596150796616</v>
      </c>
      <c r="F55" s="65" t="n">
        <f aca="false">F47+F48+F49+F50+F51+F52+F53+F54</f>
        <v>1589813147615</v>
      </c>
      <c r="G55" s="65" t="n">
        <f aca="false">G47+G48+G49+G50+G51+G52+G53+G54</f>
        <v>1713479286013</v>
      </c>
      <c r="H55" s="65" t="n">
        <f aca="false">H47+H48+H49+H50+H51+H52+H53+H54</f>
        <v>1949914193558</v>
      </c>
    </row>
    <row r="56" customFormat="false" ht="15" hidden="false" customHeight="false" outlineLevel="0" collapsed="false">
      <c r="A56" s="54" t="s">
        <v>908</v>
      </c>
      <c r="B56" s="13" t="s">
        <v>448</v>
      </c>
      <c r="C56" s="61" t="n">
        <v>54462175042</v>
      </c>
      <c r="D56" s="61" t="n">
        <v>245476312053</v>
      </c>
      <c r="E56" s="61" t="n">
        <v>212081647789</v>
      </c>
      <c r="F56" s="61" t="n">
        <v>210222760837</v>
      </c>
      <c r="G56" s="61" t="n">
        <v>434256398708</v>
      </c>
      <c r="H56" s="61" t="n">
        <v>444592822953</v>
      </c>
      <c r="I56" s="15" t="s">
        <v>909</v>
      </c>
    </row>
    <row r="57" customFormat="false" ht="15" hidden="false" customHeight="false" outlineLevel="0" collapsed="false">
      <c r="A57" s="63" t="s">
        <v>910</v>
      </c>
      <c r="B57" s="64" t="s">
        <v>450</v>
      </c>
      <c r="C57" s="65" t="n">
        <f aca="false">C55+C56</f>
        <v>1049699385612</v>
      </c>
      <c r="D57" s="65" t="n">
        <f aca="false">D55+D56</f>
        <v>1796216001650</v>
      </c>
      <c r="E57" s="65" t="n">
        <f aca="false">E55+E56</f>
        <v>1808232444405</v>
      </c>
      <c r="F57" s="65" t="n">
        <f aca="false">F55+F56</f>
        <v>1800035908452</v>
      </c>
      <c r="G57" s="65" t="n">
        <f aca="false">G55+G56</f>
        <v>2147735684721</v>
      </c>
      <c r="H57" s="65" t="n">
        <f aca="false">H55+H56</f>
        <v>2394507016511</v>
      </c>
    </row>
    <row r="58" customFormat="false" ht="15" hidden="false" customHeight="false" outlineLevel="0" collapsed="false">
      <c r="A58" s="63" t="s">
        <v>911</v>
      </c>
      <c r="B58" s="64" t="s">
        <v>452</v>
      </c>
      <c r="C58" s="65" t="n">
        <f aca="false">C45+C57</f>
        <v>2162536834465</v>
      </c>
      <c r="D58" s="65" t="n">
        <f aca="false">D45+D57</f>
        <v>2813696522428</v>
      </c>
      <c r="E58" s="65" t="n">
        <f aca="false">E45+E57</f>
        <v>2938610148990</v>
      </c>
      <c r="F58" s="65" t="n">
        <f aca="false">F45+F57</f>
        <v>3083162034448</v>
      </c>
      <c r="G58" s="65" t="n">
        <f aca="false">G45+G57</f>
        <v>3446360903748</v>
      </c>
      <c r="H58" s="65" t="n">
        <f aca="false">H45+H57</f>
        <v>4016429435143</v>
      </c>
    </row>
    <row r="59" customFormat="false" ht="15" hidden="false" customHeight="false" outlineLevel="0" collapsed="false">
      <c r="A59" s="16"/>
      <c r="B59" s="17" t="s">
        <v>912</v>
      </c>
      <c r="C59" s="16"/>
      <c r="D59" s="16"/>
      <c r="E59" s="16"/>
      <c r="F59" s="16"/>
      <c r="G59" s="16"/>
      <c r="H59" s="16"/>
      <c r="I59" s="16"/>
    </row>
    <row r="60" customFormat="false" ht="15" hidden="false" customHeight="false" outlineLevel="0" collapsed="false">
      <c r="A60" s="54" t="s">
        <v>913</v>
      </c>
      <c r="B60" s="13" t="s">
        <v>914</v>
      </c>
      <c r="C60" s="61" t="n">
        <v>815734493466</v>
      </c>
      <c r="D60" s="61" t="n">
        <v>1131105723933</v>
      </c>
      <c r="E60" s="61" t="n">
        <v>887830081235</v>
      </c>
      <c r="F60" s="61" t="n">
        <v>869046161672</v>
      </c>
      <c r="G60" s="61" t="n">
        <v>1088880785952</v>
      </c>
      <c r="H60" s="61" t="n">
        <v>1210239116384</v>
      </c>
      <c r="I60" s="15" t="s">
        <v>915</v>
      </c>
    </row>
    <row r="61" customFormat="false" ht="15" hidden="false" customHeight="false" outlineLevel="0" collapsed="false">
      <c r="A61" s="54" t="s">
        <v>916</v>
      </c>
      <c r="B61" s="13" t="s">
        <v>917</v>
      </c>
      <c r="C61" s="61" t="n">
        <v>1346802340999</v>
      </c>
      <c r="D61" s="61" t="n">
        <v>1682590798495</v>
      </c>
      <c r="E61" s="61" t="n">
        <v>2050780067755</v>
      </c>
      <c r="F61" s="61" t="n">
        <v>2214115872776</v>
      </c>
      <c r="G61" s="61" t="n">
        <v>2357480117796</v>
      </c>
      <c r="H61" s="61" t="n">
        <v>2806190318759</v>
      </c>
      <c r="I61" s="15" t="s">
        <v>918</v>
      </c>
    </row>
    <row r="62" customFormat="false" ht="15" hidden="false" customHeight="false" outlineLevel="0" collapsed="false">
      <c r="A62" s="54" t="s">
        <v>919</v>
      </c>
      <c r="B62" s="13" t="s">
        <v>920</v>
      </c>
      <c r="C62" s="61" t="n">
        <v>2162536834465</v>
      </c>
      <c r="D62" s="61" t="n">
        <v>2813696522428</v>
      </c>
      <c r="E62" s="61" t="n">
        <v>2938610148990</v>
      </c>
      <c r="F62" s="61" t="n">
        <v>3083162034448</v>
      </c>
      <c r="G62" s="61" t="n">
        <v>3446360903748</v>
      </c>
      <c r="H62" s="61" t="n">
        <v>4016429435143</v>
      </c>
      <c r="I62" s="15" t="s">
        <v>921</v>
      </c>
    </row>
    <row r="63" customFormat="false" ht="15" hidden="false" customHeight="false" outlineLevel="0" collapsed="false">
      <c r="A63" s="54" t="s">
        <v>922</v>
      </c>
      <c r="B63" s="13" t="s">
        <v>923</v>
      </c>
      <c r="C63" s="61" t="n">
        <v>683215825248</v>
      </c>
      <c r="D63" s="61" t="n">
        <v>736497124836</v>
      </c>
      <c r="E63" s="61" t="n">
        <v>643862008271</v>
      </c>
      <c r="F63" s="61" t="n">
        <v>569631547013</v>
      </c>
      <c r="G63" s="61" t="n">
        <v>568415968476</v>
      </c>
      <c r="H63" s="61" t="n">
        <v>746084870999</v>
      </c>
      <c r="I63" s="15" t="s">
        <v>924</v>
      </c>
    </row>
    <row r="64" customFormat="false" ht="15" hidden="false" customHeight="false" outlineLevel="0" collapsed="false">
      <c r="A64" s="54" t="s">
        <v>925</v>
      </c>
      <c r="B64" s="13" t="s">
        <v>926</v>
      </c>
      <c r="C64" s="61" t="n">
        <v>429621623605</v>
      </c>
      <c r="D64" s="61" t="n">
        <v>280983395942</v>
      </c>
      <c r="E64" s="61" t="n">
        <v>486515696314</v>
      </c>
      <c r="F64" s="61" t="n">
        <v>713494578983</v>
      </c>
      <c r="G64" s="61" t="n">
        <v>730209250551</v>
      </c>
      <c r="H64" s="61" t="n">
        <v>875837547633</v>
      </c>
      <c r="I64" s="15" t="s">
        <v>927</v>
      </c>
    </row>
    <row r="65" customFormat="false" ht="15" hidden="false" customHeight="false" outlineLevel="0" collapsed="false">
      <c r="A65" s="54" t="s">
        <v>928</v>
      </c>
      <c r="B65" s="13" t="s">
        <v>929</v>
      </c>
      <c r="C65" s="61" t="n">
        <v>1112837448853</v>
      </c>
      <c r="D65" s="61" t="n">
        <v>1017480520778</v>
      </c>
      <c r="E65" s="61" t="n">
        <v>1130377704585</v>
      </c>
      <c r="F65" s="61" t="n">
        <v>1283126125996</v>
      </c>
      <c r="G65" s="61" t="n">
        <v>1298625219027</v>
      </c>
      <c r="H65" s="61" t="n">
        <v>1621922418632</v>
      </c>
      <c r="I65" s="15" t="s">
        <v>930</v>
      </c>
    </row>
    <row r="66" customFormat="false" ht="15" hidden="false" customHeight="false" outlineLevel="0" collapsed="false">
      <c r="A66" s="54" t="s">
        <v>931</v>
      </c>
      <c r="B66" s="13" t="s">
        <v>932</v>
      </c>
      <c r="C66" s="61" t="n">
        <v>995237210570</v>
      </c>
      <c r="D66" s="61" t="n">
        <v>1550739689597</v>
      </c>
      <c r="E66" s="61" t="n">
        <v>1596150796616</v>
      </c>
      <c r="F66" s="61" t="n">
        <v>1589813147615</v>
      </c>
      <c r="G66" s="61" t="n">
        <v>1713479286013</v>
      </c>
      <c r="H66" s="61" t="n">
        <v>1949914193558</v>
      </c>
      <c r="I66" s="15" t="s">
        <v>933</v>
      </c>
    </row>
    <row r="67" customFormat="false" ht="15" hidden="false" customHeight="false" outlineLevel="0" collapsed="false">
      <c r="A67" s="54" t="s">
        <v>934</v>
      </c>
      <c r="B67" s="13" t="s">
        <v>935</v>
      </c>
      <c r="C67" s="61" t="n">
        <v>1049699385612</v>
      </c>
      <c r="D67" s="61" t="n">
        <v>1796216001650</v>
      </c>
      <c r="E67" s="61" t="n">
        <v>1808232444405</v>
      </c>
      <c r="F67" s="61" t="n">
        <v>1800035908452</v>
      </c>
      <c r="G67" s="61" t="n">
        <v>2147735684721</v>
      </c>
      <c r="H67" s="61" t="n">
        <v>2394507016511</v>
      </c>
      <c r="I67" s="15" t="s">
        <v>936</v>
      </c>
    </row>
    <row r="68" customFormat="false" ht="15" hidden="false" customHeight="false" outlineLevel="0" collapsed="false">
      <c r="A68" s="54" t="s">
        <v>937</v>
      </c>
      <c r="B68" s="13" t="s">
        <v>938</v>
      </c>
      <c r="C68" s="61" t="n">
        <v>2162536834465</v>
      </c>
      <c r="D68" s="61" t="n">
        <v>2813696522428</v>
      </c>
      <c r="E68" s="61" t="n">
        <v>2938610148990</v>
      </c>
      <c r="F68" s="61" t="n">
        <v>3083162034448</v>
      </c>
      <c r="G68" s="61" t="n">
        <v>3446360903748</v>
      </c>
      <c r="H68" s="61" t="n">
        <v>4016429435143</v>
      </c>
      <c r="I68" s="15" t="s">
        <v>939</v>
      </c>
    </row>
    <row r="69" customFormat="false" ht="15" hidden="false" customHeight="false" outlineLevel="0" collapsed="false">
      <c r="A69" s="16"/>
      <c r="B69" s="17" t="s">
        <v>940</v>
      </c>
      <c r="C69" s="16"/>
      <c r="D69" s="16"/>
      <c r="E69" s="16"/>
      <c r="F69" s="16"/>
      <c r="G69" s="16"/>
      <c r="H69" s="16"/>
      <c r="I69" s="16"/>
    </row>
    <row r="70" customFormat="false" ht="15" hidden="false" customHeight="false" outlineLevel="0" collapsed="false">
      <c r="A70" s="63" t="s">
        <v>941</v>
      </c>
      <c r="B70" s="64" t="s">
        <v>942</v>
      </c>
      <c r="C70" s="65" t="n">
        <f aca="false">C26-C58</f>
        <v>0</v>
      </c>
      <c r="D70" s="65" t="n">
        <f aca="false">D26-D58</f>
        <v>0</v>
      </c>
      <c r="E70" s="65" t="n">
        <f aca="false">E26-E58</f>
        <v>0</v>
      </c>
      <c r="F70" s="65" t="n">
        <f aca="false">F26-F58</f>
        <v>0</v>
      </c>
      <c r="G70" s="65" t="n">
        <f aca="false">G26-G58</f>
        <v>0</v>
      </c>
      <c r="H70" s="65" t="n">
        <f aca="false">H26-H58</f>
        <v>0</v>
      </c>
    </row>
    <row r="72" customFormat="false" ht="15" hidden="false" customHeight="false" outlineLevel="0" collapsed="false">
      <c r="A72" s="16"/>
      <c r="B72" s="17" t="s">
        <v>943</v>
      </c>
      <c r="C72" s="16"/>
      <c r="D72" s="16"/>
      <c r="E72" s="16"/>
      <c r="F72" s="16"/>
      <c r="G72" s="16"/>
      <c r="H72" s="16"/>
      <c r="I72" s="16"/>
    </row>
    <row r="73" customFormat="false" ht="15" hidden="false" customHeight="false" outlineLevel="0" collapsed="false">
      <c r="A73" s="54" t="s">
        <v>944</v>
      </c>
      <c r="B73" s="13" t="s">
        <v>945</v>
      </c>
      <c r="C73" s="98" t="n">
        <v>105154066420</v>
      </c>
      <c r="I73" s="15" t="s">
        <v>776</v>
      </c>
    </row>
    <row r="74" customFormat="false" ht="15" hidden="false" customHeight="false" outlineLevel="0" collapsed="false">
      <c r="A74" s="54" t="s">
        <v>946</v>
      </c>
      <c r="B74" s="13" t="s">
        <v>947</v>
      </c>
      <c r="C74" s="98" t="n">
        <v>-21121946022</v>
      </c>
      <c r="I74" s="15" t="s">
        <v>776</v>
      </c>
    </row>
    <row r="75" customFormat="false" ht="15" hidden="false" customHeight="false" outlineLevel="0" collapsed="false">
      <c r="A75" s="54" t="s">
        <v>948</v>
      </c>
      <c r="B75" s="13" t="s">
        <v>949</v>
      </c>
      <c r="C75" s="98" t="n">
        <v>84032120398</v>
      </c>
      <c r="I75" s="15" t="s">
        <v>776</v>
      </c>
    </row>
    <row r="76" customFormat="false" ht="15" hidden="false" customHeight="false" outlineLevel="0" collapsed="false">
      <c r="A76" s="54" t="s">
        <v>950</v>
      </c>
      <c r="B76" s="13" t="s">
        <v>951</v>
      </c>
      <c r="C76" s="98" t="n">
        <v>30771710352</v>
      </c>
      <c r="I76" s="15" t="s">
        <v>776</v>
      </c>
    </row>
    <row r="77" customFormat="false" ht="15" hidden="false" customHeight="false" outlineLevel="0" collapsed="false">
      <c r="A77" s="54" t="s">
        <v>952</v>
      </c>
      <c r="B77" s="13" t="s">
        <v>953</v>
      </c>
      <c r="C77" s="98" t="n">
        <v>2616131161</v>
      </c>
      <c r="I77" s="15" t="s">
        <v>776</v>
      </c>
    </row>
    <row r="78" customFormat="false" ht="15" hidden="false" customHeight="false" outlineLevel="0" collapsed="false">
      <c r="A78" s="54" t="s">
        <v>954</v>
      </c>
      <c r="B78" s="13" t="s">
        <v>955</v>
      </c>
      <c r="C78" s="98" t="n">
        <v>33387841513</v>
      </c>
      <c r="I78" s="15" t="s">
        <v>776</v>
      </c>
    </row>
    <row r="79" customFormat="false" ht="15" hidden="false" customHeight="false" outlineLevel="0" collapsed="false">
      <c r="A79" s="54" t="s">
        <v>956</v>
      </c>
      <c r="B79" s="13" t="s">
        <v>957</v>
      </c>
      <c r="C79" s="98" t="n">
        <v>50644278885</v>
      </c>
      <c r="I79" s="15" t="s">
        <v>776</v>
      </c>
    </row>
    <row r="80" customFormat="false" ht="15" hidden="false" customHeight="false" outlineLevel="0" collapsed="false">
      <c r="A80" s="54" t="s">
        <v>958</v>
      </c>
      <c r="B80" s="13" t="s">
        <v>959</v>
      </c>
      <c r="C80" s="98" t="n">
        <v>16538270350</v>
      </c>
      <c r="I80" s="15" t="s">
        <v>776</v>
      </c>
    </row>
    <row r="81" customFormat="false" ht="15" hidden="false" customHeight="false" outlineLevel="0" collapsed="false">
      <c r="A81" s="54" t="s">
        <v>960</v>
      </c>
      <c r="B81" s="13" t="s">
        <v>961</v>
      </c>
      <c r="C81" s="98" t="n">
        <v>641524826591</v>
      </c>
      <c r="I81" s="15" t="s">
        <v>962</v>
      </c>
    </row>
    <row r="82" customFormat="false" ht="15" hidden="false" customHeight="false" outlineLevel="0" collapsed="false">
      <c r="A82" s="54" t="s">
        <v>963</v>
      </c>
      <c r="B82" s="13" t="s">
        <v>964</v>
      </c>
      <c r="C82" s="98" t="n">
        <v>0</v>
      </c>
      <c r="I82" s="15" t="s">
        <v>962</v>
      </c>
    </row>
    <row r="83" customFormat="false" ht="15" hidden="false" customHeight="false" outlineLevel="0" collapsed="false">
      <c r="A83" s="54" t="s">
        <v>965</v>
      </c>
      <c r="B83" s="13" t="s">
        <v>966</v>
      </c>
      <c r="C83" s="98" t="n">
        <v>28164728810</v>
      </c>
      <c r="I83" s="15" t="s">
        <v>962</v>
      </c>
    </row>
    <row r="84" customFormat="false" ht="15" hidden="false" customHeight="false" outlineLevel="0" collapsed="false">
      <c r="A84" s="54" t="s">
        <v>967</v>
      </c>
      <c r="B84" s="13" t="s">
        <v>968</v>
      </c>
      <c r="C84" s="98" t="n">
        <v>145782031933</v>
      </c>
      <c r="I84" s="15" t="s">
        <v>962</v>
      </c>
    </row>
    <row r="85" customFormat="false" ht="15" hidden="false" customHeight="false" outlineLevel="0" collapsed="false">
      <c r="A85" s="54" t="s">
        <v>969</v>
      </c>
      <c r="B85" s="13" t="s">
        <v>970</v>
      </c>
      <c r="C85" s="98" t="n">
        <v>60204755098</v>
      </c>
      <c r="I85" s="15" t="s">
        <v>962</v>
      </c>
    </row>
    <row r="86" customFormat="false" ht="15" hidden="false" customHeight="false" outlineLevel="0" collapsed="false">
      <c r="A86" s="54" t="s">
        <v>971</v>
      </c>
      <c r="B86" s="13" t="s">
        <v>972</v>
      </c>
      <c r="C86" s="98" t="n">
        <v>7192466443</v>
      </c>
      <c r="I86" s="15" t="s">
        <v>962</v>
      </c>
    </row>
    <row r="87" customFormat="false" ht="15" hidden="false" customHeight="false" outlineLevel="0" collapsed="false">
      <c r="A87" s="54" t="s">
        <v>973</v>
      </c>
      <c r="B87" s="13" t="s">
        <v>974</v>
      </c>
      <c r="C87" s="98" t="n">
        <v>24799001993</v>
      </c>
      <c r="I87" s="15" t="s">
        <v>962</v>
      </c>
    </row>
    <row r="88" customFormat="false" ht="15" hidden="false" customHeight="false" outlineLevel="0" collapsed="false">
      <c r="A88" s="54" t="s">
        <v>975</v>
      </c>
      <c r="B88" s="13" t="s">
        <v>976</v>
      </c>
      <c r="C88" s="98" t="n">
        <v>11105190724</v>
      </c>
      <c r="I88" s="15" t="s">
        <v>962</v>
      </c>
    </row>
    <row r="89" customFormat="false" ht="15" hidden="false" customHeight="false" outlineLevel="0" collapsed="false">
      <c r="A89" s="54" t="s">
        <v>977</v>
      </c>
      <c r="B89" s="13" t="s">
        <v>978</v>
      </c>
      <c r="C89" s="98" t="n">
        <v>2115558294</v>
      </c>
      <c r="I89" s="15" t="s">
        <v>962</v>
      </c>
    </row>
    <row r="90" customFormat="false" ht="15" hidden="false" customHeight="false" outlineLevel="0" collapsed="false">
      <c r="A90" s="54" t="s">
        <v>979</v>
      </c>
      <c r="B90" s="13" t="s">
        <v>980</v>
      </c>
      <c r="C90" s="98" t="n">
        <v>920888559886</v>
      </c>
      <c r="I90" s="15" t="s">
        <v>962</v>
      </c>
    </row>
    <row r="91" customFormat="false" ht="15" hidden="false" customHeight="false" outlineLevel="0" collapsed="false">
      <c r="A91" s="54" t="s">
        <v>981</v>
      </c>
      <c r="B91" s="13" t="s">
        <v>982</v>
      </c>
      <c r="C91" s="98" t="n">
        <v>12573860849</v>
      </c>
      <c r="I91" s="15" t="s">
        <v>962</v>
      </c>
    </row>
    <row r="92" customFormat="false" ht="15" hidden="false" customHeight="false" outlineLevel="0" collapsed="false">
      <c r="A92" s="54" t="s">
        <v>983</v>
      </c>
      <c r="B92" s="13" t="s">
        <v>984</v>
      </c>
      <c r="C92" s="98" t="n">
        <v>0</v>
      </c>
      <c r="I92" s="15" t="s">
        <v>962</v>
      </c>
    </row>
    <row r="93" customFormat="false" ht="15" hidden="false" customHeight="false" outlineLevel="0" collapsed="false">
      <c r="A93" s="54" t="s">
        <v>985</v>
      </c>
      <c r="B93" s="13" t="s">
        <v>986</v>
      </c>
      <c r="C93" s="98" t="n">
        <v>0</v>
      </c>
      <c r="I93" s="15" t="s">
        <v>962</v>
      </c>
    </row>
    <row r="94" customFormat="false" ht="15" hidden="false" customHeight="false" outlineLevel="0" collapsed="false">
      <c r="A94" s="54" t="s">
        <v>987</v>
      </c>
      <c r="B94" s="13" t="s">
        <v>988</v>
      </c>
      <c r="C94" s="98" t="n">
        <v>1263849014009</v>
      </c>
      <c r="I94" s="15" t="s">
        <v>962</v>
      </c>
    </row>
    <row r="95" customFormat="false" ht="15" hidden="false" customHeight="false" outlineLevel="0" collapsed="false">
      <c r="A95" s="54" t="s">
        <v>989</v>
      </c>
      <c r="B95" s="13" t="s">
        <v>990</v>
      </c>
      <c r="C95" s="98" t="n">
        <v>29277406956</v>
      </c>
      <c r="I95" s="15" t="s">
        <v>962</v>
      </c>
    </row>
    <row r="96" customFormat="false" ht="15" hidden="false" customHeight="false" outlineLevel="0" collapsed="false">
      <c r="A96" s="54" t="s">
        <v>991</v>
      </c>
      <c r="B96" s="13" t="s">
        <v>992</v>
      </c>
      <c r="C96" s="98" t="n">
        <v>0</v>
      </c>
      <c r="I96" s="15" t="s">
        <v>962</v>
      </c>
    </row>
    <row r="97" customFormat="false" ht="15" hidden="false" customHeight="false" outlineLevel="0" collapsed="false">
      <c r="A97" s="54" t="s">
        <v>993</v>
      </c>
      <c r="B97" s="13" t="s">
        <v>994</v>
      </c>
      <c r="C97" s="98" t="n">
        <v>0</v>
      </c>
      <c r="I97" s="15" t="s">
        <v>962</v>
      </c>
    </row>
    <row r="98" customFormat="false" ht="15" hidden="false" customHeight="false" outlineLevel="0" collapsed="false">
      <c r="A98" s="54" t="s">
        <v>995</v>
      </c>
      <c r="B98" s="13" t="s">
        <v>996</v>
      </c>
      <c r="C98" s="98" t="n">
        <v>0</v>
      </c>
      <c r="I98" s="15" t="s">
        <v>962</v>
      </c>
    </row>
    <row r="99" customFormat="false" ht="15" hidden="false" customHeight="false" outlineLevel="0" collapsed="false">
      <c r="A99" s="54" t="s">
        <v>997</v>
      </c>
      <c r="B99" s="13" t="s">
        <v>998</v>
      </c>
      <c r="C99" s="98" t="n">
        <v>19980113163</v>
      </c>
      <c r="I99" s="15" t="s">
        <v>962</v>
      </c>
    </row>
    <row r="100" customFormat="false" ht="15" hidden="false" customHeight="false" outlineLevel="0" collapsed="false">
      <c r="A100" s="54" t="s">
        <v>999</v>
      </c>
      <c r="B100" s="13" t="s">
        <v>1000</v>
      </c>
      <c r="C100" s="98" t="n">
        <v>1325680394977</v>
      </c>
      <c r="I100" s="15" t="s">
        <v>962</v>
      </c>
    </row>
    <row r="101" customFormat="false" ht="15" hidden="false" customHeight="false" outlineLevel="0" collapsed="false">
      <c r="A101" s="54" t="s">
        <v>1001</v>
      </c>
      <c r="B101" s="13" t="s">
        <v>1002</v>
      </c>
      <c r="C101" s="98" t="n">
        <v>2246568954863</v>
      </c>
      <c r="I101" s="15" t="s">
        <v>962</v>
      </c>
    </row>
    <row r="102" customFormat="false" ht="15" hidden="false" customHeight="false" outlineLevel="0" collapsed="false">
      <c r="A102" s="54" t="s">
        <v>1003</v>
      </c>
      <c r="B102" s="13" t="s">
        <v>1004</v>
      </c>
      <c r="C102" s="98" t="n">
        <v>397023269188</v>
      </c>
      <c r="I102" s="15" t="s">
        <v>962</v>
      </c>
    </row>
    <row r="103" customFormat="false" ht="15" hidden="false" customHeight="false" outlineLevel="0" collapsed="false">
      <c r="A103" s="54" t="s">
        <v>1005</v>
      </c>
      <c r="B103" s="13" t="s">
        <v>1006</v>
      </c>
      <c r="C103" s="98" t="n">
        <v>26709213177</v>
      </c>
      <c r="I103" s="15" t="s">
        <v>962</v>
      </c>
    </row>
    <row r="104" customFormat="false" ht="15" hidden="false" customHeight="false" outlineLevel="0" collapsed="false">
      <c r="A104" s="54" t="s">
        <v>1007</v>
      </c>
      <c r="B104" s="13" t="s">
        <v>1008</v>
      </c>
      <c r="C104" s="98" t="n">
        <v>109240725848</v>
      </c>
      <c r="I104" s="15" t="s">
        <v>962</v>
      </c>
    </row>
    <row r="105" customFormat="false" ht="15" hidden="false" customHeight="false" outlineLevel="0" collapsed="false">
      <c r="A105" s="54" t="s">
        <v>1009</v>
      </c>
      <c r="B105" s="13" t="s">
        <v>1010</v>
      </c>
      <c r="C105" s="98" t="n">
        <v>5782423532</v>
      </c>
      <c r="I105" s="15" t="s">
        <v>962</v>
      </c>
    </row>
    <row r="106" customFormat="false" ht="15" hidden="false" customHeight="false" outlineLevel="0" collapsed="false">
      <c r="A106" s="54" t="s">
        <v>1011</v>
      </c>
      <c r="B106" s="13" t="s">
        <v>1012</v>
      </c>
      <c r="C106" s="98" t="n">
        <v>14137366989</v>
      </c>
      <c r="I106" s="15" t="s">
        <v>962</v>
      </c>
    </row>
    <row r="107" customFormat="false" ht="15" hidden="false" customHeight="false" outlineLevel="0" collapsed="false">
      <c r="A107" s="54" t="s">
        <v>1013</v>
      </c>
      <c r="B107" s="13" t="s">
        <v>1014</v>
      </c>
      <c r="C107" s="98" t="n">
        <v>61107462440</v>
      </c>
      <c r="I107" s="15" t="s">
        <v>962</v>
      </c>
    </row>
    <row r="108" customFormat="false" ht="15" hidden="false" customHeight="false" outlineLevel="0" collapsed="false">
      <c r="A108" s="54" t="s">
        <v>1015</v>
      </c>
      <c r="B108" s="13" t="s">
        <v>1016</v>
      </c>
      <c r="C108" s="98" t="n">
        <v>28153984042</v>
      </c>
      <c r="I108" s="15" t="s">
        <v>962</v>
      </c>
    </row>
    <row r="109" customFormat="false" ht="15" hidden="false" customHeight="false" outlineLevel="0" collapsed="false">
      <c r="A109" s="54" t="s">
        <v>1017</v>
      </c>
      <c r="B109" s="13" t="s">
        <v>1018</v>
      </c>
      <c r="C109" s="98" t="n">
        <v>42712017601</v>
      </c>
      <c r="I109" s="15" t="s">
        <v>962</v>
      </c>
    </row>
    <row r="110" customFormat="false" ht="15" hidden="false" customHeight="false" outlineLevel="0" collapsed="false">
      <c r="A110" s="54" t="s">
        <v>1019</v>
      </c>
      <c r="B110" s="13" t="s">
        <v>1020</v>
      </c>
      <c r="C110" s="98" t="n">
        <v>15989719364</v>
      </c>
      <c r="I110" s="15" t="s">
        <v>962</v>
      </c>
    </row>
    <row r="111" customFormat="false" ht="15" hidden="false" customHeight="false" outlineLevel="0" collapsed="false">
      <c r="A111" s="54" t="s">
        <v>1021</v>
      </c>
      <c r="B111" s="13" t="s">
        <v>1022</v>
      </c>
      <c r="C111" s="98" t="n">
        <v>13131353419</v>
      </c>
      <c r="I111" s="15" t="s">
        <v>962</v>
      </c>
    </row>
    <row r="112" customFormat="false" ht="15" hidden="false" customHeight="false" outlineLevel="0" collapsed="false">
      <c r="A112" s="54" t="s">
        <v>1023</v>
      </c>
      <c r="B112" s="13" t="s">
        <v>1024</v>
      </c>
      <c r="C112" s="98" t="n">
        <v>713987535600</v>
      </c>
      <c r="I112" s="15" t="s">
        <v>962</v>
      </c>
    </row>
    <row r="113" customFormat="false" ht="15" hidden="false" customHeight="false" outlineLevel="0" collapsed="false">
      <c r="A113" s="54" t="s">
        <v>1025</v>
      </c>
      <c r="B113" s="13" t="s">
        <v>1026</v>
      </c>
      <c r="C113" s="98" t="n">
        <v>114698348</v>
      </c>
      <c r="I113" s="15" t="s">
        <v>962</v>
      </c>
    </row>
    <row r="114" customFormat="false" ht="15" hidden="false" customHeight="false" outlineLevel="0" collapsed="false">
      <c r="A114" s="54" t="s">
        <v>1027</v>
      </c>
      <c r="B114" s="13" t="s">
        <v>1028</v>
      </c>
      <c r="C114" s="98" t="n">
        <v>44205817386</v>
      </c>
      <c r="I114" s="15" t="s">
        <v>962</v>
      </c>
    </row>
    <row r="115" customFormat="false" ht="15" hidden="false" customHeight="false" outlineLevel="0" collapsed="false">
      <c r="A115" s="54" t="s">
        <v>1029</v>
      </c>
      <c r="B115" s="13" t="s">
        <v>1030</v>
      </c>
      <c r="C115" s="98" t="n">
        <v>301000000000</v>
      </c>
      <c r="I115" s="15" t="s">
        <v>962</v>
      </c>
    </row>
    <row r="116" customFormat="false" ht="15" hidden="false" customHeight="false" outlineLevel="0" collapsed="false">
      <c r="A116" s="54" t="s">
        <v>1031</v>
      </c>
      <c r="B116" s="13" t="s">
        <v>1032</v>
      </c>
      <c r="C116" s="98" t="n">
        <v>76775120888</v>
      </c>
      <c r="I116" s="15" t="s">
        <v>962</v>
      </c>
    </row>
    <row r="117" customFormat="false" ht="15" hidden="false" customHeight="false" outlineLevel="0" collapsed="false">
      <c r="A117" s="54" t="s">
        <v>1033</v>
      </c>
      <c r="B117" s="13" t="s">
        <v>1034</v>
      </c>
      <c r="C117" s="98" t="n">
        <v>10142118144</v>
      </c>
      <c r="I117" s="15" t="s">
        <v>962</v>
      </c>
    </row>
    <row r="118" customFormat="false" ht="15" hidden="false" customHeight="false" outlineLevel="0" collapsed="false">
      <c r="A118" s="54" t="s">
        <v>1035</v>
      </c>
      <c r="B118" s="13" t="s">
        <v>1036</v>
      </c>
      <c r="C118" s="98" t="n">
        <v>432237754766</v>
      </c>
      <c r="I118" s="15" t="s">
        <v>962</v>
      </c>
    </row>
    <row r="119" customFormat="false" ht="15" hidden="false" customHeight="false" outlineLevel="0" collapsed="false">
      <c r="A119" s="54" t="s">
        <v>1037</v>
      </c>
      <c r="B119" s="13" t="s">
        <v>1038</v>
      </c>
      <c r="C119" s="98" t="n">
        <v>1146225290366</v>
      </c>
      <c r="I119" s="15" t="s">
        <v>962</v>
      </c>
    </row>
    <row r="120" customFormat="false" ht="15" hidden="false" customHeight="false" outlineLevel="0" collapsed="false">
      <c r="A120" s="54" t="s">
        <v>1039</v>
      </c>
      <c r="B120" s="13" t="s">
        <v>1040</v>
      </c>
      <c r="C120" s="98" t="n">
        <v>150000000000</v>
      </c>
      <c r="I120" s="15" t="s">
        <v>962</v>
      </c>
    </row>
    <row r="121" customFormat="false" ht="15" hidden="false" customHeight="false" outlineLevel="0" collapsed="false">
      <c r="A121" s="54" t="s">
        <v>1041</v>
      </c>
      <c r="B121" s="13" t="s">
        <v>1042</v>
      </c>
      <c r="C121" s="98" t="n">
        <v>53025969260</v>
      </c>
      <c r="I121" s="15" t="s">
        <v>962</v>
      </c>
    </row>
    <row r="122" customFormat="false" ht="15" hidden="false" customHeight="false" outlineLevel="0" collapsed="false">
      <c r="A122" s="54" t="s">
        <v>1043</v>
      </c>
      <c r="B122" s="13" t="s">
        <v>1044</v>
      </c>
      <c r="C122" s="98" t="n">
        <v>0</v>
      </c>
      <c r="I122" s="15" t="s">
        <v>962</v>
      </c>
    </row>
    <row r="123" customFormat="false" ht="15" hidden="false" customHeight="false" outlineLevel="0" collapsed="false">
      <c r="A123" s="54" t="s">
        <v>1045</v>
      </c>
      <c r="B123" s="13" t="s">
        <v>1046</v>
      </c>
      <c r="C123" s="98" t="n">
        <v>690499269307</v>
      </c>
      <c r="I123" s="15" t="s">
        <v>962</v>
      </c>
    </row>
    <row r="124" customFormat="false" ht="15" hidden="false" customHeight="false" outlineLevel="0" collapsed="false">
      <c r="A124" s="54" t="s">
        <v>1047</v>
      </c>
      <c r="B124" s="13" t="s">
        <v>1048</v>
      </c>
      <c r="C124" s="98" t="n">
        <v>-3524093369</v>
      </c>
      <c r="I124" s="15" t="s">
        <v>962</v>
      </c>
    </row>
    <row r="125" customFormat="false" ht="15" hidden="false" customHeight="false" outlineLevel="0" collapsed="false">
      <c r="A125" s="54" t="s">
        <v>1049</v>
      </c>
      <c r="B125" s="13" t="s">
        <v>1050</v>
      </c>
      <c r="C125" s="98" t="n">
        <v>0</v>
      </c>
      <c r="I125" s="15" t="s">
        <v>962</v>
      </c>
    </row>
    <row r="126" customFormat="false" ht="15" hidden="false" customHeight="false" outlineLevel="0" collapsed="false">
      <c r="A126" s="54" t="s">
        <v>1051</v>
      </c>
      <c r="B126" s="13" t="s">
        <v>1052</v>
      </c>
      <c r="C126" s="98" t="n">
        <v>126747229866</v>
      </c>
      <c r="I126" s="15" t="s">
        <v>962</v>
      </c>
    </row>
    <row r="127" customFormat="false" ht="15" hidden="false" customHeight="false" outlineLevel="0" collapsed="false">
      <c r="A127" s="54" t="s">
        <v>1053</v>
      </c>
      <c r="B127" s="13" t="s">
        <v>1054</v>
      </c>
      <c r="C127" s="98" t="n">
        <v>1016748375064</v>
      </c>
      <c r="I127" s="15" t="s">
        <v>962</v>
      </c>
    </row>
    <row r="128" customFormat="false" ht="15" hidden="false" customHeight="false" outlineLevel="0" collapsed="false">
      <c r="A128" s="54" t="s">
        <v>1055</v>
      </c>
      <c r="B128" s="13" t="s">
        <v>1056</v>
      </c>
      <c r="C128" s="98" t="n">
        <v>83595289433</v>
      </c>
      <c r="I128" s="15" t="s">
        <v>962</v>
      </c>
    </row>
    <row r="129" customFormat="false" ht="15" hidden="false" customHeight="false" outlineLevel="0" collapsed="false">
      <c r="A129" s="54" t="s">
        <v>1057</v>
      </c>
      <c r="B129" s="13" t="s">
        <v>1058</v>
      </c>
      <c r="C129" s="98" t="n">
        <v>1100343664497</v>
      </c>
      <c r="I129" s="15" t="s">
        <v>962</v>
      </c>
    </row>
    <row r="130" customFormat="false" ht="15" hidden="false" customHeight="false" outlineLevel="0" collapsed="false">
      <c r="A130" s="54" t="s">
        <v>1059</v>
      </c>
      <c r="B130" s="13" t="s">
        <v>1060</v>
      </c>
      <c r="C130" s="98" t="n">
        <v>2246568954863</v>
      </c>
      <c r="I130" s="15" t="s">
        <v>962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1061</v>
      </c>
    </row>
    <row r="2" customFormat="false" ht="15" hidden="false" customHeight="false" outlineLevel="0" collapsed="false">
      <c r="A2" s="15" t="s">
        <v>652</v>
      </c>
    </row>
    <row r="3" customFormat="false" ht="39.75" hidden="false" customHeight="true" outlineLevel="0" collapsed="false">
      <c r="B3" s="15" t="s">
        <v>653</v>
      </c>
      <c r="C3" s="95" t="s">
        <v>654</v>
      </c>
      <c r="D3" s="96" t="s">
        <v>655</v>
      </c>
      <c r="E3" s="96" t="s">
        <v>656</v>
      </c>
      <c r="F3" s="96" t="s">
        <v>657</v>
      </c>
      <c r="G3" s="96" t="s">
        <v>658</v>
      </c>
      <c r="H3" s="96" t="s">
        <v>659</v>
      </c>
      <c r="I3" s="5" t="s">
        <v>660</v>
      </c>
    </row>
    <row r="4" customFormat="false" ht="15" hidden="false" customHeight="false" outlineLevel="0" collapsed="false">
      <c r="A4" s="25" t="s">
        <v>339</v>
      </c>
      <c r="B4" s="25" t="s">
        <v>340</v>
      </c>
      <c r="C4" s="25" t="s">
        <v>131</v>
      </c>
      <c r="D4" s="25" t="s">
        <v>132</v>
      </c>
      <c r="E4" s="25" t="s">
        <v>133</v>
      </c>
      <c r="F4" s="25" t="s">
        <v>134</v>
      </c>
      <c r="G4" s="25" t="s">
        <v>135</v>
      </c>
      <c r="H4" s="25" t="s">
        <v>136</v>
      </c>
      <c r="I4" s="25" t="s">
        <v>341</v>
      </c>
    </row>
    <row r="5" customFormat="false" ht="15" hidden="false" customHeight="false" outlineLevel="0" collapsed="false">
      <c r="A5" s="16"/>
      <c r="B5" s="17" t="s">
        <v>462</v>
      </c>
      <c r="C5" s="16"/>
      <c r="D5" s="16"/>
      <c r="E5" s="16"/>
      <c r="F5" s="16"/>
      <c r="G5" s="16"/>
      <c r="H5" s="16"/>
      <c r="I5" s="16"/>
    </row>
    <row r="6" customFormat="false" ht="15" hidden="false" customHeight="false" outlineLevel="0" collapsed="false">
      <c r="A6" s="54" t="s">
        <v>1062</v>
      </c>
      <c r="B6" s="13" t="s">
        <v>1063</v>
      </c>
      <c r="C6" s="61" t="n">
        <v>1108386681210</v>
      </c>
      <c r="D6" s="61" t="n">
        <v>1673629993229</v>
      </c>
      <c r="E6" s="61" t="n">
        <v>1777236400921</v>
      </c>
      <c r="F6" s="61" t="n">
        <v>1284421935179</v>
      </c>
      <c r="G6" s="61" t="n">
        <v>1525558998211</v>
      </c>
      <c r="H6" s="61" t="n">
        <v>1611125750921</v>
      </c>
      <c r="I6" s="15" t="s">
        <v>1064</v>
      </c>
    </row>
    <row r="7" customFormat="false" ht="15" hidden="false" customHeight="false" outlineLevel="0" collapsed="false">
      <c r="A7" s="54" t="s">
        <v>1065</v>
      </c>
      <c r="B7" s="13" t="s">
        <v>1066</v>
      </c>
      <c r="C7" s="61" t="n">
        <v>-488994511106</v>
      </c>
      <c r="D7" s="61" t="n">
        <v>-1027848868469</v>
      </c>
      <c r="E7" s="61" t="n">
        <v>-1152049889006</v>
      </c>
      <c r="F7" s="61" t="n">
        <v>-777550032840</v>
      </c>
      <c r="G7" s="61" t="n">
        <v>-1021599963964</v>
      </c>
      <c r="H7" s="61" t="n">
        <v>-860617479988</v>
      </c>
      <c r="I7" s="15" t="s">
        <v>1067</v>
      </c>
    </row>
    <row r="8" customFormat="false" ht="15" hidden="false" customHeight="false" outlineLevel="0" collapsed="false">
      <c r="A8" s="54" t="s">
        <v>1068</v>
      </c>
      <c r="B8" s="13" t="s">
        <v>1069</v>
      </c>
      <c r="C8" s="61" t="n">
        <v>-377415649994</v>
      </c>
      <c r="D8" s="61" t="n">
        <v>-255618642338</v>
      </c>
      <c r="E8" s="61" t="n">
        <v>-353477512450</v>
      </c>
      <c r="F8" s="61" t="n">
        <v>-377149298776</v>
      </c>
      <c r="G8" s="61" t="n">
        <v>-391694842342</v>
      </c>
      <c r="H8" s="61" t="n">
        <v>-408387618096</v>
      </c>
      <c r="I8" s="15" t="s">
        <v>1070</v>
      </c>
    </row>
    <row r="9" customFormat="false" ht="15" hidden="false" customHeight="false" outlineLevel="0" collapsed="false">
      <c r="A9" s="54" t="s">
        <v>1071</v>
      </c>
      <c r="B9" s="13" t="s">
        <v>1072</v>
      </c>
      <c r="C9" s="61" t="n">
        <v>4733986258</v>
      </c>
      <c r="D9" s="61" t="n">
        <v>10178168958</v>
      </c>
      <c r="E9" s="61" t="n">
        <v>8362881293</v>
      </c>
      <c r="F9" s="61" t="n">
        <v>8424381208</v>
      </c>
      <c r="G9" s="61" t="n">
        <v>18640836625</v>
      </c>
      <c r="H9" s="61" t="n">
        <v>22931465736</v>
      </c>
      <c r="I9" s="15" t="s">
        <v>1073</v>
      </c>
    </row>
    <row r="10" customFormat="false" ht="15" hidden="false" customHeight="false" outlineLevel="0" collapsed="false">
      <c r="A10" s="54" t="s">
        <v>1074</v>
      </c>
      <c r="B10" s="13" t="s">
        <v>1075</v>
      </c>
      <c r="C10" s="61" t="n">
        <v>-52762483046</v>
      </c>
      <c r="D10" s="61" t="n">
        <v>-28015892568</v>
      </c>
      <c r="E10" s="61" t="n">
        <v>-47119576208</v>
      </c>
      <c r="F10" s="61" t="n">
        <v>-57763637343</v>
      </c>
      <c r="G10" s="61" t="n">
        <v>-68053448455</v>
      </c>
      <c r="H10" s="61" t="n">
        <v>-67970680546</v>
      </c>
      <c r="I10" s="15" t="s">
        <v>1076</v>
      </c>
    </row>
    <row r="11" customFormat="false" ht="15" hidden="false" customHeight="false" outlineLevel="0" collapsed="false">
      <c r="A11" s="54" t="s">
        <v>1077</v>
      </c>
      <c r="B11" s="13" t="s">
        <v>1078</v>
      </c>
      <c r="C11" s="61" t="n">
        <v>-14875016357</v>
      </c>
      <c r="D11" s="61" t="n">
        <v>-34489462129</v>
      </c>
      <c r="E11" s="61" t="n">
        <v>-102315834680</v>
      </c>
      <c r="F11" s="61" t="n">
        <v>-28055416243</v>
      </c>
      <c r="G11" s="61" t="n">
        <v>-17811853548</v>
      </c>
      <c r="H11" s="61" t="n">
        <v>-13665444970</v>
      </c>
      <c r="I11" s="15" t="s">
        <v>1079</v>
      </c>
    </row>
    <row r="12" customFormat="false" ht="15" hidden="false" customHeight="false" outlineLevel="0" collapsed="false">
      <c r="A12" s="54" t="s">
        <v>1080</v>
      </c>
      <c r="B12" s="13" t="s">
        <v>1081</v>
      </c>
      <c r="C12" s="61" t="n">
        <v>11285526112</v>
      </c>
      <c r="D12" s="61" t="n">
        <v>11603095497</v>
      </c>
      <c r="E12" s="61" t="n">
        <v>447889572</v>
      </c>
      <c r="F12" s="61" t="n">
        <v>-889202701</v>
      </c>
      <c r="G12" s="61" t="n">
        <v>-11060239156</v>
      </c>
      <c r="H12" s="61" t="n">
        <v>-32794133363</v>
      </c>
      <c r="I12" s="15" t="s">
        <v>1082</v>
      </c>
    </row>
    <row r="13" customFormat="false" ht="15" hidden="false" customHeight="false" outlineLevel="0" collapsed="false">
      <c r="A13" s="63" t="s">
        <v>1083</v>
      </c>
      <c r="B13" s="64" t="s">
        <v>1084</v>
      </c>
      <c r="C13" s="65" t="n">
        <f aca="false">C6+C7+C8+C9+C10+C11+C12</f>
        <v>190358533077</v>
      </c>
      <c r="D13" s="65" t="n">
        <f aca="false">D6+D7+D8+D9+D10+D11+D12</f>
        <v>349438392180</v>
      </c>
      <c r="E13" s="65" t="n">
        <f aca="false">E6+E7+E8+E9+E10+E11+E12</f>
        <v>131084359442</v>
      </c>
      <c r="F13" s="65" t="n">
        <f aca="false">F6+F7+F8+F9+F10+F11+F12</f>
        <v>51438728484</v>
      </c>
      <c r="G13" s="65" t="n">
        <f aca="false">G6+G7+G8+G9+G10+G11+G12</f>
        <v>33979487371</v>
      </c>
      <c r="H13" s="65" t="n">
        <f aca="false">H6+H7+H8+H9+H10+H11+H12</f>
        <v>250621859694</v>
      </c>
    </row>
    <row r="14" customFormat="false" ht="15" hidden="false" customHeight="false" outlineLevel="0" collapsed="false">
      <c r="A14" s="16"/>
      <c r="B14" s="17" t="s">
        <v>474</v>
      </c>
      <c r="C14" s="16"/>
      <c r="D14" s="16"/>
      <c r="E14" s="16"/>
      <c r="F14" s="16"/>
      <c r="G14" s="16"/>
      <c r="H14" s="16"/>
      <c r="I14" s="16"/>
    </row>
    <row r="15" customFormat="false" ht="15" hidden="false" customHeight="false" outlineLevel="0" collapsed="false">
      <c r="A15" s="54" t="s">
        <v>1085</v>
      </c>
      <c r="B15" s="13" t="s">
        <v>1086</v>
      </c>
      <c r="C15" s="61" t="n">
        <v>-49606709171</v>
      </c>
      <c r="D15" s="61" t="n">
        <v>-298175362181</v>
      </c>
      <c r="E15" s="61" t="n">
        <v>-301730050964</v>
      </c>
      <c r="F15" s="61" t="n">
        <v>-209353390575</v>
      </c>
      <c r="G15" s="61" t="n">
        <v>-163412509355</v>
      </c>
      <c r="H15" s="61" t="n">
        <v>-218905414893</v>
      </c>
      <c r="I15" s="15" t="s">
        <v>1087</v>
      </c>
    </row>
    <row r="16" customFormat="false" ht="15" hidden="false" customHeight="false" outlineLevel="0" collapsed="false">
      <c r="A16" s="54" t="s">
        <v>1088</v>
      </c>
      <c r="B16" s="13" t="s">
        <v>1089</v>
      </c>
      <c r="C16" s="61" t="n">
        <v>0</v>
      </c>
      <c r="D16" s="61" t="n">
        <v>0</v>
      </c>
      <c r="E16" s="61" t="n">
        <v>0</v>
      </c>
      <c r="F16" s="61" t="n">
        <v>0</v>
      </c>
      <c r="G16" s="61" t="n">
        <v>-10281661136</v>
      </c>
      <c r="H16" s="61" t="n">
        <v>0</v>
      </c>
      <c r="I16" s="15" t="s">
        <v>1090</v>
      </c>
    </row>
    <row r="17" customFormat="false" ht="15" hidden="false" customHeight="false" outlineLevel="0" collapsed="false">
      <c r="A17" s="54" t="s">
        <v>1091</v>
      </c>
      <c r="B17" s="13" t="s">
        <v>1092</v>
      </c>
      <c r="C17" s="61" t="n">
        <v>228333334</v>
      </c>
      <c r="D17" s="61" t="n">
        <v>0</v>
      </c>
      <c r="E17" s="61" t="n">
        <v>24787500</v>
      </c>
      <c r="F17" s="61" t="n">
        <v>1637850000</v>
      </c>
      <c r="G17" s="61" t="n">
        <v>1015362904</v>
      </c>
      <c r="H17" s="61" t="n">
        <v>1493319558</v>
      </c>
      <c r="I17" s="15" t="s">
        <v>1093</v>
      </c>
    </row>
    <row r="18" customFormat="false" ht="15" hidden="false" customHeight="false" outlineLevel="0" collapsed="false">
      <c r="A18" s="54" t="s">
        <v>1094</v>
      </c>
      <c r="B18" s="13" t="s">
        <v>1095</v>
      </c>
      <c r="C18" s="61" t="n">
        <v>0</v>
      </c>
      <c r="D18" s="61" t="n">
        <v>0</v>
      </c>
      <c r="E18" s="61" t="n">
        <v>0</v>
      </c>
      <c r="F18" s="61" t="n">
        <v>0</v>
      </c>
      <c r="G18" s="61" t="n">
        <v>-72612585817</v>
      </c>
      <c r="H18" s="61" t="n">
        <v>0</v>
      </c>
      <c r="I18" s="15" t="s">
        <v>1096</v>
      </c>
    </row>
    <row r="19" customFormat="false" ht="15" hidden="false" customHeight="false" outlineLevel="0" collapsed="false">
      <c r="A19" s="54" t="s">
        <v>1097</v>
      </c>
      <c r="B19" s="13" t="s">
        <v>1098</v>
      </c>
      <c r="C19" s="61" t="n">
        <v>0</v>
      </c>
      <c r="D19" s="61" t="n">
        <v>-21495000000</v>
      </c>
      <c r="E19" s="61" t="n">
        <v>-136328592967</v>
      </c>
      <c r="F19" s="61" t="n">
        <v>-4506000000</v>
      </c>
      <c r="G19" s="77" t="n">
        <v>0</v>
      </c>
      <c r="H19" s="61" t="n">
        <v>0</v>
      </c>
      <c r="I19" s="53" t="s">
        <v>1099</v>
      </c>
    </row>
    <row r="20" customFormat="false" ht="15" hidden="false" customHeight="false" outlineLevel="0" collapsed="false">
      <c r="A20" s="54" t="s">
        <v>1100</v>
      </c>
      <c r="B20" s="13" t="s">
        <v>1101</v>
      </c>
      <c r="C20" s="61" t="n">
        <v>206245731</v>
      </c>
      <c r="D20" s="61"/>
      <c r="E20" s="61"/>
      <c r="F20" s="61"/>
      <c r="G20" s="61"/>
      <c r="H20" s="61"/>
      <c r="I20" s="15" t="s">
        <v>1102</v>
      </c>
    </row>
    <row r="21" customFormat="false" ht="15" hidden="false" customHeight="false" outlineLevel="0" collapsed="false">
      <c r="A21" s="63" t="s">
        <v>1103</v>
      </c>
      <c r="B21" s="64" t="s">
        <v>1104</v>
      </c>
      <c r="C21" s="65" t="n">
        <f aca="false">C15+C16+C17+C18+C19+C20</f>
        <v>-49172130106</v>
      </c>
      <c r="D21" s="65" t="n">
        <f aca="false">D15+D16+D17+D18+D19+D20</f>
        <v>-319670362181</v>
      </c>
      <c r="E21" s="65" t="n">
        <f aca="false">E15+E16+E17+E18+E19+E20</f>
        <v>-438033856431</v>
      </c>
      <c r="F21" s="65" t="n">
        <f aca="false">F15+F16+F17+F18+F19+F20</f>
        <v>-212221540575</v>
      </c>
      <c r="G21" s="65" t="n">
        <f aca="false">G15+G16+G17+G18+G19+G20</f>
        <v>-245291393404</v>
      </c>
      <c r="H21" s="65" t="n">
        <f aca="false">H15+H16+H17+H18+H19+H20</f>
        <v>-217412095335</v>
      </c>
    </row>
    <row r="22" customFormat="false" ht="15" hidden="false" customHeight="false" outlineLevel="0" collapsed="false">
      <c r="A22" s="16"/>
      <c r="B22" s="17" t="s">
        <v>480</v>
      </c>
      <c r="C22" s="16"/>
      <c r="D22" s="16"/>
      <c r="E22" s="16"/>
      <c r="F22" s="16"/>
      <c r="G22" s="16"/>
      <c r="H22" s="16"/>
      <c r="I22" s="16"/>
    </row>
    <row r="23" customFormat="false" ht="15" hidden="false" customHeight="false" outlineLevel="0" collapsed="false">
      <c r="A23" s="54" t="s">
        <v>1105</v>
      </c>
      <c r="B23" s="13" t="s">
        <v>1106</v>
      </c>
      <c r="C23" s="61" t="n">
        <v>0</v>
      </c>
      <c r="D23" s="61" t="n">
        <v>0</v>
      </c>
      <c r="E23" s="61" t="n">
        <v>0</v>
      </c>
      <c r="F23" s="61" t="n">
        <v>0</v>
      </c>
      <c r="G23" s="61" t="n">
        <v>-23968116240</v>
      </c>
      <c r="H23" s="61" t="n">
        <v>-98699072459</v>
      </c>
      <c r="I23" s="15" t="s">
        <v>1107</v>
      </c>
    </row>
    <row r="24" customFormat="false" ht="15" hidden="false" customHeight="false" outlineLevel="0" collapsed="false">
      <c r="A24" s="54" t="s">
        <v>1108</v>
      </c>
      <c r="B24" s="13" t="s">
        <v>1109</v>
      </c>
      <c r="C24" s="61" t="n">
        <v>301000000000</v>
      </c>
      <c r="D24" s="61" t="n">
        <v>-157718500160</v>
      </c>
      <c r="E24" s="61"/>
      <c r="F24" s="61"/>
      <c r="G24" s="61"/>
      <c r="H24" s="61"/>
      <c r="I24" s="15" t="s">
        <v>1110</v>
      </c>
    </row>
    <row r="25" customFormat="false" ht="15" hidden="false" customHeight="false" outlineLevel="0" collapsed="false">
      <c r="A25" s="54" t="s">
        <v>1111</v>
      </c>
      <c r="B25" s="13" t="s">
        <v>1112</v>
      </c>
      <c r="C25" s="61" t="n">
        <v>-28081621182</v>
      </c>
      <c r="D25" s="61" t="n">
        <v>7246377915</v>
      </c>
      <c r="E25" s="61"/>
      <c r="F25" s="61"/>
      <c r="G25" s="61"/>
      <c r="H25" s="61"/>
      <c r="I25" s="15" t="s">
        <v>1113</v>
      </c>
    </row>
    <row r="26" customFormat="false" ht="15" hidden="false" customHeight="false" outlineLevel="0" collapsed="false">
      <c r="A26" s="54" t="s">
        <v>1114</v>
      </c>
      <c r="B26" s="13" t="s">
        <v>1115</v>
      </c>
      <c r="C26" s="61" t="n">
        <v>0</v>
      </c>
      <c r="D26" s="61" t="n">
        <v>143795915364</v>
      </c>
      <c r="E26" s="61" t="n">
        <v>297955298245</v>
      </c>
      <c r="F26" s="61" t="n">
        <v>1152656202389</v>
      </c>
      <c r="G26" s="61" t="n">
        <v>141670889796</v>
      </c>
      <c r="H26" s="61" t="n">
        <v>178622359690</v>
      </c>
      <c r="I26" s="15" t="s">
        <v>1116</v>
      </c>
    </row>
    <row r="27" customFormat="false" ht="15" hidden="false" customHeight="false" outlineLevel="0" collapsed="false">
      <c r="A27" s="54" t="s">
        <v>1117</v>
      </c>
      <c r="B27" s="13" t="s">
        <v>1118</v>
      </c>
      <c r="C27" s="61" t="n">
        <v>-27831917568</v>
      </c>
      <c r="D27" s="61" t="n">
        <v>-20092731834</v>
      </c>
      <c r="E27" s="61" t="n">
        <v>-56290969450</v>
      </c>
      <c r="F27" s="61" t="n">
        <v>-976305604183</v>
      </c>
      <c r="G27" s="61" t="n">
        <v>-77952817919</v>
      </c>
      <c r="H27" s="61" t="n">
        <v>-53878580214</v>
      </c>
      <c r="I27" s="15" t="s">
        <v>1119</v>
      </c>
    </row>
    <row r="28" customFormat="false" ht="15" hidden="false" customHeight="false" outlineLevel="0" collapsed="false">
      <c r="A28" s="54" t="s">
        <v>1120</v>
      </c>
      <c r="B28" s="13" t="s">
        <v>1121</v>
      </c>
      <c r="C28" s="61" t="n">
        <v>-10540895446</v>
      </c>
      <c r="D28" s="61" t="n">
        <v>-40854781530</v>
      </c>
      <c r="E28" s="61" t="n">
        <v>-140280006679</v>
      </c>
      <c r="F28" s="61" t="n">
        <v>-22787447582</v>
      </c>
      <c r="G28" s="61" t="n">
        <v>-63930605455</v>
      </c>
      <c r="H28" s="61" t="n">
        <v>-16403096651</v>
      </c>
      <c r="I28" s="15" t="s">
        <v>1122</v>
      </c>
    </row>
    <row r="29" customFormat="false" ht="15" hidden="false" customHeight="false" outlineLevel="0" collapsed="false">
      <c r="A29" s="54" t="s">
        <v>1123</v>
      </c>
      <c r="B29" s="13" t="s">
        <v>1124</v>
      </c>
      <c r="C29" s="61" t="n">
        <v>0</v>
      </c>
      <c r="D29" s="61" t="n">
        <v>3000000</v>
      </c>
      <c r="E29" s="61" t="n">
        <v>5081837290</v>
      </c>
      <c r="F29" s="61" t="n">
        <v>0</v>
      </c>
      <c r="G29" s="61" t="n">
        <v>396766602500</v>
      </c>
      <c r="H29" s="61" t="n">
        <v>401311109</v>
      </c>
      <c r="I29" s="15" t="s">
        <v>1125</v>
      </c>
    </row>
    <row r="30" customFormat="false" ht="15" hidden="false" customHeight="false" outlineLevel="0" collapsed="false">
      <c r="A30" s="54" t="s">
        <v>1126</v>
      </c>
      <c r="B30" s="13" t="s">
        <v>1127</v>
      </c>
      <c r="C30" s="61" t="n">
        <v>149000000000</v>
      </c>
      <c r="D30" s="61" t="n">
        <v>226088872130</v>
      </c>
      <c r="E30" s="61"/>
      <c r="F30" s="61"/>
      <c r="G30" s="61"/>
      <c r="H30" s="61"/>
      <c r="I30" s="15" t="s">
        <v>1128</v>
      </c>
    </row>
    <row r="31" customFormat="false" ht="15" hidden="false" customHeight="false" outlineLevel="0" collapsed="false">
      <c r="A31" s="63" t="s">
        <v>1129</v>
      </c>
      <c r="B31" s="64" t="s">
        <v>1130</v>
      </c>
      <c r="C31" s="65" t="n">
        <f aca="false">C23+C24+C25+C26+C27+C28+C29+C30</f>
        <v>383545565804</v>
      </c>
      <c r="D31" s="65" t="n">
        <f aca="false">D23+D24+D25+D26+D27+D28+D29+D30</f>
        <v>158468151885</v>
      </c>
      <c r="E31" s="65" t="n">
        <f aca="false">E23+E24+E25+E26+E27+E28+E29+E30</f>
        <v>106466159406</v>
      </c>
      <c r="F31" s="65" t="n">
        <f aca="false">F23+F24+F25+F26+F27+F28+F29+F30</f>
        <v>153563150624</v>
      </c>
      <c r="G31" s="65" t="n">
        <f aca="false">G23+G24+G25+G26+G27+G28+G29+G30</f>
        <v>372585952682</v>
      </c>
      <c r="H31" s="65" t="n">
        <f aca="false">H23+H24+H25+H26+H27+H28+H29+H30</f>
        <v>10042921475</v>
      </c>
    </row>
    <row r="32" customFormat="false" ht="15" hidden="false" customHeight="false" outlineLevel="0" collapsed="false">
      <c r="A32" s="63" t="s">
        <v>1131</v>
      </c>
      <c r="B32" s="64" t="s">
        <v>497</v>
      </c>
      <c r="C32" s="65" t="n">
        <f aca="false">C13+C21+C31</f>
        <v>524731968775</v>
      </c>
      <c r="D32" s="65" t="n">
        <f aca="false">D13+D21+D31</f>
        <v>188236181884</v>
      </c>
      <c r="E32" s="65" t="n">
        <f aca="false">E13+E21+E31</f>
        <v>-200483337583</v>
      </c>
      <c r="F32" s="65" t="n">
        <f aca="false">F13+F21+F31</f>
        <v>-7219661467</v>
      </c>
      <c r="G32" s="65" t="n">
        <f aca="false">G13+G21+G31</f>
        <v>161274046649</v>
      </c>
      <c r="H32" s="65" t="n">
        <f aca="false">H13+H21+H31</f>
        <v>43252685834</v>
      </c>
    </row>
    <row r="33" customFormat="false" ht="15" hidden="false" customHeight="false" outlineLevel="0" collapsed="false">
      <c r="A33" s="54" t="s">
        <v>1132</v>
      </c>
      <c r="B33" s="13" t="s">
        <v>1133</v>
      </c>
      <c r="C33" s="61"/>
      <c r="D33" s="61"/>
      <c r="E33" s="61"/>
      <c r="F33" s="61"/>
      <c r="G33" s="61"/>
      <c r="H33" s="61"/>
      <c r="I33" s="15" t="s">
        <v>1134</v>
      </c>
    </row>
    <row r="34" customFormat="false" ht="15" hidden="false" customHeight="false" outlineLevel="0" collapsed="false">
      <c r="A34" s="54" t="s">
        <v>1135</v>
      </c>
      <c r="B34" s="13" t="s">
        <v>499</v>
      </c>
      <c r="C34" s="61" t="n">
        <v>100254587466</v>
      </c>
      <c r="D34" s="61" t="n">
        <v>641524826591</v>
      </c>
      <c r="E34" s="61" t="n">
        <v>829761008475</v>
      </c>
      <c r="F34" s="61" t="n">
        <v>629277670892</v>
      </c>
      <c r="G34" s="61" t="n">
        <v>622058009425</v>
      </c>
      <c r="H34" s="61" t="n">
        <v>783332056074</v>
      </c>
      <c r="I34" s="15" t="s">
        <v>1136</v>
      </c>
    </row>
    <row r="35" customFormat="false" ht="15" hidden="false" customHeight="false" outlineLevel="0" collapsed="false">
      <c r="A35" s="63" t="s">
        <v>1137</v>
      </c>
      <c r="B35" s="64" t="s">
        <v>501</v>
      </c>
      <c r="C35" s="65" t="n">
        <f aca="false">C32+C33+C34</f>
        <v>624986556241</v>
      </c>
      <c r="D35" s="65" t="n">
        <f aca="false">D32+D33+D34</f>
        <v>829761008475</v>
      </c>
      <c r="E35" s="65" t="n">
        <f aca="false">E32+E33+E34</f>
        <v>629277670892</v>
      </c>
      <c r="F35" s="65" t="n">
        <f aca="false">F32+F33+F34</f>
        <v>622058009425</v>
      </c>
      <c r="G35" s="65" t="n">
        <f aca="false">G32+G33+G34</f>
        <v>783332056074</v>
      </c>
      <c r="H35" s="65" t="n">
        <f aca="false">H32+H33+H34</f>
        <v>826584741908</v>
      </c>
    </row>
    <row r="36" customFormat="false" ht="15" hidden="false" customHeight="false" outlineLevel="0" collapsed="false">
      <c r="A36" s="16"/>
      <c r="B36" s="17" t="s">
        <v>1138</v>
      </c>
      <c r="C36" s="16"/>
      <c r="D36" s="16"/>
      <c r="E36" s="16"/>
      <c r="F36" s="16"/>
      <c r="G36" s="16"/>
      <c r="H36" s="16"/>
      <c r="I36" s="16"/>
    </row>
    <row r="37" customFormat="false" ht="15" hidden="false" customHeight="false" outlineLevel="0" collapsed="false">
      <c r="A37" s="54" t="s">
        <v>1139</v>
      </c>
      <c r="B37" s="13" t="s">
        <v>1140</v>
      </c>
      <c r="C37" s="61"/>
      <c r="D37" s="61"/>
      <c r="E37" s="61"/>
      <c r="F37" s="61"/>
      <c r="G37" s="61" t="n">
        <v>0</v>
      </c>
      <c r="H37" s="61" t="n">
        <v>58236656377</v>
      </c>
      <c r="I37" s="15" t="s">
        <v>1141</v>
      </c>
    </row>
    <row r="38" customFormat="false" ht="15" hidden="false" customHeight="false" outlineLevel="0" collapsed="false">
      <c r="A38" s="54" t="s">
        <v>1142</v>
      </c>
      <c r="B38" s="13" t="s">
        <v>1143</v>
      </c>
      <c r="C38" s="61"/>
      <c r="D38" s="61"/>
      <c r="E38" s="61"/>
      <c r="F38" s="61"/>
      <c r="G38" s="61" t="n">
        <v>1063430450</v>
      </c>
      <c r="H38" s="61" t="n">
        <v>0</v>
      </c>
      <c r="I38" s="15" t="s">
        <v>1144</v>
      </c>
    </row>
    <row r="39" customFormat="false" ht="15" hidden="false" customHeight="false" outlineLevel="0" collapsed="false">
      <c r="A39" s="54" t="s">
        <v>1145</v>
      </c>
      <c r="B39" s="13" t="s">
        <v>1146</v>
      </c>
      <c r="C39" s="61"/>
      <c r="D39" s="61"/>
      <c r="E39" s="61"/>
      <c r="F39" s="61"/>
      <c r="G39" s="61" t="n">
        <v>3412325003</v>
      </c>
      <c r="H39" s="61" t="n">
        <v>0</v>
      </c>
      <c r="I39" s="15" t="s">
        <v>1147</v>
      </c>
    </row>
    <row r="40" customFormat="false" ht="15" hidden="false" customHeight="false" outlineLevel="0" collapsed="false">
      <c r="A40" s="54" t="s">
        <v>1148</v>
      </c>
      <c r="B40" s="13" t="s">
        <v>1149</v>
      </c>
      <c r="C40" s="61"/>
      <c r="D40" s="61"/>
      <c r="E40" s="61"/>
      <c r="F40" s="61"/>
      <c r="G40" s="61" t="n">
        <v>4475755453</v>
      </c>
      <c r="H40" s="61" t="n">
        <v>58236656377</v>
      </c>
      <c r="I40" s="15" t="s">
        <v>1150</v>
      </c>
    </row>
    <row r="41" customFormat="false" ht="15" hidden="false" customHeight="false" outlineLevel="0" collapsed="false">
      <c r="A41" s="16"/>
      <c r="B41" s="17" t="s">
        <v>912</v>
      </c>
      <c r="C41" s="16"/>
      <c r="D41" s="16"/>
      <c r="E41" s="16"/>
      <c r="F41" s="16"/>
      <c r="G41" s="16"/>
      <c r="H41" s="16"/>
      <c r="I41" s="16"/>
    </row>
    <row r="42" customFormat="false" ht="15" hidden="false" customHeight="false" outlineLevel="0" collapsed="false">
      <c r="A42" s="54" t="s">
        <v>1151</v>
      </c>
      <c r="B42" s="13" t="s">
        <v>1152</v>
      </c>
      <c r="C42" s="61" t="n">
        <v>190358533077</v>
      </c>
      <c r="D42" s="61" t="n">
        <v>349438392180</v>
      </c>
      <c r="E42" s="61" t="n">
        <v>131084359442</v>
      </c>
      <c r="F42" s="61" t="n">
        <v>51438728484</v>
      </c>
      <c r="G42" s="61" t="n">
        <v>33979487371</v>
      </c>
      <c r="H42" s="61" t="n">
        <v>250621859694</v>
      </c>
      <c r="I42" s="15" t="s">
        <v>1153</v>
      </c>
    </row>
    <row r="43" customFormat="false" ht="15" hidden="false" customHeight="false" outlineLevel="0" collapsed="false">
      <c r="A43" s="54" t="s">
        <v>1154</v>
      </c>
      <c r="B43" s="13" t="s">
        <v>1155</v>
      </c>
      <c r="C43" s="61" t="n">
        <v>-49172130106</v>
      </c>
      <c r="D43" s="61" t="n">
        <v>-319670362181</v>
      </c>
      <c r="E43" s="61" t="n">
        <v>-438033856431</v>
      </c>
      <c r="F43" s="61" t="n">
        <v>-212221540575</v>
      </c>
      <c r="G43" s="61" t="n">
        <v>-245291393404</v>
      </c>
      <c r="H43" s="61" t="n">
        <v>-217412095335</v>
      </c>
      <c r="I43" s="15" t="s">
        <v>1156</v>
      </c>
    </row>
    <row r="44" customFormat="false" ht="15" hidden="false" customHeight="false" outlineLevel="0" collapsed="false">
      <c r="A44" s="54" t="s">
        <v>1157</v>
      </c>
      <c r="B44" s="13" t="s">
        <v>1158</v>
      </c>
      <c r="C44" s="61" t="n">
        <v>383545565804</v>
      </c>
      <c r="D44" s="61" t="n">
        <v>158468151885</v>
      </c>
      <c r="E44" s="61" t="n">
        <v>106466159406</v>
      </c>
      <c r="F44" s="61" t="n">
        <v>153563150624</v>
      </c>
      <c r="G44" s="61" t="n">
        <v>372585952682</v>
      </c>
      <c r="H44" s="61" t="n">
        <v>10042921475</v>
      </c>
      <c r="I44" s="15" t="s">
        <v>1159</v>
      </c>
    </row>
    <row r="45" customFormat="false" ht="15" hidden="false" customHeight="false" outlineLevel="0" collapsed="false">
      <c r="A45" s="54" t="s">
        <v>1160</v>
      </c>
      <c r="B45" s="13" t="s">
        <v>1161</v>
      </c>
      <c r="C45" s="61" t="n">
        <v>524731968775</v>
      </c>
      <c r="D45" s="61" t="n">
        <v>188236181884</v>
      </c>
      <c r="E45" s="61" t="n">
        <v>-200483337583</v>
      </c>
      <c r="F45" s="61" t="n">
        <v>-7219661467</v>
      </c>
      <c r="G45" s="61" t="n">
        <v>161274046649</v>
      </c>
      <c r="H45" s="61" t="n">
        <v>43252685834</v>
      </c>
      <c r="I45" s="15" t="s">
        <v>1162</v>
      </c>
    </row>
    <row r="46" customFormat="false" ht="15" hidden="false" customHeight="false" outlineLevel="0" collapsed="false">
      <c r="A46" s="54" t="s">
        <v>1163</v>
      </c>
      <c r="B46" s="13" t="s">
        <v>1164</v>
      </c>
      <c r="C46" s="61" t="n">
        <v>624986556241</v>
      </c>
      <c r="D46" s="61" t="n">
        <v>829761008475</v>
      </c>
      <c r="E46" s="61" t="n">
        <v>629277670892</v>
      </c>
      <c r="F46" s="61" t="n">
        <v>622058009425</v>
      </c>
      <c r="G46" s="61" t="n">
        <v>783332056074</v>
      </c>
      <c r="H46" s="61" t="n">
        <v>826584741908</v>
      </c>
      <c r="I46" s="15" t="s">
        <v>1165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1166</v>
      </c>
    </row>
    <row r="2" customFormat="false" ht="15" hidden="false" customHeight="false" outlineLevel="0" collapsed="false">
      <c r="A2" s="15" t="s">
        <v>1167</v>
      </c>
    </row>
    <row r="3" customFormat="false" ht="22.35" hidden="false" customHeight="false" outlineLevel="0" collapsed="false">
      <c r="B3" s="15" t="s">
        <v>653</v>
      </c>
      <c r="C3" s="95" t="s">
        <v>654</v>
      </c>
      <c r="D3" s="96" t="s">
        <v>655</v>
      </c>
      <c r="E3" s="96" t="s">
        <v>656</v>
      </c>
      <c r="F3" s="96" t="s">
        <v>657</v>
      </c>
      <c r="G3" s="96" t="s">
        <v>658</v>
      </c>
      <c r="H3" s="96" t="s">
        <v>659</v>
      </c>
    </row>
    <row r="4" customFormat="false" ht="15" hidden="false" customHeight="false" outlineLevel="0" collapsed="false">
      <c r="A4" s="25" t="s">
        <v>339</v>
      </c>
      <c r="B4" s="25" t="s">
        <v>340</v>
      </c>
      <c r="C4" s="25" t="s">
        <v>131</v>
      </c>
      <c r="D4" s="25" t="s">
        <v>132</v>
      </c>
      <c r="E4" s="25" t="s">
        <v>133</v>
      </c>
      <c r="F4" s="25" t="s">
        <v>134</v>
      </c>
      <c r="G4" s="25" t="s">
        <v>135</v>
      </c>
      <c r="H4" s="25" t="s">
        <v>136</v>
      </c>
      <c r="I4" s="25" t="s">
        <v>341</v>
      </c>
    </row>
    <row r="5" customFormat="false" ht="15" hidden="false" customHeight="false" outlineLevel="0" collapsed="false">
      <c r="A5" s="16"/>
      <c r="B5" s="17" t="s">
        <v>1168</v>
      </c>
      <c r="C5" s="16"/>
      <c r="D5" s="16"/>
      <c r="E5" s="16"/>
      <c r="F5" s="16"/>
      <c r="G5" s="16"/>
      <c r="H5" s="16"/>
      <c r="I5" s="16"/>
    </row>
    <row r="6" customFormat="false" ht="15" hidden="false" customHeight="false" outlineLevel="0" collapsed="false">
      <c r="A6" s="54" t="s">
        <v>1169</v>
      </c>
      <c r="B6" s="13" t="s">
        <v>1170</v>
      </c>
      <c r="C6" s="73" t="n">
        <f aca="false">C286+C287+C288+C289+C290+C291</f>
        <v>475077272907</v>
      </c>
      <c r="D6" s="73" t="n">
        <f aca="false">D286+D287+D288+D289+D290+D291</f>
        <v>735765134635</v>
      </c>
      <c r="E6" s="73" t="n">
        <f aca="false">E286+E287+E288+E289+E290+E291</f>
        <v>641770679085</v>
      </c>
      <c r="F6" s="73" t="n">
        <f aca="false">F286+F287+F288+F289+F290+F291</f>
        <v>540967778701</v>
      </c>
      <c r="G6" s="73" t="n">
        <f aca="false">G286+G287+G288+G289+G290+G291</f>
        <v>560694594974</v>
      </c>
      <c r="H6" s="73" t="n">
        <f aca="false">H286+H287+H288+H289+H290+H291</f>
        <v>571594210618</v>
      </c>
      <c r="I6" s="15" t="s">
        <v>1171</v>
      </c>
    </row>
    <row r="7" customFormat="false" ht="15" hidden="false" customHeight="false" outlineLevel="0" collapsed="false">
      <c r="A7" s="54" t="s">
        <v>1172</v>
      </c>
      <c r="B7" s="13" t="s">
        <v>1173</v>
      </c>
      <c r="C7" s="73" t="n">
        <f aca="false">C292+C293+C294+C295</f>
        <v>349676031969</v>
      </c>
      <c r="D7" s="73" t="n">
        <f aca="false">D292+D293+D294+D295</f>
        <v>694090513912</v>
      </c>
      <c r="E7" s="73" t="n">
        <f aca="false">E292+E293+E294+E295</f>
        <v>516014879890</v>
      </c>
      <c r="F7" s="73" t="n">
        <f aca="false">F292+F293+F294+F295</f>
        <v>525021207934</v>
      </c>
      <c r="G7" s="73" t="n">
        <f aca="false">G292+G293+G294+G295</f>
        <v>557800692179</v>
      </c>
      <c r="H7" s="73" t="n">
        <f aca="false">H292+H293+H294+H295</f>
        <v>626282850800</v>
      </c>
      <c r="I7" s="15" t="s">
        <v>1171</v>
      </c>
    </row>
    <row r="8" customFormat="false" ht="15" hidden="false" customHeight="false" outlineLevel="0" collapsed="false">
      <c r="A8" s="54" t="s">
        <v>1174</v>
      </c>
      <c r="B8" s="13" t="s">
        <v>1175</v>
      </c>
      <c r="C8" s="73" t="n">
        <f aca="false">C296</f>
        <v>338134583532</v>
      </c>
      <c r="D8" s="73" t="n">
        <f aca="false">D296</f>
        <v>510792679268</v>
      </c>
      <c r="E8" s="73" t="n">
        <f aca="false">E296</f>
        <v>554528401236</v>
      </c>
      <c r="F8" s="73" t="n">
        <f aca="false">F296</f>
        <v>486504873770</v>
      </c>
      <c r="G8" s="73" t="n">
        <f aca="false">G296</f>
        <v>529785137307</v>
      </c>
      <c r="H8" s="73" t="n">
        <f aca="false">H296</f>
        <v>520503370204</v>
      </c>
      <c r="I8" s="15" t="s">
        <v>1171</v>
      </c>
    </row>
    <row r="9" customFormat="false" ht="15" hidden="false" customHeight="false" outlineLevel="0" collapsed="false">
      <c r="A9" s="54" t="s">
        <v>1176</v>
      </c>
      <c r="B9" s="13" t="s">
        <v>1177</v>
      </c>
      <c r="C9" s="73" t="n">
        <f aca="false">C297</f>
        <v>3674752669</v>
      </c>
      <c r="D9" s="73" t="n">
        <f aca="false">D297</f>
        <v>6174031651</v>
      </c>
      <c r="E9" s="73" t="n">
        <f aca="false">E297</f>
        <v>7528190908</v>
      </c>
      <c r="F9" s="73" t="n">
        <f aca="false">F297</f>
        <v>6480742292</v>
      </c>
      <c r="G9" s="73" t="n">
        <f aca="false">G297</f>
        <v>5183450111</v>
      </c>
      <c r="H9" s="73" t="n">
        <f aca="false">H297</f>
        <v>4971190823</v>
      </c>
      <c r="I9" s="15" t="s">
        <v>1171</v>
      </c>
    </row>
    <row r="10" customFormat="false" ht="15" hidden="false" customHeight="false" outlineLevel="0" collapsed="false">
      <c r="A10" s="63" t="s">
        <v>1178</v>
      </c>
      <c r="B10" s="64" t="s">
        <v>352</v>
      </c>
      <c r="C10" s="65" t="n">
        <f aca="false">C6+C7+C8+C9</f>
        <v>1166562641077</v>
      </c>
      <c r="D10" s="65" t="n">
        <f aca="false">D6+D7+D8+D9</f>
        <v>1946822359466</v>
      </c>
      <c r="E10" s="65" t="n">
        <f aca="false">E6+E7+E8+E9</f>
        <v>1719842151119</v>
      </c>
      <c r="F10" s="65" t="n">
        <f aca="false">F6+F7+F8+F9</f>
        <v>1558974602697</v>
      </c>
      <c r="G10" s="65" t="n">
        <f aca="false">G6+G7+G8+G9</f>
        <v>1653463874571</v>
      </c>
      <c r="H10" s="65" t="n">
        <f aca="false">H6+H7+H8+H9</f>
        <v>1723351622445</v>
      </c>
    </row>
    <row r="11" customFormat="false" ht="15" hidden="false" customHeight="false" outlineLevel="0" collapsed="false">
      <c r="A11" s="54" t="s">
        <v>1179</v>
      </c>
      <c r="B11" s="13" t="s">
        <v>110</v>
      </c>
      <c r="C11" s="73" t="n">
        <f aca="false">C301</f>
        <v>-18418259365</v>
      </c>
      <c r="D11" s="73" t="n">
        <f aca="false">D301</f>
        <v>-56022083719</v>
      </c>
      <c r="E11" s="73" t="n">
        <f aca="false">E301</f>
        <v>-61154239897</v>
      </c>
      <c r="F11" s="73" t="n">
        <f aca="false">F301</f>
        <v>-70777119326</v>
      </c>
      <c r="G11" s="73" t="n">
        <f aca="false">G301</f>
        <v>-98778864235</v>
      </c>
      <c r="H11" s="73" t="n">
        <f aca="false">H301</f>
        <v>-109010850933</v>
      </c>
      <c r="I11" s="15" t="s">
        <v>1180</v>
      </c>
    </row>
    <row r="12" customFormat="false" ht="15" hidden="false" customHeight="false" outlineLevel="0" collapsed="false">
      <c r="A12" s="63" t="s">
        <v>1181</v>
      </c>
      <c r="B12" s="64" t="s">
        <v>1182</v>
      </c>
      <c r="C12" s="65" t="n">
        <f aca="false">C10+C11</f>
        <v>1148144381712</v>
      </c>
      <c r="D12" s="65" t="n">
        <f aca="false">D10+D11</f>
        <v>1890800275747</v>
      </c>
      <c r="E12" s="65" t="n">
        <f aca="false">E10+E11</f>
        <v>1658687911222</v>
      </c>
      <c r="F12" s="65" t="n">
        <f aca="false">F10+F11</f>
        <v>1488197483371</v>
      </c>
      <c r="G12" s="65" t="n">
        <f aca="false">G10+G11</f>
        <v>1554685010336</v>
      </c>
      <c r="H12" s="65" t="n">
        <f aca="false">H10+H11</f>
        <v>1614340771512</v>
      </c>
    </row>
    <row r="13" customFormat="false" ht="15" hidden="false" customHeight="false" outlineLevel="0" collapsed="false">
      <c r="A13" s="54" t="s">
        <v>1183</v>
      </c>
      <c r="B13" s="13" t="s">
        <v>1184</v>
      </c>
      <c r="C13" s="67" t="n">
        <f aca="false">IFERROR(-C11/C10,0)</f>
        <v>0.0157884872328809</v>
      </c>
      <c r="D13" s="67" t="n">
        <f aca="false">IFERROR(-D11/D10,0)</f>
        <v>0.0287761661697611</v>
      </c>
      <c r="E13" s="67" t="n">
        <f aca="false">IFERROR(-E11/E10,0)</f>
        <v>0.0355580538930335</v>
      </c>
      <c r="F13" s="67" t="n">
        <f aca="false">IFERROR(-F11/F10,0)</f>
        <v>0.0453997898384982</v>
      </c>
      <c r="G13" s="67" t="n">
        <f aca="false">IFERROR(-G11/G10,0)</f>
        <v>0.0597405638878132</v>
      </c>
      <c r="H13" s="67" t="n">
        <f aca="false">IFERROR(-H11/H10,0)</f>
        <v>0.0632551416166256</v>
      </c>
    </row>
    <row r="14" customFormat="false" ht="15" hidden="false" customHeight="false" outlineLevel="0" collapsed="false">
      <c r="A14" s="54" t="s">
        <v>1185</v>
      </c>
      <c r="B14" s="13" t="s">
        <v>1186</v>
      </c>
      <c r="C14" s="73" t="n">
        <f aca="false">C43</f>
        <v>55596065221</v>
      </c>
      <c r="D14" s="73" t="n">
        <f aca="false">D43</f>
        <v>62603942562</v>
      </c>
      <c r="E14" s="73" t="n">
        <f aca="false">E43</f>
        <v>89644390884</v>
      </c>
      <c r="F14" s="73" t="n">
        <f aca="false">F43</f>
        <v>94759038958</v>
      </c>
      <c r="G14" s="73" t="n">
        <f aca="false">G43</f>
        <v>95085231562</v>
      </c>
      <c r="H14" s="73" t="n">
        <f aca="false">H43</f>
        <v>81224259340</v>
      </c>
    </row>
    <row r="15" customFormat="false" ht="15" hidden="false" customHeight="false" outlineLevel="0" collapsed="false">
      <c r="A15" s="54" t="s">
        <v>1187</v>
      </c>
      <c r="B15" s="13" t="s">
        <v>1188</v>
      </c>
      <c r="C15" s="73" t="n">
        <f aca="false">C118</f>
        <v>9450964473</v>
      </c>
      <c r="D15" s="73" t="n">
        <f aca="false">D118</f>
        <v>13717043425</v>
      </c>
      <c r="E15" s="73" t="n">
        <f aca="false">E118</f>
        <v>11683673692</v>
      </c>
      <c r="F15" s="73" t="n">
        <f aca="false">F118</f>
        <v>12266955209</v>
      </c>
      <c r="G15" s="73" t="n">
        <f aca="false">G118</f>
        <v>9730445461</v>
      </c>
      <c r="H15" s="73" t="n">
        <f aca="false">H118</f>
        <v>3207084079</v>
      </c>
      <c r="I15" s="15" t="s">
        <v>1189</v>
      </c>
    </row>
    <row r="16" customFormat="false" ht="15" hidden="false" customHeight="false" outlineLevel="0" collapsed="false">
      <c r="A16" s="54" t="s">
        <v>1190</v>
      </c>
      <c r="B16" s="13" t="s">
        <v>1191</v>
      </c>
      <c r="C16" s="73" t="n">
        <f aca="false">C119</f>
        <v>46145100748</v>
      </c>
      <c r="D16" s="73" t="n">
        <f aca="false">D119</f>
        <v>48886899137</v>
      </c>
      <c r="E16" s="73" t="n">
        <f aca="false">E119</f>
        <v>77960717192</v>
      </c>
      <c r="F16" s="73" t="n">
        <f aca="false">F119</f>
        <v>82492083749</v>
      </c>
      <c r="G16" s="73" t="n">
        <f aca="false">G119</f>
        <v>85354786101</v>
      </c>
      <c r="H16" s="73" t="n">
        <f aca="false">H119</f>
        <v>78017175261</v>
      </c>
      <c r="I16" s="15" t="s">
        <v>1189</v>
      </c>
    </row>
    <row r="17" customFormat="false" ht="15" hidden="false" customHeight="false" outlineLevel="0" collapsed="false">
      <c r="A17" s="54" t="s">
        <v>1192</v>
      </c>
      <c r="B17" s="13" t="s">
        <v>1193</v>
      </c>
      <c r="C17" s="73" t="n">
        <f aca="false">C61</f>
        <v>12144495437</v>
      </c>
      <c r="D17" s="73" t="n">
        <f aca="false">D61</f>
        <v>22523019455</v>
      </c>
      <c r="E17" s="73" t="n">
        <f aca="false">E61</f>
        <v>30576498120</v>
      </c>
      <c r="F17" s="73" t="n">
        <f aca="false">F61</f>
        <v>31061918084</v>
      </c>
      <c r="G17" s="73" t="n">
        <f aca="false">G61</f>
        <v>24643746342</v>
      </c>
      <c r="H17" s="73" t="n">
        <f aca="false">H61</f>
        <v>43384345751</v>
      </c>
      <c r="I17" s="15" t="s">
        <v>1194</v>
      </c>
    </row>
    <row r="18" customFormat="false" ht="15" hidden="false" customHeight="false" outlineLevel="0" collapsed="false">
      <c r="A18" s="54" t="s">
        <v>1195</v>
      </c>
      <c r="B18" s="13" t="s">
        <v>1196</v>
      </c>
      <c r="C18" s="73" t="n">
        <f aca="false">C333</f>
        <v>0</v>
      </c>
      <c r="D18" s="73" t="n">
        <f aca="false">D333</f>
        <v>0</v>
      </c>
      <c r="E18" s="73" t="n">
        <f aca="false">E333</f>
        <v>0</v>
      </c>
      <c r="F18" s="73" t="n">
        <f aca="false">F333</f>
        <v>0</v>
      </c>
      <c r="G18" s="73" t="n">
        <f aca="false">G333</f>
        <v>3700208333</v>
      </c>
      <c r="H18" s="73" t="n">
        <f aca="false">H333</f>
        <v>1303158902</v>
      </c>
      <c r="I18" s="15" t="s">
        <v>1197</v>
      </c>
    </row>
    <row r="19" customFormat="false" ht="15" hidden="false" customHeight="false" outlineLevel="0" collapsed="false">
      <c r="A19" s="63" t="s">
        <v>1198</v>
      </c>
      <c r="B19" s="64" t="s">
        <v>1199</v>
      </c>
      <c r="C19" s="65" t="n">
        <f aca="false">C14+C17+C18</f>
        <v>67740560658</v>
      </c>
      <c r="D19" s="65" t="n">
        <f aca="false">D14+D17+D18</f>
        <v>85126962017</v>
      </c>
      <c r="E19" s="65" t="n">
        <f aca="false">E14+E17+E18</f>
        <v>120220889004</v>
      </c>
      <c r="F19" s="65" t="n">
        <f aca="false">F14+F17+F18</f>
        <v>125820957042</v>
      </c>
      <c r="G19" s="65" t="n">
        <f aca="false">G14+G17+G18</f>
        <v>123429186237</v>
      </c>
      <c r="H19" s="65" t="n">
        <f aca="false">H14+H17+H18</f>
        <v>125911763993</v>
      </c>
    </row>
    <row r="20" customFormat="false" ht="15" hidden="false" customHeight="false" outlineLevel="0" collapsed="false">
      <c r="A20" s="54" t="s">
        <v>1200</v>
      </c>
      <c r="B20" s="13" t="s">
        <v>1201</v>
      </c>
      <c r="C20" s="73" t="n">
        <f aca="false">C19-C15</f>
        <v>58289596185</v>
      </c>
      <c r="D20" s="73" t="n">
        <f aca="false">D19-D15</f>
        <v>71409918592</v>
      </c>
      <c r="E20" s="73" t="n">
        <f aca="false">E19-E15</f>
        <v>108537215312</v>
      </c>
      <c r="F20" s="73" t="n">
        <f aca="false">F19-F15</f>
        <v>113554001833</v>
      </c>
      <c r="G20" s="73" t="n">
        <f aca="false">G19-G15</f>
        <v>113698740776</v>
      </c>
      <c r="H20" s="73" t="n">
        <f aca="false">H19-H15</f>
        <v>122704679914</v>
      </c>
    </row>
    <row r="21" customFormat="false" ht="15" hidden="false" customHeight="false" outlineLevel="0" collapsed="false">
      <c r="A21" s="54" t="s">
        <v>1202</v>
      </c>
      <c r="B21" s="13" t="s">
        <v>532</v>
      </c>
      <c r="C21" s="73" t="n">
        <f aca="false">C144</f>
        <v>9711892583</v>
      </c>
      <c r="D21" s="73" t="n">
        <f aca="false">D144</f>
        <v>9214811101</v>
      </c>
      <c r="E21" s="73" t="n">
        <f aca="false">E144</f>
        <v>12285666027</v>
      </c>
      <c r="F21" s="73" t="n">
        <f aca="false">F144</f>
        <v>9702367137</v>
      </c>
      <c r="G21" s="73" t="n">
        <f aca="false">G144</f>
        <v>20365042260</v>
      </c>
      <c r="H21" s="73" t="n">
        <f aca="false">H144</f>
        <v>56457929143</v>
      </c>
      <c r="I21" s="15" t="s">
        <v>1203</v>
      </c>
    </row>
    <row r="22" customFormat="false" ht="15" hidden="false" customHeight="false" outlineLevel="0" collapsed="false">
      <c r="A22" s="54" t="s">
        <v>1204</v>
      </c>
      <c r="B22" s="13" t="s">
        <v>1205</v>
      </c>
      <c r="C22" s="73" t="n">
        <f aca="false">C145</f>
        <v>2466895016</v>
      </c>
      <c r="D22" s="73" t="n">
        <f aca="false">D145</f>
        <v>4696003357</v>
      </c>
      <c r="E22" s="73" t="n">
        <f aca="false">E145</f>
        <v>6045251336</v>
      </c>
      <c r="F22" s="73" t="n">
        <f aca="false">F145</f>
        <v>6084039987</v>
      </c>
      <c r="G22" s="73" t="n">
        <f aca="false">G145</f>
        <v>3603073980</v>
      </c>
      <c r="H22" s="73" t="n">
        <f aca="false">H145</f>
        <v>42241143316</v>
      </c>
      <c r="I22" s="15" t="s">
        <v>1203</v>
      </c>
    </row>
    <row r="23" customFormat="false" ht="15" hidden="false" customHeight="false" outlineLevel="0" collapsed="false">
      <c r="A23" s="54" t="s">
        <v>1206</v>
      </c>
      <c r="B23" s="13" t="s">
        <v>1207</v>
      </c>
      <c r="C23" s="73" t="n">
        <f aca="false">C34</f>
        <v>49606709171</v>
      </c>
      <c r="D23" s="73" t="n">
        <f aca="false">D34</f>
        <v>298175362181</v>
      </c>
      <c r="E23" s="73" t="n">
        <f aca="false">E34</f>
        <v>301730050964</v>
      </c>
      <c r="F23" s="73" t="n">
        <f aca="false">F34</f>
        <v>209353390575</v>
      </c>
      <c r="G23" s="73" t="n">
        <f aca="false">G34</f>
        <v>167888264808</v>
      </c>
      <c r="H23" s="73" t="n">
        <f aca="false">H34</f>
        <v>294346448080</v>
      </c>
    </row>
    <row r="24" customFormat="false" ht="15" hidden="false" customHeight="false" outlineLevel="0" collapsed="false">
      <c r="A24" s="54" t="s">
        <v>1208</v>
      </c>
      <c r="B24" s="13" t="s">
        <v>1209</v>
      </c>
      <c r="C24" s="73" t="n">
        <f aca="false">C38</f>
        <v>126337956118</v>
      </c>
      <c r="D24" s="73" t="n">
        <f aca="false">D38</f>
        <v>0</v>
      </c>
      <c r="E24" s="73" t="n">
        <f aca="false">E38</f>
        <v>0</v>
      </c>
      <c r="F24" s="73" t="n">
        <f aca="false">F38</f>
        <v>0</v>
      </c>
      <c r="G24" s="73" t="n">
        <f aca="false">G38</f>
        <v>0</v>
      </c>
      <c r="H24" s="73" t="n">
        <f aca="false">H38</f>
        <v>234104222722</v>
      </c>
    </row>
    <row r="25" customFormat="false" ht="15" hidden="false" customHeight="false" outlineLevel="0" collapsed="false">
      <c r="A25" s="54" t="s">
        <v>1210</v>
      </c>
      <c r="B25" s="13" t="s">
        <v>1211</v>
      </c>
      <c r="C25" s="73" t="n">
        <f aca="false">C78</f>
        <v>54462175041</v>
      </c>
      <c r="D25" s="73" t="n">
        <f aca="false">D78</f>
        <v>245476312053</v>
      </c>
      <c r="E25" s="73" t="n">
        <f aca="false">E78</f>
        <v>212081647789</v>
      </c>
      <c r="F25" s="73" t="n">
        <f aca="false">F78</f>
        <v>210222760837</v>
      </c>
      <c r="G25" s="73" t="n">
        <f aca="false">G78</f>
        <v>434256398708</v>
      </c>
      <c r="H25" s="73" t="n">
        <f aca="false">H78</f>
        <v>444592822953</v>
      </c>
    </row>
    <row r="26" customFormat="false" ht="15" hidden="false" customHeight="false" outlineLevel="0" collapsed="false">
      <c r="A26" s="54" t="s">
        <v>1212</v>
      </c>
      <c r="B26" s="13" t="s">
        <v>1213</v>
      </c>
      <c r="C26" s="73" t="n">
        <f aca="false">C75</f>
        <v>29669046423</v>
      </c>
      <c r="D26" s="73" t="n">
        <f aca="false">D75</f>
        <v>140159661589</v>
      </c>
      <c r="E26" s="73" t="n">
        <f aca="false">E75</f>
        <v>45704128489</v>
      </c>
      <c r="F26" s="73" t="n">
        <f aca="false">F75</f>
        <v>8768294480</v>
      </c>
      <c r="G26" s="73" t="n">
        <f aca="false">G75</f>
        <v>6952268943</v>
      </c>
      <c r="H26" s="73" t="n">
        <f aca="false">H75</f>
        <v>17254181215</v>
      </c>
    </row>
    <row r="27" customFormat="false" ht="15" hidden="false" customHeight="false" outlineLevel="0" collapsed="false">
      <c r="A27" s="54" t="s">
        <v>1214</v>
      </c>
      <c r="B27" s="13" t="s">
        <v>1215</v>
      </c>
      <c r="C27" s="73" t="n">
        <f aca="false">C277</f>
        <v>993</v>
      </c>
      <c r="D27" s="73" t="n">
        <f aca="false">D277</f>
        <v>1117</v>
      </c>
      <c r="E27" s="73" t="n">
        <f aca="false">E277</f>
        <v>1285</v>
      </c>
      <c r="F27" s="73" t="n">
        <f aca="false">F277</f>
        <v>1434</v>
      </c>
      <c r="G27" s="73" t="n">
        <f aca="false">G277</f>
        <v>1579</v>
      </c>
      <c r="H27" s="73" t="n">
        <f aca="false">H277</f>
        <v>1566</v>
      </c>
    </row>
    <row r="31" customFormat="false" ht="15" hidden="false" customHeight="false" outlineLevel="0" collapsed="false">
      <c r="A31" s="16"/>
      <c r="B31" s="17" t="s">
        <v>1216</v>
      </c>
      <c r="C31" s="16"/>
      <c r="D31" s="16"/>
      <c r="E31" s="16"/>
      <c r="F31" s="16"/>
      <c r="G31" s="16"/>
      <c r="H31" s="16"/>
      <c r="I31" s="16"/>
    </row>
    <row r="32" customFormat="false" ht="15" hidden="false" customHeight="false" outlineLevel="0" collapsed="false">
      <c r="B32" s="4" t="s">
        <v>1217</v>
      </c>
    </row>
    <row r="33" customFormat="false" ht="15" hidden="false" customHeight="false" outlineLevel="0" collapsed="false">
      <c r="A33" s="54" t="s">
        <v>1218</v>
      </c>
      <c r="B33" s="13" t="s">
        <v>1219</v>
      </c>
      <c r="C33" s="61" t="n">
        <v>1365448255206</v>
      </c>
      <c r="D33" s="61" t="n">
        <v>1525702890522</v>
      </c>
      <c r="E33" s="61" t="n">
        <v>1821999864219</v>
      </c>
      <c r="F33" s="61" t="n">
        <v>2200928844858</v>
      </c>
      <c r="G33" s="61" t="n">
        <v>2394902267489</v>
      </c>
      <c r="H33" s="61" t="n">
        <v>2558504633140</v>
      </c>
      <c r="I33" s="15" t="s">
        <v>1220</v>
      </c>
    </row>
    <row r="34" customFormat="false" ht="15" hidden="false" customHeight="false" outlineLevel="0" collapsed="false">
      <c r="A34" s="54" t="s">
        <v>1221</v>
      </c>
      <c r="B34" s="13" t="s">
        <v>1222</v>
      </c>
      <c r="C34" s="61" t="n">
        <v>49606709171</v>
      </c>
      <c r="D34" s="61" t="n">
        <v>298175362181</v>
      </c>
      <c r="E34" s="61" t="n">
        <v>301730050964</v>
      </c>
      <c r="F34" s="61" t="n">
        <v>209353390575</v>
      </c>
      <c r="G34" s="61" t="n">
        <v>167888264808</v>
      </c>
      <c r="H34" s="61" t="n">
        <v>294346448080</v>
      </c>
    </row>
    <row r="35" customFormat="false" ht="15" hidden="false" customHeight="false" outlineLevel="0" collapsed="false">
      <c r="A35" s="54" t="s">
        <v>1223</v>
      </c>
      <c r="B35" s="13" t="s">
        <v>1224</v>
      </c>
      <c r="C35" s="61" t="n">
        <v>-23856679192</v>
      </c>
      <c r="D35" s="61" t="n">
        <v>-1878388484</v>
      </c>
      <c r="E35" s="61" t="n">
        <v>-4891835332</v>
      </c>
      <c r="F35" s="61" t="n">
        <v>-15379967944</v>
      </c>
      <c r="G35" s="61" t="n">
        <v>-4285899157</v>
      </c>
      <c r="H35" s="61" t="n">
        <v>-38213131085</v>
      </c>
    </row>
    <row r="36" customFormat="false" ht="15" hidden="false" customHeight="false" outlineLevel="0" collapsed="false">
      <c r="A36" s="54" t="s">
        <v>1225</v>
      </c>
      <c r="B36" s="13" t="s">
        <v>1226</v>
      </c>
      <c r="C36" s="61" t="n">
        <v>-11676361052</v>
      </c>
      <c r="D36" s="61" t="n">
        <v>0</v>
      </c>
      <c r="E36" s="61" t="n">
        <v>0</v>
      </c>
      <c r="F36" s="61" t="n">
        <v>0</v>
      </c>
      <c r="G36" s="61" t="n">
        <v>0</v>
      </c>
      <c r="H36" s="61" t="n">
        <v>0</v>
      </c>
    </row>
    <row r="37" customFormat="false" ht="15" hidden="false" customHeight="false" outlineLevel="0" collapsed="false">
      <c r="A37" s="54" t="s">
        <v>1227</v>
      </c>
      <c r="B37" s="13" t="s">
        <v>1228</v>
      </c>
      <c r="C37" s="61" t="n">
        <v>0</v>
      </c>
      <c r="D37" s="61" t="n">
        <v>0</v>
      </c>
      <c r="E37" s="61" t="n">
        <v>82090765007</v>
      </c>
      <c r="F37" s="61" t="n">
        <v>0</v>
      </c>
      <c r="G37" s="61"/>
      <c r="H37" s="61"/>
    </row>
    <row r="38" customFormat="false" ht="15" hidden="false" customHeight="false" outlineLevel="0" collapsed="false">
      <c r="A38" s="54" t="s">
        <v>1229</v>
      </c>
      <c r="B38" s="13" t="s">
        <v>1230</v>
      </c>
      <c r="C38" s="61" t="n">
        <v>126337956118</v>
      </c>
      <c r="D38" s="61" t="n">
        <v>0</v>
      </c>
      <c r="E38" s="61" t="n">
        <v>0</v>
      </c>
      <c r="F38" s="61" t="n">
        <v>0</v>
      </c>
      <c r="G38" s="61" t="n">
        <v>0</v>
      </c>
      <c r="H38" s="61" t="n">
        <v>234104222722</v>
      </c>
    </row>
    <row r="39" customFormat="false" ht="15" hidden="false" customHeight="false" outlineLevel="0" collapsed="false">
      <c r="A39" s="54" t="s">
        <v>1231</v>
      </c>
      <c r="B39" s="13" t="s">
        <v>1232</v>
      </c>
      <c r="C39" s="61" t="n">
        <v>1505859880251</v>
      </c>
      <c r="D39" s="61" t="n">
        <v>1821999864219</v>
      </c>
      <c r="E39" s="61" t="n">
        <v>2200928844858</v>
      </c>
      <c r="F39" s="61" t="n">
        <v>2394902267489</v>
      </c>
      <c r="G39" s="61" t="n">
        <v>2558504633140</v>
      </c>
      <c r="H39" s="61" t="n">
        <v>3048742172857</v>
      </c>
    </row>
    <row r="40" customFormat="false" ht="15" hidden="false" customHeight="false" outlineLevel="0" collapsed="false">
      <c r="A40" s="63" t="s">
        <v>1233</v>
      </c>
      <c r="B40" s="64" t="s">
        <v>1234</v>
      </c>
      <c r="C40" s="65" t="n">
        <f aca="false">C33+C34+C35+C36+C37+C38</f>
        <v>1505859880251</v>
      </c>
      <c r="D40" s="65" t="n">
        <f aca="false">D33+D34+D35+D36+D37+D38</f>
        <v>1821999864219</v>
      </c>
      <c r="E40" s="65" t="n">
        <f aca="false">E33+E34+E35+E36+E37+E38</f>
        <v>2200928844858</v>
      </c>
      <c r="F40" s="65" t="n">
        <f aca="false">F33+F34+F35+F36+F37+F38</f>
        <v>2394902267489</v>
      </c>
      <c r="G40" s="65" t="n">
        <f aca="false">G33+G34+G35+G36+G37+G38</f>
        <v>2558504633140</v>
      </c>
      <c r="H40" s="65" t="n">
        <f aca="false">H33+H34+H35+H36+H37+H38</f>
        <v>3048742172857</v>
      </c>
    </row>
    <row r="41" customFormat="false" ht="15" hidden="false" customHeight="false" outlineLevel="0" collapsed="false">
      <c r="B41" s="4" t="s">
        <v>1235</v>
      </c>
    </row>
    <row r="42" customFormat="false" ht="15" hidden="false" customHeight="false" outlineLevel="0" collapsed="false">
      <c r="A42" s="54" t="s">
        <v>1236</v>
      </c>
      <c r="B42" s="13" t="s">
        <v>1219</v>
      </c>
      <c r="C42" s="61" t="n">
        <v>241108557999</v>
      </c>
      <c r="D42" s="61" t="n">
        <v>261853876513</v>
      </c>
      <c r="E42" s="61" t="n">
        <v>322801557181</v>
      </c>
      <c r="F42" s="61" t="n">
        <v>443388811393</v>
      </c>
      <c r="G42" s="61" t="n">
        <v>531648389000</v>
      </c>
      <c r="H42" s="61" t="n">
        <v>623579878992</v>
      </c>
      <c r="I42" s="15" t="s">
        <v>1237</v>
      </c>
    </row>
    <row r="43" customFormat="false" ht="15" hidden="false" customHeight="false" outlineLevel="0" collapsed="false">
      <c r="A43" s="54" t="s">
        <v>1238</v>
      </c>
      <c r="B43" s="13" t="s">
        <v>1222</v>
      </c>
      <c r="C43" s="61" t="n">
        <v>55596065221</v>
      </c>
      <c r="D43" s="61" t="n">
        <v>62603942562</v>
      </c>
      <c r="E43" s="61" t="n">
        <v>89644390884</v>
      </c>
      <c r="F43" s="61" t="n">
        <v>94759038958</v>
      </c>
      <c r="G43" s="61" t="n">
        <v>95085231562</v>
      </c>
      <c r="H43" s="61" t="n">
        <v>81224259340</v>
      </c>
    </row>
    <row r="44" customFormat="false" ht="15" hidden="false" customHeight="false" outlineLevel="0" collapsed="false">
      <c r="A44" s="54" t="s">
        <v>1239</v>
      </c>
      <c r="B44" s="13" t="s">
        <v>1224</v>
      </c>
      <c r="C44" s="61" t="n">
        <v>-8513449747</v>
      </c>
      <c r="D44" s="61" t="n">
        <v>-1656261894</v>
      </c>
      <c r="E44" s="61" t="n">
        <v>-3888851162</v>
      </c>
      <c r="F44" s="61" t="n">
        <v>-6499461351</v>
      </c>
      <c r="G44" s="61" t="n">
        <v>-3153741570</v>
      </c>
      <c r="H44" s="61" t="n">
        <v>-19961104495</v>
      </c>
    </row>
    <row r="45" customFormat="false" ht="15" hidden="false" customHeight="false" outlineLevel="0" collapsed="false">
      <c r="A45" s="54" t="s">
        <v>1240</v>
      </c>
      <c r="B45" s="13" t="s">
        <v>1226</v>
      </c>
      <c r="C45" s="61" t="n">
        <v>-31100971533</v>
      </c>
      <c r="D45" s="61" t="n">
        <v>0</v>
      </c>
      <c r="E45" s="61" t="n">
        <v>0</v>
      </c>
      <c r="F45" s="61" t="n">
        <v>0</v>
      </c>
      <c r="G45" s="61" t="n">
        <v>0</v>
      </c>
      <c r="H45" s="61" t="n">
        <v>0</v>
      </c>
    </row>
    <row r="46" customFormat="false" ht="15" hidden="false" customHeight="false" outlineLevel="0" collapsed="false">
      <c r="A46" s="54" t="s">
        <v>1241</v>
      </c>
      <c r="B46" s="13" t="s">
        <v>1228</v>
      </c>
      <c r="C46" s="61" t="n">
        <v>0</v>
      </c>
      <c r="D46" s="61" t="n">
        <v>0</v>
      </c>
      <c r="E46" s="61" t="n">
        <v>34831714490</v>
      </c>
      <c r="F46" s="61" t="n">
        <v>0</v>
      </c>
      <c r="G46" s="61"/>
      <c r="H46" s="61"/>
    </row>
    <row r="47" customFormat="false" ht="15" hidden="false" customHeight="false" outlineLevel="0" collapsed="false">
      <c r="A47" s="54" t="s">
        <v>1242</v>
      </c>
      <c r="B47" s="13" t="s">
        <v>1230</v>
      </c>
      <c r="C47" s="61" t="n">
        <v>0</v>
      </c>
      <c r="D47" s="61" t="n">
        <v>0</v>
      </c>
      <c r="E47" s="61" t="n">
        <v>0</v>
      </c>
      <c r="F47" s="61" t="n">
        <v>0</v>
      </c>
      <c r="G47" s="61" t="n">
        <v>0</v>
      </c>
      <c r="H47" s="61" t="n">
        <v>0</v>
      </c>
    </row>
    <row r="48" customFormat="false" ht="15" hidden="false" customHeight="false" outlineLevel="0" collapsed="false">
      <c r="A48" s="54" t="s">
        <v>1243</v>
      </c>
      <c r="B48" s="13" t="s">
        <v>1232</v>
      </c>
      <c r="C48" s="61" t="n">
        <v>257090201940</v>
      </c>
      <c r="D48" s="61" t="n">
        <v>322801557181</v>
      </c>
      <c r="E48" s="61" t="n">
        <v>443388811393</v>
      </c>
      <c r="F48" s="61" t="n">
        <v>531648389000</v>
      </c>
      <c r="G48" s="61" t="n">
        <v>623579878992</v>
      </c>
      <c r="H48" s="61" t="n">
        <v>684843033837</v>
      </c>
    </row>
    <row r="49" customFormat="false" ht="15" hidden="false" customHeight="false" outlineLevel="0" collapsed="false">
      <c r="A49" s="63" t="s">
        <v>1244</v>
      </c>
      <c r="B49" s="64" t="s">
        <v>1234</v>
      </c>
      <c r="C49" s="65" t="n">
        <f aca="false">C42+C43+C44+C45+C46+C47</f>
        <v>257090201940</v>
      </c>
      <c r="D49" s="65" t="n">
        <f aca="false">D42+D43+D44+D45+D46+D47</f>
        <v>322801557181</v>
      </c>
      <c r="E49" s="65" t="n">
        <f aca="false">E42+E43+E44+E45+E46+E47</f>
        <v>443388811393</v>
      </c>
      <c r="F49" s="65" t="n">
        <f aca="false">F42+F43+F44+F45+F46+F47</f>
        <v>531648389000</v>
      </c>
      <c r="G49" s="65" t="n">
        <f aca="false">G42+G43+G44+G45+G46+G47</f>
        <v>623579878992</v>
      </c>
      <c r="H49" s="65" t="n">
        <f aca="false">H42+H43+H44+H45+H46+H47</f>
        <v>684843033837</v>
      </c>
    </row>
    <row r="50" customFormat="false" ht="15" hidden="false" customHeight="false" outlineLevel="0" collapsed="false">
      <c r="B50" s="4" t="s">
        <v>1245</v>
      </c>
    </row>
    <row r="51" customFormat="false" ht="15" hidden="false" customHeight="false" outlineLevel="0" collapsed="false">
      <c r="A51" s="54" t="s">
        <v>1246</v>
      </c>
      <c r="B51" s="13" t="s">
        <v>1219</v>
      </c>
      <c r="C51" s="61" t="n">
        <v>0</v>
      </c>
      <c r="D51" s="61" t="n">
        <v>43382126814</v>
      </c>
      <c r="E51" s="61" t="n">
        <v>85831291253</v>
      </c>
      <c r="F51" s="61" t="n">
        <v>134705604780</v>
      </c>
      <c r="G51" s="61" t="n">
        <v>153462960304</v>
      </c>
      <c r="H51" s="61" t="n">
        <v>154084916333</v>
      </c>
      <c r="I51" s="15" t="s">
        <v>1247</v>
      </c>
    </row>
    <row r="52" customFormat="false" ht="15" hidden="false" customHeight="false" outlineLevel="0" collapsed="false">
      <c r="A52" s="54" t="s">
        <v>1248</v>
      </c>
      <c r="B52" s="13" t="s">
        <v>1222</v>
      </c>
      <c r="C52" s="61" t="n">
        <v>36393603163</v>
      </c>
      <c r="D52" s="61" t="n">
        <v>53759764902</v>
      </c>
      <c r="E52" s="61" t="n">
        <v>56832840429</v>
      </c>
      <c r="F52" s="61" t="n">
        <v>49001854724</v>
      </c>
      <c r="G52" s="61" t="n">
        <v>16163775651</v>
      </c>
      <c r="H52" s="61" t="n">
        <v>103077646075</v>
      </c>
    </row>
    <row r="53" customFormat="false" ht="15" hidden="false" customHeight="false" outlineLevel="0" collapsed="false">
      <c r="A53" s="54" t="s">
        <v>1249</v>
      </c>
      <c r="B53" s="13" t="s">
        <v>1224</v>
      </c>
      <c r="C53" s="61" t="n">
        <v>0</v>
      </c>
      <c r="D53" s="61" t="n">
        <v>-11087298140</v>
      </c>
      <c r="E53" s="61" t="n">
        <v>-7958526902</v>
      </c>
      <c r="F53" s="61" t="n">
        <v>-27629193140</v>
      </c>
      <c r="G53" s="61" t="n">
        <v>-15541819622</v>
      </c>
      <c r="H53" s="61" t="n">
        <v>-29847306420</v>
      </c>
    </row>
    <row r="54" customFormat="false" ht="15" hidden="false" customHeight="false" outlineLevel="0" collapsed="false">
      <c r="A54" s="54" t="s">
        <v>1250</v>
      </c>
      <c r="B54" s="13" t="s">
        <v>1226</v>
      </c>
      <c r="C54" s="61" t="n">
        <v>0</v>
      </c>
      <c r="D54" s="61" t="n">
        <v>-223302323</v>
      </c>
      <c r="E54" s="61" t="n">
        <v>0</v>
      </c>
      <c r="F54" s="61" t="n">
        <v>-2615306060</v>
      </c>
      <c r="G54" s="61" t="n">
        <v>0</v>
      </c>
      <c r="H54" s="61" t="n">
        <v>0</v>
      </c>
    </row>
    <row r="55" customFormat="false" ht="15" hidden="false" customHeight="false" outlineLevel="0" collapsed="false">
      <c r="A55" s="54" t="s">
        <v>1251</v>
      </c>
      <c r="B55" s="13" t="s">
        <v>1228</v>
      </c>
      <c r="C55" s="61" t="n">
        <v>0</v>
      </c>
      <c r="D55" s="61" t="n">
        <v>0</v>
      </c>
      <c r="E55" s="61" t="n">
        <v>0</v>
      </c>
      <c r="F55" s="61" t="n">
        <v>0</v>
      </c>
      <c r="G55" s="61"/>
      <c r="H55" s="61"/>
    </row>
    <row r="56" customFormat="false" ht="15" hidden="false" customHeight="false" outlineLevel="0" collapsed="false">
      <c r="A56" s="54" t="s">
        <v>1252</v>
      </c>
      <c r="B56" s="13" t="s">
        <v>1230</v>
      </c>
      <c r="C56" s="61" t="n">
        <v>0</v>
      </c>
      <c r="D56" s="61" t="n">
        <v>0</v>
      </c>
      <c r="E56" s="61" t="n">
        <v>0</v>
      </c>
      <c r="F56" s="61" t="n">
        <v>0</v>
      </c>
      <c r="G56" s="61" t="n">
        <v>0</v>
      </c>
      <c r="H56" s="61" t="n">
        <v>0</v>
      </c>
    </row>
    <row r="57" customFormat="false" ht="15" hidden="false" customHeight="false" outlineLevel="0" collapsed="false">
      <c r="A57" s="54" t="s">
        <v>1253</v>
      </c>
      <c r="B57" s="13" t="s">
        <v>1232</v>
      </c>
      <c r="C57" s="61" t="n">
        <v>36393603163</v>
      </c>
      <c r="D57" s="61" t="n">
        <v>85831291253</v>
      </c>
      <c r="E57" s="61" t="n">
        <v>134705604780</v>
      </c>
      <c r="F57" s="61" t="n">
        <v>153462960304</v>
      </c>
      <c r="G57" s="61" t="n">
        <v>154084916333</v>
      </c>
      <c r="H57" s="61" t="n">
        <v>227315255988</v>
      </c>
    </row>
    <row r="58" customFormat="false" ht="15" hidden="false" customHeight="false" outlineLevel="0" collapsed="false">
      <c r="A58" s="63" t="s">
        <v>1254</v>
      </c>
      <c r="B58" s="64" t="s">
        <v>1234</v>
      </c>
      <c r="C58" s="65" t="n">
        <f aca="false">C51+C52+C53+C54+C55+C56</f>
        <v>36393603163</v>
      </c>
      <c r="D58" s="65" t="n">
        <f aca="false">D51+D52+D53+D54+D55+D56</f>
        <v>85831291253</v>
      </c>
      <c r="E58" s="65" t="n">
        <f aca="false">E51+E52+E53+E54+E55+E56</f>
        <v>134705604780</v>
      </c>
      <c r="F58" s="65" t="n">
        <f aca="false">F51+F52+F53+F54+F55+F56</f>
        <v>153462960304</v>
      </c>
      <c r="G58" s="65" t="n">
        <f aca="false">G51+G52+G53+G54+G55+G56</f>
        <v>154084916333</v>
      </c>
      <c r="H58" s="65" t="n">
        <f aca="false">H51+H52+H53+H54+H55+H56</f>
        <v>227315255988</v>
      </c>
    </row>
    <row r="59" customFormat="false" ht="15" hidden="false" customHeight="false" outlineLevel="0" collapsed="false">
      <c r="B59" s="4" t="s">
        <v>1255</v>
      </c>
    </row>
    <row r="60" customFormat="false" ht="15" hidden="false" customHeight="false" outlineLevel="0" collapsed="false">
      <c r="A60" s="54" t="s">
        <v>1256</v>
      </c>
      <c r="B60" s="13" t="s">
        <v>1219</v>
      </c>
      <c r="C60" s="61" t="n">
        <v>0</v>
      </c>
      <c r="D60" s="61" t="n">
        <v>14104719858</v>
      </c>
      <c r="E60" s="61" t="n">
        <v>25350851276</v>
      </c>
      <c r="F60" s="61" t="n">
        <v>48131526544</v>
      </c>
      <c r="G60" s="61" t="n">
        <v>50476630176</v>
      </c>
      <c r="H60" s="61" t="n">
        <v>59578556896</v>
      </c>
      <c r="I60" s="15" t="s">
        <v>1257</v>
      </c>
    </row>
    <row r="61" customFormat="false" ht="15" hidden="false" customHeight="false" outlineLevel="0" collapsed="false">
      <c r="A61" s="54" t="s">
        <v>1258</v>
      </c>
      <c r="B61" s="13" t="s">
        <v>1222</v>
      </c>
      <c r="C61" s="61" t="n">
        <v>12144495437</v>
      </c>
      <c r="D61" s="61" t="n">
        <v>22523019455</v>
      </c>
      <c r="E61" s="61" t="n">
        <v>30576498120</v>
      </c>
      <c r="F61" s="61" t="n">
        <v>31061918084</v>
      </c>
      <c r="G61" s="61" t="n">
        <v>24643746342</v>
      </c>
      <c r="H61" s="61" t="n">
        <v>43384345751</v>
      </c>
    </row>
    <row r="62" customFormat="false" ht="15" hidden="false" customHeight="false" outlineLevel="0" collapsed="false">
      <c r="A62" s="54" t="s">
        <v>1259</v>
      </c>
      <c r="B62" s="13" t="s">
        <v>1224</v>
      </c>
      <c r="C62" s="61" t="n">
        <v>0</v>
      </c>
      <c r="D62" s="61" t="n">
        <v>-11087298140</v>
      </c>
      <c r="E62" s="61" t="n">
        <v>-7795822852</v>
      </c>
      <c r="F62" s="61" t="n">
        <v>-27629193140</v>
      </c>
      <c r="G62" s="61" t="n">
        <v>-15541819622</v>
      </c>
      <c r="H62" s="61" t="n">
        <v>-23688651596</v>
      </c>
    </row>
    <row r="63" customFormat="false" ht="15" hidden="false" customHeight="false" outlineLevel="0" collapsed="false">
      <c r="A63" s="54" t="s">
        <v>1260</v>
      </c>
      <c r="B63" s="13" t="s">
        <v>1226</v>
      </c>
      <c r="C63" s="61" t="n">
        <v>0</v>
      </c>
      <c r="D63" s="61" t="n">
        <v>-189589897</v>
      </c>
      <c r="E63" s="61" t="n">
        <v>0</v>
      </c>
      <c r="F63" s="61" t="n">
        <v>-1087621312</v>
      </c>
      <c r="G63" s="61" t="n">
        <v>0</v>
      </c>
      <c r="H63" s="61" t="n">
        <v>389097566</v>
      </c>
    </row>
    <row r="64" customFormat="false" ht="15" hidden="false" customHeight="false" outlineLevel="0" collapsed="false">
      <c r="A64" s="54" t="s">
        <v>1261</v>
      </c>
      <c r="B64" s="13" t="s">
        <v>1228</v>
      </c>
      <c r="C64" s="61" t="n">
        <v>0</v>
      </c>
      <c r="D64" s="61" t="n">
        <v>0</v>
      </c>
      <c r="E64" s="61" t="n">
        <v>0</v>
      </c>
      <c r="F64" s="61" t="n">
        <v>0</v>
      </c>
      <c r="G64" s="61"/>
      <c r="H64" s="61"/>
    </row>
    <row r="65" customFormat="false" ht="15" hidden="false" customHeight="false" outlineLevel="0" collapsed="false">
      <c r="A65" s="54" t="s">
        <v>1262</v>
      </c>
      <c r="B65" s="13" t="s">
        <v>1230</v>
      </c>
      <c r="C65" s="61" t="n">
        <v>0</v>
      </c>
      <c r="D65" s="61" t="n">
        <v>0</v>
      </c>
      <c r="E65" s="61" t="n">
        <v>0</v>
      </c>
      <c r="F65" s="61" t="n">
        <v>0</v>
      </c>
      <c r="G65" s="61" t="n">
        <v>0</v>
      </c>
      <c r="H65" s="61" t="n">
        <v>0</v>
      </c>
    </row>
    <row r="66" customFormat="false" ht="15" hidden="false" customHeight="false" outlineLevel="0" collapsed="false">
      <c r="A66" s="54" t="s">
        <v>1263</v>
      </c>
      <c r="B66" s="13" t="s">
        <v>1232</v>
      </c>
      <c r="C66" s="61" t="n">
        <v>12144495437</v>
      </c>
      <c r="D66" s="61" t="n">
        <v>25350851276</v>
      </c>
      <c r="E66" s="61" t="n">
        <v>48131526544</v>
      </c>
      <c r="F66" s="61" t="n">
        <v>50476630176</v>
      </c>
      <c r="G66" s="61" t="n">
        <v>59578556896</v>
      </c>
      <c r="H66" s="61" t="n">
        <v>79663348617</v>
      </c>
    </row>
    <row r="67" customFormat="false" ht="15" hidden="false" customHeight="false" outlineLevel="0" collapsed="false">
      <c r="A67" s="63" t="s">
        <v>1264</v>
      </c>
      <c r="B67" s="64" t="s">
        <v>1234</v>
      </c>
      <c r="C67" s="65" t="n">
        <f aca="false">C60+C61+C62+C63+C64+C65</f>
        <v>12144495437</v>
      </c>
      <c r="D67" s="65" t="n">
        <f aca="false">D60+D61+D62+D63+D64+D65</f>
        <v>25350851276</v>
      </c>
      <c r="E67" s="65" t="n">
        <f aca="false">E60+E61+E62+E63+E64+E65</f>
        <v>48131526544</v>
      </c>
      <c r="F67" s="65" t="n">
        <f aca="false">F60+F61+F62+F63+F64+F65</f>
        <v>50476630176</v>
      </c>
      <c r="G67" s="65" t="n">
        <f aca="false">G60+G61+G62+G63+G64+G65</f>
        <v>59578556896</v>
      </c>
      <c r="H67" s="65" t="n">
        <f aca="false">H60+H61+H62+H63+H64+H65</f>
        <v>79663348617</v>
      </c>
    </row>
    <row r="68" customFormat="false" ht="15" hidden="false" customHeight="false" outlineLevel="0" collapsed="false">
      <c r="A68" s="63" t="s">
        <v>1265</v>
      </c>
      <c r="B68" s="64" t="s">
        <v>1266</v>
      </c>
      <c r="C68" s="65" t="n">
        <f aca="false">C39-C48</f>
        <v>1248769678311</v>
      </c>
      <c r="D68" s="65" t="n">
        <f aca="false">D39-D48</f>
        <v>1499198307038</v>
      </c>
      <c r="E68" s="65" t="n">
        <f aca="false">E39-E48</f>
        <v>1757540033465</v>
      </c>
      <c r="F68" s="65" t="n">
        <f aca="false">F39-F48</f>
        <v>1863253878489</v>
      </c>
      <c r="G68" s="65" t="n">
        <f aca="false">G39-G48</f>
        <v>1934924754148</v>
      </c>
      <c r="H68" s="65" t="n">
        <f aca="false">H39-H48</f>
        <v>2363899139020</v>
      </c>
    </row>
    <row r="69" customFormat="false" ht="15" hidden="false" customHeight="false" outlineLevel="0" collapsed="false">
      <c r="A69" s="63" t="s">
        <v>1267</v>
      </c>
      <c r="B69" s="64" t="s">
        <v>1268</v>
      </c>
      <c r="C69" s="65" t="n">
        <f aca="false">C57-C66</f>
        <v>24249107726</v>
      </c>
      <c r="D69" s="65" t="n">
        <f aca="false">D57-D66</f>
        <v>60480439977</v>
      </c>
      <c r="E69" s="65" t="n">
        <f aca="false">E57-E66</f>
        <v>86574078236</v>
      </c>
      <c r="F69" s="65" t="n">
        <f aca="false">F57-F66</f>
        <v>102986330128</v>
      </c>
      <c r="G69" s="65" t="n">
        <f aca="false">G57-G66</f>
        <v>94506359437</v>
      </c>
      <c r="H69" s="65" t="n">
        <f aca="false">H57-H66</f>
        <v>147651907371</v>
      </c>
    </row>
    <row r="71" customFormat="false" ht="15" hidden="false" customHeight="false" outlineLevel="0" collapsed="false">
      <c r="A71" s="16"/>
      <c r="B71" s="17" t="s">
        <v>1269</v>
      </c>
      <c r="C71" s="16"/>
      <c r="D71" s="16"/>
      <c r="E71" s="16"/>
      <c r="F71" s="16"/>
      <c r="G71" s="16"/>
      <c r="H71" s="16"/>
      <c r="I71" s="16"/>
    </row>
    <row r="72" customFormat="false" ht="15" hidden="false" customHeight="false" outlineLevel="0" collapsed="false">
      <c r="A72" s="54" t="s">
        <v>1270</v>
      </c>
      <c r="B72" s="13" t="s">
        <v>1271</v>
      </c>
      <c r="C72" s="61" t="n">
        <v>47012084029</v>
      </c>
      <c r="D72" s="61" t="n">
        <v>83595289433</v>
      </c>
      <c r="E72" s="61" t="n">
        <v>245476312053</v>
      </c>
      <c r="F72" s="61" t="n">
        <v>212081647789</v>
      </c>
      <c r="G72" s="61" t="n">
        <v>210222760837</v>
      </c>
      <c r="H72" s="61" t="n">
        <v>434256398708</v>
      </c>
      <c r="I72" s="15" t="s">
        <v>1272</v>
      </c>
    </row>
    <row r="73" customFormat="false" ht="15" hidden="false" customHeight="false" outlineLevel="0" collapsed="false">
      <c r="A73" s="54" t="s">
        <v>1273</v>
      </c>
      <c r="B73" s="13" t="s">
        <v>1274</v>
      </c>
      <c r="C73" s="61" t="n">
        <v>0</v>
      </c>
      <c r="D73" s="61" t="n">
        <v>49042456</v>
      </c>
      <c r="E73" s="61" t="n">
        <v>9459052002</v>
      </c>
      <c r="F73" s="61" t="n">
        <v>0</v>
      </c>
      <c r="G73" s="61" t="n">
        <v>0</v>
      </c>
      <c r="H73" s="61" t="n">
        <v>0</v>
      </c>
    </row>
    <row r="74" customFormat="false" ht="15" hidden="false" customHeight="false" outlineLevel="0" collapsed="false">
      <c r="A74" s="54" t="s">
        <v>1275</v>
      </c>
      <c r="B74" s="13" t="s">
        <v>1276</v>
      </c>
      <c r="C74" s="61" t="n">
        <v>0</v>
      </c>
      <c r="D74" s="61" t="n">
        <v>3000000</v>
      </c>
      <c r="E74" s="61" t="n">
        <v>5816400369</v>
      </c>
      <c r="F74" s="61" t="n">
        <v>85000000</v>
      </c>
      <c r="G74" s="61" t="n">
        <v>103638000000</v>
      </c>
      <c r="H74" s="61" t="n">
        <v>38603109</v>
      </c>
    </row>
    <row r="75" customFormat="false" ht="15" hidden="false" customHeight="false" outlineLevel="0" collapsed="false">
      <c r="A75" s="54" t="s">
        <v>1277</v>
      </c>
      <c r="B75" s="13" t="s">
        <v>1278</v>
      </c>
      <c r="C75" s="61" t="n">
        <v>29669046423</v>
      </c>
      <c r="D75" s="61" t="n">
        <v>140159661589</v>
      </c>
      <c r="E75" s="61" t="n">
        <v>45704128489</v>
      </c>
      <c r="F75" s="61" t="n">
        <v>8768294480</v>
      </c>
      <c r="G75" s="61" t="n">
        <v>6952268943</v>
      </c>
      <c r="H75" s="61" t="n">
        <v>17254181215</v>
      </c>
    </row>
    <row r="76" customFormat="false" ht="15" hidden="false" customHeight="false" outlineLevel="0" collapsed="false">
      <c r="A76" s="54" t="s">
        <v>1279</v>
      </c>
      <c r="B76" s="13" t="s">
        <v>1280</v>
      </c>
      <c r="C76" s="61" t="n">
        <v>-21781031700</v>
      </c>
      <c r="D76" s="61" t="n">
        <v>22338459724</v>
      </c>
      <c r="E76" s="61" t="n">
        <v>-92597283889</v>
      </c>
      <c r="F76" s="61" t="n">
        <v>-10303490816</v>
      </c>
      <c r="G76" s="61" t="n">
        <v>114724030494</v>
      </c>
      <c r="H76" s="61" t="n">
        <v>-10448168137</v>
      </c>
    </row>
    <row r="77" customFormat="false" ht="15" hidden="false" customHeight="false" outlineLevel="0" collapsed="false">
      <c r="A77" s="54" t="s">
        <v>1281</v>
      </c>
      <c r="B77" s="13" t="s">
        <v>1282</v>
      </c>
      <c r="C77" s="61" t="n">
        <v>-437923711</v>
      </c>
      <c r="D77" s="61" t="n">
        <v>-669141149</v>
      </c>
      <c r="E77" s="61" t="n">
        <v>-1776961235</v>
      </c>
      <c r="F77" s="61" t="n">
        <v>-408690616</v>
      </c>
      <c r="G77" s="61" t="n">
        <v>-1280661566</v>
      </c>
      <c r="H77" s="61" t="n">
        <v>3491808061</v>
      </c>
    </row>
    <row r="78" customFormat="false" ht="15" hidden="false" customHeight="false" outlineLevel="0" collapsed="false">
      <c r="A78" s="54" t="s">
        <v>1283</v>
      </c>
      <c r="B78" s="13" t="s">
        <v>1284</v>
      </c>
      <c r="C78" s="61" t="n">
        <v>54462175041</v>
      </c>
      <c r="D78" s="61" t="n">
        <v>245476312053</v>
      </c>
      <c r="E78" s="61" t="n">
        <v>212081647789</v>
      </c>
      <c r="F78" s="61" t="n">
        <v>210222760837</v>
      </c>
      <c r="G78" s="61" t="n">
        <v>434256398708</v>
      </c>
      <c r="H78" s="61" t="n">
        <v>444592822953</v>
      </c>
    </row>
    <row r="79" customFormat="false" ht="15" hidden="false" customHeight="false" outlineLevel="0" collapsed="false">
      <c r="A79" s="63" t="s">
        <v>1285</v>
      </c>
      <c r="B79" s="64" t="s">
        <v>1286</v>
      </c>
      <c r="C79" s="65" t="n">
        <f aca="false">C72+C73+C74+C75+C76+C77</f>
        <v>54462175041</v>
      </c>
      <c r="D79" s="65" t="n">
        <f aca="false">D72+D73+D74+D75+D76+D77</f>
        <v>245476312053</v>
      </c>
      <c r="E79" s="65" t="n">
        <f aca="false">E72+E73+E74+E75+E76+E77</f>
        <v>212081647789</v>
      </c>
      <c r="F79" s="65" t="n">
        <f aca="false">F72+F73+F74+F75+F76+F77</f>
        <v>210222760837</v>
      </c>
      <c r="G79" s="65" t="n">
        <f aca="false">G72+G73+G74+G75+G76+G77</f>
        <v>434256398708</v>
      </c>
      <c r="H79" s="65" t="n">
        <f aca="false">H72+H73+H74+H75+H76+H77</f>
        <v>444592822956</v>
      </c>
    </row>
    <row r="80" customFormat="false" ht="15" hidden="false" customHeight="false" outlineLevel="0" collapsed="false">
      <c r="A80" s="54" t="s">
        <v>1287</v>
      </c>
      <c r="B80" s="13" t="s">
        <v>1288</v>
      </c>
      <c r="C80" s="61" t="n">
        <v>29669046423</v>
      </c>
      <c r="D80" s="61" t="n">
        <v>140159661589</v>
      </c>
      <c r="E80" s="61" t="n">
        <v>45704128489</v>
      </c>
      <c r="F80" s="61" t="n">
        <v>8768294480</v>
      </c>
      <c r="G80" s="61" t="n">
        <v>6952268943</v>
      </c>
      <c r="H80" s="61" t="n">
        <v>17795733673</v>
      </c>
      <c r="I80" s="15" t="s">
        <v>1289</v>
      </c>
    </row>
    <row r="81" customFormat="false" ht="15" hidden="false" customHeight="false" outlineLevel="0" collapsed="false">
      <c r="A81" s="54" t="s">
        <v>1290</v>
      </c>
      <c r="B81" s="13" t="s">
        <v>1291</v>
      </c>
      <c r="C81" s="61" t="n">
        <v>54462175042</v>
      </c>
      <c r="D81" s="61" t="n">
        <v>245476312053</v>
      </c>
      <c r="E81" s="61" t="n">
        <v>212081647789</v>
      </c>
      <c r="F81" s="61" t="n">
        <v>210222760837</v>
      </c>
      <c r="G81" s="61" t="n">
        <v>434256398708</v>
      </c>
      <c r="H81" s="61" t="n">
        <v>444592822953</v>
      </c>
    </row>
    <row r="83" customFormat="false" ht="15" hidden="false" customHeight="false" outlineLevel="0" collapsed="false">
      <c r="A83" s="16"/>
      <c r="B83" s="17" t="s">
        <v>1292</v>
      </c>
      <c r="C83" s="16"/>
      <c r="D83" s="16"/>
      <c r="E83" s="16"/>
      <c r="F83" s="16"/>
      <c r="G83" s="16"/>
      <c r="H83" s="16"/>
      <c r="I83" s="16"/>
    </row>
    <row r="84" customFormat="false" ht="15" hidden="false" customHeight="false" outlineLevel="0" collapsed="false">
      <c r="B84" s="4" t="s">
        <v>1293</v>
      </c>
    </row>
    <row r="85" customFormat="false" ht="15" hidden="false" customHeight="false" outlineLevel="0" collapsed="false">
      <c r="A85" s="54" t="s">
        <v>1294</v>
      </c>
      <c r="B85" s="13" t="s">
        <v>1295</v>
      </c>
      <c r="C85" s="61" t="n">
        <v>42832048002</v>
      </c>
      <c r="D85" s="61" t="n">
        <v>45294161092</v>
      </c>
      <c r="E85" s="61" t="n">
        <v>59028912575</v>
      </c>
      <c r="F85" s="61" t="n">
        <v>49656815000</v>
      </c>
      <c r="G85" s="61" t="n">
        <v>60792349219</v>
      </c>
      <c r="H85" s="61" t="n">
        <v>73630841178</v>
      </c>
      <c r="I85" s="15" t="s">
        <v>1296</v>
      </c>
    </row>
    <row r="86" customFormat="false" ht="15" hidden="false" customHeight="false" outlineLevel="0" collapsed="false">
      <c r="A86" s="54" t="s">
        <v>1297</v>
      </c>
      <c r="B86" s="13" t="s">
        <v>1298</v>
      </c>
      <c r="C86" s="61" t="n">
        <v>40756688682</v>
      </c>
      <c r="D86" s="61" t="n">
        <v>20502165061</v>
      </c>
      <c r="E86" s="61" t="n">
        <v>39074408499</v>
      </c>
      <c r="F86" s="61" t="n">
        <v>47807263276</v>
      </c>
      <c r="G86" s="61" t="n">
        <v>67505259300</v>
      </c>
      <c r="H86" s="61" t="n">
        <v>66289405612</v>
      </c>
      <c r="I86" s="15" t="s">
        <v>1296</v>
      </c>
    </row>
    <row r="87" customFormat="false" ht="15" hidden="false" customHeight="false" outlineLevel="0" collapsed="false">
      <c r="A87" s="54" t="s">
        <v>1299</v>
      </c>
      <c r="B87" s="13" t="s">
        <v>1300</v>
      </c>
      <c r="C87" s="61" t="n">
        <v>10599566679</v>
      </c>
      <c r="D87" s="61" t="n">
        <v>11254523269</v>
      </c>
      <c r="E87" s="61" t="n">
        <v>8444100913</v>
      </c>
      <c r="F87" s="61" t="n">
        <v>6953612864</v>
      </c>
      <c r="G87" s="61" t="n">
        <v>8414368136</v>
      </c>
      <c r="H87" s="61" t="n">
        <v>8610481624</v>
      </c>
      <c r="I87" s="15" t="s">
        <v>1296</v>
      </c>
    </row>
    <row r="88" customFormat="false" ht="15" hidden="false" customHeight="false" outlineLevel="0" collapsed="false">
      <c r="A88" s="54" t="s">
        <v>1301</v>
      </c>
      <c r="B88" s="13" t="s">
        <v>1302</v>
      </c>
      <c r="C88" s="61" t="n">
        <v>950050156</v>
      </c>
      <c r="D88" s="61" t="n">
        <v>2773059415</v>
      </c>
      <c r="E88" s="61" t="n">
        <v>2172217476</v>
      </c>
      <c r="F88" s="61" t="n">
        <v>1524072509</v>
      </c>
      <c r="G88" s="61" t="n">
        <v>1544761114</v>
      </c>
      <c r="H88" s="61" t="n">
        <v>1026441108</v>
      </c>
      <c r="I88" s="15" t="s">
        <v>1296</v>
      </c>
    </row>
    <row r="89" customFormat="false" ht="15" hidden="false" customHeight="false" outlineLevel="0" collapsed="false">
      <c r="A89" s="54" t="s">
        <v>1303</v>
      </c>
      <c r="B89" s="13" t="s">
        <v>1304</v>
      </c>
      <c r="C89" s="61" t="n">
        <v>1885039412</v>
      </c>
      <c r="D89" s="61" t="n">
        <v>11767522874</v>
      </c>
      <c r="E89" s="61" t="n">
        <v>9941853665</v>
      </c>
      <c r="F89" s="61" t="n">
        <v>8489019528</v>
      </c>
      <c r="G89" s="61" t="n">
        <v>10725365751</v>
      </c>
      <c r="H89" s="61" t="n">
        <v>19962722403</v>
      </c>
      <c r="I89" s="15" t="s">
        <v>1296</v>
      </c>
    </row>
    <row r="90" customFormat="false" ht="15" hidden="false" customHeight="false" outlineLevel="0" collapsed="false">
      <c r="A90" s="54" t="s">
        <v>1305</v>
      </c>
      <c r="B90" s="13" t="s">
        <v>1306</v>
      </c>
      <c r="C90" s="61"/>
      <c r="D90" s="61"/>
      <c r="E90" s="61"/>
      <c r="F90" s="61"/>
      <c r="G90" s="61" t="n">
        <v>148982103520</v>
      </c>
      <c r="H90" s="61" t="n">
        <v>169519891925</v>
      </c>
      <c r="I90" s="15" t="s">
        <v>1307</v>
      </c>
    </row>
    <row r="91" customFormat="false" ht="15" hidden="false" customHeight="false" outlineLevel="0" collapsed="false">
      <c r="A91" s="54" t="s">
        <v>1308</v>
      </c>
      <c r="B91" s="13" t="s">
        <v>1309</v>
      </c>
      <c r="C91" s="61" t="n">
        <v>126088179062</v>
      </c>
      <c r="D91" s="61" t="n">
        <v>164069809841</v>
      </c>
      <c r="E91" s="61" t="n">
        <v>118661493128</v>
      </c>
      <c r="F91" s="61" t="n">
        <v>114430783177</v>
      </c>
      <c r="G91" s="61"/>
      <c r="H91" s="61"/>
      <c r="I91" s="15" t="s">
        <v>1310</v>
      </c>
    </row>
    <row r="92" customFormat="false" ht="15" hidden="false" customHeight="false" outlineLevel="0" collapsed="false">
      <c r="A92" s="54" t="s">
        <v>1311</v>
      </c>
      <c r="B92" s="13" t="s">
        <v>1312</v>
      </c>
      <c r="C92" s="61" t="n">
        <v>29064786131</v>
      </c>
      <c r="D92" s="61" t="n">
        <v>72478378130</v>
      </c>
      <c r="E92" s="61"/>
      <c r="F92" s="61"/>
      <c r="G92" s="61"/>
      <c r="H92" s="61"/>
      <c r="I92" s="15" t="s">
        <v>1313</v>
      </c>
    </row>
    <row r="93" customFormat="false" ht="15" hidden="false" customHeight="false" outlineLevel="0" collapsed="false">
      <c r="A93" s="63" t="s">
        <v>1314</v>
      </c>
      <c r="B93" s="64" t="s">
        <v>1315</v>
      </c>
      <c r="C93" s="65" t="n">
        <f aca="false">C85+C86+C87+C88+C89+C92</f>
        <v>126088179062</v>
      </c>
      <c r="D93" s="65" t="n">
        <f aca="false">D85+D86+D87+D88+D89+D92</f>
        <v>164069809841</v>
      </c>
      <c r="E93" s="65" t="n">
        <f aca="false">E85+E86+E87+E88+E89+E92</f>
        <v>118661493128</v>
      </c>
      <c r="F93" s="65" t="n">
        <f aca="false">F85+F86+F87+F88+F89+F92</f>
        <v>114430783177</v>
      </c>
      <c r="G93" s="65" t="n">
        <f aca="false">G85+G86+G87+G88+G89+G92</f>
        <v>148982103520</v>
      </c>
      <c r="H93" s="65" t="n">
        <f aca="false">H85+H86+H87+H88+H89+H92</f>
        <v>169519891925</v>
      </c>
    </row>
    <row r="94" customFormat="false" ht="15" hidden="false" customHeight="false" outlineLevel="0" collapsed="false">
      <c r="B94" s="4" t="s">
        <v>1316</v>
      </c>
    </row>
    <row r="95" customFormat="false" ht="15" hidden="false" customHeight="false" outlineLevel="0" collapsed="false">
      <c r="A95" s="54" t="s">
        <v>1317</v>
      </c>
      <c r="B95" s="13" t="s">
        <v>1318</v>
      </c>
      <c r="C95" s="61" t="n">
        <v>-3010851985</v>
      </c>
      <c r="D95" s="61" t="n">
        <v>-7309504165</v>
      </c>
      <c r="E95" s="61" t="n">
        <v>-4017971462</v>
      </c>
      <c r="F95" s="61" t="n">
        <v>-3962120381</v>
      </c>
      <c r="G95" s="61" t="n">
        <v>-4267847614</v>
      </c>
      <c r="H95" s="61" t="n">
        <v>-7579979963</v>
      </c>
      <c r="I95" s="15" t="s">
        <v>1296</v>
      </c>
    </row>
    <row r="96" customFormat="false" ht="15" hidden="false" customHeight="false" outlineLevel="0" collapsed="false">
      <c r="A96" s="54" t="s">
        <v>1319</v>
      </c>
      <c r="B96" s="13" t="s">
        <v>1320</v>
      </c>
      <c r="C96" s="61"/>
      <c r="D96" s="61"/>
      <c r="E96" s="61"/>
      <c r="F96" s="61"/>
      <c r="G96" s="61" t="n">
        <v>144714255906</v>
      </c>
      <c r="H96" s="61" t="n">
        <v>161939911962</v>
      </c>
      <c r="I96" s="15" t="s">
        <v>1307</v>
      </c>
    </row>
    <row r="97" customFormat="false" ht="15" hidden="false" customHeight="false" outlineLevel="0" collapsed="false">
      <c r="A97" s="54" t="s">
        <v>1321</v>
      </c>
      <c r="B97" s="13" t="s">
        <v>1322</v>
      </c>
      <c r="C97" s="61" t="n">
        <v>123077327077</v>
      </c>
      <c r="D97" s="61" t="n">
        <v>156760305676</v>
      </c>
      <c r="E97" s="61" t="n">
        <v>114643521666</v>
      </c>
      <c r="F97" s="61" t="n">
        <v>110468662796</v>
      </c>
      <c r="G97" s="61"/>
      <c r="H97" s="61"/>
      <c r="I97" s="15" t="s">
        <v>1310</v>
      </c>
    </row>
    <row r="98" customFormat="false" ht="15" hidden="false" customHeight="false" outlineLevel="0" collapsed="false">
      <c r="A98" s="54" t="s">
        <v>1323</v>
      </c>
      <c r="B98" s="13" t="s">
        <v>1324</v>
      </c>
      <c r="C98" s="61" t="n">
        <v>123130580076</v>
      </c>
      <c r="D98" s="61" t="n">
        <v>156760305676</v>
      </c>
      <c r="E98" s="61" t="n">
        <v>114643521666</v>
      </c>
      <c r="F98" s="61" t="n">
        <v>110468662796</v>
      </c>
      <c r="G98" s="61"/>
      <c r="H98" s="61"/>
      <c r="I98" s="15" t="s">
        <v>1310</v>
      </c>
    </row>
    <row r="99" customFormat="false" ht="15" hidden="false" customHeight="false" outlineLevel="0" collapsed="false">
      <c r="A99" s="54" t="s">
        <v>1325</v>
      </c>
      <c r="B99" s="13" t="s">
        <v>1326</v>
      </c>
      <c r="C99" s="61" t="n">
        <v>53252999</v>
      </c>
      <c r="D99" s="61"/>
      <c r="E99" s="61"/>
      <c r="F99" s="61"/>
      <c r="G99" s="61"/>
      <c r="H99" s="61"/>
      <c r="I99" s="15" t="s">
        <v>1327</v>
      </c>
    </row>
    <row r="100" customFormat="false" ht="15" hidden="false" customHeight="false" outlineLevel="0" collapsed="false">
      <c r="B100" s="4" t="s">
        <v>1328</v>
      </c>
    </row>
    <row r="101" customFormat="false" ht="15" hidden="false" customHeight="false" outlineLevel="0" collapsed="false">
      <c r="A101" s="54" t="s">
        <v>1329</v>
      </c>
      <c r="B101" s="13" t="s">
        <v>1330</v>
      </c>
      <c r="C101" s="61" t="n">
        <v>33747336216</v>
      </c>
      <c r="D101" s="61" t="n">
        <v>13013716061</v>
      </c>
      <c r="E101" s="61" t="n">
        <v>15125814048</v>
      </c>
      <c r="F101" s="61" t="n">
        <v>17248209957</v>
      </c>
      <c r="G101" s="61" t="n">
        <v>15110334308</v>
      </c>
      <c r="H101" s="61" t="n">
        <v>9990279226</v>
      </c>
      <c r="I101" s="15" t="s">
        <v>1296</v>
      </c>
    </row>
    <row r="102" customFormat="false" ht="15" hidden="false" customHeight="false" outlineLevel="0" collapsed="false">
      <c r="A102" s="54" t="s">
        <v>1331</v>
      </c>
      <c r="B102" s="13" t="s">
        <v>1332</v>
      </c>
      <c r="C102" s="61" t="n">
        <v>48660339783</v>
      </c>
      <c r="D102" s="61" t="n">
        <v>31842611684</v>
      </c>
      <c r="E102" s="61" t="n">
        <v>42930857155</v>
      </c>
      <c r="F102" s="61" t="n">
        <v>48902079820</v>
      </c>
      <c r="G102" s="61" t="n">
        <v>61458186996</v>
      </c>
      <c r="H102" s="61" t="n">
        <v>65898071327</v>
      </c>
      <c r="I102" s="15" t="s">
        <v>1296</v>
      </c>
    </row>
    <row r="103" customFormat="false" ht="15" hidden="false" customHeight="false" outlineLevel="0" collapsed="false">
      <c r="A103" s="54" t="s">
        <v>1333</v>
      </c>
      <c r="B103" s="13" t="s">
        <v>1334</v>
      </c>
      <c r="C103" s="61"/>
      <c r="D103" s="61"/>
      <c r="E103" s="61"/>
      <c r="F103" s="61"/>
      <c r="G103" s="61" t="n">
        <v>29532511980</v>
      </c>
      <c r="H103" s="61" t="n">
        <v>40681964406</v>
      </c>
      <c r="I103" s="15" t="s">
        <v>1307</v>
      </c>
    </row>
    <row r="104" customFormat="false" ht="15" hidden="false" customHeight="false" outlineLevel="0" collapsed="false">
      <c r="A104" s="54" t="s">
        <v>1335</v>
      </c>
      <c r="B104" s="13" t="s">
        <v>1336</v>
      </c>
      <c r="C104" s="61" t="n">
        <v>16580915484</v>
      </c>
      <c r="D104" s="61" t="n">
        <v>93629019390</v>
      </c>
      <c r="E104" s="61" t="n">
        <v>42703315191</v>
      </c>
      <c r="F104" s="61" t="n">
        <v>27029674247</v>
      </c>
      <c r="G104" s="61" t="n">
        <v>42881070236</v>
      </c>
      <c r="H104" s="61" t="n">
        <v>52949576966</v>
      </c>
      <c r="I104" s="15" t="s">
        <v>1296</v>
      </c>
    </row>
    <row r="105" customFormat="false" ht="15" hidden="false" customHeight="false" outlineLevel="0" collapsed="false">
      <c r="A105" s="54" t="s">
        <v>1337</v>
      </c>
      <c r="B105" s="13" t="s">
        <v>1338</v>
      </c>
      <c r="C105" s="61" t="n">
        <v>27152840578</v>
      </c>
      <c r="D105" s="61" t="n">
        <v>25584462706</v>
      </c>
      <c r="E105" s="61" t="n">
        <v>17901506734</v>
      </c>
      <c r="F105" s="61" t="n">
        <v>21250819153</v>
      </c>
      <c r="G105" s="61"/>
      <c r="H105" s="61"/>
      <c r="I105" s="15" t="s">
        <v>1310</v>
      </c>
    </row>
    <row r="106" customFormat="false" ht="15" hidden="false" customHeight="false" outlineLevel="0" collapsed="false">
      <c r="B106" s="4" t="s">
        <v>1339</v>
      </c>
    </row>
    <row r="107" customFormat="false" ht="15" hidden="false" customHeight="false" outlineLevel="0" collapsed="false">
      <c r="A107" s="54" t="s">
        <v>1340</v>
      </c>
      <c r="B107" s="13" t="s">
        <v>1219</v>
      </c>
      <c r="C107" s="61" t="n">
        <v>1475528350</v>
      </c>
      <c r="D107" s="61" t="n">
        <v>5909652579</v>
      </c>
      <c r="E107" s="61" t="n">
        <v>7309504165</v>
      </c>
      <c r="F107" s="61" t="n">
        <v>4017971462</v>
      </c>
      <c r="G107" s="61" t="n">
        <v>3962120381</v>
      </c>
      <c r="H107" s="61" t="n">
        <v>4267847614</v>
      </c>
      <c r="I107" s="15" t="s">
        <v>1296</v>
      </c>
    </row>
    <row r="108" customFormat="false" ht="15" hidden="false" customHeight="false" outlineLevel="0" collapsed="false">
      <c r="A108" s="54" t="s">
        <v>1341</v>
      </c>
      <c r="B108" s="13" t="s">
        <v>1222</v>
      </c>
      <c r="C108" s="61" t="n">
        <v>1535323635</v>
      </c>
      <c r="D108" s="61" t="n">
        <v>1418597428</v>
      </c>
      <c r="E108" s="61" t="n">
        <v>293993666</v>
      </c>
      <c r="F108" s="61" t="n">
        <v>195067595</v>
      </c>
      <c r="G108" s="61" t="n">
        <v>561174970</v>
      </c>
      <c r="H108" s="61" t="n">
        <v>3312132349</v>
      </c>
      <c r="I108" s="15" t="s">
        <v>1296</v>
      </c>
    </row>
    <row r="109" customFormat="false" ht="15" hidden="false" customHeight="false" outlineLevel="0" collapsed="false">
      <c r="A109" s="54" t="s">
        <v>1342</v>
      </c>
      <c r="B109" s="13" t="s">
        <v>1343</v>
      </c>
      <c r="C109" s="61" t="n">
        <v>0</v>
      </c>
      <c r="D109" s="61" t="n">
        <v>-18745842</v>
      </c>
      <c r="E109" s="61" t="n">
        <v>-3585526369</v>
      </c>
      <c r="F109" s="61" t="n">
        <v>-250918676</v>
      </c>
      <c r="G109" s="61" t="n">
        <v>-255447737</v>
      </c>
      <c r="H109" s="61" t="n">
        <v>0</v>
      </c>
      <c r="I109" s="15" t="s">
        <v>1296</v>
      </c>
    </row>
    <row r="110" customFormat="false" ht="15" hidden="false" customHeight="false" outlineLevel="0" collapsed="false">
      <c r="A110" s="54" t="s">
        <v>1344</v>
      </c>
      <c r="B110" s="13" t="s">
        <v>1345</v>
      </c>
      <c r="C110" s="61" t="n">
        <v>3010851985</v>
      </c>
      <c r="D110" s="61" t="n">
        <v>7309504165</v>
      </c>
      <c r="E110" s="61" t="n">
        <v>4017971462</v>
      </c>
      <c r="F110" s="61" t="n">
        <v>3962120381</v>
      </c>
      <c r="G110" s="61" t="n">
        <v>4267847614</v>
      </c>
      <c r="H110" s="61" t="n">
        <v>7579979963</v>
      </c>
      <c r="I110" s="15" t="s">
        <v>1296</v>
      </c>
    </row>
    <row r="111" customFormat="false" ht="15" hidden="false" customHeight="false" outlineLevel="0" collapsed="false">
      <c r="B111" s="4" t="s">
        <v>1346</v>
      </c>
    </row>
    <row r="112" customFormat="false" ht="15" hidden="false" customHeight="false" outlineLevel="0" collapsed="false">
      <c r="A112" s="54" t="s">
        <v>1347</v>
      </c>
      <c r="B112" s="13" t="s">
        <v>1348</v>
      </c>
      <c r="C112" s="61" t="n">
        <v>12400739987</v>
      </c>
      <c r="D112" s="61" t="n">
        <v>28522210124</v>
      </c>
      <c r="E112" s="61" t="n">
        <v>17003570799</v>
      </c>
      <c r="F112" s="61" t="n">
        <v>29262483946</v>
      </c>
      <c r="G112" s="61" t="n">
        <v>36523484442</v>
      </c>
      <c r="H112" s="61" t="n">
        <v>38961740700</v>
      </c>
      <c r="I112" s="15" t="s">
        <v>1349</v>
      </c>
    </row>
    <row r="113" customFormat="false" ht="15" hidden="false" customHeight="false" outlineLevel="0" collapsed="false">
      <c r="A113" s="54" t="s">
        <v>1350</v>
      </c>
      <c r="B113" s="13" t="s">
        <v>1351</v>
      </c>
      <c r="C113" s="61" t="n">
        <v>4743624898</v>
      </c>
      <c r="D113" s="61" t="n">
        <v>5913005371</v>
      </c>
      <c r="E113" s="61" t="n">
        <v>17505731374</v>
      </c>
      <c r="F113" s="61" t="n">
        <v>10500224687</v>
      </c>
      <c r="G113" s="61" t="n">
        <v>7881390095</v>
      </c>
      <c r="H113" s="61" t="n">
        <v>9418739676</v>
      </c>
      <c r="I113" s="15" t="s">
        <v>1349</v>
      </c>
    </row>
    <row r="114" customFormat="false" ht="15" hidden="false" customHeight="false" outlineLevel="0" collapsed="false">
      <c r="A114" s="54" t="s">
        <v>1352</v>
      </c>
      <c r="B114" s="13" t="s">
        <v>1353</v>
      </c>
      <c r="C114" s="61" t="n">
        <v>1841776668</v>
      </c>
      <c r="D114" s="61" t="n">
        <v>4459492637</v>
      </c>
      <c r="E114" s="61" t="n">
        <v>4939806191</v>
      </c>
      <c r="F114" s="61" t="n">
        <v>2435781342</v>
      </c>
      <c r="G114" s="61" t="n">
        <v>2617074988</v>
      </c>
      <c r="H114" s="61" t="n">
        <v>3239737286</v>
      </c>
      <c r="I114" s="15" t="s">
        <v>1349</v>
      </c>
    </row>
    <row r="115" customFormat="false" ht="15" hidden="false" customHeight="false" outlineLevel="0" collapsed="false">
      <c r="A115" s="54" t="s">
        <v>1354</v>
      </c>
      <c r="B115" s="13" t="s">
        <v>1306</v>
      </c>
      <c r="C115" s="61" t="n">
        <v>18986141553</v>
      </c>
      <c r="D115" s="61" t="n">
        <v>38894708132</v>
      </c>
      <c r="E115" s="61" t="n">
        <v>39449108364</v>
      </c>
      <c r="F115" s="61" t="n">
        <v>42198489975</v>
      </c>
      <c r="G115" s="61" t="n">
        <v>47021949525</v>
      </c>
      <c r="H115" s="61" t="n">
        <v>51620217662</v>
      </c>
      <c r="I115" s="15" t="s">
        <v>1349</v>
      </c>
    </row>
    <row r="116" customFormat="false" ht="15" hidden="false" customHeight="false" outlineLevel="0" collapsed="false">
      <c r="A116" s="63" t="s">
        <v>1355</v>
      </c>
      <c r="B116" s="64" t="s">
        <v>1315</v>
      </c>
      <c r="C116" s="65" t="n">
        <f aca="false">C112+C113+C114</f>
        <v>18986141553</v>
      </c>
      <c r="D116" s="65" t="n">
        <f aca="false">D112+D113+D114</f>
        <v>38894708132</v>
      </c>
      <c r="E116" s="65" t="n">
        <f aca="false">E112+E113+E114</f>
        <v>39449108364</v>
      </c>
      <c r="F116" s="65" t="n">
        <f aca="false">F112+F113+F114</f>
        <v>42198489975</v>
      </c>
      <c r="G116" s="65" t="n">
        <f aca="false">G112+G113+G114</f>
        <v>47021949525</v>
      </c>
      <c r="H116" s="65" t="n">
        <f aca="false">H112+H113+H114</f>
        <v>51620217662</v>
      </c>
    </row>
    <row r="117" customFormat="false" ht="15" hidden="false" customHeight="false" outlineLevel="0" collapsed="false">
      <c r="B117" s="4" t="s">
        <v>1356</v>
      </c>
    </row>
    <row r="118" customFormat="false" ht="15" hidden="false" customHeight="false" outlineLevel="0" collapsed="false">
      <c r="A118" s="54" t="s">
        <v>1357</v>
      </c>
      <c r="B118" s="13" t="s">
        <v>1358</v>
      </c>
      <c r="C118" s="61" t="n">
        <v>9450964473</v>
      </c>
      <c r="D118" s="61" t="n">
        <v>13717043425</v>
      </c>
      <c r="E118" s="61" t="n">
        <v>11683673692</v>
      </c>
      <c r="F118" s="61" t="n">
        <v>12266955209</v>
      </c>
      <c r="G118" s="61" t="n">
        <v>9730445461</v>
      </c>
      <c r="H118" s="61" t="n">
        <v>3207084079</v>
      </c>
      <c r="I118" s="15" t="s">
        <v>1359</v>
      </c>
    </row>
    <row r="119" customFormat="false" ht="15" hidden="false" customHeight="false" outlineLevel="0" collapsed="false">
      <c r="A119" s="54" t="s">
        <v>1360</v>
      </c>
      <c r="B119" s="13" t="s">
        <v>1361</v>
      </c>
      <c r="C119" s="61" t="n">
        <v>46145100748</v>
      </c>
      <c r="D119" s="61" t="n">
        <v>48886899137</v>
      </c>
      <c r="E119" s="61" t="n">
        <v>77960717192</v>
      </c>
      <c r="F119" s="61" t="n">
        <v>82492083749</v>
      </c>
      <c r="G119" s="61" t="n">
        <v>85354786101</v>
      </c>
      <c r="H119" s="61" t="n">
        <v>78017175261</v>
      </c>
      <c r="I119" s="15" t="s">
        <v>1359</v>
      </c>
    </row>
    <row r="120" customFormat="false" ht="15" hidden="false" customHeight="false" outlineLevel="0" collapsed="false">
      <c r="B120" s="4" t="s">
        <v>1362</v>
      </c>
    </row>
    <row r="121" customFormat="false" ht="15" hidden="false" customHeight="false" outlineLevel="0" collapsed="false">
      <c r="A121" s="54" t="s">
        <v>1363</v>
      </c>
      <c r="B121" s="13" t="s">
        <v>1364</v>
      </c>
      <c r="C121" s="61" t="n">
        <v>228333334</v>
      </c>
      <c r="D121" s="61"/>
      <c r="E121" s="61" t="n">
        <v>24787500</v>
      </c>
      <c r="F121" s="61" t="n">
        <v>1637850000</v>
      </c>
      <c r="G121" s="61" t="n">
        <v>1015362904</v>
      </c>
      <c r="H121" s="61" t="n">
        <v>1493319558</v>
      </c>
      <c r="I121" s="15" t="s">
        <v>1365</v>
      </c>
    </row>
    <row r="122" customFormat="false" ht="15" hidden="false" customHeight="false" outlineLevel="0" collapsed="false">
      <c r="A122" s="54" t="s">
        <v>1366</v>
      </c>
      <c r="B122" s="13" t="s">
        <v>1367</v>
      </c>
      <c r="C122" s="61" t="n">
        <v>-256666667</v>
      </c>
      <c r="D122" s="61"/>
      <c r="E122" s="61" t="n">
        <v>-899629058</v>
      </c>
      <c r="F122" s="61" t="n">
        <v>-4625511275</v>
      </c>
      <c r="G122" s="61" t="n">
        <v>-962419493</v>
      </c>
      <c r="H122" s="61" t="n">
        <v>-1281171305</v>
      </c>
      <c r="I122" s="15" t="s">
        <v>1365</v>
      </c>
    </row>
    <row r="123" customFormat="false" ht="15" hidden="false" customHeight="false" outlineLevel="0" collapsed="false">
      <c r="A123" s="54" t="s">
        <v>1368</v>
      </c>
      <c r="B123" s="13" t="s">
        <v>1369</v>
      </c>
      <c r="C123" s="61"/>
      <c r="D123" s="61"/>
      <c r="E123" s="61"/>
      <c r="F123" s="61"/>
      <c r="G123" s="61" t="n">
        <v>52943411</v>
      </c>
      <c r="H123" s="61" t="n">
        <v>212148253</v>
      </c>
      <c r="I123" s="15" t="s">
        <v>1370</v>
      </c>
    </row>
    <row r="124" customFormat="false" ht="15" hidden="false" customHeight="false" outlineLevel="0" collapsed="false">
      <c r="A124" s="54" t="s">
        <v>1371</v>
      </c>
      <c r="B124" s="13" t="s">
        <v>1372</v>
      </c>
      <c r="C124" s="61" t="n">
        <v>-28333333</v>
      </c>
      <c r="D124" s="61"/>
      <c r="E124" s="61" t="n">
        <v>-874841558</v>
      </c>
      <c r="F124" s="61" t="n">
        <v>1953559225</v>
      </c>
      <c r="G124" s="61"/>
      <c r="H124" s="61"/>
      <c r="I124" s="15" t="s">
        <v>1373</v>
      </c>
    </row>
    <row r="125" customFormat="false" ht="15" hidden="false" customHeight="false" outlineLevel="0" collapsed="false">
      <c r="A125" s="54" t="s">
        <v>1374</v>
      </c>
      <c r="B125" s="13" t="s">
        <v>1375</v>
      </c>
      <c r="C125" s="61"/>
      <c r="D125" s="61"/>
      <c r="E125" s="61"/>
      <c r="F125" s="61" t="n">
        <v>9102000000</v>
      </c>
      <c r="G125" s="61"/>
      <c r="H125" s="61"/>
      <c r="I125" s="15" t="s">
        <v>1376</v>
      </c>
    </row>
    <row r="126" customFormat="false" ht="15" hidden="false" customHeight="false" outlineLevel="0" collapsed="false">
      <c r="A126" s="54" t="s">
        <v>1377</v>
      </c>
      <c r="B126" s="13" t="s">
        <v>1378</v>
      </c>
      <c r="C126" s="61"/>
      <c r="D126" s="61"/>
      <c r="E126" s="61"/>
      <c r="F126" s="61" t="n">
        <v>-4160779500</v>
      </c>
      <c r="G126" s="61"/>
      <c r="H126" s="61"/>
      <c r="I126" s="15" t="s">
        <v>1376</v>
      </c>
    </row>
    <row r="127" customFormat="false" ht="15" hidden="false" customHeight="false" outlineLevel="0" collapsed="false">
      <c r="B127" s="4" t="s">
        <v>1379</v>
      </c>
    </row>
    <row r="128" customFormat="false" ht="15" hidden="false" customHeight="false" outlineLevel="0" collapsed="false">
      <c r="A128" s="54" t="s">
        <v>1380</v>
      </c>
      <c r="B128" s="13" t="s">
        <v>1381</v>
      </c>
      <c r="C128" s="61"/>
      <c r="D128" s="61"/>
      <c r="E128" s="61"/>
      <c r="F128" s="61"/>
      <c r="G128" s="61"/>
      <c r="H128" s="61" t="n">
        <v>995236967640</v>
      </c>
      <c r="I128" s="15" t="s">
        <v>1382</v>
      </c>
    </row>
    <row r="129" customFormat="false" ht="15" hidden="false" customHeight="false" outlineLevel="0" collapsed="false">
      <c r="A129" s="54" t="s">
        <v>1383</v>
      </c>
      <c r="B129" s="13" t="s">
        <v>1384</v>
      </c>
      <c r="C129" s="61"/>
      <c r="D129" s="61"/>
      <c r="E129" s="61"/>
      <c r="F129" s="61"/>
      <c r="G129" s="61"/>
      <c r="H129" s="61" t="n">
        <v>1230091000000</v>
      </c>
      <c r="I129" s="15" t="s">
        <v>1382</v>
      </c>
    </row>
    <row r="130" customFormat="false" ht="15" hidden="false" customHeight="false" outlineLevel="0" collapsed="false">
      <c r="A130" s="54" t="s">
        <v>1385</v>
      </c>
      <c r="B130" s="13" t="s">
        <v>1386</v>
      </c>
      <c r="C130" s="61"/>
      <c r="D130" s="61"/>
      <c r="E130" s="61"/>
      <c r="F130" s="61"/>
      <c r="G130" s="61"/>
      <c r="H130" s="61" t="n">
        <v>232952297667</v>
      </c>
      <c r="I130" s="15" t="s">
        <v>1382</v>
      </c>
    </row>
    <row r="131" customFormat="false" ht="15" hidden="false" customHeight="false" outlineLevel="0" collapsed="false">
      <c r="A131" s="54" t="s">
        <v>1387</v>
      </c>
      <c r="B131" s="13" t="s">
        <v>1388</v>
      </c>
      <c r="C131" s="61"/>
      <c r="D131" s="61"/>
      <c r="E131" s="61"/>
      <c r="F131" s="61"/>
      <c r="G131" s="61"/>
      <c r="H131" s="61" t="n">
        <v>421366418223</v>
      </c>
      <c r="I131" s="15" t="s">
        <v>1382</v>
      </c>
    </row>
    <row r="132" customFormat="false" ht="15" hidden="false" customHeight="false" outlineLevel="0" collapsed="false">
      <c r="A132" s="54" t="s">
        <v>1389</v>
      </c>
      <c r="B132" s="13" t="s">
        <v>1390</v>
      </c>
      <c r="C132" s="61"/>
      <c r="D132" s="61"/>
      <c r="E132" s="61"/>
      <c r="F132" s="61"/>
      <c r="G132" s="61"/>
      <c r="H132" s="61" t="n">
        <v>421401433218</v>
      </c>
      <c r="I132" s="15" t="s">
        <v>1382</v>
      </c>
    </row>
    <row r="133" customFormat="false" ht="15" hidden="false" customHeight="false" outlineLevel="0" collapsed="false">
      <c r="A133" s="54" t="s">
        <v>1391</v>
      </c>
      <c r="B133" s="13" t="s">
        <v>1392</v>
      </c>
      <c r="C133" s="61"/>
      <c r="D133" s="61"/>
      <c r="E133" s="61"/>
      <c r="F133" s="61"/>
      <c r="G133" s="61"/>
      <c r="H133" s="61" t="n">
        <v>35014996</v>
      </c>
      <c r="I133" s="15" t="s">
        <v>1382</v>
      </c>
    </row>
    <row r="134" customFormat="false" ht="15" hidden="false" customHeight="false" outlineLevel="0" collapsed="false">
      <c r="A134" s="54" t="s">
        <v>1393</v>
      </c>
      <c r="B134" s="13" t="s">
        <v>1394</v>
      </c>
      <c r="C134" s="61"/>
      <c r="D134" s="61"/>
      <c r="E134" s="61"/>
      <c r="F134" s="61"/>
      <c r="G134" s="61"/>
      <c r="H134" s="61" t="n">
        <v>232987312663</v>
      </c>
      <c r="I134" s="15" t="s">
        <v>1382</v>
      </c>
    </row>
    <row r="135" customFormat="false" ht="15" hidden="false" customHeight="false" outlineLevel="0" collapsed="false">
      <c r="B135" s="4" t="s">
        <v>1395</v>
      </c>
    </row>
    <row r="136" customFormat="false" ht="15" hidden="false" customHeight="false" outlineLevel="0" collapsed="false">
      <c r="A136" s="54" t="s">
        <v>1396</v>
      </c>
      <c r="B136" s="13" t="s">
        <v>1397</v>
      </c>
      <c r="C136" s="61"/>
      <c r="D136" s="61"/>
      <c r="E136" s="61"/>
      <c r="F136" s="61"/>
      <c r="G136" s="61"/>
      <c r="H136" s="61" t="n">
        <v>229391032360</v>
      </c>
      <c r="I136" s="15" t="s">
        <v>1382</v>
      </c>
    </row>
    <row r="137" customFormat="false" ht="15" hidden="false" customHeight="false" outlineLevel="0" collapsed="false">
      <c r="A137" s="54" t="s">
        <v>1398</v>
      </c>
      <c r="B137" s="13" t="s">
        <v>1399</v>
      </c>
      <c r="C137" s="61"/>
      <c r="D137" s="61"/>
      <c r="E137" s="61"/>
      <c r="F137" s="61"/>
      <c r="G137" s="61"/>
      <c r="H137" s="61" t="n">
        <v>4713190362</v>
      </c>
      <c r="I137" s="15" t="s">
        <v>1382</v>
      </c>
    </row>
    <row r="138" customFormat="false" ht="15" hidden="false" customHeight="false" outlineLevel="0" collapsed="false">
      <c r="B138" s="4" t="s">
        <v>1400</v>
      </c>
    </row>
    <row r="139" customFormat="false" ht="15" hidden="false" customHeight="false" outlineLevel="0" collapsed="false">
      <c r="A139" s="54" t="s">
        <v>1401</v>
      </c>
      <c r="B139" s="13" t="s">
        <v>1402</v>
      </c>
      <c r="C139" s="61" t="n">
        <v>13131353419</v>
      </c>
      <c r="D139" s="61" t="n">
        <v>22644455428</v>
      </c>
      <c r="E139" s="61" t="n">
        <v>21237249027</v>
      </c>
      <c r="F139" s="61" t="n">
        <v>15341991373</v>
      </c>
      <c r="G139" s="61" t="n">
        <v>19500574022</v>
      </c>
      <c r="H139" s="61" t="n">
        <v>21812380174</v>
      </c>
      <c r="I139" s="15" t="s">
        <v>1403</v>
      </c>
    </row>
    <row r="140" customFormat="false" ht="15" hidden="false" customHeight="false" outlineLevel="0" collapsed="false">
      <c r="A140" s="54" t="s">
        <v>1404</v>
      </c>
      <c r="B140" s="13" t="s">
        <v>1405</v>
      </c>
      <c r="C140" s="61" t="n">
        <v>8234179743</v>
      </c>
      <c r="D140" s="61" t="n">
        <v>35938489892</v>
      </c>
      <c r="E140" s="61" t="n">
        <v>55026783857</v>
      </c>
      <c r="F140" s="61" t="n">
        <v>77433266746</v>
      </c>
      <c r="G140" s="61" t="n">
        <v>53531597866</v>
      </c>
      <c r="H140" s="61" t="n">
        <v>118334918295</v>
      </c>
      <c r="I140" s="15" t="s">
        <v>1403</v>
      </c>
    </row>
    <row r="141" customFormat="false" ht="15" hidden="false" customHeight="false" outlineLevel="0" collapsed="false">
      <c r="A141" s="54" t="s">
        <v>1406</v>
      </c>
      <c r="B141" s="13" t="s">
        <v>1306</v>
      </c>
      <c r="C141" s="61" t="n">
        <v>21365533162</v>
      </c>
      <c r="D141" s="61" t="n">
        <v>58582945320</v>
      </c>
      <c r="E141" s="61" t="n">
        <v>76264032884</v>
      </c>
      <c r="F141" s="61" t="n">
        <v>92775258119</v>
      </c>
      <c r="G141" s="61" t="n">
        <v>73032171888</v>
      </c>
      <c r="H141" s="61" t="n">
        <v>140147298469</v>
      </c>
      <c r="I141" s="15" t="s">
        <v>1403</v>
      </c>
    </row>
    <row r="142" customFormat="false" ht="15" hidden="false" customHeight="false" outlineLevel="0" collapsed="false">
      <c r="A142" s="63" t="s">
        <v>1407</v>
      </c>
      <c r="B142" s="64" t="s">
        <v>1315</v>
      </c>
      <c r="C142" s="65" t="n">
        <f aca="false">C139+C140</f>
        <v>21365533162</v>
      </c>
      <c r="D142" s="65" t="n">
        <f aca="false">D139+D140</f>
        <v>58582945320</v>
      </c>
      <c r="E142" s="65" t="n">
        <f aca="false">E139+E140</f>
        <v>76264032884</v>
      </c>
      <c r="F142" s="65" t="n">
        <f aca="false">F139+F140</f>
        <v>92775258119</v>
      </c>
      <c r="G142" s="65" t="n">
        <f aca="false">G139+G140</f>
        <v>73032171888</v>
      </c>
      <c r="H142" s="65" t="n">
        <f aca="false">H139+H140</f>
        <v>140147298469</v>
      </c>
    </row>
    <row r="143" customFormat="false" ht="15" hidden="false" customHeight="false" outlineLevel="0" collapsed="false">
      <c r="B143" s="4" t="s">
        <v>1408</v>
      </c>
    </row>
    <row r="144" customFormat="false" ht="15" hidden="false" customHeight="false" outlineLevel="0" collapsed="false">
      <c r="A144" s="54" t="s">
        <v>1409</v>
      </c>
      <c r="B144" s="13" t="s">
        <v>1410</v>
      </c>
      <c r="C144" s="61" t="n">
        <v>9711892583</v>
      </c>
      <c r="D144" s="61" t="n">
        <v>9214811101</v>
      </c>
      <c r="E144" s="61" t="n">
        <v>12285666027</v>
      </c>
      <c r="F144" s="61" t="n">
        <v>9702367137</v>
      </c>
      <c r="G144" s="61" t="n">
        <v>20365042260</v>
      </c>
      <c r="H144" s="61" t="n">
        <v>56457929143</v>
      </c>
      <c r="I144" s="15" t="s">
        <v>1403</v>
      </c>
    </row>
    <row r="145" customFormat="false" ht="15" hidden="false" customHeight="false" outlineLevel="0" collapsed="false">
      <c r="A145" s="54" t="s">
        <v>1411</v>
      </c>
      <c r="B145" s="13" t="s">
        <v>1412</v>
      </c>
      <c r="C145" s="61" t="n">
        <v>2466895016</v>
      </c>
      <c r="D145" s="61" t="n">
        <v>4696003357</v>
      </c>
      <c r="E145" s="61" t="n">
        <v>6045251336</v>
      </c>
      <c r="F145" s="61" t="n">
        <v>6084039987</v>
      </c>
      <c r="G145" s="61" t="n">
        <v>3603073980</v>
      </c>
      <c r="H145" s="61" t="n">
        <v>42241143316</v>
      </c>
      <c r="I145" s="15" t="s">
        <v>1403</v>
      </c>
    </row>
    <row r="146" customFormat="false" ht="15" hidden="false" customHeight="false" outlineLevel="0" collapsed="false">
      <c r="A146" s="54" t="s">
        <v>1413</v>
      </c>
      <c r="B146" s="13" t="s">
        <v>1306</v>
      </c>
      <c r="C146" s="61" t="n">
        <v>12178787599</v>
      </c>
      <c r="D146" s="61" t="n">
        <v>13910814458</v>
      </c>
      <c r="E146" s="61" t="n">
        <v>18330917363</v>
      </c>
      <c r="F146" s="61" t="n">
        <v>15786407124</v>
      </c>
      <c r="G146" s="61" t="n">
        <v>23968116240</v>
      </c>
      <c r="H146" s="61" t="n">
        <v>98699072459</v>
      </c>
      <c r="I146" s="15" t="s">
        <v>1403</v>
      </c>
    </row>
    <row r="147" customFormat="false" ht="15" hidden="false" customHeight="false" outlineLevel="0" collapsed="false">
      <c r="A147" s="63" t="s">
        <v>1414</v>
      </c>
      <c r="B147" s="64" t="s">
        <v>1315</v>
      </c>
      <c r="C147" s="65" t="n">
        <f aca="false">C144+C145</f>
        <v>12178787599</v>
      </c>
      <c r="D147" s="65" t="n">
        <f aca="false">D144+D145</f>
        <v>13910814458</v>
      </c>
      <c r="E147" s="65" t="n">
        <f aca="false">E144+E145</f>
        <v>18330917363</v>
      </c>
      <c r="F147" s="65" t="n">
        <f aca="false">F144+F145</f>
        <v>15786407124</v>
      </c>
      <c r="G147" s="65" t="n">
        <f aca="false">G144+G145</f>
        <v>23968116240</v>
      </c>
      <c r="H147" s="65" t="n">
        <f aca="false">H144+H145</f>
        <v>98699072459</v>
      </c>
    </row>
    <row r="148" customFormat="false" ht="15" hidden="false" customHeight="false" outlineLevel="0" collapsed="false">
      <c r="B148" s="4" t="s">
        <v>1415</v>
      </c>
    </row>
    <row r="149" customFormat="false" ht="15" hidden="false" customHeight="false" outlineLevel="0" collapsed="false">
      <c r="A149" s="54" t="s">
        <v>1416</v>
      </c>
      <c r="B149" s="13" t="s">
        <v>1417</v>
      </c>
      <c r="C149" s="61" t="n">
        <v>4300111102</v>
      </c>
      <c r="D149" s="61" t="n">
        <v>7592276905</v>
      </c>
      <c r="E149" s="61" t="n">
        <v>1558779319</v>
      </c>
      <c r="F149" s="61" t="n">
        <v>3141542926</v>
      </c>
      <c r="G149" s="61" t="n">
        <v>2844622405</v>
      </c>
      <c r="H149" s="61" t="n">
        <v>1406228709</v>
      </c>
      <c r="I149" s="15" t="s">
        <v>1403</v>
      </c>
    </row>
    <row r="150" customFormat="false" ht="15" hidden="false" customHeight="false" outlineLevel="0" collapsed="false">
      <c r="A150" s="54" t="s">
        <v>1418</v>
      </c>
      <c r="B150" s="13" t="s">
        <v>1419</v>
      </c>
      <c r="C150" s="61" t="n">
        <v>2711086503</v>
      </c>
      <c r="D150" s="61" t="n">
        <v>4696003357</v>
      </c>
      <c r="E150" s="61" t="n">
        <v>6045251336</v>
      </c>
      <c r="F150" s="61" t="n">
        <v>6084039987</v>
      </c>
      <c r="G150" s="61"/>
      <c r="H150" s="61"/>
      <c r="I150" s="15" t="s">
        <v>1420</v>
      </c>
    </row>
    <row r="151" customFormat="false" ht="15" hidden="false" customHeight="false" outlineLevel="0" collapsed="false">
      <c r="B151" s="4" t="s">
        <v>1421</v>
      </c>
    </row>
    <row r="152" customFormat="false" ht="15" hidden="false" customHeight="false" outlineLevel="0" collapsed="false">
      <c r="A152" s="54" t="s">
        <v>1422</v>
      </c>
      <c r="B152" s="13" t="s">
        <v>1423</v>
      </c>
      <c r="C152" s="61" t="n">
        <v>56171232222</v>
      </c>
      <c r="D152" s="61" t="n">
        <v>80550182852</v>
      </c>
      <c r="E152" s="61" t="n">
        <v>62643233470</v>
      </c>
      <c r="F152" s="61" t="n">
        <v>23960367781</v>
      </c>
      <c r="G152" s="61" t="n">
        <v>14576256453</v>
      </c>
      <c r="H152" s="61" t="n">
        <v>36345471687</v>
      </c>
      <c r="I152" s="15" t="s">
        <v>1424</v>
      </c>
    </row>
    <row r="153" customFormat="false" ht="15" hidden="false" customHeight="false" outlineLevel="0" collapsed="false">
      <c r="A153" s="54" t="s">
        <v>1425</v>
      </c>
      <c r="B153" s="13" t="s">
        <v>1426</v>
      </c>
      <c r="C153" s="61" t="n">
        <v>24750786482</v>
      </c>
      <c r="D153" s="61" t="n">
        <v>37465084686</v>
      </c>
      <c r="E153" s="61" t="n">
        <v>28519833715</v>
      </c>
      <c r="F153" s="61" t="n">
        <v>31647175299</v>
      </c>
      <c r="G153" s="61" t="n">
        <v>16244471499</v>
      </c>
      <c r="H153" s="61" t="n">
        <v>32694903037</v>
      </c>
      <c r="I153" s="15" t="s">
        <v>1424</v>
      </c>
    </row>
    <row r="154" customFormat="false" ht="15" hidden="false" customHeight="false" outlineLevel="0" collapsed="false">
      <c r="A154" s="54" t="s">
        <v>1427</v>
      </c>
      <c r="B154" s="13" t="s">
        <v>1304</v>
      </c>
      <c r="C154" s="61" t="n">
        <v>12494090914</v>
      </c>
      <c r="D154" s="61" t="n">
        <v>1145171394</v>
      </c>
      <c r="E154" s="61" t="n">
        <v>625193862</v>
      </c>
      <c r="F154" s="61" t="n">
        <v>163400500</v>
      </c>
      <c r="G154" s="61" t="n">
        <v>60852000</v>
      </c>
      <c r="H154" s="61" t="n">
        <v>12619838785</v>
      </c>
      <c r="I154" s="15" t="s">
        <v>1424</v>
      </c>
    </row>
    <row r="155" customFormat="false" ht="15" hidden="false" customHeight="false" outlineLevel="0" collapsed="false">
      <c r="A155" s="54" t="s">
        <v>1428</v>
      </c>
      <c r="B155" s="13" t="s">
        <v>1306</v>
      </c>
      <c r="C155" s="61" t="n">
        <v>120125322795</v>
      </c>
      <c r="D155" s="61" t="n">
        <v>119160438932</v>
      </c>
      <c r="E155" s="61" t="n">
        <v>91788261047</v>
      </c>
      <c r="F155" s="61" t="n">
        <v>55770943580</v>
      </c>
      <c r="G155" s="61" t="n">
        <v>30881579952</v>
      </c>
      <c r="H155" s="61" t="n">
        <v>81660213509</v>
      </c>
      <c r="I155" s="15" t="s">
        <v>1424</v>
      </c>
    </row>
    <row r="156" customFormat="false" ht="15" hidden="false" customHeight="false" outlineLevel="0" collapsed="false">
      <c r="A156" s="54" t="s">
        <v>1429</v>
      </c>
      <c r="B156" s="13" t="s">
        <v>1430</v>
      </c>
      <c r="C156" s="61" t="n">
        <v>26709213177</v>
      </c>
      <c r="D156" s="61"/>
      <c r="E156" s="61"/>
      <c r="F156" s="61"/>
      <c r="G156" s="61"/>
      <c r="H156" s="61"/>
      <c r="I156" s="15" t="s">
        <v>1431</v>
      </c>
    </row>
    <row r="157" customFormat="false" ht="15" hidden="false" customHeight="false" outlineLevel="0" collapsed="false">
      <c r="A157" s="63" t="s">
        <v>1432</v>
      </c>
      <c r="B157" s="64" t="s">
        <v>1315</v>
      </c>
      <c r="C157" s="65" t="n">
        <f aca="false">C152+C153+C154+C156</f>
        <v>120125322795</v>
      </c>
      <c r="D157" s="65" t="n">
        <f aca="false">D152+D153+D154+D156</f>
        <v>119160438932</v>
      </c>
      <c r="E157" s="65" t="n">
        <f aca="false">E152+E153+E154+E156</f>
        <v>91788261047</v>
      </c>
      <c r="F157" s="65" t="n">
        <f aca="false">F152+F153+F154+F156</f>
        <v>55770943580</v>
      </c>
      <c r="G157" s="65" t="n">
        <f aca="false">G152+G153+G154+G156</f>
        <v>30881579952</v>
      </c>
      <c r="H157" s="65" t="n">
        <f aca="false">H152+H153+H154+H156</f>
        <v>81660213509</v>
      </c>
    </row>
    <row r="158" customFormat="false" ht="15" hidden="false" customHeight="false" outlineLevel="0" collapsed="false">
      <c r="B158" s="4" t="s">
        <v>1433</v>
      </c>
    </row>
    <row r="159" customFormat="false" ht="15" hidden="false" customHeight="false" outlineLevel="0" collapsed="false">
      <c r="A159" s="54" t="s">
        <v>1434</v>
      </c>
      <c r="B159" s="13" t="s">
        <v>1330</v>
      </c>
      <c r="C159" s="61" t="n">
        <v>48714700712</v>
      </c>
      <c r="D159" s="61" t="n">
        <v>51310193228</v>
      </c>
      <c r="E159" s="61" t="n">
        <v>48153491293</v>
      </c>
      <c r="F159" s="61" t="n">
        <v>27219234723</v>
      </c>
      <c r="G159" s="61" t="n">
        <v>17152545656</v>
      </c>
      <c r="H159" s="61" t="n">
        <v>45067017166</v>
      </c>
      <c r="I159" s="15" t="s">
        <v>1424</v>
      </c>
    </row>
    <row r="160" customFormat="false" ht="15" hidden="false" customHeight="false" outlineLevel="0" collapsed="false">
      <c r="A160" s="54" t="s">
        <v>1435</v>
      </c>
      <c r="B160" s="13" t="s">
        <v>1332</v>
      </c>
      <c r="C160" s="61" t="n">
        <v>26816334502</v>
      </c>
      <c r="D160" s="61" t="n">
        <v>38006078970</v>
      </c>
      <c r="E160" s="61" t="n">
        <v>21142976814</v>
      </c>
      <c r="F160" s="61" t="n">
        <v>10170639257</v>
      </c>
      <c r="G160" s="61" t="n">
        <v>6575947174</v>
      </c>
      <c r="H160" s="61" t="n">
        <v>12892466087</v>
      </c>
      <c r="I160" s="15" t="s">
        <v>1424</v>
      </c>
    </row>
    <row r="161" customFormat="false" ht="15" hidden="false" customHeight="false" outlineLevel="0" collapsed="false">
      <c r="A161" s="54" t="s">
        <v>1436</v>
      </c>
      <c r="B161" s="13" t="s">
        <v>1437</v>
      </c>
      <c r="C161" s="61" t="n">
        <v>33131797256</v>
      </c>
      <c r="D161" s="61" t="n">
        <v>7908059407</v>
      </c>
      <c r="E161" s="61" t="n">
        <v>6173671458</v>
      </c>
      <c r="F161" s="61" t="n">
        <v>8425454237</v>
      </c>
      <c r="G161" s="61" t="n">
        <v>2714778394</v>
      </c>
      <c r="H161" s="61" t="n">
        <v>2806107196</v>
      </c>
      <c r="I161" s="15" t="s">
        <v>1424</v>
      </c>
    </row>
    <row r="162" customFormat="false" ht="15" hidden="false" customHeight="false" outlineLevel="0" collapsed="false">
      <c r="A162" s="54" t="s">
        <v>1438</v>
      </c>
      <c r="B162" s="13" t="s">
        <v>1336</v>
      </c>
      <c r="C162" s="61" t="n">
        <v>11462490325</v>
      </c>
      <c r="D162" s="61" t="n">
        <v>21936107327</v>
      </c>
      <c r="E162" s="61" t="n">
        <v>16318121482</v>
      </c>
      <c r="F162" s="61" t="n">
        <v>9955615363</v>
      </c>
      <c r="G162" s="61" t="n">
        <v>4438308728</v>
      </c>
      <c r="H162" s="61" t="n">
        <v>20894623060</v>
      </c>
      <c r="I162" s="15" t="s">
        <v>1424</v>
      </c>
    </row>
    <row r="163" customFormat="false" ht="15" hidden="false" customHeight="false" outlineLevel="0" collapsed="false">
      <c r="A163" s="54" t="s">
        <v>1439</v>
      </c>
      <c r="B163" s="13" t="s">
        <v>1306</v>
      </c>
      <c r="C163" s="61"/>
      <c r="D163" s="61"/>
      <c r="E163" s="61"/>
      <c r="F163" s="61"/>
      <c r="G163" s="61" t="n">
        <v>30881579952</v>
      </c>
      <c r="H163" s="61" t="n">
        <v>81660213509</v>
      </c>
      <c r="I163" s="15" t="s">
        <v>1440</v>
      </c>
    </row>
    <row r="164" customFormat="false" ht="15" hidden="false" customHeight="false" outlineLevel="0" collapsed="false">
      <c r="A164" s="63" t="s">
        <v>1441</v>
      </c>
      <c r="B164" s="64" t="s">
        <v>1315</v>
      </c>
      <c r="C164" s="65" t="n">
        <f aca="false">C159+C160+C161+C162</f>
        <v>120125322795</v>
      </c>
      <c r="D164" s="65" t="n">
        <f aca="false">D159+D160+D161+D162</f>
        <v>119160438932</v>
      </c>
      <c r="E164" s="65" t="n">
        <f aca="false">E159+E160+E161+E162</f>
        <v>91788261047</v>
      </c>
      <c r="F164" s="65" t="n">
        <f aca="false">F159+F160+F161+F162</f>
        <v>55770943580</v>
      </c>
      <c r="G164" s="65" t="n">
        <f aca="false">G159+G160+G161+G162</f>
        <v>30881579952</v>
      </c>
      <c r="H164" s="65" t="n">
        <f aca="false">H159+H160+H161+H162</f>
        <v>81660213509</v>
      </c>
    </row>
    <row r="165" customFormat="false" ht="15" hidden="false" customHeight="false" outlineLevel="0" collapsed="false">
      <c r="B165" s="4" t="s">
        <v>1442</v>
      </c>
    </row>
    <row r="166" customFormat="false" ht="15" hidden="false" customHeight="false" outlineLevel="0" collapsed="false">
      <c r="A166" s="54" t="s">
        <v>1443</v>
      </c>
      <c r="B166" s="13" t="s">
        <v>1444</v>
      </c>
      <c r="C166" s="61"/>
      <c r="D166" s="61"/>
      <c r="E166" s="61"/>
      <c r="F166" s="61"/>
      <c r="G166" s="61" t="n">
        <v>10817495432</v>
      </c>
      <c r="H166" s="61" t="n">
        <v>17204374798</v>
      </c>
      <c r="I166" s="15" t="s">
        <v>1445</v>
      </c>
    </row>
    <row r="167" customFormat="false" ht="15" hidden="false" customHeight="false" outlineLevel="0" collapsed="false">
      <c r="A167" s="54" t="s">
        <v>1446</v>
      </c>
      <c r="B167" s="13" t="s">
        <v>1447</v>
      </c>
      <c r="C167" s="61"/>
      <c r="D167" s="61"/>
      <c r="E167" s="61"/>
      <c r="F167" s="61"/>
      <c r="G167" s="61" t="n">
        <v>3891369651</v>
      </c>
      <c r="H167" s="61" t="n">
        <v>6538940938</v>
      </c>
      <c r="I167" s="15" t="s">
        <v>1445</v>
      </c>
    </row>
    <row r="168" customFormat="false" ht="15" hidden="false" customHeight="false" outlineLevel="0" collapsed="false">
      <c r="A168" s="54" t="s">
        <v>1448</v>
      </c>
      <c r="B168" s="13" t="s">
        <v>1306</v>
      </c>
      <c r="C168" s="61"/>
      <c r="D168" s="61"/>
      <c r="E168" s="61"/>
      <c r="F168" s="61"/>
      <c r="G168" s="61" t="n">
        <v>14708865083</v>
      </c>
      <c r="H168" s="61" t="n">
        <v>23743315736</v>
      </c>
      <c r="I168" s="15" t="s">
        <v>1445</v>
      </c>
    </row>
    <row r="169" customFormat="false" ht="15" hidden="false" customHeight="false" outlineLevel="0" collapsed="false">
      <c r="A169" s="63" t="s">
        <v>1449</v>
      </c>
      <c r="B169" s="64" t="s">
        <v>1315</v>
      </c>
      <c r="C169" s="65" t="n">
        <f aca="false">C166+C167</f>
        <v>0</v>
      </c>
      <c r="D169" s="65" t="n">
        <f aca="false">D166+D167</f>
        <v>0</v>
      </c>
      <c r="E169" s="65" t="n">
        <f aca="false">E166+E167</f>
        <v>0</v>
      </c>
      <c r="F169" s="65" t="n">
        <f aca="false">F166+F167</f>
        <v>0</v>
      </c>
      <c r="G169" s="65" t="n">
        <f aca="false">G166+G167</f>
        <v>14708865083</v>
      </c>
      <c r="H169" s="65" t="n">
        <f aca="false">H166+H167</f>
        <v>23743315736</v>
      </c>
    </row>
    <row r="170" customFormat="false" ht="15" hidden="false" customHeight="false" outlineLevel="0" collapsed="false">
      <c r="B170" s="4" t="s">
        <v>1450</v>
      </c>
    </row>
    <row r="171" customFormat="false" ht="15" hidden="false" customHeight="false" outlineLevel="0" collapsed="false">
      <c r="A171" s="54" t="s">
        <v>1451</v>
      </c>
      <c r="B171" s="13" t="s">
        <v>1452</v>
      </c>
      <c r="C171" s="61" t="n">
        <v>10590340200</v>
      </c>
      <c r="D171" s="61" t="n">
        <v>29671397360</v>
      </c>
      <c r="E171" s="61" t="n">
        <v>8767360140</v>
      </c>
      <c r="F171" s="61" t="n">
        <v>2995087040</v>
      </c>
      <c r="G171" s="61" t="n">
        <v>2239653900</v>
      </c>
      <c r="H171" s="61" t="n">
        <v>684871220</v>
      </c>
      <c r="I171" s="15" t="s">
        <v>1453</v>
      </c>
    </row>
    <row r="172" customFormat="false" ht="15" hidden="false" customHeight="false" outlineLevel="0" collapsed="false">
      <c r="A172" s="54" t="s">
        <v>1454</v>
      </c>
      <c r="B172" s="13" t="s">
        <v>1455</v>
      </c>
      <c r="C172" s="61" t="n">
        <v>18235861633</v>
      </c>
      <c r="D172" s="61" t="n">
        <v>73987652765</v>
      </c>
      <c r="E172" s="61" t="n">
        <v>38317686670</v>
      </c>
      <c r="F172" s="61" t="n">
        <v>27095614143</v>
      </c>
      <c r="G172" s="61" t="n">
        <v>15856571221</v>
      </c>
      <c r="H172" s="61" t="n">
        <v>21057545453</v>
      </c>
      <c r="I172" s="15" t="s">
        <v>1453</v>
      </c>
    </row>
    <row r="173" customFormat="false" ht="15" hidden="false" customHeight="false" outlineLevel="0" collapsed="false">
      <c r="A173" s="54" t="s">
        <v>1456</v>
      </c>
      <c r="B173" s="13" t="s">
        <v>1457</v>
      </c>
      <c r="C173" s="61"/>
      <c r="D173" s="61"/>
      <c r="E173" s="61"/>
      <c r="F173" s="61"/>
      <c r="G173" s="61" t="n">
        <v>-1643320773</v>
      </c>
      <c r="H173" s="61" t="n">
        <v>-6521673752</v>
      </c>
      <c r="I173" s="15" t="s">
        <v>1458</v>
      </c>
    </row>
    <row r="174" customFormat="false" ht="15" hidden="false" customHeight="false" outlineLevel="0" collapsed="false">
      <c r="A174" s="54" t="s">
        <v>1459</v>
      </c>
      <c r="B174" s="13" t="s">
        <v>1460</v>
      </c>
      <c r="C174" s="61" t="n">
        <v>617873898</v>
      </c>
      <c r="D174" s="61" t="n">
        <v>0</v>
      </c>
      <c r="E174" s="61" t="n">
        <v>2188786472</v>
      </c>
      <c r="F174" s="61" t="n">
        <v>2126150500</v>
      </c>
      <c r="G174" s="61" t="n">
        <v>3245042894</v>
      </c>
      <c r="H174" s="61" t="n">
        <v>388764099</v>
      </c>
      <c r="I174" s="15" t="s">
        <v>1453</v>
      </c>
    </row>
    <row r="175" customFormat="false" ht="15" hidden="false" customHeight="false" outlineLevel="0" collapsed="false">
      <c r="A175" s="54" t="s">
        <v>1461</v>
      </c>
      <c r="B175" s="13" t="s">
        <v>1306</v>
      </c>
      <c r="C175" s="61" t="n">
        <v>26531851745</v>
      </c>
      <c r="D175" s="61" t="n">
        <v>102489898340</v>
      </c>
      <c r="E175" s="61" t="n">
        <v>47858164349</v>
      </c>
      <c r="F175" s="61" t="n">
        <v>24093626876</v>
      </c>
      <c r="G175" s="61" t="n">
        <v>19697947242</v>
      </c>
      <c r="H175" s="61" t="n">
        <v>15609507020</v>
      </c>
      <c r="I175" s="15" t="s">
        <v>1453</v>
      </c>
    </row>
    <row r="176" customFormat="false" ht="15" hidden="false" customHeight="false" outlineLevel="0" collapsed="false">
      <c r="A176" s="54" t="s">
        <v>1462</v>
      </c>
      <c r="B176" s="13" t="s">
        <v>1463</v>
      </c>
      <c r="C176" s="61" t="n">
        <v>-2912223986</v>
      </c>
      <c r="D176" s="61" t="n">
        <v>-1169151785</v>
      </c>
      <c r="E176" s="61" t="n">
        <v>-1415668933</v>
      </c>
      <c r="F176" s="61" t="n">
        <v>-8123224807</v>
      </c>
      <c r="G176" s="61"/>
      <c r="H176" s="61"/>
      <c r="I176" s="15" t="s">
        <v>1464</v>
      </c>
    </row>
    <row r="177" customFormat="false" ht="15" hidden="false" customHeight="false" outlineLevel="0" collapsed="false">
      <c r="A177" s="63" t="s">
        <v>1465</v>
      </c>
      <c r="B177" s="64" t="s">
        <v>1315</v>
      </c>
      <c r="C177" s="65" t="n">
        <f aca="false">C171+C172+C173+C174+C176</f>
        <v>26531851745</v>
      </c>
      <c r="D177" s="65" t="n">
        <f aca="false">D171+D172+D173+D174+D176</f>
        <v>102489898340</v>
      </c>
      <c r="E177" s="65" t="n">
        <f aca="false">E171+E172+E173+E174+E176</f>
        <v>47858164349</v>
      </c>
      <c r="F177" s="65" t="n">
        <f aca="false">F171+F172+F173+F174+F176</f>
        <v>24093626876</v>
      </c>
      <c r="G177" s="65" t="n">
        <f aca="false">G171+G172+G173+G174+G176</f>
        <v>19697947242</v>
      </c>
      <c r="H177" s="65" t="n">
        <f aca="false">H171+H172+H173+H174+H176</f>
        <v>15609507020</v>
      </c>
    </row>
    <row r="178" customFormat="false" ht="15" hidden="false" customHeight="false" outlineLevel="0" collapsed="false">
      <c r="B178" s="4" t="s">
        <v>1466</v>
      </c>
    </row>
    <row r="179" customFormat="false" ht="15" hidden="false" customHeight="false" outlineLevel="0" collapsed="false">
      <c r="A179" s="54" t="s">
        <v>1467</v>
      </c>
      <c r="B179" s="13" t="s">
        <v>1468</v>
      </c>
      <c r="C179" s="61" t="n">
        <v>2115558294</v>
      </c>
      <c r="D179" s="61" t="n">
        <v>2566985695</v>
      </c>
      <c r="E179" s="61" t="n">
        <v>1529556969</v>
      </c>
      <c r="F179" s="61" t="n">
        <v>977102356</v>
      </c>
      <c r="G179" s="61" t="n">
        <v>10510810074</v>
      </c>
      <c r="H179" s="61" t="n">
        <v>13484587923</v>
      </c>
      <c r="I179" s="15" t="s">
        <v>1469</v>
      </c>
    </row>
    <row r="180" customFormat="false" ht="15" hidden="false" customHeight="false" outlineLevel="0" collapsed="false">
      <c r="A180" s="54" t="s">
        <v>1470</v>
      </c>
      <c r="B180" s="13" t="s">
        <v>1471</v>
      </c>
      <c r="C180" s="61" t="n">
        <v>29948775768</v>
      </c>
      <c r="D180" s="61" t="n">
        <v>90492583600</v>
      </c>
      <c r="E180" s="61" t="n">
        <v>21247052976</v>
      </c>
      <c r="F180" s="61" t="n">
        <v>18954459126</v>
      </c>
      <c r="G180" s="61" t="n">
        <v>9015649284</v>
      </c>
      <c r="H180" s="61" t="n">
        <v>18732279932</v>
      </c>
      <c r="I180" s="15" t="s">
        <v>1472</v>
      </c>
    </row>
    <row r="181" customFormat="false" ht="15" hidden="false" customHeight="false" outlineLevel="0" collapsed="false">
      <c r="B181" s="4" t="s">
        <v>1473</v>
      </c>
    </row>
    <row r="182" customFormat="false" ht="15" hidden="false" customHeight="false" outlineLevel="0" collapsed="false">
      <c r="A182" s="54" t="s">
        <v>1474</v>
      </c>
      <c r="B182" s="13" t="s">
        <v>1475</v>
      </c>
      <c r="C182" s="61" t="n">
        <v>69503669482</v>
      </c>
      <c r="D182" s="61" t="n">
        <v>176661134894</v>
      </c>
      <c r="E182" s="61" t="n">
        <v>50028807276</v>
      </c>
      <c r="F182" s="61" t="n">
        <v>10464327456</v>
      </c>
      <c r="G182" s="61" t="n">
        <v>109498761143</v>
      </c>
      <c r="H182" s="61" t="n">
        <v>760172442</v>
      </c>
      <c r="I182" s="15" t="s">
        <v>1476</v>
      </c>
    </row>
    <row r="183" customFormat="false" ht="15" hidden="false" customHeight="false" outlineLevel="0" collapsed="false">
      <c r="A183" s="54" t="s">
        <v>1477</v>
      </c>
      <c r="B183" s="13" t="s">
        <v>1478</v>
      </c>
      <c r="C183" s="61" t="n">
        <v>-75488268039</v>
      </c>
      <c r="D183" s="61" t="n">
        <v>-280477550628</v>
      </c>
      <c r="E183" s="61" t="n">
        <v>-126761212735</v>
      </c>
      <c r="F183" s="61" t="n">
        <v>-29858728268</v>
      </c>
      <c r="G183" s="61" t="n">
        <v>70905029634</v>
      </c>
      <c r="H183" s="61" t="n">
        <v>-44522477111</v>
      </c>
      <c r="I183" s="15" t="s">
        <v>1476</v>
      </c>
    </row>
    <row r="184" customFormat="false" ht="15" hidden="false" customHeight="false" outlineLevel="0" collapsed="false">
      <c r="A184" s="54" t="s">
        <v>1479</v>
      </c>
      <c r="B184" s="13" t="s">
        <v>1480</v>
      </c>
      <c r="C184" s="61" t="n">
        <v>144991937521</v>
      </c>
      <c r="D184" s="61" t="n">
        <v>457138685522</v>
      </c>
      <c r="E184" s="61" t="n">
        <v>176790020011</v>
      </c>
      <c r="F184" s="61" t="n">
        <v>40323055724</v>
      </c>
      <c r="G184" s="61"/>
      <c r="H184" s="61"/>
      <c r="I184" s="15" t="s">
        <v>1464</v>
      </c>
    </row>
    <row r="185" customFormat="false" ht="15" hidden="false" customHeight="false" outlineLevel="0" collapsed="false">
      <c r="B185" s="4" t="s">
        <v>1481</v>
      </c>
    </row>
    <row r="186" customFormat="false" ht="15" hidden="false" customHeight="false" outlineLevel="0" collapsed="false">
      <c r="A186" s="54" t="s">
        <v>1482</v>
      </c>
      <c r="B186" s="13" t="s">
        <v>1483</v>
      </c>
      <c r="C186" s="61"/>
      <c r="D186" s="61"/>
      <c r="E186" s="61"/>
      <c r="F186" s="61"/>
      <c r="G186" s="61"/>
      <c r="H186" s="61" t="n">
        <v>25310529957</v>
      </c>
      <c r="I186" s="15" t="s">
        <v>1484</v>
      </c>
    </row>
    <row r="187" customFormat="false" ht="15" hidden="false" customHeight="false" outlineLevel="0" collapsed="false">
      <c r="A187" s="54" t="s">
        <v>1485</v>
      </c>
      <c r="B187" s="13" t="s">
        <v>1486</v>
      </c>
      <c r="C187" s="61"/>
      <c r="D187" s="61"/>
      <c r="E187" s="61"/>
      <c r="F187" s="61"/>
      <c r="G187" s="61"/>
      <c r="H187" s="61" t="n">
        <v>11131749061</v>
      </c>
      <c r="I187" s="15" t="s">
        <v>1484</v>
      </c>
    </row>
    <row r="188" customFormat="false" ht="15" hidden="false" customHeight="false" outlineLevel="0" collapsed="false">
      <c r="A188" s="54" t="s">
        <v>1487</v>
      </c>
      <c r="B188" s="13" t="s">
        <v>1488</v>
      </c>
      <c r="C188" s="61"/>
      <c r="D188" s="61"/>
      <c r="E188" s="61"/>
      <c r="F188" s="61"/>
      <c r="G188" s="61"/>
      <c r="H188" s="61" t="n">
        <v>-539719615</v>
      </c>
      <c r="I188" s="15" t="s">
        <v>1484</v>
      </c>
    </row>
    <row r="189" customFormat="false" ht="15" hidden="false" customHeight="false" outlineLevel="0" collapsed="false">
      <c r="A189" s="54" t="s">
        <v>1489</v>
      </c>
      <c r="B189" s="13" t="s">
        <v>1490</v>
      </c>
      <c r="C189" s="61"/>
      <c r="D189" s="61"/>
      <c r="E189" s="61"/>
      <c r="F189" s="61"/>
      <c r="G189" s="61"/>
      <c r="H189" s="61" t="n">
        <v>-4210613906</v>
      </c>
      <c r="I189" s="15" t="s">
        <v>1484</v>
      </c>
    </row>
    <row r="190" customFormat="false" ht="15" hidden="false" customHeight="false" outlineLevel="0" collapsed="false">
      <c r="A190" s="54" t="s">
        <v>1491</v>
      </c>
      <c r="B190" s="13" t="s">
        <v>1492</v>
      </c>
      <c r="C190" s="61"/>
      <c r="D190" s="61"/>
      <c r="E190" s="61"/>
      <c r="F190" s="61"/>
      <c r="G190" s="61"/>
      <c r="H190" s="61" t="n">
        <v>31691945497</v>
      </c>
      <c r="I190" s="15" t="s">
        <v>1484</v>
      </c>
    </row>
    <row r="191" customFormat="false" ht="15" hidden="false" customHeight="false" outlineLevel="0" collapsed="false">
      <c r="A191" s="54" t="s">
        <v>1493</v>
      </c>
      <c r="B191" s="13" t="s">
        <v>1494</v>
      </c>
      <c r="C191" s="61"/>
      <c r="D191" s="61"/>
      <c r="E191" s="61"/>
      <c r="F191" s="61"/>
      <c r="G191" s="61"/>
      <c r="H191" s="61" t="n">
        <v>-641176357</v>
      </c>
      <c r="I191" s="15" t="s">
        <v>1484</v>
      </c>
    </row>
    <row r="192" customFormat="false" ht="15" hidden="false" customHeight="false" outlineLevel="0" collapsed="false">
      <c r="A192" s="54" t="s">
        <v>1495</v>
      </c>
      <c r="B192" s="13" t="s">
        <v>1496</v>
      </c>
      <c r="C192" s="61"/>
      <c r="D192" s="61"/>
      <c r="E192" s="61"/>
      <c r="F192" s="61"/>
      <c r="G192" s="61"/>
      <c r="H192" s="61" t="n">
        <v>-1085599340</v>
      </c>
      <c r="I192" s="15" t="s">
        <v>1484</v>
      </c>
    </row>
    <row r="193" customFormat="false" ht="15" hidden="false" customHeight="false" outlineLevel="0" collapsed="false">
      <c r="A193" s="54" t="s">
        <v>1497</v>
      </c>
      <c r="B193" s="13" t="s">
        <v>1498</v>
      </c>
      <c r="C193" s="61"/>
      <c r="D193" s="61"/>
      <c r="E193" s="61"/>
      <c r="F193" s="61"/>
      <c r="G193" s="61"/>
      <c r="H193" s="61" t="n">
        <v>-18391887</v>
      </c>
      <c r="I193" s="15" t="s">
        <v>1484</v>
      </c>
    </row>
    <row r="194" customFormat="false" ht="15" hidden="false" customHeight="false" outlineLevel="0" collapsed="false">
      <c r="A194" s="54" t="s">
        <v>1499</v>
      </c>
      <c r="B194" s="13" t="s">
        <v>1500</v>
      </c>
      <c r="C194" s="61"/>
      <c r="D194" s="61"/>
      <c r="E194" s="61"/>
      <c r="F194" s="61"/>
      <c r="G194" s="61"/>
      <c r="H194" s="61" t="n">
        <v>686137937</v>
      </c>
      <c r="I194" s="15" t="s">
        <v>1484</v>
      </c>
    </row>
    <row r="195" customFormat="false" ht="15" hidden="false" customHeight="false" outlineLevel="0" collapsed="false">
      <c r="A195" s="54" t="s">
        <v>1501</v>
      </c>
      <c r="B195" s="13" t="s">
        <v>1502</v>
      </c>
      <c r="C195" s="61"/>
      <c r="D195" s="61"/>
      <c r="E195" s="61"/>
      <c r="F195" s="61"/>
      <c r="G195" s="61"/>
      <c r="H195" s="61" t="n">
        <v>-1059029647</v>
      </c>
      <c r="I195" s="15" t="s">
        <v>1484</v>
      </c>
    </row>
    <row r="196" customFormat="false" ht="15" hidden="false" customHeight="false" outlineLevel="0" collapsed="false">
      <c r="B196" s="4" t="s">
        <v>1503</v>
      </c>
    </row>
    <row r="197" customFormat="false" ht="15" hidden="false" customHeight="false" outlineLevel="0" collapsed="false">
      <c r="A197" s="54" t="s">
        <v>1504</v>
      </c>
      <c r="B197" s="13" t="s">
        <v>1483</v>
      </c>
      <c r="C197" s="61"/>
      <c r="D197" s="61"/>
      <c r="E197" s="61"/>
      <c r="F197" s="61" t="n">
        <v>15497585903</v>
      </c>
      <c r="G197" s="61"/>
      <c r="H197" s="61"/>
      <c r="I197" s="15" t="s">
        <v>1464</v>
      </c>
    </row>
    <row r="198" customFormat="false" ht="15" hidden="false" customHeight="false" outlineLevel="0" collapsed="false">
      <c r="A198" s="54" t="s">
        <v>1505</v>
      </c>
      <c r="B198" s="13" t="s">
        <v>1486</v>
      </c>
      <c r="C198" s="61"/>
      <c r="D198" s="61"/>
      <c r="E198" s="61"/>
      <c r="F198" s="61" t="n">
        <v>8120295098</v>
      </c>
      <c r="G198" s="61"/>
      <c r="H198" s="61"/>
      <c r="I198" s="15" t="s">
        <v>1464</v>
      </c>
    </row>
    <row r="199" customFormat="false" ht="15" hidden="false" customHeight="false" outlineLevel="0" collapsed="false">
      <c r="A199" s="54" t="s">
        <v>1506</v>
      </c>
      <c r="B199" s="13" t="s">
        <v>1488</v>
      </c>
      <c r="C199" s="61"/>
      <c r="D199" s="61"/>
      <c r="E199" s="61"/>
      <c r="F199" s="61" t="n">
        <v>-1040656738</v>
      </c>
      <c r="G199" s="61"/>
      <c r="H199" s="61"/>
      <c r="I199" s="15" t="s">
        <v>1464</v>
      </c>
    </row>
    <row r="200" customFormat="false" ht="15" hidden="false" customHeight="false" outlineLevel="0" collapsed="false">
      <c r="A200" s="54" t="s">
        <v>1507</v>
      </c>
      <c r="B200" s="13" t="s">
        <v>1508</v>
      </c>
      <c r="C200" s="61"/>
      <c r="D200" s="61"/>
      <c r="E200" s="61"/>
      <c r="F200" s="61" t="n">
        <v>53666457</v>
      </c>
      <c r="G200" s="61"/>
      <c r="H200" s="61"/>
      <c r="I200" s="15" t="s">
        <v>1464</v>
      </c>
    </row>
    <row r="201" customFormat="false" ht="15" hidden="false" customHeight="false" outlineLevel="0" collapsed="false">
      <c r="A201" s="54" t="s">
        <v>1509</v>
      </c>
      <c r="B201" s="13" t="s">
        <v>1492</v>
      </c>
      <c r="C201" s="61"/>
      <c r="D201" s="61"/>
      <c r="E201" s="61"/>
      <c r="F201" s="61" t="n">
        <v>22630890720</v>
      </c>
      <c r="G201" s="61"/>
      <c r="H201" s="61"/>
      <c r="I201" s="15" t="s">
        <v>1464</v>
      </c>
    </row>
    <row r="202" customFormat="false" ht="15" hidden="false" customHeight="false" outlineLevel="0" collapsed="false">
      <c r="A202" s="54" t="s">
        <v>1510</v>
      </c>
      <c r="B202" s="13" t="s">
        <v>1494</v>
      </c>
      <c r="C202" s="61"/>
      <c r="D202" s="61"/>
      <c r="E202" s="61"/>
      <c r="F202" s="61" t="n">
        <v>18370139</v>
      </c>
      <c r="G202" s="61"/>
      <c r="H202" s="61"/>
      <c r="I202" s="15" t="s">
        <v>1464</v>
      </c>
    </row>
    <row r="203" customFormat="false" ht="15" hidden="false" customHeight="false" outlineLevel="0" collapsed="false">
      <c r="A203" s="54" t="s">
        <v>1511</v>
      </c>
      <c r="B203" s="13" t="s">
        <v>1496</v>
      </c>
      <c r="C203" s="61"/>
      <c r="D203" s="61"/>
      <c r="E203" s="61"/>
      <c r="F203" s="61" t="n">
        <v>-2929709</v>
      </c>
      <c r="G203" s="61"/>
      <c r="H203" s="61"/>
      <c r="I203" s="15" t="s">
        <v>1464</v>
      </c>
    </row>
    <row r="204" customFormat="false" ht="15" hidden="false" customHeight="false" outlineLevel="0" collapsed="false">
      <c r="A204" s="54" t="s">
        <v>1512</v>
      </c>
      <c r="B204" s="13" t="s">
        <v>1498</v>
      </c>
      <c r="C204" s="61"/>
      <c r="D204" s="61"/>
      <c r="E204" s="61"/>
      <c r="F204" s="61" t="n">
        <v>-15440430</v>
      </c>
      <c r="G204" s="61"/>
      <c r="H204" s="61"/>
      <c r="I204" s="15" t="s">
        <v>1464</v>
      </c>
    </row>
    <row r="205" customFormat="false" ht="15" hidden="false" customHeight="false" outlineLevel="0" collapsed="false">
      <c r="A205" s="54" t="s">
        <v>1513</v>
      </c>
      <c r="B205" s="13" t="s">
        <v>1514</v>
      </c>
      <c r="C205" s="61"/>
      <c r="D205" s="61"/>
      <c r="E205" s="61"/>
      <c r="F205" s="61" t="n">
        <v>0</v>
      </c>
      <c r="G205" s="61"/>
      <c r="H205" s="61"/>
      <c r="I205" s="15" t="s">
        <v>1464</v>
      </c>
    </row>
    <row r="206" customFormat="false" ht="15" hidden="false" customHeight="false" outlineLevel="0" collapsed="false">
      <c r="A206" s="54" t="s">
        <v>1515</v>
      </c>
      <c r="B206" s="13" t="s">
        <v>1502</v>
      </c>
      <c r="C206" s="61"/>
      <c r="D206" s="61"/>
      <c r="E206" s="61"/>
      <c r="F206" s="61" t="n">
        <v>0</v>
      </c>
      <c r="G206" s="61"/>
      <c r="H206" s="61"/>
      <c r="I206" s="15" t="s">
        <v>1464</v>
      </c>
    </row>
    <row r="207" customFormat="false" ht="15" hidden="false" customHeight="false" outlineLevel="0" collapsed="false">
      <c r="B207" s="4" t="s">
        <v>1516</v>
      </c>
    </row>
    <row r="208" customFormat="false" ht="15" hidden="false" customHeight="false" outlineLevel="0" collapsed="false">
      <c r="A208" s="54" t="s">
        <v>1517</v>
      </c>
      <c r="B208" s="13" t="s">
        <v>1483</v>
      </c>
      <c r="C208" s="61"/>
      <c r="D208" s="61"/>
      <c r="E208" s="61" t="n">
        <v>15236931143</v>
      </c>
      <c r="F208" s="61"/>
      <c r="G208" s="61"/>
      <c r="H208" s="61"/>
      <c r="I208" s="15" t="s">
        <v>1464</v>
      </c>
    </row>
    <row r="209" customFormat="false" ht="15" hidden="false" customHeight="false" outlineLevel="0" collapsed="false">
      <c r="A209" s="54" t="s">
        <v>1518</v>
      </c>
      <c r="B209" s="13" t="s">
        <v>1486</v>
      </c>
      <c r="C209" s="61"/>
      <c r="D209" s="61"/>
      <c r="E209" s="61" t="n">
        <v>1456808822</v>
      </c>
      <c r="F209" s="61"/>
      <c r="G209" s="61"/>
      <c r="H209" s="61"/>
      <c r="I209" s="15" t="s">
        <v>1464</v>
      </c>
    </row>
    <row r="210" customFormat="false" ht="15" hidden="false" customHeight="false" outlineLevel="0" collapsed="false">
      <c r="A210" s="54" t="s">
        <v>1519</v>
      </c>
      <c r="B210" s="13" t="s">
        <v>1488</v>
      </c>
      <c r="C210" s="61"/>
      <c r="D210" s="61"/>
      <c r="E210" s="61" t="n">
        <v>-1021471671</v>
      </c>
      <c r="F210" s="61"/>
      <c r="G210" s="61"/>
      <c r="H210" s="61"/>
      <c r="I210" s="15" t="s">
        <v>1464</v>
      </c>
    </row>
    <row r="211" customFormat="false" ht="15" hidden="false" customHeight="false" outlineLevel="0" collapsed="false">
      <c r="A211" s="54" t="s">
        <v>1520</v>
      </c>
      <c r="B211" s="13" t="s">
        <v>1508</v>
      </c>
      <c r="C211" s="61"/>
      <c r="D211" s="61"/>
      <c r="E211" s="61" t="n">
        <v>-174682391</v>
      </c>
      <c r="F211" s="61"/>
      <c r="G211" s="61"/>
      <c r="H211" s="61"/>
      <c r="I211" s="15" t="s">
        <v>1464</v>
      </c>
    </row>
    <row r="212" customFormat="false" ht="15" hidden="false" customHeight="false" outlineLevel="0" collapsed="false">
      <c r="A212" s="54" t="s">
        <v>1521</v>
      </c>
      <c r="B212" s="13" t="s">
        <v>1492</v>
      </c>
      <c r="C212" s="61"/>
      <c r="D212" s="61"/>
      <c r="E212" s="61" t="n">
        <v>15497585903</v>
      </c>
      <c r="F212" s="61"/>
      <c r="G212" s="61"/>
      <c r="H212" s="61"/>
      <c r="I212" s="15" t="s">
        <v>1464</v>
      </c>
    </row>
    <row r="213" customFormat="false" ht="15" hidden="false" customHeight="false" outlineLevel="0" collapsed="false">
      <c r="A213" s="54" t="s">
        <v>1522</v>
      </c>
      <c r="B213" s="13" t="s">
        <v>1494</v>
      </c>
      <c r="C213" s="61"/>
      <c r="D213" s="61"/>
      <c r="E213" s="61" t="n">
        <v>136472211</v>
      </c>
      <c r="F213" s="61"/>
      <c r="G213" s="61"/>
      <c r="H213" s="61"/>
      <c r="I213" s="15" t="s">
        <v>1464</v>
      </c>
    </row>
    <row r="214" customFormat="false" ht="15" hidden="false" customHeight="false" outlineLevel="0" collapsed="false">
      <c r="A214" s="54" t="s">
        <v>1523</v>
      </c>
      <c r="B214" s="13" t="s">
        <v>1496</v>
      </c>
      <c r="C214" s="61"/>
      <c r="D214" s="61"/>
      <c r="E214" s="61" t="n">
        <v>41139889</v>
      </c>
      <c r="F214" s="61"/>
      <c r="G214" s="61"/>
      <c r="H214" s="61"/>
      <c r="I214" s="15" t="s">
        <v>1464</v>
      </c>
    </row>
    <row r="215" customFormat="false" ht="15" hidden="false" customHeight="false" outlineLevel="0" collapsed="false">
      <c r="A215" s="54" t="s">
        <v>1524</v>
      </c>
      <c r="B215" s="13" t="s">
        <v>1498</v>
      </c>
      <c r="C215" s="61"/>
      <c r="D215" s="61"/>
      <c r="E215" s="61" t="n">
        <v>15440430</v>
      </c>
      <c r="F215" s="61"/>
      <c r="G215" s="61"/>
      <c r="H215" s="61"/>
      <c r="I215" s="15" t="s">
        <v>1464</v>
      </c>
    </row>
    <row r="216" customFormat="false" ht="15" hidden="false" customHeight="false" outlineLevel="0" collapsed="false">
      <c r="A216" s="54" t="s">
        <v>1525</v>
      </c>
      <c r="B216" s="13" t="s">
        <v>1514</v>
      </c>
      <c r="C216" s="61"/>
      <c r="D216" s="61"/>
      <c r="E216" s="61" t="n">
        <v>-174682391</v>
      </c>
      <c r="F216" s="61"/>
      <c r="G216" s="61"/>
      <c r="H216" s="61"/>
      <c r="I216" s="15" t="s">
        <v>1464</v>
      </c>
    </row>
    <row r="217" customFormat="false" ht="15" hidden="false" customHeight="false" outlineLevel="0" collapsed="false">
      <c r="A217" s="54" t="s">
        <v>1526</v>
      </c>
      <c r="B217" s="13" t="s">
        <v>1502</v>
      </c>
      <c r="C217" s="61"/>
      <c r="D217" s="61"/>
      <c r="E217" s="61" t="n">
        <v>18370139</v>
      </c>
      <c r="F217" s="61"/>
      <c r="G217" s="61"/>
      <c r="H217" s="61"/>
      <c r="I217" s="15" t="s">
        <v>1464</v>
      </c>
    </row>
    <row r="218" customFormat="false" ht="15" hidden="false" customHeight="false" outlineLevel="0" collapsed="false">
      <c r="B218" s="4" t="s">
        <v>1527</v>
      </c>
    </row>
    <row r="219" customFormat="false" ht="15" hidden="false" customHeight="false" outlineLevel="0" collapsed="false">
      <c r="A219" s="54" t="s">
        <v>1528</v>
      </c>
      <c r="B219" s="13" t="s">
        <v>1483</v>
      </c>
      <c r="C219" s="61"/>
      <c r="D219" s="61" t="n">
        <v>12573860849</v>
      </c>
      <c r="E219" s="61"/>
      <c r="F219" s="61"/>
      <c r="G219" s="61"/>
      <c r="H219" s="61"/>
      <c r="I219" s="15" t="s">
        <v>1464</v>
      </c>
    </row>
    <row r="220" customFormat="false" ht="15" hidden="false" customHeight="false" outlineLevel="0" collapsed="false">
      <c r="A220" s="54" t="s">
        <v>1529</v>
      </c>
      <c r="B220" s="13" t="s">
        <v>1486</v>
      </c>
      <c r="C220" s="61"/>
      <c r="D220" s="61" t="n">
        <v>1294963258</v>
      </c>
      <c r="E220" s="61"/>
      <c r="F220" s="61"/>
      <c r="G220" s="61"/>
      <c r="H220" s="61"/>
      <c r="I220" s="15" t="s">
        <v>1464</v>
      </c>
    </row>
    <row r="221" customFormat="false" ht="15" hidden="false" customHeight="false" outlineLevel="0" collapsed="false">
      <c r="A221" s="54" t="s">
        <v>1530</v>
      </c>
      <c r="B221" s="13" t="s">
        <v>1488</v>
      </c>
      <c r="C221" s="61"/>
      <c r="D221" s="61" t="n">
        <v>1367118258</v>
      </c>
      <c r="E221" s="61"/>
      <c r="F221" s="61"/>
      <c r="G221" s="61"/>
      <c r="H221" s="61"/>
      <c r="I221" s="15" t="s">
        <v>1464</v>
      </c>
    </row>
    <row r="222" customFormat="false" ht="15" hidden="false" customHeight="false" outlineLevel="0" collapsed="false">
      <c r="A222" s="54" t="s">
        <v>1531</v>
      </c>
      <c r="B222" s="13" t="s">
        <v>1508</v>
      </c>
      <c r="C222" s="61"/>
      <c r="D222" s="61" t="n">
        <v>988778</v>
      </c>
      <c r="E222" s="61"/>
      <c r="F222" s="61"/>
      <c r="G222" s="61"/>
      <c r="H222" s="61"/>
      <c r="I222" s="15" t="s">
        <v>1464</v>
      </c>
    </row>
    <row r="223" customFormat="false" ht="15" hidden="false" customHeight="false" outlineLevel="0" collapsed="false">
      <c r="A223" s="54" t="s">
        <v>1532</v>
      </c>
      <c r="B223" s="13" t="s">
        <v>1492</v>
      </c>
      <c r="C223" s="61"/>
      <c r="D223" s="61" t="n">
        <v>15236931143</v>
      </c>
      <c r="E223" s="61"/>
      <c r="F223" s="61"/>
      <c r="G223" s="61"/>
      <c r="H223" s="61"/>
      <c r="I223" s="15" t="s">
        <v>1464</v>
      </c>
    </row>
    <row r="224" customFormat="false" ht="15" hidden="false" customHeight="false" outlineLevel="0" collapsed="false">
      <c r="A224" s="54" t="s">
        <v>1533</v>
      </c>
      <c r="B224" s="13" t="s">
        <v>1494</v>
      </c>
      <c r="C224" s="61"/>
      <c r="D224" s="61" t="n">
        <v>114698348</v>
      </c>
      <c r="E224" s="61"/>
      <c r="F224" s="61"/>
      <c r="G224" s="61"/>
      <c r="H224" s="61"/>
      <c r="I224" s="15" t="s">
        <v>1464</v>
      </c>
    </row>
    <row r="225" customFormat="false" ht="15" hidden="false" customHeight="false" outlineLevel="0" collapsed="false">
      <c r="A225" s="54" t="s">
        <v>1534</v>
      </c>
      <c r="B225" s="13" t="s">
        <v>1496</v>
      </c>
      <c r="C225" s="61"/>
      <c r="D225" s="61" t="n">
        <v>125811473</v>
      </c>
      <c r="E225" s="61"/>
      <c r="F225" s="61"/>
      <c r="G225" s="61"/>
      <c r="H225" s="61"/>
      <c r="I225" s="15" t="s">
        <v>1464</v>
      </c>
    </row>
    <row r="226" customFormat="false" ht="15" hidden="false" customHeight="false" outlineLevel="0" collapsed="false">
      <c r="A226" s="54" t="s">
        <v>1535</v>
      </c>
      <c r="B226" s="13" t="s">
        <v>1498</v>
      </c>
      <c r="C226" s="61"/>
      <c r="D226" s="61" t="n">
        <v>-104037610</v>
      </c>
      <c r="E226" s="61"/>
      <c r="F226" s="61"/>
      <c r="G226" s="61"/>
      <c r="H226" s="61"/>
      <c r="I226" s="15" t="s">
        <v>1464</v>
      </c>
    </row>
    <row r="227" customFormat="false" ht="15" hidden="false" customHeight="false" outlineLevel="0" collapsed="false">
      <c r="A227" s="54" t="s">
        <v>1536</v>
      </c>
      <c r="B227" s="13" t="s">
        <v>1514</v>
      </c>
      <c r="C227" s="61"/>
      <c r="D227" s="61" t="n">
        <v>0</v>
      </c>
      <c r="E227" s="61"/>
      <c r="F227" s="61"/>
      <c r="G227" s="61"/>
      <c r="H227" s="61"/>
      <c r="I227" s="15" t="s">
        <v>1464</v>
      </c>
    </row>
    <row r="228" customFormat="false" ht="15" hidden="false" customHeight="false" outlineLevel="0" collapsed="false">
      <c r="A228" s="54" t="s">
        <v>1537</v>
      </c>
      <c r="B228" s="13" t="s">
        <v>1502</v>
      </c>
      <c r="C228" s="61"/>
      <c r="D228" s="61" t="n">
        <v>136472211</v>
      </c>
      <c r="E228" s="61"/>
      <c r="F228" s="61"/>
      <c r="G228" s="61"/>
      <c r="H228" s="61"/>
      <c r="I228" s="15" t="s">
        <v>1464</v>
      </c>
    </row>
    <row r="229" customFormat="false" ht="15" hidden="false" customHeight="false" outlineLevel="0" collapsed="false">
      <c r="B229" s="4" t="s">
        <v>1538</v>
      </c>
    </row>
    <row r="230" customFormat="false" ht="15" hidden="false" customHeight="false" outlineLevel="0" collapsed="false">
      <c r="A230" s="54" t="s">
        <v>1539</v>
      </c>
      <c r="B230" s="13" t="s">
        <v>1483</v>
      </c>
      <c r="C230" s="61" t="n">
        <v>8920188321</v>
      </c>
      <c r="D230" s="61"/>
      <c r="E230" s="61"/>
      <c r="F230" s="61"/>
      <c r="G230" s="61"/>
      <c r="H230" s="61"/>
      <c r="I230" s="15" t="s">
        <v>1464</v>
      </c>
    </row>
    <row r="231" customFormat="false" ht="15" hidden="false" customHeight="false" outlineLevel="0" collapsed="false">
      <c r="A231" s="54" t="s">
        <v>1540</v>
      </c>
      <c r="B231" s="13" t="s">
        <v>1486</v>
      </c>
      <c r="C231" s="61" t="n">
        <v>4039429014</v>
      </c>
      <c r="D231" s="61"/>
      <c r="E231" s="61"/>
      <c r="F231" s="61"/>
      <c r="G231" s="61"/>
      <c r="H231" s="61"/>
      <c r="I231" s="15" t="s">
        <v>1464</v>
      </c>
    </row>
    <row r="232" customFormat="false" ht="15" hidden="false" customHeight="false" outlineLevel="0" collapsed="false">
      <c r="A232" s="54" t="s">
        <v>1541</v>
      </c>
      <c r="B232" s="13" t="s">
        <v>1488</v>
      </c>
      <c r="C232" s="61" t="n">
        <v>-286030550</v>
      </c>
      <c r="D232" s="61"/>
      <c r="E232" s="61"/>
      <c r="F232" s="61"/>
      <c r="G232" s="61"/>
      <c r="H232" s="61"/>
      <c r="I232" s="15" t="s">
        <v>1464</v>
      </c>
    </row>
    <row r="233" customFormat="false" ht="15" hidden="false" customHeight="false" outlineLevel="0" collapsed="false">
      <c r="A233" s="54" t="s">
        <v>1542</v>
      </c>
      <c r="B233" s="13" t="s">
        <v>1508</v>
      </c>
      <c r="C233" s="61" t="n">
        <v>-862425306</v>
      </c>
      <c r="D233" s="61"/>
      <c r="E233" s="61"/>
      <c r="F233" s="61"/>
      <c r="G233" s="61"/>
      <c r="H233" s="61"/>
      <c r="I233" s="15" t="s">
        <v>1464</v>
      </c>
    </row>
    <row r="234" customFormat="false" ht="15" hidden="false" customHeight="false" outlineLevel="0" collapsed="false">
      <c r="A234" s="54" t="s">
        <v>1543</v>
      </c>
      <c r="B234" s="13" t="s">
        <v>1492</v>
      </c>
      <c r="C234" s="61" t="n">
        <v>11811161479</v>
      </c>
      <c r="D234" s="61"/>
      <c r="E234" s="61"/>
      <c r="F234" s="61"/>
      <c r="G234" s="61"/>
      <c r="H234" s="61"/>
      <c r="I234" s="15" t="s">
        <v>1464</v>
      </c>
    </row>
    <row r="235" customFormat="false" ht="15" hidden="false" customHeight="false" outlineLevel="0" collapsed="false">
      <c r="A235" s="54" t="s">
        <v>1544</v>
      </c>
      <c r="B235" s="13" t="s">
        <v>1494</v>
      </c>
      <c r="C235" s="61" t="n">
        <v>0</v>
      </c>
      <c r="D235" s="61"/>
      <c r="E235" s="61"/>
      <c r="F235" s="61"/>
      <c r="G235" s="61"/>
      <c r="H235" s="61"/>
      <c r="I235" s="15" t="s">
        <v>1464</v>
      </c>
    </row>
    <row r="236" customFormat="false" ht="15" hidden="false" customHeight="false" outlineLevel="0" collapsed="false">
      <c r="A236" s="54" t="s">
        <v>1545</v>
      </c>
      <c r="B236" s="13" t="s">
        <v>1496</v>
      </c>
      <c r="C236" s="61" t="n">
        <v>121778175</v>
      </c>
      <c r="D236" s="61"/>
      <c r="E236" s="61"/>
      <c r="F236" s="61"/>
      <c r="G236" s="61"/>
      <c r="H236" s="61"/>
      <c r="I236" s="15" t="s">
        <v>1464</v>
      </c>
    </row>
    <row r="237" customFormat="false" ht="15" hidden="false" customHeight="false" outlineLevel="0" collapsed="false">
      <c r="A237" s="54" t="s">
        <v>1546</v>
      </c>
      <c r="B237" s="13" t="s">
        <v>1498</v>
      </c>
      <c r="C237" s="61" t="n">
        <v>0</v>
      </c>
      <c r="D237" s="61"/>
      <c r="E237" s="61"/>
      <c r="F237" s="61"/>
      <c r="G237" s="61"/>
      <c r="H237" s="61"/>
      <c r="I237" s="15" t="s">
        <v>1464</v>
      </c>
    </row>
    <row r="238" customFormat="false" ht="15" hidden="false" customHeight="false" outlineLevel="0" collapsed="false">
      <c r="A238" s="54" t="s">
        <v>1547</v>
      </c>
      <c r="B238" s="13" t="s">
        <v>1514</v>
      </c>
      <c r="C238" s="61" t="n">
        <v>-7079827</v>
      </c>
      <c r="D238" s="61"/>
      <c r="E238" s="61"/>
      <c r="F238" s="61"/>
      <c r="G238" s="61"/>
      <c r="H238" s="61"/>
      <c r="I238" s="15" t="s">
        <v>1464</v>
      </c>
    </row>
    <row r="239" customFormat="false" ht="15" hidden="false" customHeight="false" outlineLevel="0" collapsed="false">
      <c r="A239" s="54" t="s">
        <v>1548</v>
      </c>
      <c r="B239" s="13" t="s">
        <v>1502</v>
      </c>
      <c r="C239" s="61" t="n">
        <v>114698348</v>
      </c>
      <c r="D239" s="61"/>
      <c r="E239" s="61"/>
      <c r="F239" s="61"/>
      <c r="G239" s="61"/>
      <c r="H239" s="61"/>
      <c r="I239" s="15" t="s">
        <v>1464</v>
      </c>
    </row>
    <row r="240" customFormat="false" ht="15" hidden="false" customHeight="false" outlineLevel="0" collapsed="false">
      <c r="B240" s="4" t="s">
        <v>1549</v>
      </c>
    </row>
    <row r="241" customFormat="false" ht="15" hidden="false" customHeight="false" outlineLevel="0" collapsed="false">
      <c r="A241" s="54" t="s">
        <v>1550</v>
      </c>
      <c r="B241" s="13" t="s">
        <v>1551</v>
      </c>
      <c r="C241" s="61"/>
      <c r="D241" s="61"/>
      <c r="E241" s="61"/>
      <c r="F241" s="61" t="n">
        <v>411753242245</v>
      </c>
      <c r="G241" s="61" t="n">
        <v>440600262935</v>
      </c>
      <c r="H241" s="61" t="n">
        <v>445816762935</v>
      </c>
      <c r="I241" s="15" t="s">
        <v>1552</v>
      </c>
    </row>
    <row r="242" customFormat="false" ht="15" hidden="false" customHeight="false" outlineLevel="0" collapsed="false">
      <c r="A242" s="54" t="s">
        <v>1553</v>
      </c>
      <c r="B242" s="13" t="s">
        <v>1306</v>
      </c>
      <c r="C242" s="61" t="n">
        <v>391717789095</v>
      </c>
      <c r="D242" s="61" t="n">
        <v>391717789095</v>
      </c>
      <c r="E242" s="61" t="n">
        <v>391717789095</v>
      </c>
      <c r="F242" s="61" t="n">
        <v>411753242245</v>
      </c>
      <c r="G242" s="61" t="n">
        <v>440600262935</v>
      </c>
      <c r="H242" s="61" t="n">
        <v>445816762935</v>
      </c>
      <c r="I242" s="15" t="s">
        <v>1554</v>
      </c>
    </row>
    <row r="243" customFormat="false" ht="15" hidden="false" customHeight="false" outlineLevel="0" collapsed="false">
      <c r="A243" s="54" t="s">
        <v>1555</v>
      </c>
      <c r="B243" s="13" t="s">
        <v>1556</v>
      </c>
      <c r="C243" s="61" t="n">
        <v>391717789095</v>
      </c>
      <c r="D243" s="61" t="n">
        <v>391717789095</v>
      </c>
      <c r="E243" s="61" t="n">
        <v>391717789095</v>
      </c>
      <c r="F243" s="61"/>
      <c r="G243" s="61"/>
      <c r="H243" s="61"/>
      <c r="I243" s="15" t="s">
        <v>1557</v>
      </c>
    </row>
    <row r="244" customFormat="false" ht="15" hidden="false" customHeight="false" outlineLevel="0" collapsed="false">
      <c r="A244" s="63" t="s">
        <v>1558</v>
      </c>
      <c r="B244" s="64" t="s">
        <v>1315</v>
      </c>
      <c r="C244" s="65" t="n">
        <f aca="false">C241+C243</f>
        <v>391717789095</v>
      </c>
      <c r="D244" s="65" t="n">
        <f aca="false">D241+D243</f>
        <v>391717789095</v>
      </c>
      <c r="E244" s="65" t="n">
        <f aca="false">E241+E243</f>
        <v>391717789095</v>
      </c>
      <c r="F244" s="65" t="n">
        <f aca="false">F241+F243</f>
        <v>411753242245</v>
      </c>
      <c r="G244" s="65" t="n">
        <f aca="false">G241+G243</f>
        <v>440600262935</v>
      </c>
      <c r="H244" s="65" t="n">
        <f aca="false">H241+H243</f>
        <v>445816762935</v>
      </c>
    </row>
    <row r="245" customFormat="false" ht="15" hidden="false" customHeight="false" outlineLevel="0" collapsed="false">
      <c r="B245" s="4" t="s">
        <v>1559</v>
      </c>
    </row>
    <row r="246" customFormat="false" ht="15" hidden="false" customHeight="false" outlineLevel="0" collapsed="false">
      <c r="A246" s="54" t="s">
        <v>1560</v>
      </c>
      <c r="B246" s="13" t="s">
        <v>1551</v>
      </c>
      <c r="C246" s="61"/>
      <c r="D246" s="61"/>
      <c r="E246" s="61"/>
      <c r="F246" s="61" t="n">
        <v>616534405536</v>
      </c>
      <c r="G246" s="61" t="n">
        <v>637575172118</v>
      </c>
      <c r="H246" s="61" t="n">
        <v>733230250090</v>
      </c>
      <c r="I246" s="15" t="s">
        <v>1561</v>
      </c>
    </row>
    <row r="247" customFormat="false" ht="15" hidden="false" customHeight="false" outlineLevel="0" collapsed="false">
      <c r="A247" s="54" t="s">
        <v>1562</v>
      </c>
      <c r="B247" s="13" t="s">
        <v>1563</v>
      </c>
      <c r="C247" s="61" t="n">
        <v>21178433427</v>
      </c>
      <c r="D247" s="61" t="n">
        <v>18051998655</v>
      </c>
      <c r="E247" s="61" t="n">
        <v>9607658487</v>
      </c>
      <c r="F247" s="61" t="n">
        <v>3218572192</v>
      </c>
      <c r="G247" s="61" t="n">
        <v>16758419772</v>
      </c>
      <c r="H247" s="61" t="n">
        <v>40577688224</v>
      </c>
      <c r="I247" s="15" t="s">
        <v>1564</v>
      </c>
    </row>
    <row r="248" customFormat="false" ht="15" hidden="false" customHeight="false" outlineLevel="0" collapsed="false">
      <c r="A248" s="54" t="s">
        <v>1565</v>
      </c>
      <c r="B248" s="13" t="s">
        <v>1306</v>
      </c>
      <c r="C248" s="61" t="n">
        <v>98070320345</v>
      </c>
      <c r="D248" s="61" t="n">
        <v>221773503875</v>
      </c>
      <c r="E248" s="61" t="n">
        <v>463437832670</v>
      </c>
      <c r="F248" s="61" t="n">
        <v>619752977728</v>
      </c>
      <c r="G248" s="61" t="n">
        <v>654333591890</v>
      </c>
      <c r="H248" s="61" t="n">
        <v>773807938314</v>
      </c>
      <c r="I248" s="15" t="s">
        <v>1564</v>
      </c>
    </row>
    <row r="249" customFormat="false" ht="15" hidden="false" customHeight="false" outlineLevel="0" collapsed="false">
      <c r="A249" s="54" t="s">
        <v>1566</v>
      </c>
      <c r="B249" s="13" t="s">
        <v>1556</v>
      </c>
      <c r="C249" s="61" t="n">
        <v>76891886918</v>
      </c>
      <c r="D249" s="61" t="n">
        <v>203721505220</v>
      </c>
      <c r="E249" s="61" t="n">
        <v>453830174183</v>
      </c>
      <c r="F249" s="61"/>
      <c r="G249" s="61"/>
      <c r="H249" s="61"/>
      <c r="I249" s="15" t="s">
        <v>1557</v>
      </c>
    </row>
    <row r="250" customFormat="false" ht="15" hidden="false" customHeight="false" outlineLevel="0" collapsed="false">
      <c r="A250" s="63" t="s">
        <v>1567</v>
      </c>
      <c r="B250" s="64" t="s">
        <v>1315</v>
      </c>
      <c r="C250" s="65" t="n">
        <f aca="false">C246+C247+C249</f>
        <v>98070320345</v>
      </c>
      <c r="D250" s="65" t="n">
        <f aca="false">D246+D247+D249</f>
        <v>221773503875</v>
      </c>
      <c r="E250" s="65" t="n">
        <f aca="false">E246+E247+E249</f>
        <v>463437832670</v>
      </c>
      <c r="F250" s="65" t="n">
        <f aca="false">F246+F247+F249</f>
        <v>619752977728</v>
      </c>
      <c r="G250" s="65" t="n">
        <f aca="false">G246+G247+G249</f>
        <v>654333591890</v>
      </c>
      <c r="H250" s="65" t="n">
        <f aca="false">H246+H247+H249</f>
        <v>773807938314</v>
      </c>
    </row>
    <row r="251" customFormat="false" ht="15" hidden="false" customHeight="false" outlineLevel="0" collapsed="false">
      <c r="B251" s="4" t="s">
        <v>1568</v>
      </c>
    </row>
    <row r="252" customFormat="false" ht="15" hidden="false" customHeight="false" outlineLevel="0" collapsed="false">
      <c r="A252" s="54" t="s">
        <v>1569</v>
      </c>
      <c r="B252" s="13" t="s">
        <v>1570</v>
      </c>
      <c r="C252" s="61" t="n">
        <v>0</v>
      </c>
      <c r="D252" s="61" t="n">
        <v>0</v>
      </c>
      <c r="E252" s="61" t="n">
        <v>0</v>
      </c>
      <c r="F252" s="61" t="n">
        <v>-4328004580</v>
      </c>
      <c r="G252" s="61" t="n">
        <v>-4037567555</v>
      </c>
      <c r="H252" s="61" t="n">
        <v>-3984634503</v>
      </c>
      <c r="I252" s="15" t="s">
        <v>1571</v>
      </c>
    </row>
    <row r="253" customFormat="false" ht="15" hidden="false" customHeight="false" outlineLevel="0" collapsed="false">
      <c r="A253" s="54" t="s">
        <v>1572</v>
      </c>
      <c r="B253" s="13" t="s">
        <v>1573</v>
      </c>
      <c r="C253" s="61" t="n">
        <v>98070320345</v>
      </c>
      <c r="D253" s="61" t="n">
        <v>221773503875</v>
      </c>
      <c r="E253" s="61" t="n">
        <v>463437832670</v>
      </c>
      <c r="F253" s="61" t="n">
        <v>615424973148</v>
      </c>
      <c r="G253" s="61" t="n">
        <v>650296024335</v>
      </c>
      <c r="H253" s="61" t="n">
        <v>769823303811</v>
      </c>
      <c r="I253" s="15" t="s">
        <v>1571</v>
      </c>
    </row>
    <row r="254" customFormat="false" ht="15" hidden="false" customHeight="false" outlineLevel="0" collapsed="false">
      <c r="A254" s="54" t="s">
        <v>1574</v>
      </c>
      <c r="B254" s="13" t="s">
        <v>1575</v>
      </c>
      <c r="C254" s="61" t="n">
        <v>21295199457</v>
      </c>
      <c r="D254" s="61" t="n">
        <v>28275076891</v>
      </c>
      <c r="E254" s="61" t="n">
        <v>60501895336</v>
      </c>
      <c r="F254" s="61" t="n">
        <v>4427592447</v>
      </c>
      <c r="G254" s="61" t="n">
        <v>3886703167</v>
      </c>
      <c r="H254" s="61" t="n">
        <v>47931990928</v>
      </c>
      <c r="I254" s="15" t="s">
        <v>1571</v>
      </c>
    </row>
    <row r="255" customFormat="false" ht="15" hidden="false" customHeight="false" outlineLevel="0" collapsed="false">
      <c r="A255" s="54" t="s">
        <v>1576</v>
      </c>
      <c r="B255" s="13" t="s">
        <v>1577</v>
      </c>
      <c r="C255" s="61" t="n">
        <v>76775120888</v>
      </c>
      <c r="D255" s="61" t="n">
        <v>193498426984</v>
      </c>
      <c r="E255" s="61" t="n">
        <v>402935937334</v>
      </c>
      <c r="F255" s="61" t="n">
        <v>610997380701</v>
      </c>
      <c r="G255" s="61" t="n">
        <v>646409321168</v>
      </c>
      <c r="H255" s="61" t="n">
        <v>721891312883</v>
      </c>
      <c r="I255" s="15" t="s">
        <v>1571</v>
      </c>
    </row>
    <row r="256" customFormat="false" ht="15" hidden="false" customHeight="false" outlineLevel="0" collapsed="false">
      <c r="B256" s="4" t="s">
        <v>1578</v>
      </c>
    </row>
    <row r="257" customFormat="false" ht="15" hidden="false" customHeight="false" outlineLevel="0" collapsed="false">
      <c r="A257" s="54" t="s">
        <v>1579</v>
      </c>
      <c r="B257" s="13" t="s">
        <v>1580</v>
      </c>
      <c r="C257" s="61" t="n">
        <v>301000000000</v>
      </c>
      <c r="D257" s="61" t="n">
        <v>0</v>
      </c>
      <c r="E257" s="61"/>
      <c r="F257" s="61"/>
      <c r="G257" s="61"/>
      <c r="H257" s="61"/>
      <c r="I257" s="15" t="s">
        <v>1581</v>
      </c>
    </row>
    <row r="258" customFormat="false" ht="15" hidden="false" customHeight="false" outlineLevel="0" collapsed="false">
      <c r="B258" s="4" t="s">
        <v>1582</v>
      </c>
    </row>
    <row r="259" customFormat="false" ht="15" hidden="false" customHeight="false" outlineLevel="0" collapsed="false">
      <c r="A259" s="54" t="s">
        <v>1583</v>
      </c>
      <c r="B259" s="13" t="s">
        <v>1584</v>
      </c>
      <c r="C259" s="61" t="n">
        <v>4667680045</v>
      </c>
      <c r="D259" s="61" t="n">
        <v>9726277472</v>
      </c>
      <c r="E259" s="61" t="n">
        <v>6681709051</v>
      </c>
      <c r="F259" s="61" t="n">
        <v>3751168758</v>
      </c>
      <c r="G259" s="61" t="n">
        <v>4235768217</v>
      </c>
      <c r="H259" s="61" t="n">
        <v>6564695090</v>
      </c>
      <c r="I259" s="15" t="s">
        <v>1585</v>
      </c>
    </row>
    <row r="260" customFormat="false" ht="15" hidden="false" customHeight="false" outlineLevel="0" collapsed="false">
      <c r="A260" s="54" t="s">
        <v>1586</v>
      </c>
      <c r="B260" s="13" t="s">
        <v>1587</v>
      </c>
      <c r="C260" s="61" t="n">
        <v>2820695875</v>
      </c>
      <c r="D260" s="61" t="n">
        <v>2935198259</v>
      </c>
      <c r="E260" s="61" t="n">
        <v>3300272483</v>
      </c>
      <c r="F260" s="61" t="n">
        <v>1958803071</v>
      </c>
      <c r="G260" s="61" t="n">
        <v>1540345263</v>
      </c>
      <c r="H260" s="61" t="n">
        <v>1965875754</v>
      </c>
      <c r="I260" s="15" t="s">
        <v>1585</v>
      </c>
    </row>
    <row r="261" customFormat="false" ht="15" hidden="false" customHeight="false" outlineLevel="0" collapsed="false">
      <c r="A261" s="54" t="s">
        <v>1588</v>
      </c>
      <c r="B261" s="13" t="s">
        <v>1589</v>
      </c>
      <c r="C261" s="61"/>
      <c r="D261" s="61"/>
      <c r="E261" s="61"/>
      <c r="F261" s="61"/>
      <c r="G261" s="61" t="n">
        <v>0</v>
      </c>
      <c r="H261" s="61" t="n">
        <v>1303577394</v>
      </c>
      <c r="I261" s="15" t="s">
        <v>1590</v>
      </c>
    </row>
    <row r="262" customFormat="false" ht="15" hidden="false" customHeight="false" outlineLevel="0" collapsed="false">
      <c r="A262" s="54" t="s">
        <v>1591</v>
      </c>
      <c r="B262" s="13" t="s">
        <v>1592</v>
      </c>
      <c r="C262" s="61" t="n">
        <v>954348293</v>
      </c>
      <c r="D262" s="61" t="n">
        <v>3603458175</v>
      </c>
      <c r="E262" s="61" t="n">
        <v>-12057479291</v>
      </c>
      <c r="F262" s="61" t="n">
        <v>816836361</v>
      </c>
      <c r="G262" s="61" t="n">
        <v>1917135212</v>
      </c>
      <c r="H262" s="61" t="n">
        <v>60080798</v>
      </c>
      <c r="I262" s="15" t="s">
        <v>1585</v>
      </c>
    </row>
    <row r="263" customFormat="false" ht="15" hidden="false" customHeight="false" outlineLevel="0" collapsed="false">
      <c r="A263" s="54" t="s">
        <v>1593</v>
      </c>
      <c r="B263" s="13" t="s">
        <v>1594</v>
      </c>
      <c r="C263" s="61" t="n">
        <v>0</v>
      </c>
      <c r="D263" s="61" t="n">
        <v>-384915049</v>
      </c>
      <c r="E263" s="61" t="n">
        <v>-1735446689</v>
      </c>
      <c r="F263" s="61" t="n">
        <v>-42798550</v>
      </c>
      <c r="G263" s="61" t="n">
        <v>-348065116</v>
      </c>
      <c r="H263" s="61" t="n">
        <v>-38918503</v>
      </c>
      <c r="I263" s="15" t="s">
        <v>1585</v>
      </c>
    </row>
    <row r="264" customFormat="false" ht="15" hidden="false" customHeight="false" outlineLevel="0" collapsed="false">
      <c r="A264" s="54" t="s">
        <v>1595</v>
      </c>
      <c r="B264" s="13" t="s">
        <v>1596</v>
      </c>
      <c r="C264" s="61"/>
      <c r="D264" s="61"/>
      <c r="E264" s="61"/>
      <c r="F264" s="61"/>
      <c r="G264" s="61" t="n">
        <v>7345183576</v>
      </c>
      <c r="H264" s="61" t="n">
        <v>9855310533</v>
      </c>
      <c r="I264" s="15" t="s">
        <v>1590</v>
      </c>
    </row>
    <row r="265" customFormat="false" ht="15" hidden="false" customHeight="false" outlineLevel="0" collapsed="false">
      <c r="A265" s="54" t="s">
        <v>1597</v>
      </c>
      <c r="B265" s="13" t="s">
        <v>1598</v>
      </c>
      <c r="C265" s="61" t="n">
        <v>-813594061</v>
      </c>
      <c r="D265" s="61" t="n">
        <v>0</v>
      </c>
      <c r="E265" s="61" t="n">
        <v>-19581114</v>
      </c>
      <c r="F265" s="61" t="n">
        <v>0</v>
      </c>
      <c r="G265" s="61"/>
      <c r="H265" s="61"/>
      <c r="I265" s="15" t="s">
        <v>1581</v>
      </c>
    </row>
    <row r="266" customFormat="false" ht="15" hidden="false" customHeight="false" outlineLevel="0" collapsed="false">
      <c r="A266" s="54" t="s">
        <v>1599</v>
      </c>
      <c r="B266" s="13" t="s">
        <v>1306</v>
      </c>
      <c r="C266" s="61" t="n">
        <v>7629130152</v>
      </c>
      <c r="D266" s="61" t="n">
        <v>15880018857</v>
      </c>
      <c r="E266" s="61" t="n">
        <v>-3830525560</v>
      </c>
      <c r="F266" s="61" t="n">
        <v>6484009640</v>
      </c>
      <c r="G266" s="61"/>
      <c r="H266" s="61"/>
      <c r="I266" s="15" t="s">
        <v>1581</v>
      </c>
    </row>
    <row r="267" customFormat="false" ht="15" hidden="false" customHeight="false" outlineLevel="0" collapsed="false">
      <c r="A267" s="63" t="s">
        <v>1600</v>
      </c>
      <c r="B267" s="64" t="s">
        <v>1315</v>
      </c>
      <c r="C267" s="65" t="n">
        <f aca="false">C259+C260+C261+C262+C263+C265</f>
        <v>7629130152</v>
      </c>
      <c r="D267" s="65" t="n">
        <f aca="false">D259+D260+D261+D262+D263+D265</f>
        <v>15880018857</v>
      </c>
      <c r="E267" s="65" t="n">
        <f aca="false">E259+E260+E261+E262+E263+E265</f>
        <v>-3830525560</v>
      </c>
      <c r="F267" s="65" t="n">
        <f aca="false">F259+F260+F261+F262+F263+F265</f>
        <v>6484009640</v>
      </c>
      <c r="G267" s="65" t="n">
        <f aca="false">G259+G260+G261+G262+G263+G265</f>
        <v>7345183576</v>
      </c>
      <c r="H267" s="65" t="n">
        <f aca="false">H259+H260+H261+H262+H263+H265</f>
        <v>9855310533</v>
      </c>
    </row>
    <row r="268" customFormat="false" ht="15" hidden="false" customHeight="false" outlineLevel="0" collapsed="false">
      <c r="B268" s="4" t="s">
        <v>1601</v>
      </c>
    </row>
    <row r="269" customFormat="false" ht="15" hidden="false" customHeight="false" outlineLevel="0" collapsed="false">
      <c r="A269" s="54" t="s">
        <v>1602</v>
      </c>
      <c r="B269" s="13" t="s">
        <v>1219</v>
      </c>
      <c r="C269" s="61" t="n">
        <v>37022761723</v>
      </c>
      <c r="D269" s="61" t="n">
        <v>44205817386</v>
      </c>
      <c r="E269" s="61" t="n">
        <v>51410006855</v>
      </c>
      <c r="F269" s="61" t="n">
        <v>28534604984</v>
      </c>
      <c r="G269" s="61" t="n">
        <v>25063931536</v>
      </c>
      <c r="H269" s="61" t="n">
        <v>29627155160</v>
      </c>
      <c r="I269" s="15" t="s">
        <v>1585</v>
      </c>
    </row>
    <row r="270" customFormat="false" ht="15" hidden="false" customHeight="false" outlineLevel="0" collapsed="false">
      <c r="A270" s="54" t="s">
        <v>1603</v>
      </c>
      <c r="B270" s="13" t="s">
        <v>1604</v>
      </c>
      <c r="C270" s="61" t="n">
        <v>7629130152</v>
      </c>
      <c r="D270" s="61" t="n">
        <v>15880018857</v>
      </c>
      <c r="E270" s="61" t="n">
        <v>-3830525560</v>
      </c>
      <c r="F270" s="61" t="n">
        <v>6484009640</v>
      </c>
      <c r="G270" s="61" t="n">
        <v>7345183576</v>
      </c>
      <c r="H270" s="61" t="n">
        <v>9855310533</v>
      </c>
      <c r="I270" s="15" t="s">
        <v>1585</v>
      </c>
    </row>
    <row r="271" customFormat="false" ht="15" hidden="false" customHeight="false" outlineLevel="0" collapsed="false">
      <c r="A271" s="54" t="s">
        <v>1605</v>
      </c>
      <c r="B271" s="13" t="s">
        <v>1606</v>
      </c>
      <c r="C271" s="61" t="n">
        <v>-380294833</v>
      </c>
      <c r="D271" s="61" t="n">
        <v>6720079053</v>
      </c>
      <c r="E271" s="61" t="n">
        <v>-4743936294</v>
      </c>
      <c r="F271" s="61" t="n">
        <v>-4985509356</v>
      </c>
      <c r="G271" s="61" t="n">
        <v>2004583162</v>
      </c>
      <c r="H271" s="61" t="n">
        <v>-2581070789</v>
      </c>
      <c r="I271" s="15" t="s">
        <v>1585</v>
      </c>
    </row>
    <row r="272" customFormat="false" ht="15" hidden="false" customHeight="false" outlineLevel="0" collapsed="false">
      <c r="A272" s="54" t="s">
        <v>1607</v>
      </c>
      <c r="B272" s="13" t="s">
        <v>1608</v>
      </c>
      <c r="C272" s="61" t="n">
        <v>-773972416</v>
      </c>
      <c r="D272" s="61" t="n">
        <v>-2062581605</v>
      </c>
      <c r="E272" s="61" t="n">
        <v>-9814555339</v>
      </c>
      <c r="F272" s="61" t="n">
        <v>-4913814388</v>
      </c>
      <c r="G272" s="61" t="n">
        <v>-4786543114</v>
      </c>
      <c r="H272" s="61" t="n">
        <v>-5099294492</v>
      </c>
      <c r="I272" s="15" t="s">
        <v>1585</v>
      </c>
    </row>
    <row r="273" customFormat="false" ht="15" hidden="false" customHeight="false" outlineLevel="0" collapsed="false">
      <c r="A273" s="54" t="s">
        <v>1609</v>
      </c>
      <c r="B273" s="13" t="s">
        <v>1610</v>
      </c>
      <c r="C273" s="61" t="n">
        <v>0</v>
      </c>
      <c r="D273" s="61" t="n">
        <v>125588626</v>
      </c>
      <c r="E273" s="61" t="n">
        <v>-4486384678</v>
      </c>
      <c r="F273" s="61" t="n">
        <v>-55359344</v>
      </c>
      <c r="G273" s="61" t="n">
        <v>0</v>
      </c>
      <c r="H273" s="61" t="n">
        <v>2750186396</v>
      </c>
      <c r="I273" s="15" t="s">
        <v>1585</v>
      </c>
    </row>
    <row r="274" customFormat="false" ht="15" hidden="false" customHeight="false" outlineLevel="0" collapsed="false">
      <c r="A274" s="54" t="s">
        <v>1611</v>
      </c>
      <c r="B274" s="13" t="s">
        <v>1345</v>
      </c>
      <c r="C274" s="61" t="n">
        <v>43497624626</v>
      </c>
      <c r="D274" s="61" t="n">
        <v>51410006855</v>
      </c>
      <c r="E274" s="61" t="n">
        <v>28534604984</v>
      </c>
      <c r="F274" s="61" t="n">
        <v>25063931536</v>
      </c>
      <c r="G274" s="61" t="n">
        <v>29627155160</v>
      </c>
      <c r="H274" s="61" t="n">
        <v>34552286808</v>
      </c>
      <c r="I274" s="15" t="s">
        <v>1585</v>
      </c>
    </row>
    <row r="275" customFormat="false" ht="15" hidden="false" customHeight="false" outlineLevel="0" collapsed="false">
      <c r="A275" s="54" t="s">
        <v>1612</v>
      </c>
      <c r="B275" s="13" t="s">
        <v>1613</v>
      </c>
      <c r="C275" s="61" t="n">
        <v>0</v>
      </c>
      <c r="D275" s="61" t="n">
        <v>-13458915462</v>
      </c>
      <c r="E275" s="61" t="n">
        <v>0</v>
      </c>
      <c r="F275" s="61" t="n">
        <v>0</v>
      </c>
      <c r="G275" s="61"/>
      <c r="H275" s="61"/>
      <c r="I275" s="15" t="s">
        <v>1581</v>
      </c>
    </row>
    <row r="276" customFormat="false" ht="15" hidden="false" customHeight="false" outlineLevel="0" collapsed="false">
      <c r="B276" s="4" t="s">
        <v>1614</v>
      </c>
    </row>
    <row r="277" customFormat="false" ht="15" hidden="false" customHeight="false" outlineLevel="0" collapsed="false">
      <c r="A277" s="54" t="s">
        <v>1615</v>
      </c>
      <c r="B277" s="13" t="s">
        <v>1616</v>
      </c>
      <c r="C277" s="97" t="n">
        <v>993</v>
      </c>
      <c r="D277" s="97" t="n">
        <v>1117</v>
      </c>
      <c r="E277" s="97" t="n">
        <v>1285</v>
      </c>
      <c r="F277" s="97" t="n">
        <v>1434</v>
      </c>
      <c r="G277" s="97" t="n">
        <v>1579</v>
      </c>
      <c r="H277" s="97" t="n">
        <v>1566</v>
      </c>
      <c r="I277" s="15" t="s">
        <v>1585</v>
      </c>
    </row>
    <row r="278" customFormat="false" ht="15" hidden="false" customHeight="false" outlineLevel="0" collapsed="false">
      <c r="A278" s="54" t="s">
        <v>1617</v>
      </c>
      <c r="B278" s="13" t="s">
        <v>1618</v>
      </c>
      <c r="C278" s="99"/>
      <c r="D278" s="99"/>
      <c r="E278" s="99"/>
      <c r="F278" s="99"/>
      <c r="G278" s="99"/>
      <c r="H278" s="99"/>
      <c r="I278" s="15" t="s">
        <v>1619</v>
      </c>
    </row>
    <row r="279" customFormat="false" ht="15" hidden="false" customHeight="false" outlineLevel="0" collapsed="false">
      <c r="A279" s="54" t="s">
        <v>1620</v>
      </c>
      <c r="B279" s="13" t="s">
        <v>1621</v>
      </c>
      <c r="C279" s="99"/>
      <c r="D279" s="99"/>
      <c r="E279" s="99"/>
      <c r="F279" s="99"/>
      <c r="G279" s="99"/>
      <c r="H279" s="99"/>
      <c r="I279" s="15" t="s">
        <v>1619</v>
      </c>
    </row>
    <row r="280" customFormat="false" ht="15" hidden="false" customHeight="false" outlineLevel="0" collapsed="false">
      <c r="B280" s="4" t="s">
        <v>1622</v>
      </c>
    </row>
    <row r="281" customFormat="false" ht="15" hidden="false" customHeight="false" outlineLevel="0" collapsed="false">
      <c r="A281" s="54" t="s">
        <v>1623</v>
      </c>
      <c r="B281" s="13" t="s">
        <v>1624</v>
      </c>
      <c r="C281" s="61"/>
      <c r="D281" s="61"/>
      <c r="E281" s="61"/>
      <c r="F281" s="61"/>
      <c r="G281" s="61"/>
      <c r="H281" s="61" t="n">
        <v>-2862626423</v>
      </c>
      <c r="I281" s="15" t="s">
        <v>1625</v>
      </c>
    </row>
    <row r="282" customFormat="false" ht="15" hidden="false" customHeight="false" outlineLevel="0" collapsed="false">
      <c r="A282" s="54" t="s">
        <v>1626</v>
      </c>
      <c r="B282" s="13" t="s">
        <v>1627</v>
      </c>
      <c r="C282" s="61"/>
      <c r="D282" s="61"/>
      <c r="E282" s="61"/>
      <c r="F282" s="61"/>
      <c r="G282" s="61"/>
      <c r="H282" s="61" t="n">
        <v>3827784155</v>
      </c>
      <c r="I282" s="15" t="s">
        <v>1625</v>
      </c>
    </row>
    <row r="283" customFormat="false" ht="15" hidden="false" customHeight="false" outlineLevel="0" collapsed="false">
      <c r="A283" s="54" t="s">
        <v>1628</v>
      </c>
      <c r="B283" s="13" t="s">
        <v>1629</v>
      </c>
      <c r="C283" s="61"/>
      <c r="D283" s="61"/>
      <c r="E283" s="61"/>
      <c r="F283" s="61"/>
      <c r="G283" s="61"/>
      <c r="H283" s="61" t="n">
        <v>3869179982</v>
      </c>
      <c r="I283" s="15" t="s">
        <v>1625</v>
      </c>
    </row>
    <row r="284" customFormat="false" ht="15" hidden="false" customHeight="false" outlineLevel="0" collapsed="false">
      <c r="A284" s="54" t="s">
        <v>1630</v>
      </c>
      <c r="B284" s="13" t="s">
        <v>1631</v>
      </c>
      <c r="C284" s="61"/>
      <c r="D284" s="61"/>
      <c r="E284" s="61"/>
      <c r="F284" s="61"/>
      <c r="G284" s="61"/>
      <c r="H284" s="61" t="n">
        <v>-2951317923</v>
      </c>
      <c r="I284" s="15" t="s">
        <v>1625</v>
      </c>
    </row>
    <row r="285" customFormat="false" ht="15" hidden="false" customHeight="false" outlineLevel="0" collapsed="false">
      <c r="B285" s="4" t="s">
        <v>1632</v>
      </c>
    </row>
    <row r="286" customFormat="false" ht="15" hidden="false" customHeight="false" outlineLevel="0" collapsed="false">
      <c r="A286" s="54" t="s">
        <v>1633</v>
      </c>
      <c r="B286" s="13" t="s">
        <v>1634</v>
      </c>
      <c r="C286" s="61" t="n">
        <v>151423064927</v>
      </c>
      <c r="D286" s="61" t="n">
        <v>208672347799</v>
      </c>
      <c r="E286" s="61" t="n">
        <v>151440260260</v>
      </c>
      <c r="F286" s="61" t="n">
        <v>133790163949</v>
      </c>
      <c r="G286" s="61" t="n">
        <v>142630488000</v>
      </c>
      <c r="H286" s="61" t="n">
        <v>144330275721</v>
      </c>
      <c r="I286" s="15" t="s">
        <v>1635</v>
      </c>
    </row>
    <row r="287" customFormat="false" ht="15" hidden="false" customHeight="false" outlineLevel="0" collapsed="false">
      <c r="A287" s="54" t="s">
        <v>1636</v>
      </c>
      <c r="B287" s="13" t="s">
        <v>1637</v>
      </c>
      <c r="C287" s="61" t="n">
        <v>95347141646</v>
      </c>
      <c r="D287" s="61" t="n">
        <v>123360238968</v>
      </c>
      <c r="E287" s="61" t="n">
        <v>75669771801</v>
      </c>
      <c r="F287" s="61" t="n">
        <v>79257971096</v>
      </c>
      <c r="G287" s="61" t="n">
        <v>88187710319</v>
      </c>
      <c r="H287" s="61" t="n">
        <v>87644208526</v>
      </c>
      <c r="I287" s="15" t="s">
        <v>1635</v>
      </c>
    </row>
    <row r="288" customFormat="false" ht="15" hidden="false" customHeight="false" outlineLevel="0" collapsed="false">
      <c r="A288" s="54" t="s">
        <v>1638</v>
      </c>
      <c r="B288" s="13" t="s">
        <v>1639</v>
      </c>
      <c r="C288" s="61" t="n">
        <v>57939993395</v>
      </c>
      <c r="D288" s="61" t="n">
        <v>66536461936</v>
      </c>
      <c r="E288" s="61" t="n">
        <v>64497787628</v>
      </c>
      <c r="F288" s="61" t="n">
        <v>67026485879</v>
      </c>
      <c r="G288" s="61" t="n">
        <v>56399346793</v>
      </c>
      <c r="H288" s="61" t="n">
        <v>61291576127</v>
      </c>
      <c r="I288" s="15" t="s">
        <v>1635</v>
      </c>
    </row>
    <row r="289" customFormat="false" ht="15" hidden="false" customHeight="false" outlineLevel="0" collapsed="false">
      <c r="A289" s="54" t="s">
        <v>1640</v>
      </c>
      <c r="B289" s="13" t="s">
        <v>1641</v>
      </c>
      <c r="C289" s="61" t="n">
        <v>95979746994</v>
      </c>
      <c r="D289" s="61" t="n">
        <v>141839192913</v>
      </c>
      <c r="E289" s="61" t="n">
        <v>224921103268</v>
      </c>
      <c r="F289" s="61" t="n">
        <v>175993625257</v>
      </c>
      <c r="G289" s="61" t="n">
        <v>191920976219</v>
      </c>
      <c r="H289" s="61" t="n">
        <v>201811270208</v>
      </c>
      <c r="I289" s="15" t="s">
        <v>1635</v>
      </c>
    </row>
    <row r="290" customFormat="false" ht="15" hidden="false" customHeight="false" outlineLevel="0" collapsed="false">
      <c r="A290" s="54" t="s">
        <v>1642</v>
      </c>
      <c r="B290" s="13" t="s">
        <v>1643</v>
      </c>
      <c r="C290" s="61" t="n">
        <v>51143522445</v>
      </c>
      <c r="D290" s="61" t="n">
        <v>169294453073</v>
      </c>
      <c r="E290" s="61" t="n">
        <v>94415379950</v>
      </c>
      <c r="F290" s="61" t="n">
        <v>51095183024</v>
      </c>
      <c r="G290" s="61" t="n">
        <v>45876662372</v>
      </c>
      <c r="H290" s="61" t="n">
        <v>38408996504</v>
      </c>
      <c r="I290" s="15" t="s">
        <v>1635</v>
      </c>
    </row>
    <row r="291" customFormat="false" ht="15" hidden="false" customHeight="false" outlineLevel="0" collapsed="false">
      <c r="A291" s="54" t="s">
        <v>1644</v>
      </c>
      <c r="B291" s="13" t="s">
        <v>1645</v>
      </c>
      <c r="C291" s="61" t="n">
        <v>23243803500</v>
      </c>
      <c r="D291" s="61" t="n">
        <v>26062439946</v>
      </c>
      <c r="E291" s="61" t="n">
        <v>30826376178</v>
      </c>
      <c r="F291" s="61" t="n">
        <v>33804349496</v>
      </c>
      <c r="G291" s="61" t="n">
        <v>35679411271</v>
      </c>
      <c r="H291" s="61" t="n">
        <v>38107883532</v>
      </c>
      <c r="I291" s="15" t="s">
        <v>1635</v>
      </c>
    </row>
    <row r="292" customFormat="false" ht="15" hidden="false" customHeight="false" outlineLevel="0" collapsed="false">
      <c r="A292" s="54" t="s">
        <v>1646</v>
      </c>
      <c r="B292" s="13" t="s">
        <v>1647</v>
      </c>
      <c r="C292" s="61" t="n">
        <v>147312789133</v>
      </c>
      <c r="D292" s="61" t="n">
        <v>168556203023</v>
      </c>
      <c r="E292" s="61" t="n">
        <v>189514749050</v>
      </c>
      <c r="F292" s="61" t="n">
        <v>224251616097</v>
      </c>
      <c r="G292" s="61" t="n">
        <v>220916177524</v>
      </c>
      <c r="H292" s="61" t="n">
        <v>270361206222</v>
      </c>
      <c r="I292" s="15" t="s">
        <v>1635</v>
      </c>
    </row>
    <row r="293" customFormat="false" ht="15" hidden="false" customHeight="false" outlineLevel="0" collapsed="false">
      <c r="A293" s="54" t="s">
        <v>1648</v>
      </c>
      <c r="B293" s="13" t="s">
        <v>1649</v>
      </c>
      <c r="C293" s="61" t="n">
        <v>109360740841</v>
      </c>
      <c r="D293" s="61" t="n">
        <v>415241895653</v>
      </c>
      <c r="E293" s="61" t="n">
        <v>238482525718</v>
      </c>
      <c r="F293" s="61" t="n">
        <v>217972526337</v>
      </c>
      <c r="G293" s="61" t="n">
        <v>244956389585</v>
      </c>
      <c r="H293" s="61" t="n">
        <v>262834363614</v>
      </c>
      <c r="I293" s="15" t="s">
        <v>1635</v>
      </c>
    </row>
    <row r="294" customFormat="false" ht="15" hidden="false" customHeight="false" outlineLevel="0" collapsed="false">
      <c r="A294" s="54" t="s">
        <v>1650</v>
      </c>
      <c r="B294" s="13" t="s">
        <v>1651</v>
      </c>
      <c r="C294" s="61" t="n">
        <v>37626523985</v>
      </c>
      <c r="D294" s="61" t="n">
        <v>54629560712</v>
      </c>
      <c r="E294" s="61" t="n">
        <v>47827487330</v>
      </c>
      <c r="F294" s="61" t="n">
        <v>42200076514</v>
      </c>
      <c r="G294" s="61" t="n">
        <v>44438023971</v>
      </c>
      <c r="H294" s="61" t="n">
        <v>43700160859</v>
      </c>
      <c r="I294" s="15" t="s">
        <v>1635</v>
      </c>
    </row>
    <row r="295" customFormat="false" ht="15" hidden="false" customHeight="false" outlineLevel="0" collapsed="false">
      <c r="A295" s="54" t="s">
        <v>1652</v>
      </c>
      <c r="B295" s="13" t="s">
        <v>1653</v>
      </c>
      <c r="C295" s="61" t="n">
        <v>55375978010</v>
      </c>
      <c r="D295" s="61" t="n">
        <v>55662854524</v>
      </c>
      <c r="E295" s="61" t="n">
        <v>40190117792</v>
      </c>
      <c r="F295" s="61" t="n">
        <v>40596988986</v>
      </c>
      <c r="G295" s="61" t="n">
        <v>47490101099</v>
      </c>
      <c r="H295" s="61" t="n">
        <v>49387120105</v>
      </c>
      <c r="I295" s="15" t="s">
        <v>1635</v>
      </c>
    </row>
    <row r="296" customFormat="false" ht="15" hidden="false" customHeight="false" outlineLevel="0" collapsed="false">
      <c r="A296" s="54" t="s">
        <v>1654</v>
      </c>
      <c r="B296" s="13" t="s">
        <v>1655</v>
      </c>
      <c r="C296" s="61" t="n">
        <v>338134583532</v>
      </c>
      <c r="D296" s="61" t="n">
        <v>510792679268</v>
      </c>
      <c r="E296" s="61" t="n">
        <v>554528401236</v>
      </c>
      <c r="F296" s="61" t="n">
        <v>486504873770</v>
      </c>
      <c r="G296" s="61" t="n">
        <v>529785137307</v>
      </c>
      <c r="H296" s="61" t="n">
        <v>520503370204</v>
      </c>
      <c r="I296" s="15" t="s">
        <v>1635</v>
      </c>
    </row>
    <row r="297" customFormat="false" ht="15" hidden="false" customHeight="false" outlineLevel="0" collapsed="false">
      <c r="A297" s="54" t="s">
        <v>1656</v>
      </c>
      <c r="B297" s="13" t="s">
        <v>1657</v>
      </c>
      <c r="C297" s="61" t="n">
        <v>3674752669</v>
      </c>
      <c r="D297" s="61" t="n">
        <v>6174031651</v>
      </c>
      <c r="E297" s="61" t="n">
        <v>7528190908</v>
      </c>
      <c r="F297" s="61" t="n">
        <v>6480742292</v>
      </c>
      <c r="G297" s="61" t="n">
        <v>5183450111</v>
      </c>
      <c r="H297" s="61" t="n">
        <v>4971190823</v>
      </c>
      <c r="I297" s="15" t="s">
        <v>1635</v>
      </c>
    </row>
    <row r="298" customFormat="false" ht="15" hidden="false" customHeight="false" outlineLevel="0" collapsed="false">
      <c r="A298" s="54" t="s">
        <v>1658</v>
      </c>
      <c r="B298" s="13" t="s">
        <v>1306</v>
      </c>
      <c r="C298" s="61" t="n">
        <v>1166562641077</v>
      </c>
      <c r="D298" s="61" t="n">
        <v>1946822359466</v>
      </c>
      <c r="E298" s="61" t="n">
        <v>1719842151119</v>
      </c>
      <c r="F298" s="61" t="n">
        <v>1558974602697</v>
      </c>
      <c r="G298" s="61" t="n">
        <v>1653463874571</v>
      </c>
      <c r="H298" s="61" t="n">
        <v>1723351622445</v>
      </c>
      <c r="I298" s="15" t="s">
        <v>1635</v>
      </c>
    </row>
    <row r="299" customFormat="false" ht="15" hidden="false" customHeight="false" outlineLevel="0" collapsed="false">
      <c r="A299" s="63" t="s">
        <v>1659</v>
      </c>
      <c r="B299" s="64" t="s">
        <v>1315</v>
      </c>
      <c r="C299" s="65" t="n">
        <f aca="false">C286+C287+C288+C289+C290+C291+C292+C293+C294+C295+C296+C297</f>
        <v>1166562641077</v>
      </c>
      <c r="D299" s="65" t="n">
        <f aca="false">D286+D287+D288+D289+D290+D291+D292+D293+D294+D295+D296+D297</f>
        <v>1946822359466</v>
      </c>
      <c r="E299" s="65" t="n">
        <f aca="false">E286+E287+E288+E289+E290+E291+E292+E293+E294+E295+E296+E297</f>
        <v>1719842151119</v>
      </c>
      <c r="F299" s="65" t="n">
        <f aca="false">F286+F287+F288+F289+F290+F291+F292+F293+F294+F295+F296+F297</f>
        <v>1558974602697</v>
      </c>
      <c r="G299" s="65" t="n">
        <f aca="false">G286+G287+G288+G289+G290+G291+G292+G293+G294+G295+G296+G297</f>
        <v>1653463874571</v>
      </c>
      <c r="H299" s="65" t="n">
        <f aca="false">H286+H287+H288+H289+H290+H291+H292+H293+H294+H295+H296+H297</f>
        <v>1723351622445</v>
      </c>
    </row>
    <row r="300" customFormat="false" ht="15" hidden="false" customHeight="false" outlineLevel="0" collapsed="false">
      <c r="B300" s="4" t="s">
        <v>1660</v>
      </c>
    </row>
    <row r="301" customFormat="false" ht="15" hidden="false" customHeight="false" outlineLevel="0" collapsed="false">
      <c r="A301" s="54" t="s">
        <v>1661</v>
      </c>
      <c r="B301" s="13" t="s">
        <v>1662</v>
      </c>
      <c r="C301" s="61" t="n">
        <v>-18418259365</v>
      </c>
      <c r="D301" s="61" t="n">
        <v>-56022083719</v>
      </c>
      <c r="E301" s="61" t="n">
        <v>-61154239897</v>
      </c>
      <c r="F301" s="61" t="n">
        <v>-70777119326</v>
      </c>
      <c r="G301" s="61" t="n">
        <v>-98778864235</v>
      </c>
      <c r="H301" s="61" t="n">
        <v>-109010850933</v>
      </c>
      <c r="I301" s="15" t="s">
        <v>1635</v>
      </c>
    </row>
    <row r="302" customFormat="false" ht="15" hidden="false" customHeight="false" outlineLevel="0" collapsed="false">
      <c r="A302" s="54" t="s">
        <v>1663</v>
      </c>
      <c r="B302" s="13" t="s">
        <v>1664</v>
      </c>
      <c r="C302" s="61" t="n">
        <v>1148144381712</v>
      </c>
      <c r="D302" s="61" t="n">
        <v>1890800275747</v>
      </c>
      <c r="E302" s="61" t="n">
        <v>1658687911222</v>
      </c>
      <c r="F302" s="61" t="n">
        <v>1488197483371</v>
      </c>
      <c r="G302" s="61" t="n">
        <v>1554685010336</v>
      </c>
      <c r="H302" s="61" t="n">
        <v>1614340771512</v>
      </c>
      <c r="I302" s="15" t="s">
        <v>1635</v>
      </c>
    </row>
    <row r="303" customFormat="false" ht="15" hidden="false" customHeight="false" outlineLevel="0" collapsed="false">
      <c r="B303" s="4" t="s">
        <v>1665</v>
      </c>
    </row>
    <row r="304" customFormat="false" ht="15" hidden="false" customHeight="false" outlineLevel="0" collapsed="false">
      <c r="A304" s="54" t="s">
        <v>1666</v>
      </c>
      <c r="B304" s="13" t="s">
        <v>1667</v>
      </c>
      <c r="C304" s="61" t="n">
        <v>244787739295</v>
      </c>
      <c r="D304" s="61" t="n">
        <v>509134030250</v>
      </c>
      <c r="E304" s="61" t="n">
        <v>341095239690</v>
      </c>
      <c r="F304" s="61" t="n">
        <v>335422914718</v>
      </c>
      <c r="G304" s="61" t="n">
        <v>368149339874</v>
      </c>
      <c r="H304" s="61" t="n">
        <v>396966532544</v>
      </c>
      <c r="I304" s="15" t="s">
        <v>1668</v>
      </c>
    </row>
    <row r="305" customFormat="false" ht="15" hidden="false" customHeight="false" outlineLevel="0" collapsed="false">
      <c r="A305" s="54" t="s">
        <v>1669</v>
      </c>
      <c r="B305" s="13" t="s">
        <v>1670</v>
      </c>
      <c r="C305" s="61" t="n">
        <v>37645507023</v>
      </c>
      <c r="D305" s="61" t="n">
        <v>61669972683</v>
      </c>
      <c r="E305" s="61" t="n">
        <v>165113818691</v>
      </c>
      <c r="F305" s="61" t="n">
        <v>154152487373</v>
      </c>
      <c r="G305" s="61" t="n">
        <v>141364189362</v>
      </c>
      <c r="H305" s="61" t="n">
        <v>149436971851</v>
      </c>
      <c r="I305" s="15" t="s">
        <v>1668</v>
      </c>
    </row>
    <row r="306" customFormat="false" ht="15" hidden="false" customHeight="false" outlineLevel="0" collapsed="false">
      <c r="A306" s="54" t="s">
        <v>1671</v>
      </c>
      <c r="B306" s="13" t="s">
        <v>1672</v>
      </c>
      <c r="C306" s="61" t="n">
        <v>175507466726</v>
      </c>
      <c r="D306" s="61" t="n">
        <v>213603368834</v>
      </c>
      <c r="E306" s="61" t="n">
        <v>117204932997</v>
      </c>
      <c r="F306" s="61" t="n">
        <v>122880117254</v>
      </c>
      <c r="G306" s="61" t="n">
        <v>129789241147</v>
      </c>
      <c r="H306" s="61" t="n">
        <v>134642093603</v>
      </c>
      <c r="I306" s="15" t="s">
        <v>1668</v>
      </c>
    </row>
    <row r="307" customFormat="false" ht="15" hidden="false" customHeight="false" outlineLevel="0" collapsed="false">
      <c r="A307" s="54" t="s">
        <v>1673</v>
      </c>
      <c r="B307" s="13" t="s">
        <v>1674</v>
      </c>
      <c r="C307" s="61" t="n">
        <v>195836719508</v>
      </c>
      <c r="D307" s="61" t="n">
        <v>128371889753</v>
      </c>
      <c r="E307" s="61" t="n">
        <v>267796469940</v>
      </c>
      <c r="F307" s="61" t="n">
        <v>176898082119</v>
      </c>
      <c r="G307" s="61" t="n">
        <v>205559382713</v>
      </c>
      <c r="H307" s="61" t="n">
        <v>186728546707</v>
      </c>
      <c r="I307" s="15" t="s">
        <v>1668</v>
      </c>
    </row>
    <row r="308" customFormat="false" ht="15" hidden="false" customHeight="false" outlineLevel="0" collapsed="false">
      <c r="A308" s="54" t="s">
        <v>1675</v>
      </c>
      <c r="B308" s="13" t="s">
        <v>1657</v>
      </c>
      <c r="C308" s="61" t="n">
        <v>1216358672</v>
      </c>
      <c r="D308" s="61" t="n">
        <v>3999933159</v>
      </c>
      <c r="E308" s="61" t="n">
        <v>2924812821</v>
      </c>
      <c r="F308" s="61" t="n">
        <v>3031004796</v>
      </c>
      <c r="G308" s="61" t="n">
        <v>2685841748</v>
      </c>
      <c r="H308" s="61" t="n">
        <v>2074160697</v>
      </c>
      <c r="I308" s="15" t="s">
        <v>1668</v>
      </c>
    </row>
    <row r="309" customFormat="false" ht="15" hidden="false" customHeight="false" outlineLevel="0" collapsed="false">
      <c r="A309" s="54" t="s">
        <v>1676</v>
      </c>
      <c r="B309" s="13" t="s">
        <v>1306</v>
      </c>
      <c r="C309" s="61" t="n">
        <v>654993791224</v>
      </c>
      <c r="D309" s="61" t="n">
        <v>916779194679</v>
      </c>
      <c r="E309" s="61" t="n">
        <v>894135274139</v>
      </c>
      <c r="F309" s="61" t="n">
        <v>792384606260</v>
      </c>
      <c r="G309" s="61" t="n">
        <v>847547994844</v>
      </c>
      <c r="H309" s="61" t="n">
        <v>869848305402</v>
      </c>
      <c r="I309" s="15" t="s">
        <v>1668</v>
      </c>
    </row>
    <row r="310" customFormat="false" ht="15" hidden="false" customHeight="false" outlineLevel="0" collapsed="false">
      <c r="A310" s="63" t="s">
        <v>1677</v>
      </c>
      <c r="B310" s="64" t="s">
        <v>1315</v>
      </c>
      <c r="C310" s="65" t="n">
        <f aca="false">C304+C305+C306+C307+C308</f>
        <v>654993791224</v>
      </c>
      <c r="D310" s="65" t="n">
        <f aca="false">D304+D305+D306+D307+D308</f>
        <v>916779194679</v>
      </c>
      <c r="E310" s="65" t="n">
        <f aca="false">E304+E305+E306+E307+E308</f>
        <v>894135274139</v>
      </c>
      <c r="F310" s="65" t="n">
        <f aca="false">F304+F305+F306+F307+F308</f>
        <v>792384606260</v>
      </c>
      <c r="G310" s="65" t="n">
        <f aca="false">G304+G305+G306+G307+G308</f>
        <v>847547994844</v>
      </c>
      <c r="H310" s="65" t="n">
        <f aca="false">H304+H305+H306+H307+H308</f>
        <v>869848305402</v>
      </c>
    </row>
    <row r="311" customFormat="false" ht="15" hidden="false" customHeight="false" outlineLevel="0" collapsed="false">
      <c r="B311" s="4" t="s">
        <v>1678</v>
      </c>
    </row>
    <row r="312" customFormat="false" ht="15" hidden="false" customHeight="false" outlineLevel="0" collapsed="false">
      <c r="A312" s="54" t="s">
        <v>1679</v>
      </c>
      <c r="B312" s="13" t="s">
        <v>1680</v>
      </c>
      <c r="C312" s="61" t="n">
        <v>9925094498</v>
      </c>
      <c r="D312" s="61" t="n">
        <v>33182393918</v>
      </c>
      <c r="E312" s="61" t="n">
        <v>31959311822</v>
      </c>
      <c r="F312" s="61" t="n">
        <v>26906060214</v>
      </c>
      <c r="G312" s="61" t="n">
        <v>25315367731</v>
      </c>
      <c r="H312" s="61" t="n">
        <v>21668465057</v>
      </c>
      <c r="I312" s="15" t="s">
        <v>1681</v>
      </c>
    </row>
    <row r="313" customFormat="false" ht="15" hidden="false" customHeight="false" outlineLevel="0" collapsed="false">
      <c r="A313" s="54" t="s">
        <v>1682</v>
      </c>
      <c r="B313" s="13" t="s">
        <v>1683</v>
      </c>
      <c r="C313" s="61" t="n">
        <v>322007989</v>
      </c>
      <c r="D313" s="61" t="n">
        <v>4553917310</v>
      </c>
      <c r="E313" s="61" t="n">
        <v>4396439046</v>
      </c>
      <c r="F313" s="61" t="n">
        <v>4194790605</v>
      </c>
      <c r="G313" s="61" t="n">
        <v>4086086156</v>
      </c>
      <c r="H313" s="61" t="n">
        <v>3725751792</v>
      </c>
      <c r="I313" s="15" t="s">
        <v>1681</v>
      </c>
    </row>
    <row r="314" customFormat="false" ht="15" hidden="false" customHeight="false" outlineLevel="0" collapsed="false">
      <c r="A314" s="54" t="s">
        <v>1684</v>
      </c>
      <c r="B314" s="13" t="s">
        <v>1353</v>
      </c>
      <c r="C314" s="61" t="n">
        <v>114774616</v>
      </c>
      <c r="D314" s="61" t="n">
        <v>9321350</v>
      </c>
      <c r="E314" s="61" t="n">
        <v>2750746824</v>
      </c>
      <c r="F314" s="61" t="n">
        <v>3751652944</v>
      </c>
      <c r="G314" s="61" t="n">
        <v>1856113730</v>
      </c>
      <c r="H314" s="61" t="n">
        <v>9615463824</v>
      </c>
      <c r="I314" s="15" t="s">
        <v>1681</v>
      </c>
    </row>
    <row r="315" customFormat="false" ht="15" hidden="false" customHeight="false" outlineLevel="0" collapsed="false">
      <c r="A315" s="54" t="s">
        <v>1685</v>
      </c>
      <c r="B315" s="13" t="s">
        <v>1306</v>
      </c>
      <c r="C315" s="61" t="n">
        <v>10361877103</v>
      </c>
      <c r="D315" s="61" t="n">
        <v>37745632578</v>
      </c>
      <c r="E315" s="61" t="n">
        <v>39106497692</v>
      </c>
      <c r="F315" s="61" t="n">
        <v>34852503763</v>
      </c>
      <c r="G315" s="61" t="n">
        <v>31257567617</v>
      </c>
      <c r="H315" s="61" t="n">
        <v>35009680673</v>
      </c>
      <c r="I315" s="15" t="s">
        <v>1681</v>
      </c>
    </row>
    <row r="316" customFormat="false" ht="15" hidden="false" customHeight="false" outlineLevel="0" collapsed="false">
      <c r="A316" s="63" t="s">
        <v>1686</v>
      </c>
      <c r="B316" s="64" t="s">
        <v>1315</v>
      </c>
      <c r="C316" s="65" t="n">
        <f aca="false">C312+C313+C314</f>
        <v>10361877103</v>
      </c>
      <c r="D316" s="65" t="n">
        <f aca="false">D312+D313+D314</f>
        <v>37745632578</v>
      </c>
      <c r="E316" s="65" t="n">
        <f aca="false">E312+E313+E314</f>
        <v>39106497692</v>
      </c>
      <c r="F316" s="65" t="n">
        <f aca="false">F312+F313+F314</f>
        <v>34852503763</v>
      </c>
      <c r="G316" s="65" t="n">
        <f aca="false">G312+G313+G314</f>
        <v>31257567617</v>
      </c>
      <c r="H316" s="65" t="n">
        <f aca="false">H312+H313+H314</f>
        <v>35009680673</v>
      </c>
    </row>
    <row r="317" customFormat="false" ht="15" hidden="false" customHeight="false" outlineLevel="0" collapsed="false">
      <c r="B317" s="4" t="s">
        <v>1687</v>
      </c>
    </row>
    <row r="318" customFormat="false" ht="15" hidden="false" customHeight="false" outlineLevel="0" collapsed="false">
      <c r="A318" s="54" t="s">
        <v>1688</v>
      </c>
      <c r="B318" s="13" t="s">
        <v>1689</v>
      </c>
      <c r="C318" s="61" t="n">
        <v>122290271657</v>
      </c>
      <c r="D318" s="61" t="n">
        <v>196161076772</v>
      </c>
      <c r="E318" s="61" t="n">
        <v>229668475223</v>
      </c>
      <c r="F318" s="61" t="n">
        <v>243622470418</v>
      </c>
      <c r="G318" s="61" t="n">
        <v>262097780562</v>
      </c>
      <c r="H318" s="61" t="n">
        <v>253978217203</v>
      </c>
      <c r="I318" s="15" t="s">
        <v>1690</v>
      </c>
    </row>
    <row r="319" customFormat="false" ht="15" hidden="false" customHeight="false" outlineLevel="0" collapsed="false">
      <c r="A319" s="54" t="s">
        <v>1691</v>
      </c>
      <c r="B319" s="13" t="s">
        <v>1692</v>
      </c>
      <c r="C319" s="61" t="n">
        <v>46145100748</v>
      </c>
      <c r="D319" s="61" t="n">
        <v>48886899137</v>
      </c>
      <c r="E319" s="61" t="n">
        <v>77960717192</v>
      </c>
      <c r="F319" s="61" t="n">
        <v>82492083749</v>
      </c>
      <c r="G319" s="61" t="n">
        <v>85354786101</v>
      </c>
      <c r="H319" s="61" t="n">
        <v>78017175261</v>
      </c>
      <c r="I319" s="15" t="s">
        <v>1690</v>
      </c>
    </row>
    <row r="320" customFormat="false" ht="15" hidden="false" customHeight="false" outlineLevel="0" collapsed="false">
      <c r="A320" s="54" t="s">
        <v>1693</v>
      </c>
      <c r="B320" s="13" t="s">
        <v>1694</v>
      </c>
      <c r="C320" s="61" t="n">
        <v>17106906698</v>
      </c>
      <c r="D320" s="61" t="n">
        <v>35953426001</v>
      </c>
      <c r="E320" s="61" t="n">
        <v>37822134599</v>
      </c>
      <c r="F320" s="61" t="n">
        <v>39404202689</v>
      </c>
      <c r="G320" s="61" t="n">
        <v>32238811785</v>
      </c>
      <c r="H320" s="61" t="n">
        <v>50027210200</v>
      </c>
      <c r="I320" s="15" t="s">
        <v>1690</v>
      </c>
    </row>
    <row r="321" customFormat="false" ht="15" hidden="false" customHeight="false" outlineLevel="0" collapsed="false">
      <c r="A321" s="54" t="s">
        <v>1695</v>
      </c>
      <c r="B321" s="13" t="s">
        <v>1696</v>
      </c>
      <c r="C321" s="61" t="n">
        <v>12144495437</v>
      </c>
      <c r="D321" s="61" t="n">
        <v>22523019455</v>
      </c>
      <c r="E321" s="61" t="n">
        <v>30576498120</v>
      </c>
      <c r="F321" s="61" t="n">
        <v>31061918084</v>
      </c>
      <c r="G321" s="61" t="n">
        <v>24643746342</v>
      </c>
      <c r="H321" s="61" t="n">
        <v>43384485751</v>
      </c>
      <c r="I321" s="15" t="s">
        <v>1690</v>
      </c>
    </row>
    <row r="322" customFormat="false" ht="15" hidden="false" customHeight="false" outlineLevel="0" collapsed="false">
      <c r="A322" s="54" t="s">
        <v>1697</v>
      </c>
      <c r="B322" s="13" t="s">
        <v>1698</v>
      </c>
      <c r="C322" s="61" t="n">
        <v>22520410932</v>
      </c>
      <c r="D322" s="61" t="n">
        <v>22089849141</v>
      </c>
      <c r="E322" s="61" t="n">
        <v>23120307102</v>
      </c>
      <c r="F322" s="61" t="n">
        <v>26923063737</v>
      </c>
      <c r="G322" s="61" t="n">
        <v>30012550267</v>
      </c>
      <c r="H322" s="61" t="n">
        <v>35442145614</v>
      </c>
      <c r="I322" s="15" t="s">
        <v>1690</v>
      </c>
    </row>
    <row r="323" customFormat="false" ht="15" hidden="false" customHeight="false" outlineLevel="0" collapsed="false">
      <c r="A323" s="54" t="s">
        <v>1699</v>
      </c>
      <c r="B323" s="13" t="s">
        <v>1700</v>
      </c>
      <c r="C323" s="61" t="n">
        <v>37081215015</v>
      </c>
      <c r="D323" s="61" t="n">
        <v>38662521503</v>
      </c>
      <c r="E323" s="61" t="n">
        <v>22572582460</v>
      </c>
      <c r="F323" s="61" t="n">
        <v>25832531155</v>
      </c>
      <c r="G323" s="61" t="n">
        <v>27267185590</v>
      </c>
      <c r="H323" s="61" t="n">
        <v>22930391177</v>
      </c>
      <c r="I323" s="15" t="s">
        <v>1690</v>
      </c>
    </row>
    <row r="324" customFormat="false" ht="15" hidden="false" customHeight="false" outlineLevel="0" collapsed="false">
      <c r="A324" s="54" t="s">
        <v>1701</v>
      </c>
      <c r="B324" s="13" t="s">
        <v>1702</v>
      </c>
      <c r="C324" s="61" t="n">
        <v>12476449114</v>
      </c>
      <c r="D324" s="61" t="n">
        <v>15563274752</v>
      </c>
      <c r="E324" s="61" t="n">
        <v>16162910512</v>
      </c>
      <c r="F324" s="61" t="n">
        <v>17658124873</v>
      </c>
      <c r="G324" s="61" t="n">
        <v>18756248821</v>
      </c>
      <c r="H324" s="61" t="n">
        <v>18805469386</v>
      </c>
      <c r="I324" s="15" t="s">
        <v>1690</v>
      </c>
    </row>
    <row r="325" customFormat="false" ht="15" hidden="false" customHeight="false" outlineLevel="0" collapsed="false">
      <c r="A325" s="54" t="s">
        <v>1703</v>
      </c>
      <c r="B325" s="13" t="s">
        <v>1704</v>
      </c>
      <c r="C325" s="61" t="n">
        <v>24919489898</v>
      </c>
      <c r="D325" s="61" t="n">
        <v>26160096228</v>
      </c>
      <c r="E325" s="61" t="n">
        <v>21712315161</v>
      </c>
      <c r="F325" s="61" t="n">
        <v>21205395071</v>
      </c>
      <c r="G325" s="61" t="n">
        <v>19298315836</v>
      </c>
      <c r="H325" s="61" t="n">
        <v>18384907594</v>
      </c>
      <c r="I325" s="15" t="s">
        <v>1690</v>
      </c>
    </row>
    <row r="326" customFormat="false" ht="15" hidden="false" customHeight="false" outlineLevel="0" collapsed="false">
      <c r="A326" s="54" t="s">
        <v>1705</v>
      </c>
      <c r="B326" s="13" t="s">
        <v>1706</v>
      </c>
      <c r="C326" s="61" t="n">
        <v>3304991077</v>
      </c>
      <c r="D326" s="61" t="n">
        <v>8005214838</v>
      </c>
      <c r="E326" s="61" t="n">
        <v>6996701535</v>
      </c>
      <c r="F326" s="61" t="n">
        <v>6969888402</v>
      </c>
      <c r="G326" s="61" t="n">
        <v>7894985435</v>
      </c>
      <c r="H326" s="61" t="n">
        <v>10373857726</v>
      </c>
      <c r="I326" s="15" t="s">
        <v>1690</v>
      </c>
    </row>
    <row r="327" customFormat="false" ht="15" hidden="false" customHeight="false" outlineLevel="0" collapsed="false">
      <c r="A327" s="54" t="s">
        <v>1707</v>
      </c>
      <c r="B327" s="13" t="s">
        <v>1708</v>
      </c>
      <c r="C327" s="61" t="n">
        <v>7629130152</v>
      </c>
      <c r="D327" s="61" t="n">
        <v>15880018857</v>
      </c>
      <c r="E327" s="61" t="n">
        <v>-3830525560</v>
      </c>
      <c r="F327" s="61" t="n">
        <v>6484009640</v>
      </c>
      <c r="G327" s="61" t="n">
        <v>7345183576</v>
      </c>
      <c r="H327" s="61" t="n">
        <v>9855310533</v>
      </c>
      <c r="I327" s="15" t="s">
        <v>1690</v>
      </c>
    </row>
    <row r="328" customFormat="false" ht="15" hidden="false" customHeight="false" outlineLevel="0" collapsed="false">
      <c r="A328" s="54" t="s">
        <v>1709</v>
      </c>
      <c r="B328" s="13" t="s">
        <v>1710</v>
      </c>
      <c r="C328" s="61" t="n">
        <v>2514525196</v>
      </c>
      <c r="D328" s="61" t="n">
        <v>4969095550</v>
      </c>
      <c r="E328" s="61" t="n">
        <v>6468339108</v>
      </c>
      <c r="F328" s="61" t="n">
        <v>7946060048</v>
      </c>
      <c r="G328" s="61" t="n">
        <v>10099093898</v>
      </c>
      <c r="H328" s="61" t="n">
        <v>9539239885</v>
      </c>
      <c r="I328" s="15" t="s">
        <v>1690</v>
      </c>
    </row>
    <row r="329" customFormat="false" ht="15" hidden="false" customHeight="false" outlineLevel="0" collapsed="false">
      <c r="A329" s="54" t="s">
        <v>1711</v>
      </c>
      <c r="B329" s="13" t="s">
        <v>1712</v>
      </c>
      <c r="C329" s="61" t="n">
        <v>3818496432</v>
      </c>
      <c r="D329" s="61" t="n">
        <v>8507605363</v>
      </c>
      <c r="E329" s="61" t="n">
        <v>8269420365</v>
      </c>
      <c r="F329" s="61" t="n">
        <v>8442712126</v>
      </c>
      <c r="G329" s="61" t="n">
        <v>7050244692</v>
      </c>
      <c r="H329" s="61" t="n">
        <v>7120964139</v>
      </c>
      <c r="I329" s="15" t="s">
        <v>1690</v>
      </c>
    </row>
    <row r="330" customFormat="false" ht="15" hidden="false" customHeight="false" outlineLevel="0" collapsed="false">
      <c r="A330" s="54" t="s">
        <v>1713</v>
      </c>
      <c r="B330" s="13" t="s">
        <v>1298</v>
      </c>
      <c r="C330" s="61" t="n">
        <v>503931793</v>
      </c>
      <c r="D330" s="61" t="n">
        <v>3352312565</v>
      </c>
      <c r="E330" s="61" t="n">
        <v>2568169637</v>
      </c>
      <c r="F330" s="61" t="n">
        <v>3239695080</v>
      </c>
      <c r="G330" s="61" t="n">
        <v>3085131685</v>
      </c>
      <c r="H330" s="61" t="n">
        <v>3333960837</v>
      </c>
      <c r="I330" s="15" t="s">
        <v>1690</v>
      </c>
    </row>
    <row r="331" customFormat="false" ht="15" hidden="false" customHeight="false" outlineLevel="0" collapsed="false">
      <c r="A331" s="54" t="s">
        <v>1714</v>
      </c>
      <c r="B331" s="13" t="s">
        <v>1715</v>
      </c>
      <c r="C331" s="61" t="n">
        <v>3998263762</v>
      </c>
      <c r="D331" s="61" t="n">
        <v>3484443563</v>
      </c>
      <c r="E331" s="61" t="n">
        <v>1730731618</v>
      </c>
      <c r="F331" s="61" t="n">
        <v>2686836072</v>
      </c>
      <c r="G331" s="61" t="n">
        <v>2226389071</v>
      </c>
      <c r="H331" s="61" t="n">
        <v>3062979487</v>
      </c>
      <c r="I331" s="15" t="s">
        <v>1690</v>
      </c>
    </row>
    <row r="332" customFormat="false" ht="15" hidden="false" customHeight="false" outlineLevel="0" collapsed="false">
      <c r="A332" s="54" t="s">
        <v>1716</v>
      </c>
      <c r="B332" s="13" t="s">
        <v>1717</v>
      </c>
      <c r="C332" s="61" t="n">
        <v>4300111102</v>
      </c>
      <c r="D332" s="61" t="n">
        <v>7592276905</v>
      </c>
      <c r="E332" s="61" t="n">
        <v>1558779319</v>
      </c>
      <c r="F332" s="61" t="n">
        <v>3141542926</v>
      </c>
      <c r="G332" s="61" t="n">
        <v>2844622405</v>
      </c>
      <c r="H332" s="61" t="n">
        <v>1406228709</v>
      </c>
      <c r="I332" s="15" t="s">
        <v>1690</v>
      </c>
    </row>
    <row r="333" customFormat="false" ht="15" hidden="false" customHeight="false" outlineLevel="0" collapsed="false">
      <c r="A333" s="54" t="s">
        <v>1718</v>
      </c>
      <c r="B333" s="13" t="s">
        <v>1719</v>
      </c>
      <c r="C333" s="61"/>
      <c r="D333" s="61"/>
      <c r="E333" s="61"/>
      <c r="F333" s="61"/>
      <c r="G333" s="61" t="n">
        <v>3700208333</v>
      </c>
      <c r="H333" s="61" t="n">
        <v>1303158902</v>
      </c>
      <c r="I333" s="15" t="s">
        <v>1720</v>
      </c>
    </row>
    <row r="334" customFormat="false" ht="15" hidden="false" customHeight="false" outlineLevel="0" collapsed="false">
      <c r="A334" s="54" t="s">
        <v>1721</v>
      </c>
      <c r="B334" s="13" t="s">
        <v>1722</v>
      </c>
      <c r="C334" s="61" t="n">
        <v>424186397</v>
      </c>
      <c r="D334" s="61" t="n">
        <v>4397236850</v>
      </c>
      <c r="E334" s="61" t="n">
        <v>1788183297</v>
      </c>
      <c r="F334" s="61" t="n">
        <v>4646060074</v>
      </c>
      <c r="G334" s="61" t="n">
        <v>1692685776</v>
      </c>
      <c r="H334" s="61" t="n">
        <v>977150554</v>
      </c>
      <c r="I334" s="15" t="s">
        <v>1690</v>
      </c>
    </row>
    <row r="335" customFormat="false" ht="15" hidden="false" customHeight="false" outlineLevel="0" collapsed="false">
      <c r="A335" s="54" t="s">
        <v>1723</v>
      </c>
      <c r="B335" s="13" t="s">
        <v>1724</v>
      </c>
      <c r="C335" s="61" t="n">
        <v>331152317</v>
      </c>
      <c r="D335" s="61" t="n">
        <v>255402057</v>
      </c>
      <c r="E335" s="61" t="n">
        <v>409496755</v>
      </c>
      <c r="F335" s="61" t="n">
        <v>249808963</v>
      </c>
      <c r="G335" s="61" t="n">
        <v>315769183</v>
      </c>
      <c r="H335" s="61" t="n">
        <v>229166297</v>
      </c>
      <c r="I335" s="15" t="s">
        <v>1690</v>
      </c>
    </row>
    <row r="336" customFormat="false" ht="15" hidden="false" customHeight="false" outlineLevel="0" collapsed="false">
      <c r="A336" s="54" t="s">
        <v>1725</v>
      </c>
      <c r="B336" s="13" t="s">
        <v>1726</v>
      </c>
      <c r="C336" s="61" t="n">
        <v>478819177</v>
      </c>
      <c r="D336" s="61" t="n">
        <v>7952954189</v>
      </c>
      <c r="E336" s="61" t="n">
        <v>19714312735</v>
      </c>
      <c r="F336" s="61" t="n">
        <v>27225466427</v>
      </c>
      <c r="G336" s="61" t="n">
        <v>19634696669</v>
      </c>
      <c r="H336" s="61" t="n">
        <v>773785027</v>
      </c>
      <c r="I336" s="15" t="s">
        <v>1690</v>
      </c>
    </row>
    <row r="337" customFormat="false" ht="15" hidden="false" customHeight="false" outlineLevel="0" collapsed="false">
      <c r="A337" s="54" t="s">
        <v>1727</v>
      </c>
      <c r="B337" s="13" t="s">
        <v>1353</v>
      </c>
      <c r="C337" s="61" t="n">
        <v>4525026927</v>
      </c>
      <c r="D337" s="61" t="n">
        <v>2505411129</v>
      </c>
      <c r="E337" s="61" t="n">
        <v>5077764859</v>
      </c>
      <c r="F337" s="61" t="n">
        <v>11176989254</v>
      </c>
      <c r="G337" s="61" t="n">
        <v>11254429353</v>
      </c>
      <c r="H337" s="61" t="n">
        <v>24607440040</v>
      </c>
      <c r="I337" s="15" t="s">
        <v>1690</v>
      </c>
    </row>
    <row r="338" customFormat="false" ht="15" hidden="false" customHeight="false" outlineLevel="0" collapsed="false">
      <c r="A338" s="54" t="s">
        <v>1728</v>
      </c>
      <c r="B338" s="13" t="s">
        <v>1306</v>
      </c>
      <c r="C338" s="61" t="n">
        <v>326512973831</v>
      </c>
      <c r="D338" s="61" t="n">
        <v>472902134855</v>
      </c>
      <c r="E338" s="61" t="n">
        <v>510347314037</v>
      </c>
      <c r="F338" s="61" t="n">
        <v>570408858788</v>
      </c>
      <c r="G338" s="61" t="n">
        <v>576812865380</v>
      </c>
      <c r="H338" s="61" t="n">
        <v>593553244322</v>
      </c>
      <c r="I338" s="15" t="s">
        <v>1690</v>
      </c>
    </row>
    <row r="339" customFormat="false" ht="15" hidden="false" customHeight="false" outlineLevel="0" collapsed="false">
      <c r="A339" s="63" t="s">
        <v>1729</v>
      </c>
      <c r="B339" s="64" t="s">
        <v>1315</v>
      </c>
      <c r="C339" s="65" t="n">
        <f aca="false">C318+C319+C320+C321+C322+C323+C324+C325+C326+C327+C328+C329+C330+C331+C332+C333+C334+C335+C336+C337</f>
        <v>326512973831</v>
      </c>
      <c r="D339" s="65" t="n">
        <f aca="false">D318+D319+D320+D321+D322+D323+D324+D325+D326+D327+D328+D329+D330+D331+D332+D333+D334+D335+D336+D337</f>
        <v>472902134855</v>
      </c>
      <c r="E339" s="65" t="n">
        <f aca="false">E318+E319+E320+E321+E322+E323+E324+E325+E326+E327+E328+E329+E330+E331+E332+E333+E334+E335+E336+E337</f>
        <v>510347314037</v>
      </c>
      <c r="F339" s="65" t="n">
        <f aca="false">F318+F319+F320+F321+F322+F323+F324+F325+F326+F327+F328+F329+F330+F331+F332+F333+F334+F335+F336+F337</f>
        <v>570408858788</v>
      </c>
      <c r="G339" s="65" t="n">
        <f aca="false">G318+G319+G320+G321+G322+G323+G324+G325+G326+G327+G328+G329+G330+G331+G332+G333+G334+G335+G336+G337</f>
        <v>576812865380</v>
      </c>
      <c r="H339" s="65" t="n">
        <f aca="false">H318+H319+H320+H321+H322+H323+H324+H325+H326+H327+H328+H329+H330+H331+H332+H333+H334+H335+H336+H337</f>
        <v>593553244322</v>
      </c>
    </row>
    <row r="340" customFormat="false" ht="15" hidden="false" customHeight="false" outlineLevel="0" collapsed="false">
      <c r="B340" s="4" t="s">
        <v>1730</v>
      </c>
    </row>
    <row r="341" customFormat="false" ht="15" hidden="false" customHeight="false" outlineLevel="0" collapsed="false">
      <c r="A341" s="54" t="s">
        <v>1731</v>
      </c>
      <c r="B341" s="13" t="s">
        <v>1732</v>
      </c>
      <c r="C341" s="61" t="n">
        <v>336874850934</v>
      </c>
      <c r="D341" s="61" t="n">
        <v>510647767433</v>
      </c>
      <c r="E341" s="61" t="n">
        <v>549453811729</v>
      </c>
      <c r="F341" s="61" t="n">
        <v>605261362551</v>
      </c>
      <c r="G341" s="61"/>
      <c r="H341" s="61"/>
      <c r="I341" s="15" t="s">
        <v>1690</v>
      </c>
    </row>
    <row r="342" customFormat="false" ht="15" hidden="false" customHeight="false" outlineLevel="0" collapsed="false">
      <c r="B342" s="4" t="s">
        <v>1733</v>
      </c>
    </row>
    <row r="343" customFormat="false" ht="15" hidden="false" customHeight="false" outlineLevel="0" collapsed="false">
      <c r="A343" s="54" t="s">
        <v>1734</v>
      </c>
      <c r="B343" s="13" t="s">
        <v>1735</v>
      </c>
      <c r="C343" s="61" t="n">
        <v>1143751858222</v>
      </c>
      <c r="D343" s="61" t="n">
        <v>1692082925326</v>
      </c>
      <c r="E343" s="61"/>
      <c r="F343" s="61"/>
      <c r="G343" s="61" t="n">
        <v>1645708325784</v>
      </c>
      <c r="H343" s="61" t="n">
        <v>1662421301625</v>
      </c>
      <c r="I343" s="15" t="s">
        <v>1736</v>
      </c>
    </row>
    <row r="344" customFormat="false" ht="15" hidden="false" customHeight="false" outlineLevel="0" collapsed="false">
      <c r="A344" s="54" t="s">
        <v>1737</v>
      </c>
      <c r="B344" s="13" t="s">
        <v>1738</v>
      </c>
      <c r="C344" s="61" t="n">
        <v>-665942672176</v>
      </c>
      <c r="D344" s="61" t="n">
        <v>-908625358650</v>
      </c>
      <c r="E344" s="61"/>
      <c r="F344" s="61"/>
      <c r="G344" s="61" t="n">
        <v>-954921020326</v>
      </c>
      <c r="H344" s="61" t="n">
        <v>-939313766604</v>
      </c>
      <c r="I344" s="15" t="s">
        <v>1736</v>
      </c>
    </row>
    <row r="345" customFormat="false" ht="15" hidden="false" customHeight="false" outlineLevel="0" collapsed="false">
      <c r="A345" s="54" t="s">
        <v>1739</v>
      </c>
      <c r="B345" s="13" t="s">
        <v>1740</v>
      </c>
      <c r="C345" s="61" t="n">
        <v>477809186046</v>
      </c>
      <c r="D345" s="61" t="n">
        <v>783457566676</v>
      </c>
      <c r="E345" s="61"/>
      <c r="F345" s="61"/>
      <c r="G345" s="61" t="n">
        <v>690787305458</v>
      </c>
      <c r="H345" s="61" t="n">
        <v>723107535021</v>
      </c>
      <c r="I345" s="15" t="s">
        <v>1736</v>
      </c>
    </row>
    <row r="346" customFormat="false" ht="15" hidden="false" customHeight="false" outlineLevel="0" collapsed="false">
      <c r="A346" s="54" t="s">
        <v>1741</v>
      </c>
      <c r="B346" s="13" t="s">
        <v>1742</v>
      </c>
      <c r="C346" s="61" t="n">
        <v>-325662145703</v>
      </c>
      <c r="D346" s="61" t="n">
        <v>-423878124380</v>
      </c>
      <c r="E346" s="61"/>
      <c r="F346" s="61"/>
      <c r="G346" s="61" t="n">
        <v>-587878271350</v>
      </c>
      <c r="H346" s="61" t="n">
        <v>-620736132670</v>
      </c>
      <c r="I346" s="15" t="s">
        <v>1736</v>
      </c>
    </row>
    <row r="347" customFormat="false" ht="15" hidden="false" customHeight="false" outlineLevel="0" collapsed="false">
      <c r="A347" s="54" t="s">
        <v>1743</v>
      </c>
      <c r="B347" s="13" t="s">
        <v>1744</v>
      </c>
      <c r="C347" s="61" t="n">
        <v>4660482840</v>
      </c>
      <c r="D347" s="61" t="n">
        <v>7851072116</v>
      </c>
      <c r="E347" s="61"/>
      <c r="F347" s="61"/>
      <c r="G347" s="61" t="n">
        <v>18491219751</v>
      </c>
      <c r="H347" s="61" t="n">
        <v>22833605960</v>
      </c>
      <c r="I347" s="15" t="s">
        <v>1736</v>
      </c>
    </row>
    <row r="348" customFormat="false" ht="15" hidden="false" customHeight="false" outlineLevel="0" collapsed="false">
      <c r="A348" s="54" t="s">
        <v>1745</v>
      </c>
      <c r="B348" s="13" t="s">
        <v>1746</v>
      </c>
      <c r="C348" s="61" t="n">
        <v>-53099818893</v>
      </c>
      <c r="D348" s="61" t="n">
        <v>-27713331495</v>
      </c>
      <c r="E348" s="61"/>
      <c r="F348" s="61"/>
      <c r="G348" s="61" t="n">
        <v>-67897527073</v>
      </c>
      <c r="H348" s="61" t="n">
        <v>-67298233731</v>
      </c>
      <c r="I348" s="15" t="s">
        <v>1736</v>
      </c>
    </row>
    <row r="349" customFormat="false" ht="15" hidden="false" customHeight="false" outlineLevel="0" collapsed="false">
      <c r="A349" s="54" t="s">
        <v>1747</v>
      </c>
      <c r="B349" s="13" t="s">
        <v>1748</v>
      </c>
      <c r="C349" s="61" t="n">
        <v>9932549652</v>
      </c>
      <c r="D349" s="61" t="n">
        <v>26551075550</v>
      </c>
      <c r="E349" s="61"/>
      <c r="F349" s="61"/>
      <c r="G349" s="61" t="n">
        <v>-8837617927</v>
      </c>
      <c r="H349" s="61" t="n">
        <v>-25048656349</v>
      </c>
      <c r="I349" s="15" t="s">
        <v>1736</v>
      </c>
    </row>
    <row r="350" customFormat="false" ht="15" hidden="false" customHeight="false" outlineLevel="0" collapsed="false">
      <c r="A350" s="54" t="s">
        <v>1749</v>
      </c>
      <c r="B350" s="13" t="s">
        <v>1750</v>
      </c>
      <c r="C350" s="61" t="n">
        <v>139399387728</v>
      </c>
      <c r="D350" s="61" t="n">
        <v>391475232640</v>
      </c>
      <c r="E350" s="61"/>
      <c r="F350" s="61"/>
      <c r="G350" s="61" t="n">
        <v>44665108859</v>
      </c>
      <c r="H350" s="61" t="n">
        <v>32858118231</v>
      </c>
      <c r="I350" s="15" t="s">
        <v>1736</v>
      </c>
    </row>
    <row r="351" customFormat="false" ht="15" hidden="false" customHeight="false" outlineLevel="0" collapsed="false">
      <c r="A351" s="54" t="s">
        <v>1751</v>
      </c>
      <c r="B351" s="13" t="s">
        <v>1752</v>
      </c>
      <c r="C351" s="61" t="n">
        <v>-25801109311</v>
      </c>
      <c r="D351" s="61" t="n">
        <v>-82998797448</v>
      </c>
      <c r="E351" s="61"/>
      <c r="F351" s="61"/>
      <c r="G351" s="61" t="n">
        <v>-19067980258</v>
      </c>
      <c r="H351" s="61" t="n">
        <v>-14664076545</v>
      </c>
      <c r="I351" s="15" t="s">
        <v>1736</v>
      </c>
    </row>
    <row r="352" customFormat="false" ht="15" hidden="false" customHeight="false" outlineLevel="0" collapsed="false">
      <c r="A352" s="54" t="s">
        <v>1753</v>
      </c>
      <c r="B352" s="13" t="s">
        <v>1754</v>
      </c>
      <c r="C352" s="61" t="n">
        <v>113598278417</v>
      </c>
      <c r="D352" s="61" t="n">
        <v>308476435192</v>
      </c>
      <c r="E352" s="61"/>
      <c r="F352" s="61"/>
      <c r="G352" s="61" t="n">
        <v>25597128601</v>
      </c>
      <c r="H352" s="61" t="n">
        <v>18194041686</v>
      </c>
      <c r="I352" s="15" t="s">
        <v>1736</v>
      </c>
    </row>
    <row r="353" customFormat="false" ht="15" hidden="false" customHeight="false" outlineLevel="0" collapsed="false">
      <c r="A353" s="54" t="s">
        <v>1755</v>
      </c>
      <c r="B353" s="13" t="s">
        <v>1606</v>
      </c>
      <c r="C353" s="61" t="n">
        <v>124382403325</v>
      </c>
      <c r="D353" s="61" t="n">
        <v>-3168306756</v>
      </c>
      <c r="E353" s="61"/>
      <c r="F353" s="61"/>
      <c r="G353" s="61" t="n">
        <v>-3117429829</v>
      </c>
      <c r="H353" s="61" t="n">
        <v>234611626618</v>
      </c>
      <c r="I353" s="15" t="s">
        <v>1736</v>
      </c>
    </row>
    <row r="354" customFormat="false" ht="15" hidden="false" customHeight="false" outlineLevel="0" collapsed="false">
      <c r="A354" s="54" t="s">
        <v>1756</v>
      </c>
      <c r="B354" s="13" t="s">
        <v>1757</v>
      </c>
      <c r="C354" s="61" t="n">
        <v>237980681742</v>
      </c>
      <c r="D354" s="61" t="n">
        <v>305308128436</v>
      </c>
      <c r="E354" s="61"/>
      <c r="F354" s="61"/>
      <c r="G354" s="61" t="n">
        <v>22479698772</v>
      </c>
      <c r="H354" s="61" t="n">
        <v>252805668304</v>
      </c>
      <c r="I354" s="15" t="s">
        <v>1736</v>
      </c>
    </row>
    <row r="355" customFormat="false" ht="15" hidden="false" customHeight="false" outlineLevel="0" collapsed="false">
      <c r="A355" s="54" t="s">
        <v>1758</v>
      </c>
      <c r="B355" s="13" t="s">
        <v>1759</v>
      </c>
      <c r="C355" s="61" t="n">
        <v>2307799767003</v>
      </c>
      <c r="D355" s="61" t="n">
        <v>2907796241234</v>
      </c>
      <c r="E355" s="61"/>
      <c r="F355" s="61"/>
      <c r="G355" s="61" t="n">
        <v>4407722937143</v>
      </c>
      <c r="H355" s="61" t="n">
        <v>5030918162976</v>
      </c>
      <c r="I355" s="15" t="s">
        <v>1736</v>
      </c>
    </row>
    <row r="356" customFormat="false" ht="15" hidden="false" customHeight="false" outlineLevel="0" collapsed="false">
      <c r="A356" s="54" t="s">
        <v>1760</v>
      </c>
      <c r="B356" s="13" t="s">
        <v>1761</v>
      </c>
      <c r="C356" s="61" t="n">
        <v>1248070998695</v>
      </c>
      <c r="D356" s="61" t="n">
        <v>1222582681915</v>
      </c>
      <c r="E356" s="61"/>
      <c r="F356" s="61"/>
      <c r="G356" s="61" t="n">
        <v>1779350874631</v>
      </c>
      <c r="H356" s="61" t="n">
        <v>2114900993357</v>
      </c>
      <c r="I356" s="15" t="s">
        <v>1736</v>
      </c>
    </row>
    <row r="357" customFormat="false" ht="15" hidden="false" customHeight="false" outlineLevel="0" collapsed="false">
      <c r="A357" s="54" t="s">
        <v>1762</v>
      </c>
      <c r="B357" s="13" t="s">
        <v>1763</v>
      </c>
      <c r="C357" s="61" t="n">
        <v>79203422006</v>
      </c>
      <c r="D357" s="61" t="n">
        <v>221522249320</v>
      </c>
      <c r="E357" s="61"/>
      <c r="F357" s="61"/>
      <c r="G357" s="61" t="n">
        <v>163357162218</v>
      </c>
      <c r="H357" s="61" t="n">
        <v>294221671641</v>
      </c>
      <c r="I357" s="15" t="s">
        <v>1736</v>
      </c>
    </row>
    <row r="358" customFormat="false" ht="15" hidden="false" customHeight="false" outlineLevel="0" collapsed="false">
      <c r="A358" s="54" t="s">
        <v>1764</v>
      </c>
      <c r="B358" s="13" t="s">
        <v>1765</v>
      </c>
      <c r="C358" s="61" t="n">
        <v>53852154725</v>
      </c>
      <c r="D358" s="61" t="n">
        <v>54060878438</v>
      </c>
      <c r="E358" s="61"/>
      <c r="F358" s="61"/>
      <c r="G358" s="61" t="n">
        <v>95177492806</v>
      </c>
      <c r="H358" s="61" t="n">
        <v>72398811838</v>
      </c>
      <c r="I358" s="15" t="s">
        <v>1736</v>
      </c>
    </row>
    <row r="359" customFormat="false" ht="15" hidden="false" customHeight="false" outlineLevel="0" collapsed="false">
      <c r="A359" s="54" t="s">
        <v>1766</v>
      </c>
      <c r="B359" s="13" t="s">
        <v>1767</v>
      </c>
      <c r="C359" s="61" t="n">
        <v>-57270000</v>
      </c>
      <c r="D359" s="61" t="n">
        <v>0</v>
      </c>
      <c r="E359" s="61"/>
      <c r="F359" s="61"/>
      <c r="G359" s="61"/>
      <c r="H359" s="61"/>
      <c r="I359" s="15" t="s">
        <v>1464</v>
      </c>
    </row>
    <row r="360" customFormat="false" ht="15" hidden="false" customHeight="false" outlineLevel="0" collapsed="false">
      <c r="A360" s="54" t="s">
        <v>1768</v>
      </c>
      <c r="B360" s="13" t="s">
        <v>1769</v>
      </c>
      <c r="C360" s="61" t="n">
        <v>25816403786</v>
      </c>
      <c r="D360" s="61" t="n">
        <v>25206974173</v>
      </c>
      <c r="E360" s="61"/>
      <c r="F360" s="61"/>
      <c r="G360" s="61"/>
      <c r="H360" s="61"/>
      <c r="I360" s="15" t="s">
        <v>1464</v>
      </c>
    </row>
    <row r="361" customFormat="false" ht="15" hidden="false" customHeight="false" outlineLevel="0" collapsed="false">
      <c r="B361" s="4" t="s">
        <v>1770</v>
      </c>
    </row>
    <row r="362" customFormat="false" ht="15" hidden="false" customHeight="false" outlineLevel="0" collapsed="false">
      <c r="A362" s="54" t="s">
        <v>1771</v>
      </c>
      <c r="B362" s="13" t="s">
        <v>1735</v>
      </c>
      <c r="C362" s="61" t="n">
        <v>128427854974</v>
      </c>
      <c r="D362" s="61" t="n">
        <v>182559081431</v>
      </c>
      <c r="E362" s="61"/>
      <c r="F362" s="61"/>
      <c r="G362" s="61" t="n">
        <v>175347264944</v>
      </c>
      <c r="H362" s="61" t="n">
        <v>211180133646</v>
      </c>
      <c r="I362" s="15" t="s">
        <v>1736</v>
      </c>
    </row>
    <row r="363" customFormat="false" ht="15" hidden="false" customHeight="false" outlineLevel="0" collapsed="false">
      <c r="A363" s="54" t="s">
        <v>1772</v>
      </c>
      <c r="B363" s="13" t="s">
        <v>1738</v>
      </c>
      <c r="C363" s="61" t="n">
        <v>-113086450532</v>
      </c>
      <c r="D363" s="61" t="n">
        <v>-142412644323</v>
      </c>
      <c r="E363" s="61"/>
      <c r="F363" s="61"/>
      <c r="G363" s="61" t="n">
        <v>-150763167296</v>
      </c>
      <c r="H363" s="61" t="n">
        <v>-177316835825</v>
      </c>
      <c r="I363" s="15" t="s">
        <v>1736</v>
      </c>
    </row>
    <row r="364" customFormat="false" ht="15" hidden="false" customHeight="false" outlineLevel="0" collapsed="false">
      <c r="A364" s="54" t="s">
        <v>1773</v>
      </c>
      <c r="B364" s="13" t="s">
        <v>1740</v>
      </c>
      <c r="C364" s="61" t="n">
        <v>15341404442</v>
      </c>
      <c r="D364" s="61" t="n">
        <v>40146437108</v>
      </c>
      <c r="E364" s="61"/>
      <c r="F364" s="61"/>
      <c r="G364" s="61" t="n">
        <v>24584097648</v>
      </c>
      <c r="H364" s="61" t="n">
        <v>33863297821</v>
      </c>
      <c r="I364" s="15" t="s">
        <v>1736</v>
      </c>
    </row>
    <row r="365" customFormat="false" ht="15" hidden="false" customHeight="false" outlineLevel="0" collapsed="false">
      <c r="A365" s="54" t="s">
        <v>1774</v>
      </c>
      <c r="B365" s="13" t="s">
        <v>1742</v>
      </c>
      <c r="C365" s="61" t="n">
        <v>-16742776151</v>
      </c>
      <c r="D365" s="61" t="n">
        <v>-18412486178</v>
      </c>
      <c r="E365" s="61"/>
      <c r="F365" s="61"/>
      <c r="G365" s="61" t="n">
        <v>-27838006018</v>
      </c>
      <c r="H365" s="61" t="n">
        <v>-24556845346</v>
      </c>
      <c r="I365" s="15" t="s">
        <v>1736</v>
      </c>
    </row>
    <row r="366" customFormat="false" ht="15" hidden="false" customHeight="false" outlineLevel="0" collapsed="false">
      <c r="A366" s="54" t="s">
        <v>1775</v>
      </c>
      <c r="B366" s="13" t="s">
        <v>1744</v>
      </c>
      <c r="C366" s="61" t="n">
        <v>73503418</v>
      </c>
      <c r="D366" s="61" t="n">
        <v>110153373</v>
      </c>
      <c r="E366" s="61"/>
      <c r="F366" s="61"/>
      <c r="G366" s="61" t="n">
        <v>149616874</v>
      </c>
      <c r="H366" s="61" t="n">
        <v>97239634</v>
      </c>
      <c r="I366" s="15" t="s">
        <v>1736</v>
      </c>
    </row>
    <row r="367" customFormat="false" ht="15" hidden="false" customHeight="false" outlineLevel="0" collapsed="false">
      <c r="A367" s="54" t="s">
        <v>1776</v>
      </c>
      <c r="B367" s="13" t="s">
        <v>1746</v>
      </c>
      <c r="C367" s="61" t="n">
        <v>-19899295</v>
      </c>
      <c r="D367" s="61" t="n">
        <v>-40515910</v>
      </c>
      <c r="E367" s="61"/>
      <c r="F367" s="61"/>
      <c r="G367" s="61" t="n">
        <v>-155921382</v>
      </c>
      <c r="H367" s="61" t="n">
        <v>-290540121</v>
      </c>
      <c r="I367" s="15" t="s">
        <v>1736</v>
      </c>
    </row>
    <row r="368" customFormat="false" ht="15" hidden="false" customHeight="false" outlineLevel="0" collapsed="false">
      <c r="A368" s="54" t="s">
        <v>1777</v>
      </c>
      <c r="B368" s="13" t="s">
        <v>1748</v>
      </c>
      <c r="C368" s="61" t="n">
        <v>-580520604</v>
      </c>
      <c r="D368" s="61" t="n">
        <v>-65548137</v>
      </c>
      <c r="E368" s="61"/>
      <c r="F368" s="61"/>
      <c r="G368" s="61" t="n">
        <v>-5035261011</v>
      </c>
      <c r="H368" s="61" t="n">
        <v>-12970598448</v>
      </c>
      <c r="I368" s="15" t="s">
        <v>1736</v>
      </c>
    </row>
    <row r="369" customFormat="false" ht="15" hidden="false" customHeight="false" outlineLevel="0" collapsed="false">
      <c r="A369" s="54" t="s">
        <v>1778</v>
      </c>
      <c r="B369" s="13" t="s">
        <v>1750</v>
      </c>
      <c r="C369" s="61" t="n">
        <v>-1967450175</v>
      </c>
      <c r="D369" s="61" t="n">
        <v>21738040256</v>
      </c>
      <c r="E369" s="61"/>
      <c r="F369" s="61"/>
      <c r="G369" s="61" t="n">
        <v>-8295473889</v>
      </c>
      <c r="H369" s="61" t="n">
        <v>-3857446460</v>
      </c>
      <c r="I369" s="15" t="s">
        <v>1736</v>
      </c>
    </row>
    <row r="370" customFormat="false" ht="15" hidden="false" customHeight="false" outlineLevel="0" collapsed="false">
      <c r="A370" s="54" t="s">
        <v>1779</v>
      </c>
      <c r="B370" s="13" t="s">
        <v>1752</v>
      </c>
      <c r="C370" s="61" t="n">
        <v>-730742434</v>
      </c>
      <c r="D370" s="61" t="n">
        <v>-528493766</v>
      </c>
      <c r="E370" s="61"/>
      <c r="F370" s="61"/>
      <c r="G370" s="61" t="n">
        <v>-629966984</v>
      </c>
      <c r="H370" s="61" t="n">
        <v>-945430475</v>
      </c>
      <c r="I370" s="15" t="s">
        <v>1736</v>
      </c>
    </row>
    <row r="371" customFormat="false" ht="15" hidden="false" customHeight="false" outlineLevel="0" collapsed="false">
      <c r="A371" s="54" t="s">
        <v>1780</v>
      </c>
      <c r="B371" s="13" t="s">
        <v>1754</v>
      </c>
      <c r="C371" s="61" t="n">
        <v>-2698192609</v>
      </c>
      <c r="D371" s="61" t="n">
        <v>21209546490</v>
      </c>
      <c r="E371" s="61"/>
      <c r="F371" s="61"/>
      <c r="G371" s="61" t="n">
        <v>-8925440873</v>
      </c>
      <c r="H371" s="61" t="n">
        <v>-4802876935</v>
      </c>
      <c r="I371" s="15" t="s">
        <v>1736</v>
      </c>
    </row>
    <row r="372" customFormat="false" ht="15" hidden="false" customHeight="false" outlineLevel="0" collapsed="false">
      <c r="A372" s="54" t="s">
        <v>1781</v>
      </c>
      <c r="B372" s="13" t="s">
        <v>1606</v>
      </c>
      <c r="C372" s="61" t="n">
        <v>2163191443</v>
      </c>
      <c r="D372" s="61" t="n">
        <v>2130646789</v>
      </c>
      <c r="E372" s="61"/>
      <c r="F372" s="61"/>
      <c r="G372" s="61" t="n">
        <v>-914575214</v>
      </c>
      <c r="H372" s="61" t="n">
        <v>-1473048710</v>
      </c>
      <c r="I372" s="15" t="s">
        <v>1736</v>
      </c>
    </row>
    <row r="373" customFormat="false" ht="15" hidden="false" customHeight="false" outlineLevel="0" collapsed="false">
      <c r="A373" s="54" t="s">
        <v>1782</v>
      </c>
      <c r="B373" s="13" t="s">
        <v>1757</v>
      </c>
      <c r="C373" s="61" t="n">
        <v>-535001166</v>
      </c>
      <c r="D373" s="61" t="n">
        <v>23340193279</v>
      </c>
      <c r="E373" s="61"/>
      <c r="F373" s="61"/>
      <c r="G373" s="61" t="n">
        <v>-9840016087</v>
      </c>
      <c r="H373" s="61" t="n">
        <v>-6275925645</v>
      </c>
      <c r="I373" s="15" t="s">
        <v>1736</v>
      </c>
    </row>
    <row r="374" customFormat="false" ht="15" hidden="false" customHeight="false" outlineLevel="0" collapsed="false">
      <c r="A374" s="54" t="s">
        <v>1783</v>
      </c>
      <c r="B374" s="13" t="s">
        <v>1759</v>
      </c>
      <c r="C374" s="61" t="n">
        <v>70567303895</v>
      </c>
      <c r="D374" s="61" t="n">
        <v>77970716682</v>
      </c>
      <c r="E374" s="61"/>
      <c r="F374" s="61"/>
      <c r="G374" s="61" t="n">
        <v>355648110160</v>
      </c>
      <c r="H374" s="61" t="n">
        <v>387578562815</v>
      </c>
      <c r="I374" s="15" t="s">
        <v>1736</v>
      </c>
    </row>
    <row r="375" customFormat="false" ht="15" hidden="false" customHeight="false" outlineLevel="0" collapsed="false">
      <c r="A375" s="54" t="s">
        <v>1784</v>
      </c>
      <c r="B375" s="13" t="s">
        <v>1761</v>
      </c>
      <c r="C375" s="61" t="n">
        <v>50604326041</v>
      </c>
      <c r="D375" s="61" t="n">
        <v>49960902775</v>
      </c>
      <c r="E375" s="61"/>
      <c r="F375" s="61"/>
      <c r="G375" s="61" t="n">
        <v>215743278220</v>
      </c>
      <c r="H375" s="61" t="n">
        <v>250308423694</v>
      </c>
      <c r="I375" s="15" t="s">
        <v>1736</v>
      </c>
    </row>
    <row r="376" customFormat="false" ht="15" hidden="false" customHeight="false" outlineLevel="0" collapsed="false">
      <c r="A376" s="54" t="s">
        <v>1785</v>
      </c>
      <c r="B376" s="13" t="s">
        <v>1763</v>
      </c>
      <c r="C376" s="61" t="n">
        <v>5681537887</v>
      </c>
      <c r="D376" s="61" t="n">
        <v>6557225899</v>
      </c>
      <c r="E376" s="61"/>
      <c r="F376" s="61"/>
      <c r="G376" s="61" t="n">
        <v>4531102590</v>
      </c>
      <c r="H376" s="61" t="n">
        <v>84705439</v>
      </c>
      <c r="I376" s="15" t="s">
        <v>1736</v>
      </c>
    </row>
    <row r="377" customFormat="false" ht="15" hidden="false" customHeight="false" outlineLevel="0" collapsed="false">
      <c r="A377" s="54" t="s">
        <v>1786</v>
      </c>
      <c r="B377" s="13" t="s">
        <v>1765</v>
      </c>
      <c r="C377" s="61" t="n">
        <v>1743910496</v>
      </c>
      <c r="D377" s="61" t="n">
        <v>3728025421</v>
      </c>
      <c r="E377" s="61"/>
      <c r="F377" s="61"/>
      <c r="G377" s="61" t="n">
        <v>6032997404</v>
      </c>
      <c r="H377" s="61" t="n">
        <v>6919818160</v>
      </c>
      <c r="I377" s="15" t="s">
        <v>1736</v>
      </c>
    </row>
    <row r="378" customFormat="false" ht="15" hidden="false" customHeight="false" outlineLevel="0" collapsed="false">
      <c r="A378" s="54" t="s">
        <v>1787</v>
      </c>
      <c r="B378" s="13" t="s">
        <v>1767</v>
      </c>
      <c r="C378" s="61" t="n">
        <v>-39161985</v>
      </c>
      <c r="D378" s="61" t="n">
        <v>0</v>
      </c>
      <c r="E378" s="61"/>
      <c r="F378" s="61"/>
      <c r="G378" s="61"/>
      <c r="H378" s="61"/>
      <c r="I378" s="15" t="s">
        <v>1464</v>
      </c>
    </row>
    <row r="379" customFormat="false" ht="15" hidden="false" customHeight="false" outlineLevel="0" collapsed="false">
      <c r="A379" s="54" t="s">
        <v>1788</v>
      </c>
      <c r="B379" s="13" t="s">
        <v>1769</v>
      </c>
      <c r="C379" s="61" t="n">
        <v>0</v>
      </c>
      <c r="D379" s="61" t="n">
        <v>0</v>
      </c>
      <c r="E379" s="61"/>
      <c r="F379" s="61"/>
      <c r="G379" s="61"/>
      <c r="H379" s="61"/>
      <c r="I379" s="15" t="s">
        <v>1464</v>
      </c>
    </row>
    <row r="380" customFormat="false" ht="15" hidden="false" customHeight="false" outlineLevel="0" collapsed="false">
      <c r="B380" s="4" t="s">
        <v>1789</v>
      </c>
    </row>
    <row r="381" customFormat="false" ht="15" hidden="false" customHeight="false" outlineLevel="0" collapsed="false">
      <c r="A381" s="54" t="s">
        <v>1790</v>
      </c>
      <c r="B381" s="13" t="s">
        <v>1735</v>
      </c>
      <c r="C381" s="61" t="n">
        <v>-124035331484</v>
      </c>
      <c r="D381" s="61" t="n">
        <v>-163882790961</v>
      </c>
      <c r="E381" s="61"/>
      <c r="F381" s="61"/>
      <c r="G381" s="61" t="n">
        <v>-266370580392</v>
      </c>
      <c r="H381" s="61" t="n">
        <v>-259260663759</v>
      </c>
      <c r="I381" s="15" t="s">
        <v>1736</v>
      </c>
    </row>
    <row r="382" customFormat="false" ht="15" hidden="false" customHeight="false" outlineLevel="0" collapsed="false">
      <c r="A382" s="54" t="s">
        <v>1791</v>
      </c>
      <c r="B382" s="13" t="s">
        <v>1738</v>
      </c>
      <c r="C382" s="61" t="n">
        <v>124035331484</v>
      </c>
      <c r="D382" s="61" t="n">
        <v>163799687702</v>
      </c>
      <c r="E382" s="61"/>
      <c r="F382" s="61"/>
      <c r="G382" s="61" t="n">
        <v>258136192778</v>
      </c>
      <c r="H382" s="61" t="n">
        <v>246782297027</v>
      </c>
      <c r="I382" s="15" t="s">
        <v>1736</v>
      </c>
    </row>
    <row r="383" customFormat="false" ht="15" hidden="false" customHeight="false" outlineLevel="0" collapsed="false">
      <c r="A383" s="54" t="s">
        <v>1792</v>
      </c>
      <c r="B383" s="13" t="s">
        <v>1740</v>
      </c>
      <c r="C383" s="61" t="n">
        <v>0</v>
      </c>
      <c r="D383" s="61" t="n">
        <v>-83103259</v>
      </c>
      <c r="E383" s="61"/>
      <c r="F383" s="61"/>
      <c r="G383" s="61" t="n">
        <v>-8234387614</v>
      </c>
      <c r="H383" s="61" t="n">
        <v>-12478366732</v>
      </c>
      <c r="I383" s="15" t="s">
        <v>1736</v>
      </c>
    </row>
    <row r="384" customFormat="false" ht="15" hidden="false" customHeight="false" outlineLevel="0" collapsed="false">
      <c r="A384" s="54" t="s">
        <v>1793</v>
      </c>
      <c r="B384" s="13" t="s">
        <v>1742</v>
      </c>
      <c r="C384" s="61" t="n">
        <v>5626502905</v>
      </c>
      <c r="D384" s="61" t="n">
        <v>692501571</v>
      </c>
      <c r="E384" s="61"/>
      <c r="F384" s="61"/>
      <c r="G384" s="61" t="n">
        <v>7645844371</v>
      </c>
      <c r="H384" s="61" t="n">
        <v>16730053021</v>
      </c>
      <c r="I384" s="15" t="s">
        <v>1736</v>
      </c>
    </row>
    <row r="385" customFormat="false" ht="15" hidden="false" customHeight="false" outlineLevel="0" collapsed="false">
      <c r="A385" s="54" t="s">
        <v>1794</v>
      </c>
      <c r="B385" s="13" t="s">
        <v>1744</v>
      </c>
      <c r="C385" s="61" t="n">
        <v>0</v>
      </c>
      <c r="D385" s="61" t="n">
        <v>0</v>
      </c>
      <c r="E385" s="61"/>
      <c r="F385" s="61"/>
      <c r="G385" s="61" t="n">
        <v>0</v>
      </c>
      <c r="H385" s="61" t="n">
        <v>0</v>
      </c>
      <c r="I385" s="15" t="s">
        <v>1736</v>
      </c>
    </row>
    <row r="386" customFormat="false" ht="15" hidden="false" customHeight="false" outlineLevel="0" collapsed="false">
      <c r="A386" s="54" t="s">
        <v>1795</v>
      </c>
      <c r="B386" s="13" t="s">
        <v>1746</v>
      </c>
      <c r="C386" s="61" t="n">
        <v>0</v>
      </c>
      <c r="D386" s="61" t="n">
        <v>0</v>
      </c>
      <c r="E386" s="61"/>
      <c r="F386" s="61"/>
      <c r="G386" s="61" t="n">
        <v>0</v>
      </c>
      <c r="H386" s="61" t="n">
        <v>61380962</v>
      </c>
      <c r="I386" s="15" t="s">
        <v>1736</v>
      </c>
    </row>
    <row r="387" customFormat="false" ht="15" hidden="false" customHeight="false" outlineLevel="0" collapsed="false">
      <c r="A387" s="54" t="s">
        <v>1796</v>
      </c>
      <c r="B387" s="13" t="s">
        <v>1748</v>
      </c>
      <c r="C387" s="61" t="n">
        <v>1933497063</v>
      </c>
      <c r="D387" s="61" t="n">
        <v>-14931483240</v>
      </c>
      <c r="E387" s="61"/>
      <c r="F387" s="61"/>
      <c r="G387" s="61" t="n">
        <v>2812639782</v>
      </c>
      <c r="H387" s="61" t="n">
        <v>11968910531</v>
      </c>
      <c r="I387" s="15" t="s">
        <v>1736</v>
      </c>
    </row>
    <row r="388" customFormat="false" ht="15" hidden="false" customHeight="false" outlineLevel="0" collapsed="false">
      <c r="A388" s="54" t="s">
        <v>1797</v>
      </c>
      <c r="B388" s="13" t="s">
        <v>1750</v>
      </c>
      <c r="C388" s="61" t="n">
        <v>7559999968</v>
      </c>
      <c r="D388" s="61" t="n">
        <v>-14322084928</v>
      </c>
      <c r="E388" s="61"/>
      <c r="F388" s="61"/>
      <c r="G388" s="61" t="n">
        <v>2224096539</v>
      </c>
      <c r="H388" s="61" t="n">
        <v>16281977782</v>
      </c>
      <c r="I388" s="15" t="s">
        <v>1736</v>
      </c>
    </row>
    <row r="389" customFormat="false" ht="15" hidden="false" customHeight="false" outlineLevel="0" collapsed="false">
      <c r="A389" s="54" t="s">
        <v>1798</v>
      </c>
      <c r="B389" s="13" t="s">
        <v>1752</v>
      </c>
      <c r="C389" s="61" t="n">
        <v>0</v>
      </c>
      <c r="D389" s="61" t="n">
        <v>0</v>
      </c>
      <c r="E389" s="61"/>
      <c r="F389" s="61"/>
      <c r="G389" s="61" t="n">
        <v>0</v>
      </c>
      <c r="H389" s="61" t="n">
        <v>0</v>
      </c>
      <c r="I389" s="15" t="s">
        <v>1736</v>
      </c>
    </row>
    <row r="390" customFormat="false" ht="15" hidden="false" customHeight="false" outlineLevel="0" collapsed="false">
      <c r="A390" s="54" t="s">
        <v>1799</v>
      </c>
      <c r="B390" s="13" t="s">
        <v>1754</v>
      </c>
      <c r="C390" s="61" t="n">
        <v>7559999968</v>
      </c>
      <c r="D390" s="61" t="n">
        <v>-14322084928</v>
      </c>
      <c r="E390" s="61"/>
      <c r="F390" s="61"/>
      <c r="G390" s="61" t="n">
        <v>2224096539</v>
      </c>
      <c r="H390" s="61" t="n">
        <v>16281977782</v>
      </c>
      <c r="I390" s="15" t="s">
        <v>1736</v>
      </c>
    </row>
    <row r="391" customFormat="false" ht="15" hidden="false" customHeight="false" outlineLevel="0" collapsed="false">
      <c r="A391" s="54" t="s">
        <v>1800</v>
      </c>
      <c r="B391" s="13" t="s">
        <v>1606</v>
      </c>
      <c r="C391" s="61" t="n">
        <v>760941828</v>
      </c>
      <c r="D391" s="61" t="n">
        <v>0</v>
      </c>
      <c r="E391" s="61"/>
      <c r="F391" s="61"/>
      <c r="G391" s="61" t="n">
        <v>0</v>
      </c>
      <c r="H391" s="61" t="n">
        <v>0</v>
      </c>
      <c r="I391" s="15" t="s">
        <v>1736</v>
      </c>
    </row>
    <row r="392" customFormat="false" ht="15" hidden="false" customHeight="false" outlineLevel="0" collapsed="false">
      <c r="A392" s="54" t="s">
        <v>1801</v>
      </c>
      <c r="B392" s="13" t="s">
        <v>1757</v>
      </c>
      <c r="C392" s="61" t="n">
        <v>8320941796</v>
      </c>
      <c r="D392" s="61" t="n">
        <v>-14322084928</v>
      </c>
      <c r="E392" s="61"/>
      <c r="F392" s="61"/>
      <c r="G392" s="61" t="n">
        <v>2224096539</v>
      </c>
      <c r="H392" s="61" t="n">
        <v>16281977782</v>
      </c>
      <c r="I392" s="15" t="s">
        <v>1736</v>
      </c>
    </row>
    <row r="393" customFormat="false" ht="15" hidden="false" customHeight="false" outlineLevel="0" collapsed="false">
      <c r="A393" s="54" t="s">
        <v>1802</v>
      </c>
      <c r="B393" s="13" t="s">
        <v>1759</v>
      </c>
      <c r="C393" s="61" t="n">
        <v>-215830236433</v>
      </c>
      <c r="D393" s="61" t="n">
        <v>-298136412202</v>
      </c>
      <c r="E393" s="61"/>
      <c r="F393" s="61"/>
      <c r="G393" s="61" t="n">
        <v>-1317010143555</v>
      </c>
      <c r="H393" s="61" t="n">
        <v>-1402067290648</v>
      </c>
      <c r="I393" s="15" t="s">
        <v>1736</v>
      </c>
    </row>
    <row r="394" customFormat="false" ht="15" hidden="false" customHeight="false" outlineLevel="0" collapsed="false">
      <c r="A394" s="54" t="s">
        <v>1803</v>
      </c>
      <c r="B394" s="13" t="s">
        <v>1761</v>
      </c>
      <c r="C394" s="61" t="n">
        <v>-185837875884</v>
      </c>
      <c r="D394" s="61" t="n">
        <v>-271687870413</v>
      </c>
      <c r="E394" s="61"/>
      <c r="F394" s="61"/>
      <c r="G394" s="61" t="n">
        <v>-696468933824</v>
      </c>
      <c r="H394" s="61" t="n">
        <v>-743286998420</v>
      </c>
      <c r="I394" s="15" t="s">
        <v>1736</v>
      </c>
    </row>
    <row r="395" customFormat="false" ht="15" hidden="false" customHeight="false" outlineLevel="0" collapsed="false">
      <c r="A395" s="54" t="s">
        <v>1804</v>
      </c>
      <c r="B395" s="13" t="s">
        <v>1763</v>
      </c>
      <c r="C395" s="61" t="n">
        <v>0</v>
      </c>
      <c r="D395" s="61" t="n">
        <v>0</v>
      </c>
      <c r="E395" s="61"/>
      <c r="F395" s="61"/>
      <c r="G395" s="61" t="n">
        <v>0</v>
      </c>
      <c r="H395" s="61" t="n">
        <v>0</v>
      </c>
      <c r="I395" s="15" t="s">
        <v>1736</v>
      </c>
    </row>
    <row r="396" customFormat="false" ht="15" hidden="false" customHeight="false" outlineLevel="0" collapsed="false">
      <c r="A396" s="54" t="s">
        <v>1805</v>
      </c>
      <c r="B396" s="13" t="s">
        <v>1765</v>
      </c>
      <c r="C396" s="61" t="n">
        <v>0</v>
      </c>
      <c r="D396" s="61" t="n">
        <v>0</v>
      </c>
      <c r="E396" s="61"/>
      <c r="F396" s="61"/>
      <c r="G396" s="61" t="n">
        <v>-6125258648</v>
      </c>
      <c r="H396" s="61" t="n">
        <v>0</v>
      </c>
      <c r="I396" s="15" t="s">
        <v>1736</v>
      </c>
    </row>
    <row r="397" customFormat="false" ht="15" hidden="false" customHeight="false" outlineLevel="0" collapsed="false">
      <c r="A397" s="54" t="s">
        <v>1806</v>
      </c>
      <c r="B397" s="13" t="s">
        <v>1767</v>
      </c>
      <c r="C397" s="61" t="n">
        <v>0</v>
      </c>
      <c r="D397" s="61" t="n">
        <v>0</v>
      </c>
      <c r="E397" s="61"/>
      <c r="F397" s="61"/>
      <c r="G397" s="61"/>
      <c r="H397" s="61"/>
      <c r="I397" s="15" t="s">
        <v>1464</v>
      </c>
    </row>
    <row r="398" customFormat="false" ht="15" hidden="false" customHeight="false" outlineLevel="0" collapsed="false">
      <c r="A398" s="54" t="s">
        <v>1807</v>
      </c>
      <c r="B398" s="13" t="s">
        <v>1769</v>
      </c>
      <c r="C398" s="61" t="n">
        <v>0</v>
      </c>
      <c r="D398" s="61" t="n">
        <v>0</v>
      </c>
      <c r="E398" s="61"/>
      <c r="F398" s="61"/>
      <c r="G398" s="61"/>
      <c r="H398" s="61"/>
      <c r="I398" s="15" t="s">
        <v>1464</v>
      </c>
    </row>
    <row r="399" customFormat="false" ht="15" hidden="false" customHeight="false" outlineLevel="0" collapsed="false">
      <c r="B399" s="4" t="s">
        <v>1808</v>
      </c>
    </row>
    <row r="400" customFormat="false" ht="15" hidden="false" customHeight="false" outlineLevel="0" collapsed="false">
      <c r="A400" s="54" t="s">
        <v>1809</v>
      </c>
      <c r="B400" s="13" t="s">
        <v>1735</v>
      </c>
      <c r="C400" s="61" t="n">
        <v>1148144381712</v>
      </c>
      <c r="D400" s="61" t="n">
        <v>1710759215796</v>
      </c>
      <c r="E400" s="61"/>
      <c r="F400" s="61"/>
      <c r="G400" s="61" t="n">
        <v>1554685010336</v>
      </c>
      <c r="H400" s="61" t="n">
        <v>1614340771512</v>
      </c>
      <c r="I400" s="15" t="s">
        <v>1736</v>
      </c>
    </row>
    <row r="401" customFormat="false" ht="15" hidden="false" customHeight="false" outlineLevel="0" collapsed="false">
      <c r="A401" s="54" t="s">
        <v>1810</v>
      </c>
      <c r="B401" s="13" t="s">
        <v>1738</v>
      </c>
      <c r="C401" s="61" t="n">
        <v>-654993791224</v>
      </c>
      <c r="D401" s="61" t="n">
        <v>-887238315271</v>
      </c>
      <c r="E401" s="61"/>
      <c r="F401" s="61"/>
      <c r="G401" s="61" t="n">
        <v>-847547994844</v>
      </c>
      <c r="H401" s="61" t="n">
        <v>-869848305402</v>
      </c>
      <c r="I401" s="15" t="s">
        <v>1736</v>
      </c>
    </row>
    <row r="402" customFormat="false" ht="15" hidden="false" customHeight="false" outlineLevel="0" collapsed="false">
      <c r="A402" s="54" t="s">
        <v>1811</v>
      </c>
      <c r="B402" s="13" t="s">
        <v>1740</v>
      </c>
      <c r="C402" s="61" t="n">
        <v>493150590488</v>
      </c>
      <c r="D402" s="61" t="n">
        <v>823520900525</v>
      </c>
      <c r="E402" s="61"/>
      <c r="F402" s="61"/>
      <c r="G402" s="61" t="n">
        <v>707137015492</v>
      </c>
      <c r="H402" s="61" t="n">
        <v>744492466110</v>
      </c>
      <c r="I402" s="15" t="s">
        <v>1736</v>
      </c>
    </row>
    <row r="403" customFormat="false" ht="15" hidden="false" customHeight="false" outlineLevel="0" collapsed="false">
      <c r="A403" s="54" t="s">
        <v>1812</v>
      </c>
      <c r="B403" s="13" t="s">
        <v>1742</v>
      </c>
      <c r="C403" s="61" t="n">
        <v>-336778418949</v>
      </c>
      <c r="D403" s="61" t="n">
        <v>-441598108987</v>
      </c>
      <c r="E403" s="61"/>
      <c r="F403" s="61"/>
      <c r="G403" s="61" t="n">
        <v>-608070432997</v>
      </c>
      <c r="H403" s="61" t="n">
        <v>-628562924995</v>
      </c>
      <c r="I403" s="15" t="s">
        <v>1736</v>
      </c>
    </row>
    <row r="404" customFormat="false" ht="15" hidden="false" customHeight="false" outlineLevel="0" collapsed="false">
      <c r="A404" s="54" t="s">
        <v>1813</v>
      </c>
      <c r="B404" s="13" t="s">
        <v>1744</v>
      </c>
      <c r="C404" s="61" t="n">
        <v>4733986258</v>
      </c>
      <c r="D404" s="61" t="n">
        <v>7961225489</v>
      </c>
      <c r="E404" s="61"/>
      <c r="F404" s="61"/>
      <c r="G404" s="61" t="n">
        <v>18640836625</v>
      </c>
      <c r="H404" s="61" t="n">
        <v>22930845594</v>
      </c>
      <c r="I404" s="15" t="s">
        <v>1736</v>
      </c>
    </row>
    <row r="405" customFormat="false" ht="15" hidden="false" customHeight="false" outlineLevel="0" collapsed="false">
      <c r="A405" s="54" t="s">
        <v>1814</v>
      </c>
      <c r="B405" s="13" t="s">
        <v>1746</v>
      </c>
      <c r="C405" s="61" t="n">
        <v>-53119718188</v>
      </c>
      <c r="D405" s="61" t="n">
        <v>-27753847405</v>
      </c>
      <c r="E405" s="61"/>
      <c r="F405" s="61"/>
      <c r="G405" s="61" t="n">
        <v>-68053448455</v>
      </c>
      <c r="H405" s="61" t="n">
        <v>-67527392890</v>
      </c>
      <c r="I405" s="15" t="s">
        <v>1736</v>
      </c>
    </row>
    <row r="406" customFormat="false" ht="15" hidden="false" customHeight="false" outlineLevel="0" collapsed="false">
      <c r="A406" s="54" t="s">
        <v>1815</v>
      </c>
      <c r="B406" s="13" t="s">
        <v>1748</v>
      </c>
      <c r="C406" s="61" t="n">
        <v>11285526111</v>
      </c>
      <c r="D406" s="61" t="n">
        <v>11554044173</v>
      </c>
      <c r="E406" s="61"/>
      <c r="F406" s="61"/>
      <c r="G406" s="61" t="n">
        <v>-11060239156</v>
      </c>
      <c r="H406" s="61" t="n">
        <v>-26050344266</v>
      </c>
      <c r="I406" s="15" t="s">
        <v>1736</v>
      </c>
    </row>
    <row r="407" customFormat="false" ht="15" hidden="false" customHeight="false" outlineLevel="0" collapsed="false">
      <c r="A407" s="54" t="s">
        <v>1816</v>
      </c>
      <c r="B407" s="13" t="s">
        <v>1750</v>
      </c>
      <c r="C407" s="61" t="n">
        <v>144991937521</v>
      </c>
      <c r="D407" s="61" t="n">
        <v>398891187968</v>
      </c>
      <c r="E407" s="61"/>
      <c r="F407" s="61"/>
      <c r="G407" s="61" t="n">
        <v>38593731509</v>
      </c>
      <c r="H407" s="61" t="n">
        <v>45282649553</v>
      </c>
      <c r="I407" s="15" t="s">
        <v>1736</v>
      </c>
    </row>
    <row r="408" customFormat="false" ht="15" hidden="false" customHeight="false" outlineLevel="0" collapsed="false">
      <c r="A408" s="54" t="s">
        <v>1817</v>
      </c>
      <c r="B408" s="13" t="s">
        <v>1752</v>
      </c>
      <c r="C408" s="61" t="n">
        <v>-26531851745</v>
      </c>
      <c r="D408" s="61" t="n">
        <v>-83527291214</v>
      </c>
      <c r="E408" s="61"/>
      <c r="F408" s="61"/>
      <c r="G408" s="61" t="n">
        <v>-19697947242</v>
      </c>
      <c r="H408" s="61" t="n">
        <v>-15609507020</v>
      </c>
      <c r="I408" s="15" t="s">
        <v>1736</v>
      </c>
    </row>
    <row r="409" customFormat="false" ht="15" hidden="false" customHeight="false" outlineLevel="0" collapsed="false">
      <c r="A409" s="54" t="s">
        <v>1818</v>
      </c>
      <c r="B409" s="13" t="s">
        <v>1754</v>
      </c>
      <c r="C409" s="61" t="n">
        <v>118460085776</v>
      </c>
      <c r="D409" s="61" t="n">
        <v>315363896754</v>
      </c>
      <c r="E409" s="61"/>
      <c r="F409" s="61"/>
      <c r="G409" s="61" t="n">
        <v>18895784267</v>
      </c>
      <c r="H409" s="61" t="n">
        <v>29673142533</v>
      </c>
      <c r="I409" s="15" t="s">
        <v>1736</v>
      </c>
    </row>
    <row r="410" customFormat="false" ht="15" hidden="false" customHeight="false" outlineLevel="0" collapsed="false">
      <c r="A410" s="54" t="s">
        <v>1819</v>
      </c>
      <c r="B410" s="13" t="s">
        <v>1606</v>
      </c>
      <c r="C410" s="61" t="n">
        <v>127306536596</v>
      </c>
      <c r="D410" s="61" t="n">
        <v>-1037659967</v>
      </c>
      <c r="E410" s="61"/>
      <c r="F410" s="61"/>
      <c r="G410" s="61" t="n">
        <v>-4032005043</v>
      </c>
      <c r="H410" s="61" t="n">
        <v>233138577908</v>
      </c>
      <c r="I410" s="15" t="s">
        <v>1736</v>
      </c>
    </row>
    <row r="411" customFormat="false" ht="15" hidden="false" customHeight="false" outlineLevel="0" collapsed="false">
      <c r="A411" s="54" t="s">
        <v>1820</v>
      </c>
      <c r="B411" s="13" t="s">
        <v>1757</v>
      </c>
      <c r="C411" s="61" t="n">
        <v>245766622372</v>
      </c>
      <c r="D411" s="61" t="n">
        <v>314326236787</v>
      </c>
      <c r="E411" s="61"/>
      <c r="F411" s="61"/>
      <c r="G411" s="61" t="n">
        <v>14863779224</v>
      </c>
      <c r="H411" s="61" t="n">
        <v>262811720441</v>
      </c>
      <c r="I411" s="15" t="s">
        <v>1736</v>
      </c>
    </row>
    <row r="412" customFormat="false" ht="15" hidden="false" customHeight="false" outlineLevel="0" collapsed="false">
      <c r="A412" s="54" t="s">
        <v>1821</v>
      </c>
      <c r="B412" s="13" t="s">
        <v>1759</v>
      </c>
      <c r="C412" s="61" t="n">
        <v>2162536834465</v>
      </c>
      <c r="D412" s="61" t="n">
        <v>2687630545714</v>
      </c>
      <c r="E412" s="61"/>
      <c r="F412" s="61"/>
      <c r="G412" s="61" t="n">
        <v>3446360903748</v>
      </c>
      <c r="H412" s="61" t="n">
        <v>4016429435143</v>
      </c>
      <c r="I412" s="15" t="s">
        <v>1736</v>
      </c>
    </row>
    <row r="413" customFormat="false" ht="15" hidden="false" customHeight="false" outlineLevel="0" collapsed="false">
      <c r="A413" s="54" t="s">
        <v>1822</v>
      </c>
      <c r="B413" s="13" t="s">
        <v>1761</v>
      </c>
      <c r="C413" s="61" t="n">
        <v>1112837448853</v>
      </c>
      <c r="D413" s="61" t="n">
        <v>1000855714277</v>
      </c>
      <c r="E413" s="61"/>
      <c r="F413" s="61"/>
      <c r="G413" s="61" t="n">
        <v>1298625219027</v>
      </c>
      <c r="H413" s="61" t="n">
        <v>1621922418631</v>
      </c>
      <c r="I413" s="15" t="s">
        <v>1736</v>
      </c>
    </row>
    <row r="414" customFormat="false" ht="15" hidden="false" customHeight="false" outlineLevel="0" collapsed="false">
      <c r="A414" s="54" t="s">
        <v>1823</v>
      </c>
      <c r="B414" s="13" t="s">
        <v>1763</v>
      </c>
      <c r="C414" s="61" t="n">
        <v>84884959893</v>
      </c>
      <c r="D414" s="61" t="n">
        <v>228079475219</v>
      </c>
      <c r="E414" s="61"/>
      <c r="F414" s="61"/>
      <c r="G414" s="61" t="n">
        <v>167888264808</v>
      </c>
      <c r="H414" s="61" t="n">
        <v>294306377080</v>
      </c>
      <c r="I414" s="15" t="s">
        <v>1736</v>
      </c>
    </row>
    <row r="415" customFormat="false" ht="15" hidden="false" customHeight="false" outlineLevel="0" collapsed="false">
      <c r="A415" s="54" t="s">
        <v>1824</v>
      </c>
      <c r="B415" s="13" t="s">
        <v>1765</v>
      </c>
      <c r="C415" s="61" t="n">
        <v>55596065221</v>
      </c>
      <c r="D415" s="61" t="n">
        <v>57788903859</v>
      </c>
      <c r="E415" s="61"/>
      <c r="F415" s="61"/>
      <c r="G415" s="61" t="n">
        <v>95085231562</v>
      </c>
      <c r="H415" s="61" t="n">
        <v>79318629998</v>
      </c>
      <c r="I415" s="15" t="s">
        <v>1736</v>
      </c>
    </row>
    <row r="416" customFormat="false" ht="15" hidden="false" customHeight="false" outlineLevel="0" collapsed="false">
      <c r="A416" s="54" t="s">
        <v>1825</v>
      </c>
      <c r="B416" s="13" t="s">
        <v>1767</v>
      </c>
      <c r="C416" s="61" t="n">
        <v>-96431985</v>
      </c>
      <c r="D416" s="61" t="n">
        <v>0</v>
      </c>
      <c r="E416" s="61"/>
      <c r="F416" s="61"/>
      <c r="G416" s="61"/>
      <c r="H416" s="61"/>
      <c r="I416" s="15" t="s">
        <v>1464</v>
      </c>
    </row>
    <row r="417" customFormat="false" ht="15" hidden="false" customHeight="false" outlineLevel="0" collapsed="false">
      <c r="A417" s="54" t="s">
        <v>1826</v>
      </c>
      <c r="B417" s="13" t="s">
        <v>1769</v>
      </c>
      <c r="C417" s="61" t="n">
        <v>25816403786</v>
      </c>
      <c r="D417" s="61" t="n">
        <v>25206974173</v>
      </c>
      <c r="E417" s="61"/>
      <c r="F417" s="61"/>
      <c r="G417" s="61"/>
      <c r="H417" s="61"/>
      <c r="I417" s="15" t="s">
        <v>1464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1827</v>
      </c>
    </row>
    <row r="2" customFormat="false" ht="15" hidden="false" customHeight="false" outlineLevel="0" collapsed="false">
      <c r="A2" s="15" t="s">
        <v>1828</v>
      </c>
    </row>
    <row r="4" customFormat="false" ht="23.85" hidden="false" customHeight="false" outlineLevel="0" collapsed="false">
      <c r="A4" s="25" t="s">
        <v>339</v>
      </c>
      <c r="B4" s="25" t="s">
        <v>340</v>
      </c>
      <c r="C4" s="25" t="s">
        <v>131</v>
      </c>
      <c r="D4" s="25" t="s">
        <v>132</v>
      </c>
      <c r="E4" s="25" t="s">
        <v>133</v>
      </c>
      <c r="F4" s="25" t="s">
        <v>134</v>
      </c>
      <c r="G4" s="25" t="s">
        <v>135</v>
      </c>
      <c r="H4" s="25" t="s">
        <v>136</v>
      </c>
      <c r="I4" s="25" t="s">
        <v>1829</v>
      </c>
      <c r="J4" s="25" t="s">
        <v>1830</v>
      </c>
    </row>
    <row r="5" customFormat="false" ht="15" hidden="false" customHeight="false" outlineLevel="0" collapsed="false">
      <c r="A5" s="16"/>
      <c r="B5" s="17" t="s">
        <v>1831</v>
      </c>
      <c r="C5" s="16"/>
      <c r="D5" s="16"/>
      <c r="E5" s="16"/>
      <c r="F5" s="16"/>
      <c r="G5" s="16"/>
      <c r="H5" s="16"/>
      <c r="I5" s="16"/>
      <c r="J5" s="16"/>
    </row>
    <row r="6" customFormat="false" ht="15" hidden="false" customHeight="false" outlineLevel="0" collapsed="false">
      <c r="A6" s="54" t="s">
        <v>1832</v>
      </c>
      <c r="B6" s="13" t="s">
        <v>137</v>
      </c>
      <c r="C6" s="59"/>
      <c r="D6" s="46" t="n">
        <f aca="false">IFERROR(IS!D6/IS!C6-1,0)</f>
        <v>0.646831448957338</v>
      </c>
      <c r="E6" s="46" t="n">
        <f aca="false">IFERROR(IS!E6/IS!D6-1,0)</f>
        <v>-0.122758795575751</v>
      </c>
      <c r="F6" s="46" t="n">
        <f aca="false">IFERROR(IS!F6/IS!E6-1,0)</f>
        <v>-0.102786320860924</v>
      </c>
      <c r="G6" s="46" t="n">
        <f aca="false">IFERROR(IS!G6/IS!F6-1,0)</f>
        <v>0.0446765484473173</v>
      </c>
      <c r="H6" s="46" t="n">
        <f aca="false">IFERROR(IS!H6/IS!G6-1,0)</f>
        <v>0.0383716063250055</v>
      </c>
      <c r="I6" s="84" t="n">
        <f aca="false">AVERAGE(E6:H6)</f>
        <v>-0.0356242404160881</v>
      </c>
      <c r="J6" s="15" t="s">
        <v>1833</v>
      </c>
    </row>
    <row r="7" customFormat="false" ht="15" hidden="false" customHeight="false" outlineLevel="0" collapsed="false">
      <c r="A7" s="54" t="s">
        <v>1834</v>
      </c>
      <c r="B7" s="13" t="s">
        <v>352</v>
      </c>
      <c r="C7" s="59"/>
      <c r="D7" s="46" t="n">
        <f aca="false">IFERROR(Schedules!D10/Schedules!C10-1,0)</f>
        <v>0.668853682532337</v>
      </c>
      <c r="E7" s="46" t="n">
        <f aca="false">IFERROR(Schedules!E10/Schedules!D10-1,0)</f>
        <v>-0.116590097315946</v>
      </c>
      <c r="F7" s="46" t="n">
        <f aca="false">IFERROR(Schedules!F10/Schedules!E10-1,0)</f>
        <v>-0.093536228494768</v>
      </c>
      <c r="G7" s="46" t="n">
        <f aca="false">IFERROR(Schedules!G10/Schedules!F10-1,0)</f>
        <v>0.0606098853121373</v>
      </c>
      <c r="H7" s="46" t="n">
        <f aca="false">IFERROR(Schedules!H10/Schedules!G10-1,0)</f>
        <v>0.0422674779587384</v>
      </c>
      <c r="I7" s="84" t="n">
        <f aca="false">AVERAGE(E7:H7)</f>
        <v>-0.0268122406349595</v>
      </c>
      <c r="J7" s="15"/>
    </row>
    <row r="8" customFormat="false" ht="15" hidden="false" customHeight="false" outlineLevel="0" collapsed="false">
      <c r="A8" s="54" t="s">
        <v>1835</v>
      </c>
      <c r="B8" s="13" t="s">
        <v>1836</v>
      </c>
      <c r="C8" s="59"/>
      <c r="D8" s="46" t="n">
        <f aca="false">IFERROR(Schedules!D6/Schedules!C6-1,0)</f>
        <v>0.548727284159164</v>
      </c>
      <c r="E8" s="46" t="n">
        <f aca="false">IFERROR(Schedules!E6/Schedules!D6-1,0)</f>
        <v>-0.127750624656371</v>
      </c>
      <c r="F8" s="46" t="n">
        <f aca="false">IFERROR(Schedules!F6/Schedules!E6-1,0)</f>
        <v>-0.157069968555932</v>
      </c>
      <c r="G8" s="46" t="n">
        <f aca="false">IFERROR(Schedules!G6/Schedules!F6-1,0)</f>
        <v>0.0364657878891956</v>
      </c>
      <c r="H8" s="46" t="n">
        <f aca="false">IFERROR(Schedules!H6/Schedules!G6-1,0)</f>
        <v>0.0194394876314179</v>
      </c>
      <c r="I8" s="84" t="n">
        <f aca="false">AVERAGE(E8:H8)</f>
        <v>-0.0572288294229223</v>
      </c>
      <c r="J8" s="15"/>
    </row>
    <row r="9" customFormat="false" ht="15" hidden="false" customHeight="false" outlineLevel="0" collapsed="false">
      <c r="A9" s="54" t="s">
        <v>1837</v>
      </c>
      <c r="B9" s="13" t="s">
        <v>1838</v>
      </c>
      <c r="C9" s="59"/>
      <c r="D9" s="46" t="n">
        <f aca="false">IFERROR(Schedules!D7/Schedules!C7-1,0)</f>
        <v>0.984953072144028</v>
      </c>
      <c r="E9" s="46" t="n">
        <f aca="false">IFERROR(Schedules!E7/Schedules!D7-1,0)</f>
        <v>-0.256559671185158</v>
      </c>
      <c r="F9" s="46" t="n">
        <f aca="false">IFERROR(Schedules!F7/Schedules!E7-1,0)</f>
        <v>0.0174536208062834</v>
      </c>
      <c r="G9" s="46" t="n">
        <f aca="false">IFERROR(Schedules!G7/Schedules!F7-1,0)</f>
        <v>0.0624345907358483</v>
      </c>
      <c r="H9" s="46" t="n">
        <f aca="false">IFERROR(Schedules!H7/Schedules!G7-1,0)</f>
        <v>0.122771734745399</v>
      </c>
      <c r="I9" s="84" t="n">
        <f aca="false">AVERAGE(E9:H9)</f>
        <v>-0.0134749312244069</v>
      </c>
      <c r="J9" s="15"/>
    </row>
    <row r="10" customFormat="false" ht="15" hidden="false" customHeight="false" outlineLevel="0" collapsed="false">
      <c r="A10" s="54" t="s">
        <v>1839</v>
      </c>
      <c r="B10" s="13" t="s">
        <v>1840</v>
      </c>
      <c r="C10" s="59"/>
      <c r="D10" s="46" t="n">
        <f aca="false">IFERROR(Schedules!D8/Schedules!C8-1,0)</f>
        <v>0.510619451972324</v>
      </c>
      <c r="E10" s="46" t="n">
        <f aca="false">IFERROR(Schedules!E8/Schedules!D8-1,0)</f>
        <v>0.0856232356945212</v>
      </c>
      <c r="F10" s="46" t="n">
        <f aca="false">IFERROR(Schedules!F8/Schedules!E8-1,0)</f>
        <v>-0.122669149703389</v>
      </c>
      <c r="G10" s="46" t="n">
        <f aca="false">IFERROR(Schedules!G8/Schedules!F8-1,0)</f>
        <v>0.0889616237584934</v>
      </c>
      <c r="H10" s="46" t="n">
        <f aca="false">IFERROR(Schedules!H8/Schedules!G8-1,0)</f>
        <v>-0.0175198706973567</v>
      </c>
      <c r="I10" s="84" t="n">
        <f aca="false">AVERAGE(E10:H10)</f>
        <v>0.00859895976306715</v>
      </c>
      <c r="J10" s="15"/>
    </row>
    <row r="11" customFormat="false" ht="15" hidden="false" customHeight="false" outlineLevel="0" collapsed="false">
      <c r="A11" s="54" t="s">
        <v>1841</v>
      </c>
      <c r="B11" s="13" t="s">
        <v>106</v>
      </c>
      <c r="C11" s="59"/>
      <c r="D11" s="46" t="n">
        <f aca="false">IFERROR((IS!D13+Schedules!D19)/(IS!C13+Schedules!C19)-1,0)</f>
        <v>1.38036134228786</v>
      </c>
      <c r="E11" s="46" t="n">
        <f aca="false">IFERROR((IS!E13+Schedules!E19)/(IS!D13+Schedules!D19)-1,0)</f>
        <v>-0.400525650754067</v>
      </c>
      <c r="F11" s="46" t="n">
        <f aca="false">IFERROR((IS!F13+Schedules!F19)/(IS!E13+Schedules!E19)-1,0)</f>
        <v>-0.358236868658945</v>
      </c>
      <c r="G11" s="46" t="n">
        <f aca="false">IFERROR((IS!G13+Schedules!G19)/(IS!F13+Schedules!F19)-1,0)</f>
        <v>-0.018784471507436</v>
      </c>
      <c r="H11" s="46" t="n">
        <f aca="false">IFERROR((IS!H13+Schedules!H19)/(IS!G13+Schedules!G19)-1,0)</f>
        <v>0.0205993348172566</v>
      </c>
      <c r="I11" s="84" t="n">
        <f aca="false">AVERAGE(E11:H11)</f>
        <v>-0.189236914025798</v>
      </c>
      <c r="J11" s="15"/>
    </row>
    <row r="12" customFormat="false" ht="15" hidden="false" customHeight="false" outlineLevel="0" collapsed="false">
      <c r="A12" s="54" t="s">
        <v>1842</v>
      </c>
      <c r="B12" s="13" t="s">
        <v>141</v>
      </c>
      <c r="C12" s="59"/>
      <c r="D12" s="46" t="n">
        <f aca="false">IFERROR(IS!D22/IS!C22-1,0)</f>
        <v>1.99382517629286</v>
      </c>
      <c r="E12" s="46" t="n">
        <f aca="false">IFERROR(IS!E22/IS!D22-1,0)</f>
        <v>-0.636452004569145</v>
      </c>
      <c r="F12" s="46" t="n">
        <f aca="false">IFERROR(IS!F22/IS!E22-1,0)</f>
        <v>-0.874123979953053</v>
      </c>
      <c r="G12" s="46" t="n">
        <f aca="false">IFERROR(IS!G22/IS!F22-1,0)</f>
        <v>0.164291389670721</v>
      </c>
      <c r="H12" s="46" t="n">
        <f aca="false">IFERROR(IS!H22/IS!G22-1,0)</f>
        <v>0.570357817051384</v>
      </c>
      <c r="I12" s="84" t="n">
        <f aca="false">AVERAGE(E12:H12)</f>
        <v>-0.193981694450023</v>
      </c>
      <c r="J12" s="15"/>
    </row>
    <row r="13" customFormat="false" ht="15" hidden="false" customHeight="false" outlineLevel="0" collapsed="false">
      <c r="A13" s="54" t="s">
        <v>1843</v>
      </c>
      <c r="B13" s="13" t="s">
        <v>142</v>
      </c>
      <c r="C13" s="59"/>
      <c r="D13" s="46" t="n">
        <f aca="false">IFERROR(IS!D33/IS!C33-1,0)</f>
        <v>1.41566184105889</v>
      </c>
      <c r="E13" s="46" t="n">
        <f aca="false">IFERROR(IS!E33/IS!D33-1,0)</f>
        <v>-0.611972276249905</v>
      </c>
      <c r="F13" s="46" t="n">
        <f aca="false">IFERROR(IS!F33/IS!E33-1,0)</f>
        <v>-0.910352779999735</v>
      </c>
      <c r="G13" s="46" t="n">
        <f aca="false">IFERROR(IS!G33/IS!F33-1,0)</f>
        <v>0.600764003825537</v>
      </c>
      <c r="H13" s="46" t="n">
        <f aca="false">IFERROR(IS!H33/IS!G33-1,0)</f>
        <v>0.039807877672716</v>
      </c>
      <c r="I13" s="84" t="n">
        <f aca="false">AVERAGE(E13:H13)</f>
        <v>-0.220438293687847</v>
      </c>
      <c r="J13" s="15"/>
    </row>
    <row r="14" customFormat="false" ht="15" hidden="false" customHeight="false" outlineLevel="0" collapsed="false">
      <c r="A14" s="16"/>
      <c r="B14" s="17" t="s">
        <v>1844</v>
      </c>
      <c r="C14" s="16"/>
      <c r="D14" s="16"/>
      <c r="E14" s="16"/>
      <c r="F14" s="16"/>
      <c r="G14" s="16"/>
      <c r="H14" s="16"/>
      <c r="I14" s="16"/>
      <c r="J14" s="16"/>
    </row>
    <row r="15" customFormat="false" ht="15" hidden="false" customHeight="false" outlineLevel="0" collapsed="false">
      <c r="A15" s="54" t="s">
        <v>1845</v>
      </c>
      <c r="B15" s="13" t="s">
        <v>1846</v>
      </c>
      <c r="C15" s="46" t="n">
        <f aca="false">IFERROR(IS!C8/IS!C6,0)</f>
        <v>0.429519665246859</v>
      </c>
      <c r="D15" s="46" t="n">
        <f aca="false">IFERROR(IS!D8/IS!D6,0)</f>
        <v>0.515136946805867</v>
      </c>
      <c r="E15" s="46" t="n">
        <f aca="false">IFERROR(IS!E8/IS!E6,0)</f>
        <v>0.460938210202384</v>
      </c>
      <c r="F15" s="46" t="n">
        <f aca="false">IFERROR(IS!F8/IS!F6,0)</f>
        <v>0.467554128323665</v>
      </c>
      <c r="G15" s="46" t="n">
        <f aca="false">IFERROR(IS!G8/IS!G6,0)</f>
        <v>0.454842627793249</v>
      </c>
      <c r="H15" s="46" t="n">
        <f aca="false">IFERROR(IS!H8/IS!H6,0)</f>
        <v>0.46117429432988</v>
      </c>
      <c r="I15" s="84" t="n">
        <f aca="false">AVERAGE(E15:H15)</f>
        <v>0.461127315162294</v>
      </c>
      <c r="J15" s="15"/>
    </row>
    <row r="16" customFormat="false" ht="15" hidden="false" customHeight="false" outlineLevel="0" collapsed="false">
      <c r="A16" s="54" t="s">
        <v>1847</v>
      </c>
      <c r="B16" s="13" t="s">
        <v>1848</v>
      </c>
      <c r="C16" s="46" t="n">
        <f aca="false">IFERROR(IS!C13/IS!C6,0)</f>
        <v>0.145940935943221</v>
      </c>
      <c r="D16" s="46" t="n">
        <f aca="false">IFERROR(IS!D13/IS!D6,0)</f>
        <v>0.251203903037485</v>
      </c>
      <c r="E16" s="46" t="n">
        <f aca="false">IFERROR(IS!E13/IS!E6,0)</f>
        <v>0.129950133155068</v>
      </c>
      <c r="F16" s="46" t="n">
        <f aca="false">IFERROR(IS!F13/IS!F6,0)</f>
        <v>0.060248933935771</v>
      </c>
      <c r="G16" s="46" t="n">
        <f aca="false">IFERROR(IS!G13/IS!G6,0)</f>
        <v>0.0566071858633152</v>
      </c>
      <c r="H16" s="46" t="n">
        <f aca="false">IFERROR(IS!H13/IS!H6,0)</f>
        <v>0.0556754796973991</v>
      </c>
      <c r="I16" s="84" t="n">
        <f aca="false">AVERAGE(E16:H16)</f>
        <v>0.0756204331628883</v>
      </c>
      <c r="J16" s="15"/>
    </row>
    <row r="17" customFormat="false" ht="15" hidden="false" customHeight="false" outlineLevel="0" collapsed="false">
      <c r="A17" s="54" t="s">
        <v>1849</v>
      </c>
      <c r="B17" s="13" t="s">
        <v>1850</v>
      </c>
      <c r="C17" s="50" t="n">
        <f aca="false">(IS!C13+Schedules!C19)</f>
        <v>235301826323</v>
      </c>
      <c r="D17" s="50" t="n">
        <f aca="false">(IS!D13+Schedules!D19)</f>
        <v>560103371149</v>
      </c>
      <c r="E17" s="50" t="n">
        <f aca="false">(IS!E13+Schedules!E19)</f>
        <v>335767603930</v>
      </c>
      <c r="F17" s="50" t="n">
        <f aca="false">(IS!F13+Schedules!F19)</f>
        <v>215483268901</v>
      </c>
      <c r="G17" s="50" t="n">
        <f aca="false">(IS!G13+Schedules!G19)</f>
        <v>211435529576</v>
      </c>
      <c r="H17" s="50" t="n">
        <f aca="false">(IS!H13+Schedules!H19)</f>
        <v>215790960842</v>
      </c>
      <c r="I17" s="83" t="n">
        <f aca="false">AVERAGE(E17:H17)</f>
        <v>244619340812.25</v>
      </c>
      <c r="J17" s="15" t="s">
        <v>1851</v>
      </c>
    </row>
    <row r="18" customFormat="false" ht="15" hidden="false" customHeight="false" outlineLevel="0" collapsed="false">
      <c r="A18" s="54" t="s">
        <v>1852</v>
      </c>
      <c r="B18" s="13" t="s">
        <v>182</v>
      </c>
      <c r="C18" s="46" t="n">
        <f aca="false">IFERROR((IS!C13+Schedules!C19)/IS!C6,0)</f>
        <v>0.204940972643302</v>
      </c>
      <c r="D18" s="46" t="n">
        <f aca="false">IFERROR((IS!D13+Schedules!D19)/IS!D6,0)</f>
        <v>0.296225560326682</v>
      </c>
      <c r="E18" s="46" t="n">
        <f aca="false">IFERROR((IS!E13+Schedules!E19)/IS!E6,0)</f>
        <v>0.202429644334136</v>
      </c>
      <c r="F18" s="46" t="n">
        <f aca="false">IFERROR((IS!F13+Schedules!F19)/IS!F6,0)</f>
        <v>0.144794808020302</v>
      </c>
      <c r="G18" s="46" t="n">
        <f aca="false">IFERROR((IS!G13+Schedules!G19)/IS!G6,0)</f>
        <v>0.135998950379218</v>
      </c>
      <c r="H18" s="46" t="n">
        <f aca="false">IFERROR((IS!H13+Schedules!H19)/IS!H6,0)</f>
        <v>0.133671257425958</v>
      </c>
      <c r="I18" s="84" t="n">
        <f aca="false">AVERAGE(E18:H18)</f>
        <v>0.154223665039903</v>
      </c>
      <c r="J18" s="15"/>
    </row>
    <row r="19" customFormat="false" ht="15" hidden="false" customHeight="false" outlineLevel="0" collapsed="false">
      <c r="A19" s="54" t="s">
        <v>1853</v>
      </c>
      <c r="B19" s="13" t="s">
        <v>398</v>
      </c>
      <c r="C19" s="46" t="n">
        <f aca="false">IFERROR(IS!C22/IS!C6,0)</f>
        <v>0.103175251878482</v>
      </c>
      <c r="D19" s="46" t="n">
        <f aca="false">IFERROR(IS!D22/IS!D6,0)</f>
        <v>0.187565440798282</v>
      </c>
      <c r="E19" s="46" t="n">
        <f aca="false">IFERROR(IS!E22/IS!E6,0)</f>
        <v>0.0777312324938888</v>
      </c>
      <c r="F19" s="46" t="n">
        <f aca="false">IFERROR(IS!F22/IS!F6,0)</f>
        <v>0.0109054268867851</v>
      </c>
      <c r="G19" s="46" t="n">
        <f aca="false">IFERROR(IS!G22/IS!G6,0)</f>
        <v>0.012154091755806</v>
      </c>
      <c r="H19" s="46" t="n">
        <f aca="false">IFERROR(IS!H22/IS!H6,0)</f>
        <v>0.0183809658138089</v>
      </c>
      <c r="I19" s="84" t="n">
        <f aca="false">AVERAGE(E19:H19)</f>
        <v>0.0297929292375722</v>
      </c>
      <c r="J19" s="15"/>
    </row>
    <row r="20" customFormat="false" ht="15" hidden="false" customHeight="false" outlineLevel="0" collapsed="false">
      <c r="A20" s="54" t="s">
        <v>1854</v>
      </c>
      <c r="B20" s="13" t="s">
        <v>1855</v>
      </c>
      <c r="C20" s="46" t="n">
        <f aca="false">IFERROR(IS!C33/IS!C6,0)</f>
        <v>0.0773343847405354</v>
      </c>
      <c r="D20" s="46" t="n">
        <f aca="false">IFERROR(IS!D33/IS!D6,0)</f>
        <v>0.113438277085221</v>
      </c>
      <c r="E20" s="46" t="n">
        <f aca="false">IFERROR(IS!E33/IS!E6,0)</f>
        <v>0.0501768455716808</v>
      </c>
      <c r="F20" s="46" t="n">
        <f aca="false">IFERROR(IS!F33/IS!F6,0)</f>
        <v>0.00501353782100166</v>
      </c>
      <c r="G20" s="46" t="n">
        <f aca="false">IFERROR(IS!G33/IS!G6,0)</f>
        <v>0.0076822734152552</v>
      </c>
      <c r="H20" s="46" t="n">
        <f aca="false">IFERROR(IS!H33/IS!H6,0)</f>
        <v>0.00769289950433968</v>
      </c>
      <c r="I20" s="84" t="n">
        <f aca="false">AVERAGE(E20:H20)</f>
        <v>0.0176413890780693</v>
      </c>
      <c r="J20" s="15"/>
    </row>
    <row r="21" customFormat="false" ht="15" hidden="false" customHeight="false" outlineLevel="0" collapsed="false">
      <c r="A21" s="54" t="s">
        <v>1856</v>
      </c>
      <c r="B21" s="13" t="s">
        <v>1857</v>
      </c>
      <c r="C21" s="59"/>
      <c r="D21" s="46" t="n">
        <f aca="false">IFERROR(IS!D33/((BS!D55+BS!C55)/2),0)</f>
        <v>0.168492593612244</v>
      </c>
      <c r="E21" s="46" t="n">
        <f aca="false">IFERROR(IS!E33/((BS!E55+BS!D55)/2),0)</f>
        <v>0.0528952167465841</v>
      </c>
      <c r="F21" s="46" t="n">
        <f aca="false">IFERROR(IS!F33/((BS!F55+BS!E55)/2),0)</f>
        <v>0.00468375317398697</v>
      </c>
      <c r="G21" s="46" t="n">
        <f aca="false">IFERROR(IS!G33/((BS!G55+BS!F55)/2),0)</f>
        <v>0.00723127943648783</v>
      </c>
      <c r="H21" s="46" t="n">
        <f aca="false">IFERROR(IS!H33/((BS!H55+BS!G55)/2),0)</f>
        <v>0.0067800313508525</v>
      </c>
      <c r="I21" s="84" t="n">
        <f aca="false">AVERAGE(E21:H21)</f>
        <v>0.0178975701769778</v>
      </c>
      <c r="J21" s="15"/>
    </row>
    <row r="22" customFormat="false" ht="15" hidden="false" customHeight="false" outlineLevel="0" collapsed="false">
      <c r="A22" s="54" t="s">
        <v>1858</v>
      </c>
      <c r="B22" s="13" t="s">
        <v>1859</v>
      </c>
      <c r="C22" s="59"/>
      <c r="D22" s="46" t="n">
        <f aca="false">IFERROR(IS!D22/((BS!D26+BS!C26)/2),0)</f>
        <v>0.142537040265906</v>
      </c>
      <c r="E22" s="46" t="n">
        <f aca="false">IFERROR(IS!E22/((BS!E26+BS!D26)/2),0)</f>
        <v>0.0448278796756909</v>
      </c>
      <c r="F22" s="46" t="n">
        <f aca="false">IFERROR(IS!F22/((BS!F26+BS!E26)/2),0)</f>
        <v>0.00539025003059288</v>
      </c>
      <c r="G22" s="46" t="n">
        <f aca="false">IFERROR(IS!G22/((BS!G26+BS!F26)/2),0)</f>
        <v>0.00578779933721179</v>
      </c>
      <c r="H22" s="46" t="n">
        <f aca="false">IFERROR(IS!H22/((BS!H26+BS!G26)/2),0)</f>
        <v>0.00795229161895751</v>
      </c>
      <c r="I22" s="84" t="n">
        <f aca="false">AVERAGE(E22:H22)</f>
        <v>0.0159895551656133</v>
      </c>
      <c r="J22" s="15"/>
    </row>
    <row r="23" customFormat="false" ht="15" hidden="false" customHeight="false" outlineLevel="0" collapsed="false">
      <c r="A23" s="54" t="s">
        <v>1860</v>
      </c>
      <c r="B23" s="13" t="s">
        <v>150</v>
      </c>
      <c r="C23" s="46" t="n">
        <f aca="false">IFERROR(-IS!C21/IS!C17,0)</f>
        <v>0.182988462659569</v>
      </c>
      <c r="D23" s="46" t="n">
        <f aca="false">IFERROR(-IS!D21/IS!D17,0)</f>
        <v>0.224198698526178</v>
      </c>
      <c r="E23" s="46" t="n">
        <f aca="false">IFERROR(-IS!E21/IS!E17,0)</f>
        <v>0.270706255624736</v>
      </c>
      <c r="F23" s="46" t="n">
        <f aca="false">IFERROR(-IS!F21/IS!F17,0)</f>
        <v>0.597514906630939</v>
      </c>
      <c r="G23" s="46" t="n">
        <f aca="false">IFERROR(-IS!G21/IS!G17,0)</f>
        <v>0.51039239979701</v>
      </c>
      <c r="H23" s="46" t="n">
        <f aca="false">IFERROR(-IS!H21/IS!H17,0)</f>
        <v>0.344712758067088</v>
      </c>
      <c r="I23" s="84" t="n">
        <f aca="false">AVERAGE(E23:H23)</f>
        <v>0.430831580029943</v>
      </c>
      <c r="J23" s="15" t="s">
        <v>1861</v>
      </c>
    </row>
    <row r="24" customFormat="false" ht="15" hidden="false" customHeight="false" outlineLevel="0" collapsed="false">
      <c r="A24" s="54" t="s">
        <v>1862</v>
      </c>
      <c r="B24" s="13" t="s">
        <v>1863</v>
      </c>
      <c r="C24" s="46" t="n">
        <f aca="false">IFERROR(IS!C34/IS!C22,0)</f>
        <v>0.250456060610172</v>
      </c>
      <c r="D24" s="46" t="n">
        <f aca="false">IFERROR(IS!D34/IS!D22,0)</f>
        <v>0.395206938962609</v>
      </c>
      <c r="E24" s="46" t="n">
        <f aca="false">IFERROR(IS!E34/IS!E22,0)</f>
        <v>0.354482825476546</v>
      </c>
      <c r="F24" s="46" t="n">
        <f aca="false">IFERROR(IS!F34/IS!F22,0)</f>
        <v>0.540271291252529</v>
      </c>
      <c r="G24" s="46" t="n">
        <f aca="false">IFERROR(IS!G34/IS!G22,0)</f>
        <v>0.367926985446251</v>
      </c>
      <c r="H24" s="46" t="n">
        <f aca="false">IFERROR(IS!H34/IS!H22,0)</f>
        <v>0.58147468515717</v>
      </c>
      <c r="I24" s="84" t="n">
        <f aca="false">AVERAGE(E24:H24)</f>
        <v>0.461038946833124</v>
      </c>
      <c r="J24" s="15"/>
    </row>
    <row r="25" customFormat="false" ht="15" hidden="false" customHeight="false" outlineLevel="0" collapsed="false">
      <c r="A25" s="16"/>
      <c r="B25" s="17" t="s">
        <v>1864</v>
      </c>
      <c r="C25" s="16"/>
      <c r="D25" s="16"/>
      <c r="E25" s="16"/>
      <c r="F25" s="16"/>
      <c r="G25" s="16"/>
      <c r="H25" s="16"/>
      <c r="I25" s="16"/>
      <c r="J25" s="16"/>
    </row>
    <row r="26" customFormat="false" ht="15" hidden="false" customHeight="false" outlineLevel="0" collapsed="false">
      <c r="A26" s="54" t="s">
        <v>1865</v>
      </c>
      <c r="B26" s="13" t="s">
        <v>1866</v>
      </c>
      <c r="C26" s="46" t="n">
        <f aca="false">IFERROR(Schedules!C6/Schedules!C10,0)</f>
        <v>0.407245403014447</v>
      </c>
      <c r="D26" s="46" t="n">
        <f aca="false">IFERROR(Schedules!D6/Schedules!D10,0)</f>
        <v>0.377931315128729</v>
      </c>
      <c r="E26" s="46" t="n">
        <f aca="false">IFERROR(Schedules!E6/Schedules!E10,0)</f>
        <v>0.373156733405701</v>
      </c>
      <c r="F26" s="46" t="n">
        <f aca="false">IFERROR(Schedules!F6/Schedules!F10,0)</f>
        <v>0.347002303799648</v>
      </c>
      <c r="G26" s="46" t="n">
        <f aca="false">IFERROR(Schedules!G6/Schedules!G10,0)</f>
        <v>0.33910302099553</v>
      </c>
      <c r="H26" s="46" t="n">
        <f aca="false">IFERROR(Schedules!H6/Schedules!H10,0)</f>
        <v>0.331675905934421</v>
      </c>
      <c r="I26" s="84" t="n">
        <f aca="false">AVERAGE(E26:H26)</f>
        <v>0.347734491033825</v>
      </c>
      <c r="J26" s="15"/>
    </row>
    <row r="27" customFormat="false" ht="15" hidden="false" customHeight="false" outlineLevel="0" collapsed="false">
      <c r="A27" s="54" t="s">
        <v>1867</v>
      </c>
      <c r="B27" s="13" t="s">
        <v>1868</v>
      </c>
      <c r="C27" s="46" t="n">
        <f aca="false">IFERROR(Schedules!C7/Schedules!C10,0)</f>
        <v>0.299749040176848</v>
      </c>
      <c r="D27" s="46" t="n">
        <f aca="false">IFERROR(Schedules!D7/Schedules!D10,0)</f>
        <v>0.356524831624794</v>
      </c>
      <c r="E27" s="46" t="n">
        <f aca="false">IFERROR(Schedules!E7/Schedules!E10,0)</f>
        <v>0.300036186201309</v>
      </c>
      <c r="F27" s="46" t="n">
        <f aca="false">IFERROR(Schedules!F7/Schedules!F10,0)</f>
        <v>0.336773419544951</v>
      </c>
      <c r="G27" s="46" t="n">
        <f aca="false">IFERROR(Schedules!G7/Schedules!G10,0)</f>
        <v>0.337352814753043</v>
      </c>
      <c r="H27" s="46" t="n">
        <f aca="false">IFERROR(Schedules!H7/Schedules!H10,0)</f>
        <v>0.363409789762732</v>
      </c>
      <c r="I27" s="84" t="n">
        <f aca="false">AVERAGE(E27:H27)</f>
        <v>0.334393052565509</v>
      </c>
      <c r="J27" s="15"/>
    </row>
    <row r="28" customFormat="false" ht="15" hidden="false" customHeight="false" outlineLevel="0" collapsed="false">
      <c r="A28" s="54" t="s">
        <v>1869</v>
      </c>
      <c r="B28" s="13" t="s">
        <v>1870</v>
      </c>
      <c r="C28" s="46" t="n">
        <f aca="false">IFERROR(Schedules!C8/Schedules!C10,0)</f>
        <v>0.289855487931472</v>
      </c>
      <c r="D28" s="46" t="n">
        <f aca="false">IFERROR(Schedules!D8/Schedules!D10,0)</f>
        <v>0.262372515285939</v>
      </c>
      <c r="E28" s="46" t="n">
        <f aca="false">IFERROR(Schedules!E8/Schedules!E10,0)</f>
        <v>0.322429823501652</v>
      </c>
      <c r="F28" s="46" t="n">
        <f aca="false">IFERROR(Schedules!F8/Schedules!F10,0)</f>
        <v>0.312067222216677</v>
      </c>
      <c r="G28" s="46" t="n">
        <f aca="false">IFERROR(Schedules!G8/Schedules!G10,0)</f>
        <v>0.320409260495308</v>
      </c>
      <c r="H28" s="46" t="n">
        <f aca="false">IFERROR(Schedules!H8/Schedules!H10,0)</f>
        <v>0.302029698074928</v>
      </c>
      <c r="I28" s="84" t="n">
        <f aca="false">AVERAGE(E28:H28)</f>
        <v>0.314234001072141</v>
      </c>
      <c r="J28" s="15"/>
    </row>
    <row r="29" customFormat="false" ht="15" hidden="false" customHeight="false" outlineLevel="0" collapsed="false">
      <c r="A29" s="54" t="s">
        <v>1871</v>
      </c>
      <c r="B29" s="13" t="s">
        <v>139</v>
      </c>
      <c r="C29" s="46" t="n">
        <f aca="false">Schedules!C13</f>
        <v>0.0157884872328809</v>
      </c>
      <c r="D29" s="46" t="n">
        <f aca="false">Schedules!D13</f>
        <v>0.0287761661697611</v>
      </c>
      <c r="E29" s="46" t="n">
        <f aca="false">Schedules!E13</f>
        <v>0.0355580538930335</v>
      </c>
      <c r="F29" s="46" t="n">
        <f aca="false">Schedules!F13</f>
        <v>0.0453997898384982</v>
      </c>
      <c r="G29" s="46" t="n">
        <f aca="false">Schedules!G13</f>
        <v>0.0597405638878132</v>
      </c>
      <c r="H29" s="46" t="n">
        <f aca="false">Schedules!H13</f>
        <v>0.0632551416166256</v>
      </c>
      <c r="I29" s="84" t="n">
        <f aca="false">AVERAGE(E29:H29)</f>
        <v>0.0509883873089926</v>
      </c>
      <c r="J29" s="15" t="s">
        <v>1872</v>
      </c>
    </row>
    <row r="30" customFormat="false" ht="15" hidden="false" customHeight="false" outlineLevel="0" collapsed="false">
      <c r="A30" s="16"/>
      <c r="B30" s="17" t="s">
        <v>1873</v>
      </c>
      <c r="C30" s="16"/>
      <c r="D30" s="16"/>
      <c r="E30" s="16"/>
      <c r="F30" s="16"/>
      <c r="G30" s="16"/>
      <c r="H30" s="16"/>
      <c r="I30" s="16"/>
      <c r="J30" s="16"/>
    </row>
    <row r="31" customFormat="false" ht="15" hidden="false" customHeight="false" outlineLevel="0" collapsed="false">
      <c r="A31" s="54" t="s">
        <v>1874</v>
      </c>
      <c r="B31" s="13" t="s">
        <v>1875</v>
      </c>
      <c r="C31" s="44" t="n">
        <f aca="false">IFERROR((BS!C9+BS!C8)/IS!C6*365,0)</f>
        <v>39.1437370104324</v>
      </c>
      <c r="D31" s="44" t="n">
        <f aca="false">IFERROR((BS!D9+BS!D8)/IS!D6*365,0)</f>
        <v>30.2610023415271</v>
      </c>
      <c r="E31" s="44" t="n">
        <f aca="false">IFERROR((BS!E9+BS!E8)/IS!E6*365,0)</f>
        <v>25.2277026467636</v>
      </c>
      <c r="F31" s="44" t="n">
        <f aca="false">IFERROR((BS!F9+BS!F8)/IS!F6*365,0)</f>
        <v>27.093892021109</v>
      </c>
      <c r="G31" s="44" t="n">
        <f aca="false">IFERROR((BS!G9+BS!G8)/IS!G6*365,0)</f>
        <v>33.9751802162641</v>
      </c>
      <c r="H31" s="44" t="n">
        <f aca="false">IFERROR((BS!H9+BS!H8)/IS!H6*365,0)</f>
        <v>36.6143684835322</v>
      </c>
      <c r="I31" s="92" t="n">
        <f aca="false">AVERAGE(E31:H31)</f>
        <v>30.7277858419172</v>
      </c>
      <c r="J31" s="15"/>
    </row>
    <row r="32" customFormat="false" ht="15" hidden="false" customHeight="false" outlineLevel="0" collapsed="false">
      <c r="A32" s="54" t="s">
        <v>1876</v>
      </c>
      <c r="B32" s="13" t="s">
        <v>1877</v>
      </c>
      <c r="C32" s="44" t="n">
        <f aca="false">IFERROR(BS!C12/-IS!C7*365,0)</f>
        <v>10.5801639033782</v>
      </c>
      <c r="D32" s="44" t="n">
        <f aca="false">IFERROR(BS!D12/-IS!D7*365,0)</f>
        <v>15.4852646641384</v>
      </c>
      <c r="E32" s="44" t="n">
        <f aca="false">IFERROR(BS!E12/-IS!E7*365,0)</f>
        <v>16.1037428779726</v>
      </c>
      <c r="F32" s="44" t="n">
        <f aca="false">IFERROR(BS!F12/-IS!F7*365,0)</f>
        <v>19.438097003895</v>
      </c>
      <c r="G32" s="44" t="n">
        <f aca="false">IFERROR(BS!G12/-IS!G7*365,0)</f>
        <v>20.2501943029008</v>
      </c>
      <c r="H32" s="44" t="n">
        <f aca="false">IFERROR(BS!H12/-IS!H7*365,0)</f>
        <v>21.6605347502775</v>
      </c>
      <c r="I32" s="92" t="n">
        <f aca="false">AVERAGE(E32:H32)</f>
        <v>19.3631422337615</v>
      </c>
      <c r="J32" s="15"/>
    </row>
    <row r="33" customFormat="false" ht="15" hidden="false" customHeight="false" outlineLevel="0" collapsed="false">
      <c r="A33" s="54" t="s">
        <v>1878</v>
      </c>
      <c r="B33" s="13" t="s">
        <v>1879</v>
      </c>
      <c r="C33" s="44" t="n">
        <f aca="false">IFERROR((BS!C30+BS!C29)/-IS!C7*365,0)</f>
        <v>66.9406999083756</v>
      </c>
      <c r="D33" s="44" t="n">
        <f aca="false">IFERROR((BS!D30+BS!D29)/-IS!D7*365,0)</f>
        <v>47.4416963895093</v>
      </c>
      <c r="E33" s="44" t="n">
        <f aca="false">IFERROR((BS!E30+BS!E29)/-IS!E7*365,0)</f>
        <v>37.4694034014217</v>
      </c>
      <c r="F33" s="44" t="n">
        <f aca="false">IFERROR((BS!F30+BS!F29)/-IS!F7*365,0)</f>
        <v>25.6900427467676</v>
      </c>
      <c r="G33" s="44" t="n">
        <f aca="false">IFERROR((BS!G30+BS!G29)/-IS!G7*365,0)</f>
        <v>13.299278331199</v>
      </c>
      <c r="H33" s="44" t="n">
        <f aca="false">IFERROR((BS!H30+BS!H29)/-IS!H7*365,0)</f>
        <v>34.2657193739202</v>
      </c>
      <c r="I33" s="92" t="n">
        <f aca="false">AVERAGE(E33:H33)</f>
        <v>27.6811109633272</v>
      </c>
      <c r="J33" s="15"/>
    </row>
    <row r="34" customFormat="false" ht="15" hidden="false" customHeight="false" outlineLevel="0" collapsed="false">
      <c r="A34" s="16"/>
      <c r="B34" s="17" t="s">
        <v>1880</v>
      </c>
      <c r="C34" s="16"/>
      <c r="D34" s="16"/>
      <c r="E34" s="16"/>
      <c r="F34" s="16"/>
      <c r="G34" s="16"/>
      <c r="H34" s="16"/>
      <c r="I34" s="16"/>
      <c r="J34" s="16"/>
    </row>
    <row r="35" customFormat="false" ht="15" hidden="false" customHeight="false" outlineLevel="0" collapsed="false">
      <c r="A35" s="54" t="s">
        <v>1881</v>
      </c>
      <c r="B35" s="13" t="s">
        <v>1882</v>
      </c>
      <c r="C35" s="48" t="n">
        <f aca="false">IFERROR(BS!C15/BS!C38,0)</f>
        <v>1.19396311285661</v>
      </c>
      <c r="D35" s="48" t="n">
        <f aca="false">IFERROR(BS!D15/BS!D38,0)</f>
        <v>1.53579109244299</v>
      </c>
      <c r="E35" s="48" t="n">
        <f aca="false">IFERROR(BS!E15/BS!E38,0)</f>
        <v>1.37891360234026</v>
      </c>
      <c r="F35" s="48" t="n">
        <f aca="false">IFERROR(BS!F15/BS!F38,0)</f>
        <v>1.52562856855287</v>
      </c>
      <c r="G35" s="48" t="n">
        <f aca="false">IFERROR(BS!G15/BS!G38,0)</f>
        <v>1.91564073907254</v>
      </c>
      <c r="H35" s="48" t="n">
        <f aca="false">IFERROR(BS!H15/BS!H38,0)</f>
        <v>1.62211990006379</v>
      </c>
      <c r="I35" s="93" t="n">
        <f aca="false">AVERAGE(E35:H35)</f>
        <v>1.61057570250737</v>
      </c>
      <c r="J35" s="15"/>
    </row>
    <row r="36" customFormat="false" ht="15" hidden="false" customHeight="false" outlineLevel="0" collapsed="false">
      <c r="A36" s="54" t="s">
        <v>1883</v>
      </c>
      <c r="B36" s="13" t="s">
        <v>1884</v>
      </c>
      <c r="C36" s="50" t="n">
        <f aca="false">(BS!C28+BS!C36+BS!C42+BS!C40)</f>
        <v>790788109440</v>
      </c>
      <c r="D36" s="50" t="n">
        <f aca="false">(BS!D28+BS!D36+BS!D42+BS!D40)</f>
        <v>613491292970</v>
      </c>
      <c r="E36" s="50" t="n">
        <f aca="false">(BS!E28+BS!E36+BS!E42+BS!E40)</f>
        <v>855155621765</v>
      </c>
      <c r="F36" s="50" t="n">
        <f aca="false">(BS!F28+BS!F36+BS!F42+BS!F40)</f>
        <v>1027178215393</v>
      </c>
      <c r="G36" s="50" t="n">
        <f aca="false">(BS!G28+BS!G36+BS!G42+BS!G40)</f>
        <v>1090896287270</v>
      </c>
      <c r="H36" s="50" t="n">
        <f aca="false">(BS!H28+BS!H36+BS!H42+BS!H40)</f>
        <v>1215640066746</v>
      </c>
      <c r="I36" s="83" t="n">
        <f aca="false">AVERAGE(E36:H36)</f>
        <v>1047217547793.5</v>
      </c>
      <c r="J36" s="15"/>
    </row>
    <row r="37" customFormat="false" ht="15" hidden="false" customHeight="false" outlineLevel="0" collapsed="false">
      <c r="A37" s="54" t="s">
        <v>1885</v>
      </c>
      <c r="B37" s="13" t="s">
        <v>1886</v>
      </c>
      <c r="C37" s="50" t="n">
        <f aca="false">(BS!C37+BS!C43)</f>
        <v>21365533162</v>
      </c>
      <c r="D37" s="50" t="n">
        <f aca="false">(BS!D37+BS!D43)</f>
        <v>58582945320</v>
      </c>
      <c r="E37" s="50" t="n">
        <f aca="false">(BS!E37+BS!E43)</f>
        <v>76264032884</v>
      </c>
      <c r="F37" s="50" t="n">
        <f aca="false">(BS!F37+BS!F43)</f>
        <v>92775258119</v>
      </c>
      <c r="G37" s="50" t="n">
        <f aca="false">(BS!G37+BS!G43)</f>
        <v>73032171888</v>
      </c>
      <c r="H37" s="50" t="n">
        <f aca="false">(BS!H37+BS!H43)</f>
        <v>140147298469</v>
      </c>
      <c r="I37" s="83" t="n">
        <f aca="false">AVERAGE(E37:H37)</f>
        <v>95554690340</v>
      </c>
      <c r="J37" s="15"/>
    </row>
    <row r="38" customFormat="false" ht="15" hidden="false" customHeight="false" outlineLevel="0" collapsed="false">
      <c r="A38" s="54" t="s">
        <v>1887</v>
      </c>
      <c r="B38" s="13" t="s">
        <v>1888</v>
      </c>
      <c r="C38" s="50" t="n">
        <f aca="false">(BS!C28+BS!C36+BS!C42+BS!C40)+(BS!C37+BS!C43)-BS!C6</f>
        <v>187167086361</v>
      </c>
      <c r="D38" s="50" t="n">
        <f aca="false">(BS!D28+BS!D36+BS!D42+BS!D40)+(BS!D37+BS!D43)-BS!D6</f>
        <v>-157686770185</v>
      </c>
      <c r="E38" s="50" t="n">
        <f aca="false">(BS!E28+BS!E36+BS!E42+BS!E40)+(BS!E37+BS!E43)-BS!E6</f>
        <v>302141983757</v>
      </c>
      <c r="F38" s="50" t="n">
        <f aca="false">(BS!F28+BS!F36+BS!F42+BS!F40)+(BS!F37+BS!F43)-BS!F6</f>
        <v>497895464087</v>
      </c>
      <c r="G38" s="50" t="n">
        <f aca="false">(BS!G28+BS!G36+BS!G42+BS!G40)+(BS!G37+BS!G43)-BS!G6</f>
        <v>380596403084</v>
      </c>
      <c r="H38" s="50" t="n">
        <f aca="false">(BS!H28+BS!H36+BS!H42+BS!H40)+(BS!H37+BS!H43)-BS!H6</f>
        <v>529202623307</v>
      </c>
      <c r="I38" s="83" t="n">
        <f aca="false">AVERAGE(E38:H38)</f>
        <v>427459118558.75</v>
      </c>
      <c r="J38" s="15" t="s">
        <v>1889</v>
      </c>
    </row>
    <row r="39" customFormat="false" ht="15" hidden="false" customHeight="false" outlineLevel="0" collapsed="false">
      <c r="A39" s="54" t="s">
        <v>1890</v>
      </c>
      <c r="B39" s="13" t="s">
        <v>1891</v>
      </c>
      <c r="C39" s="48" t="n">
        <f aca="false">IFERROR((BS!C28+BS!C36+BS!C42+BS!C40)/BS!C57,0)</f>
        <v>0.753347215668752</v>
      </c>
      <c r="D39" s="48" t="n">
        <f aca="false">IFERROR((BS!D28+BS!D36+BS!D42+BS!D40)/BS!D57,0)</f>
        <v>0.341546502428688</v>
      </c>
      <c r="E39" s="48" t="n">
        <f aca="false">IFERROR((BS!E28+BS!E36+BS!E42+BS!E40)/BS!E57,0)</f>
        <v>0.472923502955058</v>
      </c>
      <c r="F39" s="48" t="n">
        <f aca="false">IFERROR((BS!F28+BS!F36+BS!F42+BS!F40)/BS!F57,0)</f>
        <v>0.570643180266529</v>
      </c>
      <c r="G39" s="48" t="n">
        <f aca="false">IFERROR((BS!G28+BS!G36+BS!G42+BS!G40)/BS!G57,0)</f>
        <v>0.507928557052267</v>
      </c>
      <c r="H39" s="48" t="n">
        <f aca="false">IFERROR((BS!H28+BS!H36+BS!H42+BS!H40)/BS!H57,0)</f>
        <v>0.507678640473266</v>
      </c>
      <c r="I39" s="93" t="n">
        <f aca="false">AVERAGE(E39:H39)</f>
        <v>0.51479347018678</v>
      </c>
      <c r="J39" s="15"/>
    </row>
    <row r="40" customFormat="false" ht="15" hidden="false" customHeight="false" outlineLevel="0" collapsed="false">
      <c r="A40" s="54" t="s">
        <v>1892</v>
      </c>
      <c r="B40" s="13" t="s">
        <v>185</v>
      </c>
      <c r="C40" s="48" t="n">
        <f aca="false">IFERROR(((BS!C28+BS!C36+BS!C42+BS!C40)+(BS!C37+BS!C43)-BS!C6)/(IS!C13+Schedules!C19),0)</f>
        <v>0.79543405712489</v>
      </c>
      <c r="D40" s="48" t="n">
        <f aca="false">IFERROR(((BS!D28+BS!D36+BS!D42+BS!D40)+(BS!D37+BS!D43)-BS!D6)/(IS!D13+Schedules!D19),0)</f>
        <v>-0.281531549902155</v>
      </c>
      <c r="E40" s="48" t="n">
        <f aca="false">IFERROR(((BS!E28+BS!E36+BS!E42+BS!E40)+(BS!E37+BS!E43)-BS!E6)/(IS!E13+Schedules!E19),0)</f>
        <v>0.899854483340775</v>
      </c>
      <c r="F40" s="48" t="n">
        <f aca="false">IFERROR(((BS!F28+BS!F36+BS!F42+BS!F40)+(BS!F37+BS!F43)-BS!F6)/(IS!F13+Schedules!F19),0)</f>
        <v>2.31059917842507</v>
      </c>
      <c r="G40" s="48" t="n">
        <f aca="false">IFERROR(((BS!G28+BS!G36+BS!G42+BS!G40)+(BS!G37+BS!G43)-BS!G6)/(IS!G13+Schedules!G19),0)</f>
        <v>1.8000588824746</v>
      </c>
      <c r="H40" s="48" t="n">
        <f aca="false">IFERROR(((BS!H28+BS!H36+BS!H42+BS!H40)+(BS!H37+BS!H43)-BS!H6)/(IS!H13+Schedules!H19),0)</f>
        <v>2.45238549956908</v>
      </c>
      <c r="I40" s="93" t="n">
        <f aca="false">AVERAGE(E40:H40)</f>
        <v>1.86572451095238</v>
      </c>
      <c r="J40" s="15"/>
    </row>
    <row r="41" customFormat="false" ht="15" hidden="false" customHeight="false" outlineLevel="0" collapsed="false">
      <c r="A41" s="54" t="s">
        <v>1893</v>
      </c>
      <c r="B41" s="13" t="s">
        <v>1894</v>
      </c>
      <c r="C41" s="48" t="n">
        <f aca="false">IFERROR((IS!C13+Schedules!C19)/-IS!C15,0)</f>
        <v>4.42965125474171</v>
      </c>
      <c r="D41" s="48" t="n">
        <f aca="false">IFERROR((IS!D13+Schedules!D19)/-IS!D15,0)</f>
        <v>19.9923443377547</v>
      </c>
      <c r="E41" s="48" t="n">
        <f aca="false">IFERROR((IS!E13+Schedules!E19)/-IS!E15,0)</f>
        <v>7.12586213525819</v>
      </c>
      <c r="F41" s="48" t="n">
        <f aca="false">IFERROR((IS!F13+Schedules!F19)/-IS!F15,0)</f>
        <v>3.73043109493715</v>
      </c>
      <c r="G41" s="48" t="n">
        <f aca="false">IFERROR((IS!G13+Schedules!G19)/-IS!G15,0)</f>
        <v>3.1069039758626</v>
      </c>
      <c r="H41" s="48" t="n">
        <f aca="false">IFERROR((IS!H13+Schedules!H19)/-IS!H15,0)</f>
        <v>3.19560628075064</v>
      </c>
      <c r="I41" s="93" t="n">
        <f aca="false">AVERAGE(E41:H41)</f>
        <v>4.28970087170215</v>
      </c>
      <c r="J41" s="15"/>
    </row>
    <row r="42" customFormat="false" ht="15" hidden="false" customHeight="false" outlineLevel="0" collapsed="false">
      <c r="A42" s="16"/>
      <c r="B42" s="17" t="s">
        <v>1895</v>
      </c>
      <c r="C42" s="16"/>
      <c r="D42" s="16"/>
      <c r="E42" s="16"/>
      <c r="F42" s="16"/>
      <c r="G42" s="16"/>
      <c r="H42" s="16"/>
      <c r="I42" s="16"/>
      <c r="J42" s="16"/>
    </row>
    <row r="43" customFormat="false" ht="15" hidden="false" customHeight="false" outlineLevel="0" collapsed="false">
      <c r="A43" s="54" t="s">
        <v>1896</v>
      </c>
      <c r="B43" s="13" t="s">
        <v>1897</v>
      </c>
      <c r="C43" s="50" t="n">
        <f aca="false">-(CF!C15+CF!C16)</f>
        <v>49606709171</v>
      </c>
      <c r="D43" s="50" t="n">
        <f aca="false">-(CF!D15+CF!D16)</f>
        <v>298175362181</v>
      </c>
      <c r="E43" s="50" t="n">
        <f aca="false">-(CF!E15+CF!E16)</f>
        <v>301730050964</v>
      </c>
      <c r="F43" s="50" t="n">
        <f aca="false">-(CF!F15+CF!F16)</f>
        <v>209353390575</v>
      </c>
      <c r="G43" s="50" t="n">
        <f aca="false">-(CF!G15+CF!G16)</f>
        <v>173694170491</v>
      </c>
      <c r="H43" s="50" t="n">
        <f aca="false">-(CF!H15+CF!H16)</f>
        <v>218905414893</v>
      </c>
      <c r="I43" s="83" t="n">
        <f aca="false">AVERAGE(E43:H43)</f>
        <v>225920756730.75</v>
      </c>
      <c r="J43" s="15"/>
    </row>
    <row r="44" customFormat="false" ht="15" hidden="false" customHeight="false" outlineLevel="0" collapsed="false">
      <c r="A44" s="54" t="s">
        <v>1898</v>
      </c>
      <c r="B44" s="13" t="s">
        <v>1899</v>
      </c>
      <c r="C44" s="46" t="n">
        <f aca="false">IFERROR(-(CF!C15+CF!C16)/IS!C6,0)</f>
        <v>0.0432059852063478</v>
      </c>
      <c r="D44" s="46" t="n">
        <f aca="false">IFERROR(-(CF!D15+CF!D16)/IS!D6,0)</f>
        <v>0.157697968424084</v>
      </c>
      <c r="E44" s="46" t="n">
        <f aca="false">IFERROR(-(CF!E15+CF!E16)/IS!E6,0)</f>
        <v>0.181908874431783</v>
      </c>
      <c r="F44" s="46" t="n">
        <f aca="false">IFERROR(-(CF!F15+CF!F16)/IS!F6,0)</f>
        <v>0.140675812796553</v>
      </c>
      <c r="G44" s="46" t="n">
        <f aca="false">IFERROR(-(CF!G15+CF!G16)/IS!G6,0)</f>
        <v>0.111723062444309</v>
      </c>
      <c r="H44" s="46" t="n">
        <f aca="false">IFERROR(-(CF!H15+CF!H16)/IS!H6,0)</f>
        <v>0.135600499445958</v>
      </c>
      <c r="I44" s="84" t="n">
        <f aca="false">AVERAGE(E44:H44)</f>
        <v>0.142477062279651</v>
      </c>
      <c r="J44" s="15" t="s">
        <v>1900</v>
      </c>
    </row>
    <row r="45" customFormat="false" ht="15" hidden="false" customHeight="false" outlineLevel="0" collapsed="false">
      <c r="A45" s="54" t="s">
        <v>1901</v>
      </c>
      <c r="B45" s="13" t="s">
        <v>1902</v>
      </c>
      <c r="C45" s="50" t="n">
        <f aca="false">CF!C13+CF!C15+CF!C16+CF!C23</f>
        <v>140751823906</v>
      </c>
      <c r="D45" s="50" t="n">
        <f aca="false">CF!D13+CF!D15+CF!D16+CF!D23</f>
        <v>51263029999</v>
      </c>
      <c r="E45" s="50" t="n">
        <f aca="false">CF!E13+CF!E15+CF!E16+CF!E23</f>
        <v>-170645691522</v>
      </c>
      <c r="F45" s="50" t="n">
        <f aca="false">CF!F13+CF!F15+CF!F16+CF!F23</f>
        <v>-157914662091</v>
      </c>
      <c r="G45" s="50" t="n">
        <f aca="false">CF!G13+CF!G15+CF!G16+CF!G23</f>
        <v>-163682799360</v>
      </c>
      <c r="H45" s="50" t="n">
        <f aca="false">CF!H13+CF!H15+CF!H16+CF!H23</f>
        <v>-66982627658</v>
      </c>
      <c r="I45" s="83" t="n">
        <f aca="false">AVERAGE(E45:H45)</f>
        <v>-139806445157.75</v>
      </c>
      <c r="J45" s="15"/>
    </row>
    <row r="46" customFormat="false" ht="15" hidden="false" customHeight="false" outlineLevel="0" collapsed="false">
      <c r="A46" s="54" t="s">
        <v>1903</v>
      </c>
      <c r="B46" s="13" t="s">
        <v>1904</v>
      </c>
      <c r="C46" s="48" t="n">
        <f aca="false">IFERROR(CF!C13/IS!C22,0)</f>
        <v>1.60694238764064</v>
      </c>
      <c r="D46" s="48" t="n">
        <f aca="false">IFERROR(CF!D13/IS!D22,0)</f>
        <v>0.985308296009127</v>
      </c>
      <c r="E46" s="48" t="n">
        <f aca="false">IFERROR(CF!E13/IS!E22,0)</f>
        <v>1.01669489490358</v>
      </c>
      <c r="F46" s="48" t="n">
        <f aca="false">IFERROR(CF!F13/IS!F22,0)</f>
        <v>3.16947250366971</v>
      </c>
      <c r="G46" s="48" t="n">
        <f aca="false">IFERROR(CF!G13/IS!G22,0)</f>
        <v>1.79825758438312</v>
      </c>
      <c r="H46" s="48" t="n">
        <f aca="false">IFERROR(CF!H13/IS!H22,0)</f>
        <v>8.44608417916233</v>
      </c>
      <c r="I46" s="93" t="n">
        <f aca="false">AVERAGE(E46:H46)</f>
        <v>3.60762729052968</v>
      </c>
      <c r="J46" s="15"/>
    </row>
    <row r="47" customFormat="false" ht="15" hidden="false" customHeight="false" outlineLevel="0" collapsed="false">
      <c r="A47" s="16"/>
      <c r="B47" s="17" t="s">
        <v>1905</v>
      </c>
      <c r="C47" s="16"/>
      <c r="D47" s="16"/>
      <c r="E47" s="16"/>
      <c r="F47" s="16"/>
      <c r="G47" s="16"/>
      <c r="H47" s="16"/>
      <c r="I47" s="16"/>
      <c r="J47" s="16"/>
    </row>
    <row r="48" customFormat="false" ht="15" hidden="false" customHeight="false" outlineLevel="0" collapsed="false">
      <c r="A48" s="54" t="s">
        <v>1906</v>
      </c>
      <c r="B48" s="13" t="s">
        <v>1907</v>
      </c>
      <c r="C48" s="70" t="n">
        <f aca="false">IFERROR(IS!C33/8603416176,0)</f>
        <v>10.3204398737202</v>
      </c>
      <c r="D48" s="70" t="n">
        <f aca="false">IFERROR(IS!D33/8603416176,0)</f>
        <v>24.9306927858885</v>
      </c>
      <c r="E48" s="70" t="n">
        <f aca="false">IFERROR(IS!E33/8603416176,0)</f>
        <v>9.67379997322124</v>
      </c>
      <c r="F48" s="70" t="n">
        <f aca="false">IFERROR(IS!F33/8603416176,0)</f>
        <v>0.867229274437927</v>
      </c>
      <c r="G48" s="70" t="n">
        <f aca="false">IFERROR(IS!G33/8603416176,0)</f>
        <v>1.38822940558397</v>
      </c>
      <c r="H48" s="70" t="n">
        <f aca="false">IFERROR(IS!H33/8603416176,0)</f>
        <v>1.44349187194312</v>
      </c>
      <c r="I48" s="100" t="n">
        <f aca="false">AVERAGE(E48:H48)</f>
        <v>3.34318763129657</v>
      </c>
      <c r="J48" s="15" t="s">
        <v>1908</v>
      </c>
    </row>
    <row r="49" customFormat="false" ht="15" hidden="false" customHeight="false" outlineLevel="0" collapsed="false">
      <c r="A49" s="54" t="s">
        <v>1909</v>
      </c>
      <c r="B49" s="13" t="s">
        <v>1910</v>
      </c>
      <c r="C49" s="70" t="n">
        <f aca="false">IS!C37</f>
        <v>18</v>
      </c>
      <c r="D49" s="70" t="n">
        <f aca="false">IS!D37</f>
        <v>44</v>
      </c>
      <c r="E49" s="70" t="n">
        <f aca="false">IS!E37</f>
        <v>9.7</v>
      </c>
      <c r="F49" s="70" t="n">
        <f aca="false">IS!F37</f>
        <v>0.9</v>
      </c>
      <c r="G49" s="70" t="n">
        <f aca="false">IS!G37</f>
        <v>1.4</v>
      </c>
      <c r="H49" s="70" t="n">
        <f aca="false">IS!H37</f>
        <v>1.4</v>
      </c>
      <c r="I49" s="100" t="n">
        <f aca="false">AVERAGE(E49:H49)</f>
        <v>3.35</v>
      </c>
      <c r="J49" s="15" t="s">
        <v>1911</v>
      </c>
    </row>
    <row r="50" customFormat="false" ht="15" hidden="false" customHeight="false" outlineLevel="0" collapsed="false">
      <c r="A50" s="54" t="s">
        <v>1912</v>
      </c>
      <c r="B50" s="13" t="s">
        <v>1913</v>
      </c>
      <c r="C50" s="70" t="n">
        <f aca="false">IFERROR(BS!C55/8603416176,0)</f>
        <v>115.679305779291</v>
      </c>
      <c r="D50" s="70" t="n">
        <f aca="false">IFERROR(BS!D55/8603416176,0)</f>
        <v>180.246969096175</v>
      </c>
      <c r="E50" s="70" t="n">
        <f aca="false">IFERROR(BS!E55/8603416176,0)</f>
        <v>185.525233693635</v>
      </c>
      <c r="F50" s="70" t="n">
        <f aca="false">IFERROR(BS!F55/8603416176,0)</f>
        <v>184.788590379938</v>
      </c>
      <c r="G50" s="70" t="n">
        <f aca="false">IFERROR(BS!G55/8603416176,0)</f>
        <v>199.162664104627</v>
      </c>
      <c r="H50" s="70" t="n">
        <f aca="false">IFERROR(BS!H55/8603416176,0)</f>
        <v>226.644178738843</v>
      </c>
      <c r="I50" s="100" t="n">
        <f aca="false">AVERAGE(E50:H50)</f>
        <v>199.030166729261</v>
      </c>
      <c r="J50" s="15"/>
    </row>
    <row r="51" customFormat="false" ht="15" hidden="false" customHeight="false" outlineLevel="0" collapsed="false">
      <c r="A51" s="54" t="s">
        <v>1914</v>
      </c>
      <c r="B51" s="13" t="s">
        <v>1915</v>
      </c>
      <c r="C51" s="44" t="n">
        <f aca="false">IFERROR(IS!C6/Schedules!C27/1000000,0)</f>
        <v>1156.23804804834</v>
      </c>
      <c r="D51" s="44" t="n">
        <f aca="false">IFERROR(IS!D6/Schedules!D27/1000000,0)</f>
        <v>1692.74868016741</v>
      </c>
      <c r="E51" s="44" t="n">
        <f aca="false">IFERROR(IS!E6/Schedules!E27/1000000,0)</f>
        <v>1290.80771301323</v>
      </c>
      <c r="F51" s="44" t="n">
        <f aca="false">IFERROR(IS!F6/Schedules!F27/1000000,0)</f>
        <v>1037.79461880823</v>
      </c>
      <c r="G51" s="44" t="n">
        <f aca="false">IFERROR(IS!G6/Schedules!G27/1000000,0)</f>
        <v>984.601019845472</v>
      </c>
      <c r="H51" s="44" t="n">
        <f aca="false">IFERROR(IS!H6/Schedules!H27/1000000,0)</f>
        <v>1030.86894732567</v>
      </c>
      <c r="I51" s="92" t="n">
        <f aca="false">AVERAGE(E51:H51)</f>
        <v>1086.01807474815</v>
      </c>
      <c r="J51" s="15"/>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5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1916</v>
      </c>
    </row>
    <row r="2" customFormat="false" ht="15" hidden="false" customHeight="false" outlineLevel="0" collapsed="false">
      <c r="A2" s="15" t="s">
        <v>1917</v>
      </c>
    </row>
    <row r="3" customFormat="false" ht="15" hidden="false" customHeight="false" outlineLevel="0" collapsed="false">
      <c r="B3" s="4" t="s">
        <v>39</v>
      </c>
      <c r="C3" s="4" t="str">
        <f aca="false">IF(COUNTIF(K7:K506,"✖*")=0,"SEMUA 500 CEK SESUAI EKSPEKTASI","ADA "&amp;COUNTIF(K7:K506,"✖*")&amp;" CEK TIDAK SESUAI EKSPEKTASI")</f>
        <v>SEMUA 500 CEK SESUAI EKSPEKTASI</v>
      </c>
    </row>
    <row r="4" customFormat="false" ht="15" hidden="false" customHeight="false" outlineLevel="0" collapsed="false">
      <c r="C4" s="13" t="str">
        <f aca="false">"OK: "&amp;COUNTIF(I7:I506,"OK")&amp;" | ❌ (diharapkan, dijelaskan di Temuan): "&amp;COUNTIF(I7:I506,"❌")&amp;" | N/A/INFO: "&amp;(COUNTIF(I7:I506,"N/A")+COUNTIF(I7:I506,"INFO"))</f>
        <v>OK: 457 | ❌ (diharapkan, dijelaskan di Temuan): 35 | N/A/INFO: 8</v>
      </c>
    </row>
    <row r="6" customFormat="false" ht="23.85" hidden="false" customHeight="false" outlineLevel="0" collapsed="false">
      <c r="A6" s="25" t="s">
        <v>1918</v>
      </c>
      <c r="B6" s="25" t="s">
        <v>1919</v>
      </c>
      <c r="C6" s="25" t="s">
        <v>1920</v>
      </c>
      <c r="D6" s="25" t="s">
        <v>1921</v>
      </c>
      <c r="E6" s="25" t="s">
        <v>1922</v>
      </c>
      <c r="F6" s="25" t="s">
        <v>1923</v>
      </c>
      <c r="G6" s="25" t="s">
        <v>1924</v>
      </c>
      <c r="H6" s="25" t="s">
        <v>1925</v>
      </c>
      <c r="I6" s="25" t="s">
        <v>1926</v>
      </c>
      <c r="J6" s="25" t="s">
        <v>1927</v>
      </c>
      <c r="K6" s="25" t="s">
        <v>1928</v>
      </c>
      <c r="L6" s="25" t="s">
        <v>1929</v>
      </c>
    </row>
    <row r="7" customFormat="false" ht="15" hidden="false" customHeight="false" outlineLevel="0" collapsed="false">
      <c r="A7" s="13" t="n">
        <v>1</v>
      </c>
      <c r="B7" s="13" t="s">
        <v>1930</v>
      </c>
      <c r="C7" s="13" t="s">
        <v>1931</v>
      </c>
      <c r="D7" s="13" t="n">
        <v>2020</v>
      </c>
      <c r="E7" s="50" t="n">
        <f aca="false">IS!C8</f>
        <v>493150590488</v>
      </c>
      <c r="F7" s="50" t="n">
        <f aca="false">IS!C39</f>
        <v>493150590488</v>
      </c>
      <c r="G7" s="101" t="n">
        <f aca="false">IF(COUNT(E7:F7)=2,E7-F7,"")</f>
        <v>0</v>
      </c>
      <c r="H7" s="102" t="n">
        <v>1</v>
      </c>
      <c r="I7" s="4" t="str">
        <f aca="false">IF(COUNT(E7:F7)&lt;2,"N/A",IF(ABS(G7)&lt;=H7,"OK","❌"))</f>
        <v>OK</v>
      </c>
      <c r="J7" s="102" t="s">
        <v>1932</v>
      </c>
      <c r="K7" s="4" t="str">
        <f aca="false">IF(I7=J7,"✔ sesuai","✖ TIDAK sesuai")</f>
        <v>✔ sesuai</v>
      </c>
      <c r="L7" s="103"/>
    </row>
    <row r="8" customFormat="false" ht="15" hidden="false" customHeight="false" outlineLevel="0" collapsed="false">
      <c r="A8" s="13" t="n">
        <v>2</v>
      </c>
      <c r="B8" s="13" t="s">
        <v>1930</v>
      </c>
      <c r="C8" s="13" t="s">
        <v>1933</v>
      </c>
      <c r="D8" s="13" t="n">
        <v>2020</v>
      </c>
      <c r="E8" s="50" t="n">
        <f aca="false">IS!C11</f>
        <v>-336874850934</v>
      </c>
      <c r="F8" s="50" t="n">
        <f aca="false">IS!C40</f>
        <v>-336874850934</v>
      </c>
      <c r="G8" s="101" t="n">
        <f aca="false">IF(COUNT(E8:F8)=2,E8-F8,"")</f>
        <v>0</v>
      </c>
      <c r="H8" s="102" t="n">
        <v>1</v>
      </c>
      <c r="I8" s="4" t="str">
        <f aca="false">IF(COUNT(E8:F8)&lt;2,"N/A",IF(ABS(G8)&lt;=H8,"OK","❌"))</f>
        <v>OK</v>
      </c>
      <c r="J8" s="102" t="s">
        <v>1932</v>
      </c>
      <c r="K8" s="4" t="str">
        <f aca="false">IF(I8=J8,"✔ sesuai","✖ TIDAK sesuai")</f>
        <v>✔ sesuai</v>
      </c>
      <c r="L8" s="103"/>
    </row>
    <row r="9" customFormat="false" ht="15" hidden="false" customHeight="false" outlineLevel="0" collapsed="false">
      <c r="A9" s="13" t="n">
        <v>3</v>
      </c>
      <c r="B9" s="13" t="s">
        <v>1930</v>
      </c>
      <c r="C9" s="13" t="s">
        <v>1934</v>
      </c>
      <c r="D9" s="13" t="n">
        <v>2020</v>
      </c>
      <c r="E9" s="50" t="n">
        <f aca="false">IS!C17</f>
        <v>144991937521</v>
      </c>
      <c r="F9" s="50" t="n">
        <f aca="false">IS!C41</f>
        <v>144991937521</v>
      </c>
      <c r="G9" s="101" t="n">
        <f aca="false">IF(COUNT(E9:F9)=2,E9-F9,"")</f>
        <v>0</v>
      </c>
      <c r="H9" s="102" t="n">
        <v>1</v>
      </c>
      <c r="I9" s="4" t="str">
        <f aca="false">IF(COUNT(E9:F9)&lt;2,"N/A",IF(ABS(G9)&lt;=H9,"OK","❌"))</f>
        <v>OK</v>
      </c>
      <c r="J9" s="102" t="s">
        <v>1932</v>
      </c>
      <c r="K9" s="4" t="str">
        <f aca="false">IF(I9=J9,"✔ sesuai","✖ TIDAK sesuai")</f>
        <v>✔ sesuai</v>
      </c>
      <c r="L9" s="103"/>
    </row>
    <row r="10" customFormat="false" ht="15" hidden="false" customHeight="false" outlineLevel="0" collapsed="false">
      <c r="A10" s="13" t="n">
        <v>4</v>
      </c>
      <c r="B10" s="13" t="s">
        <v>1930</v>
      </c>
      <c r="C10" s="13" t="s">
        <v>1935</v>
      </c>
      <c r="D10" s="13" t="n">
        <v>2020</v>
      </c>
      <c r="E10" s="50" t="n">
        <f aca="false">IS!C21</f>
        <v>-26531851745</v>
      </c>
      <c r="F10" s="50" t="n">
        <f aca="false">IS!C42</f>
        <v>-26531851745</v>
      </c>
      <c r="G10" s="101" t="n">
        <f aca="false">IF(COUNT(E10:F10)=2,E10-F10,"")</f>
        <v>0</v>
      </c>
      <c r="H10" s="102" t="n">
        <v>1</v>
      </c>
      <c r="I10" s="4" t="str">
        <f aca="false">IF(COUNT(E10:F10)&lt;2,"N/A",IF(ABS(G10)&lt;=H10,"OK","❌"))</f>
        <v>OK</v>
      </c>
      <c r="J10" s="102" t="s">
        <v>1932</v>
      </c>
      <c r="K10" s="4" t="str">
        <f aca="false">IF(I10=J10,"✔ sesuai","✖ TIDAK sesuai")</f>
        <v>✔ sesuai</v>
      </c>
      <c r="L10" s="103"/>
    </row>
    <row r="11" customFormat="false" ht="15" hidden="false" customHeight="false" outlineLevel="0" collapsed="false">
      <c r="A11" s="13" t="n">
        <v>5</v>
      </c>
      <c r="B11" s="13" t="s">
        <v>1930</v>
      </c>
      <c r="C11" s="13" t="s">
        <v>1936</v>
      </c>
      <c r="D11" s="13" t="n">
        <v>2020</v>
      </c>
      <c r="E11" s="50" t="n">
        <f aca="false">IS!C22</f>
        <v>118460085776</v>
      </c>
      <c r="F11" s="50" t="n">
        <f aca="false">IS!C43</f>
        <v>118460085776</v>
      </c>
      <c r="G11" s="101" t="n">
        <f aca="false">IF(COUNT(E11:F11)=2,E11-F11,"")</f>
        <v>0</v>
      </c>
      <c r="H11" s="102" t="n">
        <v>1</v>
      </c>
      <c r="I11" s="4" t="str">
        <f aca="false">IF(COUNT(E11:F11)&lt;2,"N/A",IF(ABS(G11)&lt;=H11,"OK","❌"))</f>
        <v>OK</v>
      </c>
      <c r="J11" s="102" t="s">
        <v>1932</v>
      </c>
      <c r="K11" s="4" t="str">
        <f aca="false">IF(I11=J11,"✔ sesuai","✖ TIDAK sesuai")</f>
        <v>✔ sesuai</v>
      </c>
      <c r="L11" s="103"/>
    </row>
    <row r="12" customFormat="false" ht="15" hidden="false" customHeight="false" outlineLevel="0" collapsed="false">
      <c r="A12" s="13" t="n">
        <v>6</v>
      </c>
      <c r="B12" s="13" t="s">
        <v>1930</v>
      </c>
      <c r="C12" s="13" t="s">
        <v>1937</v>
      </c>
      <c r="D12" s="13" t="n">
        <v>2020</v>
      </c>
      <c r="E12" s="50" t="n">
        <f aca="false">IS!C30</f>
        <v>127306536596</v>
      </c>
      <c r="F12" s="50" t="n">
        <f aca="false">IS!C44</f>
        <v>127306536596</v>
      </c>
      <c r="G12" s="101" t="n">
        <f aca="false">IF(COUNT(E12:F12)=2,E12-F12,"")</f>
        <v>0</v>
      </c>
      <c r="H12" s="102" t="n">
        <v>1</v>
      </c>
      <c r="I12" s="4" t="str">
        <f aca="false">IF(COUNT(E12:F12)&lt;2,"N/A",IF(ABS(G12)&lt;=H12,"OK","❌"))</f>
        <v>OK</v>
      </c>
      <c r="J12" s="102" t="s">
        <v>1932</v>
      </c>
      <c r="K12" s="4" t="str">
        <f aca="false">IF(I12=J12,"✔ sesuai","✖ TIDAK sesuai")</f>
        <v>✔ sesuai</v>
      </c>
      <c r="L12" s="103"/>
    </row>
    <row r="13" customFormat="false" ht="15" hidden="false" customHeight="false" outlineLevel="0" collapsed="false">
      <c r="A13" s="13" t="n">
        <v>7</v>
      </c>
      <c r="B13" s="13" t="s">
        <v>1930</v>
      </c>
      <c r="C13" s="13" t="s">
        <v>1938</v>
      </c>
      <c r="D13" s="13" t="n">
        <v>2020</v>
      </c>
      <c r="E13" s="50" t="n">
        <f aca="false">IS!C31</f>
        <v>245766622372</v>
      </c>
      <c r="F13" s="50" t="n">
        <f aca="false">IS!C45</f>
        <v>245766622372</v>
      </c>
      <c r="G13" s="101" t="n">
        <f aca="false">IF(COUNT(E13:F13)=2,E13-F13,"")</f>
        <v>0</v>
      </c>
      <c r="H13" s="102" t="n">
        <v>1</v>
      </c>
      <c r="I13" s="4" t="str">
        <f aca="false">IF(COUNT(E13:F13)&lt;2,"N/A",IF(ABS(G13)&lt;=H13,"OK","❌"))</f>
        <v>OK</v>
      </c>
      <c r="J13" s="102" t="s">
        <v>1932</v>
      </c>
      <c r="K13" s="4" t="str">
        <f aca="false">IF(I13=J13,"✔ sesuai","✖ TIDAK sesuai")</f>
        <v>✔ sesuai</v>
      </c>
      <c r="L13" s="103"/>
    </row>
    <row r="14" customFormat="false" ht="15" hidden="false" customHeight="false" outlineLevel="0" collapsed="false">
      <c r="A14" s="13" t="n">
        <v>8</v>
      </c>
      <c r="B14" s="13" t="s">
        <v>1930</v>
      </c>
      <c r="C14" s="13" t="s">
        <v>1938</v>
      </c>
      <c r="D14" s="13" t="n">
        <v>2020</v>
      </c>
      <c r="E14" s="50" t="n">
        <f aca="false">IS!C31</f>
        <v>245766622372</v>
      </c>
      <c r="F14" s="50" t="n">
        <f aca="false">IS!C46</f>
        <v>245766622372</v>
      </c>
      <c r="G14" s="101" t="n">
        <f aca="false">IF(COUNT(E14:F14)=2,E14-F14,"")</f>
        <v>0</v>
      </c>
      <c r="H14" s="102" t="n">
        <v>1</v>
      </c>
      <c r="I14" s="4" t="str">
        <f aca="false">IF(COUNT(E14:F14)&lt;2,"N/A",IF(ABS(G14)&lt;=H14,"OK","❌"))</f>
        <v>OK</v>
      </c>
      <c r="J14" s="102" t="s">
        <v>1932</v>
      </c>
      <c r="K14" s="4" t="str">
        <f aca="false">IF(I14=J14,"✔ sesuai","✖ TIDAK sesuai")</f>
        <v>✔ sesuai</v>
      </c>
      <c r="L14" s="103"/>
    </row>
    <row r="15" customFormat="false" ht="15" hidden="false" customHeight="false" outlineLevel="0" collapsed="false">
      <c r="A15" s="13" t="n">
        <v>9</v>
      </c>
      <c r="B15" s="13" t="s">
        <v>1930</v>
      </c>
      <c r="C15" s="13" t="s">
        <v>1939</v>
      </c>
      <c r="D15" s="13" t="n">
        <v>2020</v>
      </c>
      <c r="E15" s="50" t="n">
        <f aca="false">BS!C15</f>
        <v>815734493466</v>
      </c>
      <c r="F15" s="50" t="n">
        <f aca="false">BS!C60</f>
        <v>815734493466</v>
      </c>
      <c r="G15" s="101" t="n">
        <f aca="false">IF(COUNT(E15:F15)=2,E15-F15,"")</f>
        <v>0</v>
      </c>
      <c r="H15" s="102" t="n">
        <v>1</v>
      </c>
      <c r="I15" s="4" t="str">
        <f aca="false">IF(COUNT(E15:F15)&lt;2,"N/A",IF(ABS(G15)&lt;=H15,"OK","❌"))</f>
        <v>OK</v>
      </c>
      <c r="J15" s="102" t="s">
        <v>1932</v>
      </c>
      <c r="K15" s="4" t="str">
        <f aca="false">IF(I15=J15,"✔ sesuai","✖ TIDAK sesuai")</f>
        <v>✔ sesuai</v>
      </c>
      <c r="L15" s="103"/>
    </row>
    <row r="16" customFormat="false" ht="15" hidden="false" customHeight="false" outlineLevel="0" collapsed="false">
      <c r="A16" s="13" t="n">
        <v>10</v>
      </c>
      <c r="B16" s="13" t="s">
        <v>1930</v>
      </c>
      <c r="C16" s="13" t="s">
        <v>1940</v>
      </c>
      <c r="D16" s="13" t="n">
        <v>2020</v>
      </c>
      <c r="E16" s="50" t="n">
        <f aca="false">BS!C25</f>
        <v>1346802340999</v>
      </c>
      <c r="F16" s="50" t="n">
        <f aca="false">BS!C61</f>
        <v>1346802340999</v>
      </c>
      <c r="G16" s="101" t="n">
        <f aca="false">IF(COUNT(E16:F16)=2,E16-F16,"")</f>
        <v>0</v>
      </c>
      <c r="H16" s="102" t="n">
        <v>1</v>
      </c>
      <c r="I16" s="4" t="str">
        <f aca="false">IF(COUNT(E16:F16)&lt;2,"N/A",IF(ABS(G16)&lt;=H16,"OK","❌"))</f>
        <v>OK</v>
      </c>
      <c r="J16" s="102" t="s">
        <v>1932</v>
      </c>
      <c r="K16" s="4" t="str">
        <f aca="false">IF(I16=J16,"✔ sesuai","✖ TIDAK sesuai")</f>
        <v>✔ sesuai</v>
      </c>
      <c r="L16" s="103"/>
    </row>
    <row r="17" customFormat="false" ht="15" hidden="false" customHeight="false" outlineLevel="0" collapsed="false">
      <c r="A17" s="13" t="n">
        <v>11</v>
      </c>
      <c r="B17" s="13" t="s">
        <v>1930</v>
      </c>
      <c r="C17" s="13" t="s">
        <v>1941</v>
      </c>
      <c r="D17" s="13" t="n">
        <v>2020</v>
      </c>
      <c r="E17" s="50" t="n">
        <f aca="false">BS!C26</f>
        <v>2162536834465</v>
      </c>
      <c r="F17" s="50" t="n">
        <f aca="false">BS!C62</f>
        <v>2162536834465</v>
      </c>
      <c r="G17" s="101" t="n">
        <f aca="false">IF(COUNT(E17:F17)=2,E17-F17,"")</f>
        <v>0</v>
      </c>
      <c r="H17" s="102" t="n">
        <v>1</v>
      </c>
      <c r="I17" s="4" t="str">
        <f aca="false">IF(COUNT(E17:F17)&lt;2,"N/A",IF(ABS(G17)&lt;=H17,"OK","❌"))</f>
        <v>OK</v>
      </c>
      <c r="J17" s="102" t="s">
        <v>1932</v>
      </c>
      <c r="K17" s="4" t="str">
        <f aca="false">IF(I17=J17,"✔ sesuai","✖ TIDAK sesuai")</f>
        <v>✔ sesuai</v>
      </c>
      <c r="L17" s="103"/>
    </row>
    <row r="18" customFormat="false" ht="15" hidden="false" customHeight="false" outlineLevel="0" collapsed="false">
      <c r="A18" s="13" t="n">
        <v>12</v>
      </c>
      <c r="B18" s="13" t="s">
        <v>1930</v>
      </c>
      <c r="C18" s="13" t="s">
        <v>1942</v>
      </c>
      <c r="D18" s="13" t="n">
        <v>2020</v>
      </c>
      <c r="E18" s="50" t="n">
        <f aca="false">BS!C38</f>
        <v>683215825248</v>
      </c>
      <c r="F18" s="50" t="n">
        <f aca="false">BS!C63</f>
        <v>683215825248</v>
      </c>
      <c r="G18" s="101" t="n">
        <f aca="false">IF(COUNT(E18:F18)=2,E18-F18,"")</f>
        <v>0</v>
      </c>
      <c r="H18" s="102" t="n">
        <v>1</v>
      </c>
      <c r="I18" s="4" t="str">
        <f aca="false">IF(COUNT(E18:F18)&lt;2,"N/A",IF(ABS(G18)&lt;=H18,"OK","❌"))</f>
        <v>OK</v>
      </c>
      <c r="J18" s="102" t="s">
        <v>1932</v>
      </c>
      <c r="K18" s="4" t="str">
        <f aca="false">IF(I18=J18,"✔ sesuai","✖ TIDAK sesuai")</f>
        <v>✔ sesuai</v>
      </c>
      <c r="L18" s="103"/>
    </row>
    <row r="19" customFormat="false" ht="15" hidden="false" customHeight="false" outlineLevel="0" collapsed="false">
      <c r="A19" s="13" t="n">
        <v>13</v>
      </c>
      <c r="B19" s="13" t="s">
        <v>1930</v>
      </c>
      <c r="C19" s="13" t="s">
        <v>1943</v>
      </c>
      <c r="D19" s="13" t="n">
        <v>2020</v>
      </c>
      <c r="E19" s="50" t="n">
        <f aca="false">BS!C44</f>
        <v>429621623605</v>
      </c>
      <c r="F19" s="50" t="n">
        <f aca="false">BS!C64</f>
        <v>429621623605</v>
      </c>
      <c r="G19" s="101" t="n">
        <f aca="false">IF(COUNT(E19:F19)=2,E19-F19,"")</f>
        <v>0</v>
      </c>
      <c r="H19" s="102" t="n">
        <v>1</v>
      </c>
      <c r="I19" s="4" t="str">
        <f aca="false">IF(COUNT(E19:F19)&lt;2,"N/A",IF(ABS(G19)&lt;=H19,"OK","❌"))</f>
        <v>OK</v>
      </c>
      <c r="J19" s="102" t="s">
        <v>1932</v>
      </c>
      <c r="K19" s="4" t="str">
        <f aca="false">IF(I19=J19,"✔ sesuai","✖ TIDAK sesuai")</f>
        <v>✔ sesuai</v>
      </c>
      <c r="L19" s="103"/>
    </row>
    <row r="20" customFormat="false" ht="15" hidden="false" customHeight="false" outlineLevel="0" collapsed="false">
      <c r="A20" s="13" t="n">
        <v>14</v>
      </c>
      <c r="B20" s="13" t="s">
        <v>1930</v>
      </c>
      <c r="C20" s="13" t="s">
        <v>1944</v>
      </c>
      <c r="D20" s="13" t="n">
        <v>2020</v>
      </c>
      <c r="E20" s="50" t="n">
        <f aca="false">BS!C45</f>
        <v>1112837448853</v>
      </c>
      <c r="F20" s="50" t="n">
        <f aca="false">BS!C65</f>
        <v>1112837448853</v>
      </c>
      <c r="G20" s="101" t="n">
        <f aca="false">IF(COUNT(E20:F20)=2,E20-F20,"")</f>
        <v>0</v>
      </c>
      <c r="H20" s="102" t="n">
        <v>1</v>
      </c>
      <c r="I20" s="4" t="str">
        <f aca="false">IF(COUNT(E20:F20)&lt;2,"N/A",IF(ABS(G20)&lt;=H20,"OK","❌"))</f>
        <v>OK</v>
      </c>
      <c r="J20" s="102" t="s">
        <v>1932</v>
      </c>
      <c r="K20" s="4" t="str">
        <f aca="false">IF(I20=J20,"✔ sesuai","✖ TIDAK sesuai")</f>
        <v>✔ sesuai</v>
      </c>
      <c r="L20" s="103"/>
    </row>
    <row r="21" customFormat="false" ht="15" hidden="false" customHeight="false" outlineLevel="0" collapsed="false">
      <c r="A21" s="13" t="n">
        <v>15</v>
      </c>
      <c r="B21" s="13" t="s">
        <v>1930</v>
      </c>
      <c r="C21" s="13" t="s">
        <v>1945</v>
      </c>
      <c r="D21" s="13" t="n">
        <v>2020</v>
      </c>
      <c r="E21" s="50" t="n">
        <f aca="false">BS!C55</f>
        <v>995237210570</v>
      </c>
      <c r="F21" s="50" t="n">
        <f aca="false">BS!C66</f>
        <v>995237210570</v>
      </c>
      <c r="G21" s="101" t="n">
        <f aca="false">IF(COUNT(E21:F21)=2,E21-F21,"")</f>
        <v>0</v>
      </c>
      <c r="H21" s="102" t="n">
        <v>1</v>
      </c>
      <c r="I21" s="4" t="str">
        <f aca="false">IF(COUNT(E21:F21)&lt;2,"N/A",IF(ABS(G21)&lt;=H21,"OK","❌"))</f>
        <v>OK</v>
      </c>
      <c r="J21" s="102" t="s">
        <v>1932</v>
      </c>
      <c r="K21" s="4" t="str">
        <f aca="false">IF(I21=J21,"✔ sesuai","✖ TIDAK sesuai")</f>
        <v>✔ sesuai</v>
      </c>
      <c r="L21" s="103"/>
    </row>
    <row r="22" customFormat="false" ht="15" hidden="false" customHeight="false" outlineLevel="0" collapsed="false">
      <c r="A22" s="13" t="n">
        <v>16</v>
      </c>
      <c r="B22" s="13" t="s">
        <v>1930</v>
      </c>
      <c r="C22" s="13" t="s">
        <v>1946</v>
      </c>
      <c r="D22" s="13" t="n">
        <v>2020</v>
      </c>
      <c r="E22" s="50" t="n">
        <f aca="false">BS!C57</f>
        <v>1049699385612</v>
      </c>
      <c r="F22" s="50" t="n">
        <f aca="false">BS!C67</f>
        <v>1049699385612</v>
      </c>
      <c r="G22" s="101" t="n">
        <f aca="false">IF(COUNT(E22:F22)=2,E22-F22,"")</f>
        <v>0</v>
      </c>
      <c r="H22" s="102" t="n">
        <v>1</v>
      </c>
      <c r="I22" s="4" t="str">
        <f aca="false">IF(COUNT(E22:F22)&lt;2,"N/A",IF(ABS(G22)&lt;=H22,"OK","❌"))</f>
        <v>OK</v>
      </c>
      <c r="J22" s="102" t="s">
        <v>1932</v>
      </c>
      <c r="K22" s="4" t="str">
        <f aca="false">IF(I22=J22,"✔ sesuai","✖ TIDAK sesuai")</f>
        <v>✔ sesuai</v>
      </c>
      <c r="L22" s="103"/>
    </row>
    <row r="23" customFormat="false" ht="15" hidden="false" customHeight="false" outlineLevel="0" collapsed="false">
      <c r="A23" s="13" t="n">
        <v>17</v>
      </c>
      <c r="B23" s="13" t="s">
        <v>1930</v>
      </c>
      <c r="C23" s="13" t="s">
        <v>1947</v>
      </c>
      <c r="D23" s="13" t="n">
        <v>2020</v>
      </c>
      <c r="E23" s="50" t="n">
        <f aca="false">BS!C58</f>
        <v>2162536834465</v>
      </c>
      <c r="F23" s="50" t="n">
        <f aca="false">BS!C68</f>
        <v>2162536834465</v>
      </c>
      <c r="G23" s="101" t="n">
        <f aca="false">IF(COUNT(E23:F23)=2,E23-F23,"")</f>
        <v>0</v>
      </c>
      <c r="H23" s="102" t="n">
        <v>1</v>
      </c>
      <c r="I23" s="4" t="str">
        <f aca="false">IF(COUNT(E23:F23)&lt;2,"N/A",IF(ABS(G23)&lt;=H23,"OK","❌"))</f>
        <v>OK</v>
      </c>
      <c r="J23" s="102" t="s">
        <v>1932</v>
      </c>
      <c r="K23" s="4" t="str">
        <f aca="false">IF(I23=J23,"✔ sesuai","✖ TIDAK sesuai")</f>
        <v>✔ sesuai</v>
      </c>
      <c r="L23" s="103"/>
    </row>
    <row r="24" customFormat="false" ht="15" hidden="false" customHeight="false" outlineLevel="0" collapsed="false">
      <c r="A24" s="13" t="n">
        <v>18</v>
      </c>
      <c r="B24" s="13" t="s">
        <v>1930</v>
      </c>
      <c r="C24" s="13" t="s">
        <v>1948</v>
      </c>
      <c r="D24" s="13" t="n">
        <v>2020</v>
      </c>
      <c r="E24" s="50" t="n">
        <f aca="false">CF!C13</f>
        <v>190358533077</v>
      </c>
      <c r="F24" s="50" t="n">
        <f aca="false">CF!C42</f>
        <v>190358533077</v>
      </c>
      <c r="G24" s="101" t="n">
        <f aca="false">IF(COUNT(E24:F24)=2,E24-F24,"")</f>
        <v>0</v>
      </c>
      <c r="H24" s="102" t="n">
        <v>1</v>
      </c>
      <c r="I24" s="4" t="str">
        <f aca="false">IF(COUNT(E24:F24)&lt;2,"N/A",IF(ABS(G24)&lt;=H24,"OK","❌"))</f>
        <v>OK</v>
      </c>
      <c r="J24" s="102" t="s">
        <v>1932</v>
      </c>
      <c r="K24" s="4" t="str">
        <f aca="false">IF(I24=J24,"✔ sesuai","✖ TIDAK sesuai")</f>
        <v>✔ sesuai</v>
      </c>
      <c r="L24" s="103"/>
    </row>
    <row r="25" customFormat="false" ht="15" hidden="false" customHeight="false" outlineLevel="0" collapsed="false">
      <c r="A25" s="13" t="n">
        <v>19</v>
      </c>
      <c r="B25" s="13" t="s">
        <v>1930</v>
      </c>
      <c r="C25" s="13" t="s">
        <v>1949</v>
      </c>
      <c r="D25" s="13" t="n">
        <v>2020</v>
      </c>
      <c r="E25" s="50" t="n">
        <f aca="false">CF!C21</f>
        <v>-49172130106</v>
      </c>
      <c r="F25" s="50" t="n">
        <f aca="false">CF!C43</f>
        <v>-49172130106</v>
      </c>
      <c r="G25" s="101" t="n">
        <f aca="false">IF(COUNT(E25:F25)=2,E25-F25,"")</f>
        <v>0</v>
      </c>
      <c r="H25" s="102" t="n">
        <v>1</v>
      </c>
      <c r="I25" s="4" t="str">
        <f aca="false">IF(COUNT(E25:F25)&lt;2,"N/A",IF(ABS(G25)&lt;=H25,"OK","❌"))</f>
        <v>OK</v>
      </c>
      <c r="J25" s="102" t="s">
        <v>1932</v>
      </c>
      <c r="K25" s="4" t="str">
        <f aca="false">IF(I25=J25,"✔ sesuai","✖ TIDAK sesuai")</f>
        <v>✔ sesuai</v>
      </c>
      <c r="L25" s="103"/>
    </row>
    <row r="26" customFormat="false" ht="15" hidden="false" customHeight="false" outlineLevel="0" collapsed="false">
      <c r="A26" s="13" t="n">
        <v>20</v>
      </c>
      <c r="B26" s="13" t="s">
        <v>1930</v>
      </c>
      <c r="C26" s="13" t="s">
        <v>1950</v>
      </c>
      <c r="D26" s="13" t="n">
        <v>2020</v>
      </c>
      <c r="E26" s="50" t="n">
        <f aca="false">CF!C31</f>
        <v>383545565804</v>
      </c>
      <c r="F26" s="50" t="n">
        <f aca="false">CF!C44</f>
        <v>383545565804</v>
      </c>
      <c r="G26" s="101" t="n">
        <f aca="false">IF(COUNT(E26:F26)=2,E26-F26,"")</f>
        <v>0</v>
      </c>
      <c r="H26" s="102" t="n">
        <v>1</v>
      </c>
      <c r="I26" s="4" t="str">
        <f aca="false">IF(COUNT(E26:F26)&lt;2,"N/A",IF(ABS(G26)&lt;=H26,"OK","❌"))</f>
        <v>OK</v>
      </c>
      <c r="J26" s="102" t="s">
        <v>1932</v>
      </c>
      <c r="K26" s="4" t="str">
        <f aca="false">IF(I26=J26,"✔ sesuai","✖ TIDAK sesuai")</f>
        <v>✔ sesuai</v>
      </c>
      <c r="L26" s="103"/>
    </row>
    <row r="27" customFormat="false" ht="15" hidden="false" customHeight="false" outlineLevel="0" collapsed="false">
      <c r="A27" s="13" t="n">
        <v>21</v>
      </c>
      <c r="B27" s="13" t="s">
        <v>1930</v>
      </c>
      <c r="C27" s="13" t="s">
        <v>1951</v>
      </c>
      <c r="D27" s="13" t="n">
        <v>2020</v>
      </c>
      <c r="E27" s="50" t="n">
        <f aca="false">CF!C32</f>
        <v>524731968775</v>
      </c>
      <c r="F27" s="50" t="n">
        <f aca="false">CF!C45</f>
        <v>524731968775</v>
      </c>
      <c r="G27" s="101" t="n">
        <f aca="false">IF(COUNT(E27:F27)=2,E27-F27,"")</f>
        <v>0</v>
      </c>
      <c r="H27" s="102" t="n">
        <v>1</v>
      </c>
      <c r="I27" s="4" t="str">
        <f aca="false">IF(COUNT(E27:F27)&lt;2,"N/A",IF(ABS(G27)&lt;=H27,"OK","❌"))</f>
        <v>OK</v>
      </c>
      <c r="J27" s="102" t="s">
        <v>1932</v>
      </c>
      <c r="K27" s="4" t="str">
        <f aca="false">IF(I27=J27,"✔ sesuai","✖ TIDAK sesuai")</f>
        <v>✔ sesuai</v>
      </c>
      <c r="L27" s="103"/>
    </row>
    <row r="28" customFormat="false" ht="15" hidden="false" customHeight="false" outlineLevel="0" collapsed="false">
      <c r="A28" s="13" t="n">
        <v>22</v>
      </c>
      <c r="B28" s="13" t="s">
        <v>1930</v>
      </c>
      <c r="C28" s="13" t="s">
        <v>1952</v>
      </c>
      <c r="D28" s="13" t="n">
        <v>2020</v>
      </c>
      <c r="E28" s="50" t="n">
        <f aca="false">CF!C35</f>
        <v>624986556241</v>
      </c>
      <c r="F28" s="50" t="n">
        <f aca="false">CF!C46</f>
        <v>624986556241</v>
      </c>
      <c r="G28" s="101" t="n">
        <f aca="false">IF(COUNT(E28:F28)=2,E28-F28,"")</f>
        <v>0</v>
      </c>
      <c r="H28" s="102" t="n">
        <v>1</v>
      </c>
      <c r="I28" s="4" t="str">
        <f aca="false">IF(COUNT(E28:F28)&lt;2,"N/A",IF(ABS(G28)&lt;=H28,"OK","❌"))</f>
        <v>OK</v>
      </c>
      <c r="J28" s="102" t="s">
        <v>1932</v>
      </c>
      <c r="K28" s="4" t="str">
        <f aca="false">IF(I28=J28,"✔ sesuai","✖ TIDAK sesuai")</f>
        <v>✔ sesuai</v>
      </c>
      <c r="L28" s="103"/>
    </row>
    <row r="29" customFormat="false" ht="15" hidden="false" customHeight="false" outlineLevel="0" collapsed="false">
      <c r="A29" s="13" t="n">
        <v>23</v>
      </c>
      <c r="B29" s="13" t="s">
        <v>1953</v>
      </c>
      <c r="C29" s="13" t="s">
        <v>1954</v>
      </c>
      <c r="D29" s="13" t="n">
        <v>2020</v>
      </c>
      <c r="E29" s="50" t="n">
        <f aca="false">BS!C26</f>
        <v>2162536834465</v>
      </c>
      <c r="F29" s="50" t="n">
        <f aca="false">BS!C58</f>
        <v>2162536834465</v>
      </c>
      <c r="G29" s="101" t="n">
        <f aca="false">IF(COUNT(E29:F29)=2,E29-F29,"")</f>
        <v>0</v>
      </c>
      <c r="H29" s="102" t="n">
        <v>1</v>
      </c>
      <c r="I29" s="4" t="str">
        <f aca="false">IF(COUNT(E29:F29)&lt;2,"N/A",IF(ABS(G29)&lt;=H29,"OK","❌"))</f>
        <v>OK</v>
      </c>
      <c r="J29" s="102" t="s">
        <v>1932</v>
      </c>
      <c r="K29" s="4" t="str">
        <f aca="false">IF(I29=J29,"✔ sesuai","✖ TIDAK sesuai")</f>
        <v>✔ sesuai</v>
      </c>
      <c r="L29" s="103"/>
    </row>
    <row r="30" customFormat="false" ht="15" hidden="false" customHeight="false" outlineLevel="0" collapsed="false">
      <c r="A30" s="13" t="n">
        <v>24</v>
      </c>
      <c r="B30" s="13" t="s">
        <v>1953</v>
      </c>
      <c r="C30" s="13" t="s">
        <v>1955</v>
      </c>
      <c r="D30" s="13" t="n">
        <v>2020</v>
      </c>
      <c r="E30" s="50" t="n">
        <f aca="false">IS!C22</f>
        <v>118460085776</v>
      </c>
      <c r="F30" s="50" t="n">
        <f aca="false">IS!C33+IS!C34</f>
        <v>118460085776</v>
      </c>
      <c r="G30" s="101" t="n">
        <f aca="false">IF(COUNT(E30:F30)=2,E30-F30,"")</f>
        <v>0</v>
      </c>
      <c r="H30" s="102" t="n">
        <v>1</v>
      </c>
      <c r="I30" s="4" t="str">
        <f aca="false">IF(COUNT(E30:F30)&lt;2,"N/A",IF(ABS(G30)&lt;=H30,"OK","❌"))</f>
        <v>OK</v>
      </c>
      <c r="J30" s="102" t="s">
        <v>1932</v>
      </c>
      <c r="K30" s="4" t="str">
        <f aca="false">IF(I30=J30,"✔ sesuai","✖ TIDAK sesuai")</f>
        <v>✔ sesuai</v>
      </c>
      <c r="L30" s="103"/>
    </row>
    <row r="31" customFormat="false" ht="15" hidden="false" customHeight="false" outlineLevel="0" collapsed="false">
      <c r="A31" s="13" t="n">
        <v>25</v>
      </c>
      <c r="B31" s="13" t="s">
        <v>1953</v>
      </c>
      <c r="C31" s="13" t="s">
        <v>1956</v>
      </c>
      <c r="D31" s="13" t="n">
        <v>2020</v>
      </c>
      <c r="E31" s="50" t="n">
        <f aca="false">IS!C31</f>
        <v>245766622372</v>
      </c>
      <c r="F31" s="50" t="n">
        <f aca="false">IS!C35+IS!C36</f>
        <v>245766622372</v>
      </c>
      <c r="G31" s="101" t="n">
        <f aca="false">IF(COUNT(E31:F31)=2,E31-F31,"")</f>
        <v>0</v>
      </c>
      <c r="H31" s="102" t="n">
        <v>1</v>
      </c>
      <c r="I31" s="4" t="str">
        <f aca="false">IF(COUNT(E31:F31)&lt;2,"N/A",IF(ABS(G31)&lt;=H31,"OK","❌"))</f>
        <v>OK</v>
      </c>
      <c r="J31" s="102" t="s">
        <v>1932</v>
      </c>
      <c r="K31" s="4" t="str">
        <f aca="false">IF(I31=J31,"✔ sesuai","✖ TIDAK sesuai")</f>
        <v>✔ sesuai</v>
      </c>
      <c r="L31" s="103"/>
    </row>
    <row r="32" customFormat="false" ht="15" hidden="false" customHeight="false" outlineLevel="0" collapsed="false">
      <c r="A32" s="13" t="n">
        <v>26</v>
      </c>
      <c r="B32" s="13" t="s">
        <v>1953</v>
      </c>
      <c r="C32" s="13" t="s">
        <v>1957</v>
      </c>
      <c r="D32" s="13" t="n">
        <v>2020</v>
      </c>
      <c r="E32" s="50" t="n">
        <f aca="false">CF!C35</f>
        <v>624986556241</v>
      </c>
      <c r="F32" s="50" t="n">
        <f aca="false">BS!C6</f>
        <v>624986556241</v>
      </c>
      <c r="G32" s="101" t="n">
        <f aca="false">IF(COUNT(E32:F32)=2,E32-F32,"")</f>
        <v>0</v>
      </c>
      <c r="H32" s="102" t="n">
        <v>1</v>
      </c>
      <c r="I32" s="4" t="str">
        <f aca="false">IF(COUNT(E32:F32)&lt;2,"N/A",IF(ABS(G32)&lt;=H32,"OK","❌"))</f>
        <v>OK</v>
      </c>
      <c r="J32" s="102" t="s">
        <v>1932</v>
      </c>
      <c r="K32" s="4" t="str">
        <f aca="false">IF(I32=J32,"✔ sesuai","✖ TIDAK sesuai")</f>
        <v>✔ sesuai</v>
      </c>
      <c r="L32" s="103"/>
    </row>
    <row r="33" customFormat="false" ht="15" hidden="false" customHeight="false" outlineLevel="0" collapsed="false">
      <c r="A33" s="13" t="n">
        <v>27</v>
      </c>
      <c r="B33" s="13" t="s">
        <v>1958</v>
      </c>
      <c r="C33" s="13" t="s">
        <v>1959</v>
      </c>
      <c r="D33" s="13" t="n">
        <v>2020</v>
      </c>
      <c r="E33" s="50" t="n">
        <f aca="false">Schedules!C12</f>
        <v>1148144381712</v>
      </c>
      <c r="F33" s="50" t="n">
        <f aca="false">IS!C6</f>
        <v>1148144381712</v>
      </c>
      <c r="G33" s="101" t="n">
        <f aca="false">IF(COUNT(E33:F33)=2,E33-F33,"")</f>
        <v>0</v>
      </c>
      <c r="H33" s="102" t="n">
        <v>1</v>
      </c>
      <c r="I33" s="4" t="str">
        <f aca="false">IF(COUNT(E33:F33)&lt;2,"N/A",IF(ABS(G33)&lt;=H33,"OK","❌"))</f>
        <v>OK</v>
      </c>
      <c r="J33" s="102" t="s">
        <v>1932</v>
      </c>
      <c r="K33" s="4" t="str">
        <f aca="false">IF(I33=J33,"✔ sesuai","✖ TIDAK sesuai")</f>
        <v>✔ sesuai</v>
      </c>
      <c r="L33" s="103"/>
    </row>
    <row r="34" customFormat="false" ht="15" hidden="false" customHeight="false" outlineLevel="0" collapsed="false">
      <c r="A34" s="13" t="n">
        <v>28</v>
      </c>
      <c r="B34" s="13" t="s">
        <v>1958</v>
      </c>
      <c r="C34" s="13" t="s">
        <v>1960</v>
      </c>
      <c r="D34" s="13" t="n">
        <v>2020</v>
      </c>
      <c r="E34" s="50" t="n">
        <f aca="false">Schedules!C309</f>
        <v>654993791224</v>
      </c>
      <c r="F34" s="50" t="n">
        <f aca="false">-IS!C7</f>
        <v>654993791224</v>
      </c>
      <c r="G34" s="101" t="n">
        <f aca="false">IF(COUNT(E34:F34)=2,E34-F34,"")</f>
        <v>0</v>
      </c>
      <c r="H34" s="102" t="n">
        <v>1</v>
      </c>
      <c r="I34" s="4" t="str">
        <f aca="false">IF(COUNT(E34:F34)&lt;2,"N/A",IF(ABS(G34)&lt;=H34,"OK","❌"))</f>
        <v>OK</v>
      </c>
      <c r="J34" s="102" t="s">
        <v>1932</v>
      </c>
      <c r="K34" s="4" t="str">
        <f aca="false">IF(I34=J34,"✔ sesuai","✖ TIDAK sesuai")</f>
        <v>✔ sesuai</v>
      </c>
      <c r="L34" s="103"/>
    </row>
    <row r="35" customFormat="false" ht="15" hidden="false" customHeight="false" outlineLevel="0" collapsed="false">
      <c r="A35" s="13" t="n">
        <v>29</v>
      </c>
      <c r="B35" s="13" t="s">
        <v>1958</v>
      </c>
      <c r="C35" s="13" t="s">
        <v>1961</v>
      </c>
      <c r="D35" s="13" t="n">
        <v>2020</v>
      </c>
      <c r="E35" s="50" t="n">
        <f aca="false">Schedules!C315</f>
        <v>10361877103</v>
      </c>
      <c r="F35" s="50" t="n">
        <f aca="false">-IS!C9</f>
        <v>10361877103</v>
      </c>
      <c r="G35" s="101" t="n">
        <f aca="false">IF(COUNT(E35:F35)=2,E35-F35,"")</f>
        <v>0</v>
      </c>
      <c r="H35" s="102" t="n">
        <v>1</v>
      </c>
      <c r="I35" s="4" t="str">
        <f aca="false">IF(COUNT(E35:F35)&lt;2,"N/A",IF(ABS(G35)&lt;=H35,"OK","❌"))</f>
        <v>OK</v>
      </c>
      <c r="J35" s="102" t="s">
        <v>1932</v>
      </c>
      <c r="K35" s="4" t="str">
        <f aca="false">IF(I35=J35,"✔ sesuai","✖ TIDAK sesuai")</f>
        <v>✔ sesuai</v>
      </c>
      <c r="L35" s="103"/>
    </row>
    <row r="36" customFormat="false" ht="15" hidden="false" customHeight="false" outlineLevel="0" collapsed="false">
      <c r="A36" s="13" t="n">
        <v>30</v>
      </c>
      <c r="B36" s="13" t="s">
        <v>1958</v>
      </c>
      <c r="C36" s="13" t="s">
        <v>1962</v>
      </c>
      <c r="D36" s="13" t="n">
        <v>2020</v>
      </c>
      <c r="E36" s="50" t="n">
        <f aca="false">Schedules!C338</f>
        <v>326512973831</v>
      </c>
      <c r="F36" s="50" t="n">
        <f aca="false">-IS!C10</f>
        <v>326512973831</v>
      </c>
      <c r="G36" s="101" t="n">
        <f aca="false">IF(COUNT(E36:F36)=2,E36-F36,"")</f>
        <v>0</v>
      </c>
      <c r="H36" s="102" t="n">
        <v>1</v>
      </c>
      <c r="I36" s="4" t="str">
        <f aca="false">IF(COUNT(E36:F36)&lt;2,"N/A",IF(ABS(G36)&lt;=H36,"OK","❌"))</f>
        <v>OK</v>
      </c>
      <c r="J36" s="102" t="s">
        <v>1932</v>
      </c>
      <c r="K36" s="4" t="str">
        <f aca="false">IF(I36=J36,"✔ sesuai","✖ TIDAK sesuai")</f>
        <v>✔ sesuai</v>
      </c>
      <c r="L36" s="103"/>
    </row>
    <row r="37" customFormat="false" ht="15" hidden="false" customHeight="false" outlineLevel="0" collapsed="false">
      <c r="A37" s="13" t="n">
        <v>31</v>
      </c>
      <c r="B37" s="13" t="s">
        <v>1958</v>
      </c>
      <c r="C37" s="13" t="s">
        <v>1963</v>
      </c>
      <c r="D37" s="13" t="n">
        <v>2020</v>
      </c>
      <c r="E37" s="50" t="n">
        <f aca="false">Schedules!C115</f>
        <v>18986141553</v>
      </c>
      <c r="F37" s="50" t="n">
        <f aca="false">BS!C12</f>
        <v>18986141553</v>
      </c>
      <c r="G37" s="101" t="n">
        <f aca="false">IF(COUNT(E37:F37)=2,E37-F37,"")</f>
        <v>0</v>
      </c>
      <c r="H37" s="102" t="n">
        <v>1</v>
      </c>
      <c r="I37" s="4" t="str">
        <f aca="false">IF(COUNT(E37:F37)&lt;2,"N/A",IF(ABS(G37)&lt;=H37,"OK","❌"))</f>
        <v>OK</v>
      </c>
      <c r="J37" s="102" t="s">
        <v>1932</v>
      </c>
      <c r="K37" s="4" t="str">
        <f aca="false">IF(I37=J37,"✔ sesuai","✖ TIDAK sesuai")</f>
        <v>✔ sesuai</v>
      </c>
      <c r="L37" s="103"/>
    </row>
    <row r="38" customFormat="false" ht="15" hidden="false" customHeight="false" outlineLevel="0" collapsed="false">
      <c r="A38" s="13" t="n">
        <v>32</v>
      </c>
      <c r="B38" s="13" t="s">
        <v>1958</v>
      </c>
      <c r="C38" s="13" t="s">
        <v>1964</v>
      </c>
      <c r="D38" s="13" t="n">
        <v>2020</v>
      </c>
      <c r="E38" s="50" t="n">
        <f aca="false">Schedules!C98</f>
        <v>123130580076</v>
      </c>
      <c r="F38" s="50" t="n">
        <f aca="false">(BS!C9+BS!C8)</f>
        <v>123130580076</v>
      </c>
      <c r="G38" s="101" t="n">
        <f aca="false">IF(COUNT(E38:F38)=2,E38-F38,"")</f>
        <v>0</v>
      </c>
      <c r="H38" s="102" t="n">
        <v>1</v>
      </c>
      <c r="I38" s="4" t="str">
        <f aca="false">IF(COUNT(E38:F38)&lt;2,"N/A",IF(ABS(G38)&lt;=H38,"OK","❌"))</f>
        <v>OK</v>
      </c>
      <c r="J38" s="102" t="s">
        <v>1932</v>
      </c>
      <c r="K38" s="4" t="str">
        <f aca="false">IF(I38=J38,"✔ sesuai","✖ TIDAK sesuai")</f>
        <v>✔ sesuai</v>
      </c>
      <c r="L38" s="103"/>
    </row>
    <row r="39" customFormat="false" ht="15" hidden="false" customHeight="false" outlineLevel="0" collapsed="false">
      <c r="A39" s="13" t="n">
        <v>33</v>
      </c>
      <c r="B39" s="13" t="s">
        <v>1958</v>
      </c>
      <c r="C39" s="13" t="s">
        <v>1965</v>
      </c>
      <c r="D39" s="13" t="n">
        <v>2020</v>
      </c>
      <c r="E39" s="50" t="n">
        <f aca="false">Schedules!C155</f>
        <v>120125322795</v>
      </c>
      <c r="F39" s="50" t="n">
        <f aca="false">(BS!C30+BS!C29)</f>
        <v>120125322795</v>
      </c>
      <c r="G39" s="101" t="n">
        <f aca="false">IF(COUNT(E39:F39)=2,E39-F39,"")</f>
        <v>0</v>
      </c>
      <c r="H39" s="102" t="n">
        <v>1</v>
      </c>
      <c r="I39" s="4" t="str">
        <f aca="false">IF(COUNT(E39:F39)&lt;2,"N/A",IF(ABS(G39)&lt;=H39,"OK","❌"))</f>
        <v>OK</v>
      </c>
      <c r="J39" s="102" t="s">
        <v>1932</v>
      </c>
      <c r="K39" s="4" t="str">
        <f aca="false">IF(I39=J39,"✔ sesuai","✖ TIDAK sesuai")</f>
        <v>✔ sesuai</v>
      </c>
      <c r="L39" s="103"/>
    </row>
    <row r="40" customFormat="false" ht="15" hidden="false" customHeight="false" outlineLevel="0" collapsed="false">
      <c r="A40" s="13" t="n">
        <v>34</v>
      </c>
      <c r="B40" s="13" t="s">
        <v>1958</v>
      </c>
      <c r="C40" s="13" t="s">
        <v>1966</v>
      </c>
      <c r="D40" s="13" t="n">
        <v>2020</v>
      </c>
      <c r="E40" s="50" t="n">
        <f aca="false">Schedules!C141</f>
        <v>21365533162</v>
      </c>
      <c r="F40" s="50" t="n">
        <f aca="false">(BS!C37+BS!C43)</f>
        <v>21365533162</v>
      </c>
      <c r="G40" s="101" t="n">
        <f aca="false">IF(COUNT(E40:F40)=2,E40-F40,"")</f>
        <v>0</v>
      </c>
      <c r="H40" s="102" t="n">
        <v>1</v>
      </c>
      <c r="I40" s="4" t="str">
        <f aca="false">IF(COUNT(E40:F40)&lt;2,"N/A",IF(ABS(G40)&lt;=H40,"OK","❌"))</f>
        <v>OK</v>
      </c>
      <c r="J40" s="102" t="s">
        <v>1932</v>
      </c>
      <c r="K40" s="4" t="str">
        <f aca="false">IF(I40=J40,"✔ sesuai","✖ TIDAK sesuai")</f>
        <v>✔ sesuai</v>
      </c>
      <c r="L40" s="103"/>
    </row>
    <row r="41" customFormat="false" ht="15" hidden="false" customHeight="false" outlineLevel="0" collapsed="false">
      <c r="A41" s="13" t="n">
        <v>35</v>
      </c>
      <c r="B41" s="13" t="s">
        <v>1958</v>
      </c>
      <c r="C41" s="13" t="s">
        <v>1967</v>
      </c>
      <c r="D41" s="13" t="n">
        <v>2020</v>
      </c>
      <c r="E41" s="50" t="n">
        <f aca="false">Schedules!C242</f>
        <v>391717789095</v>
      </c>
      <c r="F41" s="50" t="n">
        <f aca="false">BS!C28</f>
        <v>391717789095</v>
      </c>
      <c r="G41" s="101" t="n">
        <f aca="false">IF(COUNT(E41:F41)=2,E41-F41,"")</f>
        <v>0</v>
      </c>
      <c r="H41" s="102" t="n">
        <v>1</v>
      </c>
      <c r="I41" s="4" t="str">
        <f aca="false">IF(COUNT(E41:F41)&lt;2,"N/A",IF(ABS(G41)&lt;=H41,"OK","❌"))</f>
        <v>OK</v>
      </c>
      <c r="J41" s="102" t="s">
        <v>1932</v>
      </c>
      <c r="K41" s="4" t="str">
        <f aca="false">IF(I41=J41,"✔ sesuai","✖ TIDAK sesuai")</f>
        <v>✔ sesuai</v>
      </c>
      <c r="L41" s="103"/>
    </row>
    <row r="42" customFormat="false" ht="15" hidden="false" customHeight="false" outlineLevel="0" collapsed="false">
      <c r="A42" s="13" t="n">
        <v>36</v>
      </c>
      <c r="B42" s="13" t="s">
        <v>1958</v>
      </c>
      <c r="C42" s="13" t="s">
        <v>1968</v>
      </c>
      <c r="D42" s="13" t="n">
        <v>2020</v>
      </c>
      <c r="E42" s="50" t="n">
        <f aca="false">Schedules!C253</f>
        <v>98070320345</v>
      </c>
      <c r="F42" s="50" t="n">
        <f aca="false">(BS!C36+BS!C42)</f>
        <v>98070320345</v>
      </c>
      <c r="G42" s="101" t="n">
        <f aca="false">IF(COUNT(E42:F42)=2,E42-F42,"")</f>
        <v>0</v>
      </c>
      <c r="H42" s="102" t="n">
        <v>1</v>
      </c>
      <c r="I42" s="4" t="str">
        <f aca="false">IF(COUNT(E42:F42)&lt;2,"N/A",IF(ABS(G42)&lt;=H42,"OK","❌"))</f>
        <v>OK</v>
      </c>
      <c r="J42" s="102" t="s">
        <v>1932</v>
      </c>
      <c r="K42" s="4" t="str">
        <f aca="false">IF(I42=J42,"✔ sesuai","✖ TIDAK sesuai")</f>
        <v>✔ sesuai</v>
      </c>
      <c r="L42" s="103"/>
    </row>
    <row r="43" customFormat="false" ht="15" hidden="false" customHeight="false" outlineLevel="0" collapsed="false">
      <c r="A43" s="13" t="n">
        <v>37</v>
      </c>
      <c r="B43" s="13" t="s">
        <v>1958</v>
      </c>
      <c r="C43" s="13" t="s">
        <v>1969</v>
      </c>
      <c r="D43" s="13" t="n">
        <v>2020</v>
      </c>
      <c r="E43" s="50" t="n">
        <f aca="false">Schedules!C175</f>
        <v>26531851745</v>
      </c>
      <c r="F43" s="50" t="n">
        <f aca="false">-IS!C21</f>
        <v>26531851745</v>
      </c>
      <c r="G43" s="101" t="n">
        <f aca="false">IF(COUNT(E43:F43)=2,E43-F43,"")</f>
        <v>0</v>
      </c>
      <c r="H43" s="102" t="n">
        <v>1</v>
      </c>
      <c r="I43" s="4" t="str">
        <f aca="false">IF(COUNT(E43:F43)&lt;2,"N/A",IF(ABS(G43)&lt;=H43,"OK","❌"))</f>
        <v>OK</v>
      </c>
      <c r="J43" s="102" t="s">
        <v>1932</v>
      </c>
      <c r="K43" s="4" t="str">
        <f aca="false">IF(I43=J43,"✔ sesuai","✖ TIDAK sesuai")</f>
        <v>✔ sesuai</v>
      </c>
      <c r="L43" s="103"/>
    </row>
    <row r="44" customFormat="false" ht="15" hidden="false" customHeight="false" outlineLevel="0" collapsed="false">
      <c r="A44" s="13" t="n">
        <v>38</v>
      </c>
      <c r="B44" s="13" t="s">
        <v>1958</v>
      </c>
      <c r="C44" s="13" t="s">
        <v>1970</v>
      </c>
      <c r="D44" s="13" t="n">
        <v>2020</v>
      </c>
      <c r="E44" s="50" t="n">
        <f aca="false">Schedules!C274</f>
        <v>43497624626</v>
      </c>
      <c r="F44" s="50" t="n">
        <f aca="false">BS!C41</f>
        <v>43497624626</v>
      </c>
      <c r="G44" s="101" t="n">
        <f aca="false">IF(COUNT(E44:F44)=2,E44-F44,"")</f>
        <v>0</v>
      </c>
      <c r="H44" s="102" t="n">
        <v>1</v>
      </c>
      <c r="I44" s="4" t="str">
        <f aca="false">IF(COUNT(E44:F44)&lt;2,"N/A",IF(ABS(G44)&lt;=H44,"OK","❌"))</f>
        <v>OK</v>
      </c>
      <c r="J44" s="102" t="s">
        <v>1932</v>
      </c>
      <c r="K44" s="4" t="str">
        <f aca="false">IF(I44=J44,"✔ sesuai","✖ TIDAK sesuai")</f>
        <v>✔ sesuai</v>
      </c>
      <c r="L44" s="103"/>
    </row>
    <row r="45" customFormat="false" ht="15" hidden="false" customHeight="false" outlineLevel="0" collapsed="false">
      <c r="A45" s="13" t="n">
        <v>39</v>
      </c>
      <c r="B45" s="13" t="s">
        <v>1958</v>
      </c>
      <c r="C45" s="13" t="s">
        <v>1971</v>
      </c>
      <c r="D45" s="13" t="n">
        <v>2020</v>
      </c>
      <c r="E45" s="50" t="n">
        <f aca="false">Schedules!C68</f>
        <v>1248769678311</v>
      </c>
      <c r="F45" s="50" t="n">
        <f aca="false">BS!C19</f>
        <v>1248769678311</v>
      </c>
      <c r="G45" s="101" t="n">
        <f aca="false">IF(COUNT(E45:F45)=2,E45-F45,"")</f>
        <v>0</v>
      </c>
      <c r="H45" s="102" t="n">
        <v>1</v>
      </c>
      <c r="I45" s="4" t="str">
        <f aca="false">IF(COUNT(E45:F45)&lt;2,"N/A",IF(ABS(G45)&lt;=H45,"OK","❌"))</f>
        <v>OK</v>
      </c>
      <c r="J45" s="102" t="s">
        <v>1932</v>
      </c>
      <c r="K45" s="4" t="str">
        <f aca="false">IF(I45=J45,"✔ sesuai","✖ TIDAK sesuai")</f>
        <v>✔ sesuai</v>
      </c>
      <c r="L45" s="103"/>
    </row>
    <row r="46" customFormat="false" ht="15" hidden="false" customHeight="false" outlineLevel="0" collapsed="false">
      <c r="A46" s="13" t="n">
        <v>40</v>
      </c>
      <c r="B46" s="13" t="s">
        <v>1958</v>
      </c>
      <c r="C46" s="13" t="s">
        <v>1972</v>
      </c>
      <c r="D46" s="13" t="n">
        <v>2020</v>
      </c>
      <c r="E46" s="50" t="n">
        <f aca="false">Schedules!C69</f>
        <v>24249107726</v>
      </c>
      <c r="F46" s="50" t="n">
        <f aca="false">BS!C20</f>
        <v>24249107726</v>
      </c>
      <c r="G46" s="101" t="n">
        <f aca="false">IF(COUNT(E46:F46)=2,E46-F46,"")</f>
        <v>0</v>
      </c>
      <c r="H46" s="102" t="n">
        <v>1</v>
      </c>
      <c r="I46" s="4" t="str">
        <f aca="false">IF(COUNT(E46:F46)&lt;2,"N/A",IF(ABS(G46)&lt;=H46,"OK","❌"))</f>
        <v>OK</v>
      </c>
      <c r="J46" s="102" t="s">
        <v>1932</v>
      </c>
      <c r="K46" s="4" t="str">
        <f aca="false">IF(I46=J46,"✔ sesuai","✖ TIDAK sesuai")</f>
        <v>✔ sesuai</v>
      </c>
      <c r="L46" s="103"/>
    </row>
    <row r="47" customFormat="false" ht="15" hidden="false" customHeight="false" outlineLevel="0" collapsed="false">
      <c r="A47" s="13" t="n">
        <v>41</v>
      </c>
      <c r="B47" s="13" t="s">
        <v>1973</v>
      </c>
      <c r="C47" s="13" t="s">
        <v>1974</v>
      </c>
      <c r="D47" s="13" t="n">
        <v>2020</v>
      </c>
      <c r="E47" s="50" t="n">
        <f aca="false">Schedules!C15+Schedules!C16</f>
        <v>55596065221</v>
      </c>
      <c r="F47" s="50" t="n">
        <f aca="false">Schedules!C14</f>
        <v>55596065221</v>
      </c>
      <c r="G47" s="101" t="n">
        <f aca="false">IF(COUNT(E47:F47)=2,E47-F47,"")</f>
        <v>0</v>
      </c>
      <c r="H47" s="102" t="n">
        <v>1</v>
      </c>
      <c r="I47" s="4" t="str">
        <f aca="false">IF(COUNT(E47:F47)&lt;2,"N/A",IF(ABS(G47)&lt;=H47,"OK","❌"))</f>
        <v>OK</v>
      </c>
      <c r="J47" s="102" t="s">
        <v>1932</v>
      </c>
      <c r="K47" s="4" t="str">
        <f aca="false">IF(I47=J47,"✔ sesuai","✖ TIDAK sesuai")</f>
        <v>✔ sesuai</v>
      </c>
      <c r="L47" s="103"/>
    </row>
    <row r="48" customFormat="false" ht="15" hidden="false" customHeight="false" outlineLevel="0" collapsed="false">
      <c r="A48" s="13" t="n">
        <v>42</v>
      </c>
      <c r="B48" s="13" t="s">
        <v>1973</v>
      </c>
      <c r="C48" s="13" t="s">
        <v>1975</v>
      </c>
      <c r="D48" s="13" t="n">
        <v>2020</v>
      </c>
      <c r="E48" s="50" t="n">
        <f aca="false">Schedules!C40</f>
        <v>1505859880251</v>
      </c>
      <c r="F48" s="50" t="n">
        <f aca="false">Schedules!C39</f>
        <v>1505859880251</v>
      </c>
      <c r="G48" s="101" t="n">
        <f aca="false">IF(COUNT(E48:F48)=2,E48-F48,"")</f>
        <v>0</v>
      </c>
      <c r="H48" s="102" t="n">
        <v>1</v>
      </c>
      <c r="I48" s="4" t="str">
        <f aca="false">IF(COUNT(E48:F48)&lt;2,"N/A",IF(ABS(G48)&lt;=H48,"OK","❌"))</f>
        <v>OK</v>
      </c>
      <c r="J48" s="102" t="s">
        <v>1932</v>
      </c>
      <c r="K48" s="4" t="str">
        <f aca="false">IF(I48=J48,"✔ sesuai","✖ TIDAK sesuai")</f>
        <v>✔ sesuai</v>
      </c>
      <c r="L48" s="103"/>
    </row>
    <row r="49" customFormat="false" ht="15" hidden="false" customHeight="false" outlineLevel="0" collapsed="false">
      <c r="A49" s="13" t="n">
        <v>43</v>
      </c>
      <c r="B49" s="13" t="s">
        <v>1973</v>
      </c>
      <c r="C49" s="13" t="s">
        <v>1976</v>
      </c>
      <c r="D49" s="13" t="n">
        <v>2020</v>
      </c>
      <c r="E49" s="50" t="n">
        <f aca="false">Schedules!C49</f>
        <v>257090201940</v>
      </c>
      <c r="F49" s="50" t="n">
        <f aca="false">Schedules!C48</f>
        <v>257090201940</v>
      </c>
      <c r="G49" s="101" t="n">
        <f aca="false">IF(COUNT(E49:F49)=2,E49-F49,"")</f>
        <v>0</v>
      </c>
      <c r="H49" s="102" t="n">
        <v>1</v>
      </c>
      <c r="I49" s="4" t="str">
        <f aca="false">IF(COUNT(E49:F49)&lt;2,"N/A",IF(ABS(G49)&lt;=H49,"OK","❌"))</f>
        <v>OK</v>
      </c>
      <c r="J49" s="102" t="s">
        <v>1932</v>
      </c>
      <c r="K49" s="4" t="str">
        <f aca="false">IF(I49=J49,"✔ sesuai","✖ TIDAK sesuai")</f>
        <v>✔ sesuai</v>
      </c>
      <c r="L49" s="103"/>
    </row>
    <row r="50" customFormat="false" ht="15" hidden="false" customHeight="false" outlineLevel="0" collapsed="false">
      <c r="A50" s="13" t="n">
        <v>44</v>
      </c>
      <c r="B50" s="13" t="s">
        <v>1973</v>
      </c>
      <c r="C50" s="13" t="s">
        <v>1977</v>
      </c>
      <c r="D50" s="13" t="n">
        <v>2020</v>
      </c>
      <c r="E50" s="50" t="n">
        <f aca="false">Schedules!C58</f>
        <v>36393603163</v>
      </c>
      <c r="F50" s="50" t="n">
        <f aca="false">Schedules!C57</f>
        <v>36393603163</v>
      </c>
      <c r="G50" s="101" t="n">
        <f aca="false">IF(COUNT(E50:F50)=2,E50-F50,"")</f>
        <v>0</v>
      </c>
      <c r="H50" s="102" t="n">
        <v>1</v>
      </c>
      <c r="I50" s="4" t="str">
        <f aca="false">IF(COUNT(E50:F50)&lt;2,"N/A",IF(ABS(G50)&lt;=H50,"OK","❌"))</f>
        <v>OK</v>
      </c>
      <c r="J50" s="102" t="s">
        <v>1932</v>
      </c>
      <c r="K50" s="4" t="str">
        <f aca="false">IF(I50=J50,"✔ sesuai","✖ TIDAK sesuai")</f>
        <v>✔ sesuai</v>
      </c>
      <c r="L50" s="103"/>
    </row>
    <row r="51" customFormat="false" ht="15" hidden="false" customHeight="false" outlineLevel="0" collapsed="false">
      <c r="A51" s="13" t="n">
        <v>45</v>
      </c>
      <c r="B51" s="13" t="s">
        <v>1973</v>
      </c>
      <c r="C51" s="13" t="s">
        <v>1978</v>
      </c>
      <c r="D51" s="13" t="n">
        <v>2020</v>
      </c>
      <c r="E51" s="50" t="n">
        <f aca="false">Schedules!C67</f>
        <v>12144495437</v>
      </c>
      <c r="F51" s="50" t="n">
        <f aca="false">Schedules!C66</f>
        <v>12144495437</v>
      </c>
      <c r="G51" s="101" t="n">
        <f aca="false">IF(COUNT(E51:F51)=2,E51-F51,"")</f>
        <v>0</v>
      </c>
      <c r="H51" s="102" t="n">
        <v>1</v>
      </c>
      <c r="I51" s="4" t="str">
        <f aca="false">IF(COUNT(E51:F51)&lt;2,"N/A",IF(ABS(G51)&lt;=H51,"OK","❌"))</f>
        <v>OK</v>
      </c>
      <c r="J51" s="102" t="s">
        <v>1932</v>
      </c>
      <c r="K51" s="4" t="str">
        <f aca="false">IF(I51=J51,"✔ sesuai","✖ TIDAK sesuai")</f>
        <v>✔ sesuai</v>
      </c>
      <c r="L51" s="103"/>
    </row>
    <row r="52" customFormat="false" ht="15" hidden="false" customHeight="false" outlineLevel="0" collapsed="false">
      <c r="A52" s="13" t="n">
        <v>46</v>
      </c>
      <c r="B52" s="13" t="s">
        <v>1958</v>
      </c>
      <c r="C52" s="13" t="s">
        <v>1979</v>
      </c>
      <c r="D52" s="13" t="n">
        <v>2020</v>
      </c>
      <c r="E52" s="50" t="n">
        <f aca="false">Schedules!C78</f>
        <v>54462175041</v>
      </c>
      <c r="F52" s="50" t="n">
        <f aca="false">BS!C56</f>
        <v>54462175042</v>
      </c>
      <c r="G52" s="101" t="n">
        <f aca="false">IF(COUNT(E52:F52)=2,E52-F52,"")</f>
        <v>-1</v>
      </c>
      <c r="H52" s="102" t="n">
        <v>10</v>
      </c>
      <c r="I52" s="4" t="str">
        <f aca="false">IF(COUNT(E52:F52)&lt;2,"N/A",IF(ABS(G52)&lt;=H52,"OK","❌"))</f>
        <v>OK</v>
      </c>
      <c r="J52" s="102" t="s">
        <v>1932</v>
      </c>
      <c r="K52" s="4" t="str">
        <f aca="false">IF(I52=J52,"✔ sesuai","✖ TIDAK sesuai")</f>
        <v>✔ sesuai</v>
      </c>
      <c r="L52" s="103"/>
    </row>
    <row r="53" customFormat="false" ht="15" hidden="false" customHeight="false" outlineLevel="0" collapsed="false">
      <c r="A53" s="13" t="n">
        <v>47</v>
      </c>
      <c r="B53" s="13" t="s">
        <v>1958</v>
      </c>
      <c r="C53" s="13" t="s">
        <v>1980</v>
      </c>
      <c r="D53" s="13" t="n">
        <v>2020</v>
      </c>
      <c r="E53" s="50" t="n">
        <f aca="false">Schedules!C75</f>
        <v>29669046423</v>
      </c>
      <c r="F53" s="50" t="n">
        <f aca="false">IS!C34</f>
        <v>29669046423</v>
      </c>
      <c r="G53" s="101" t="n">
        <f aca="false">IF(COUNT(E53:F53)=2,E53-F53,"")</f>
        <v>0</v>
      </c>
      <c r="H53" s="102" t="n">
        <v>10</v>
      </c>
      <c r="I53" s="4" t="str">
        <f aca="false">IF(COUNT(E53:F53)&lt;2,"N/A",IF(ABS(G53)&lt;=H53,"OK","❌"))</f>
        <v>OK</v>
      </c>
      <c r="J53" s="102" t="s">
        <v>1932</v>
      </c>
      <c r="K53" s="4" t="str">
        <f aca="false">IF(I53=J53,"✔ sesuai","✖ TIDAK sesuai")</f>
        <v>✔ sesuai</v>
      </c>
      <c r="L53" s="103" t="s">
        <v>1981</v>
      </c>
    </row>
    <row r="54" customFormat="false" ht="15" hidden="false" customHeight="false" outlineLevel="0" collapsed="false">
      <c r="A54" s="13" t="n">
        <v>48</v>
      </c>
      <c r="B54" s="13" t="s">
        <v>1973</v>
      </c>
      <c r="C54" s="13" t="s">
        <v>1982</v>
      </c>
      <c r="D54" s="13" t="n">
        <v>2020</v>
      </c>
      <c r="E54" s="50" t="n">
        <f aca="false">Schedules!C79</f>
        <v>54462175041</v>
      </c>
      <c r="F54" s="50" t="n">
        <f aca="false">Schedules!C78</f>
        <v>54462175041</v>
      </c>
      <c r="G54" s="101" t="n">
        <f aca="false">IF(COUNT(E54:F54)=2,E54-F54,"")</f>
        <v>0</v>
      </c>
      <c r="H54" s="102" t="n">
        <v>10</v>
      </c>
      <c r="I54" s="4" t="str">
        <f aca="false">IF(COUNT(E54:F54)&lt;2,"N/A",IF(ABS(G54)&lt;=H54,"OK","❌"))</f>
        <v>OK</v>
      </c>
      <c r="J54" s="102" t="s">
        <v>1932</v>
      </c>
      <c r="K54" s="4" t="str">
        <f aca="false">IF(I54=J54,"✔ sesuai","✖ TIDAK sesuai")</f>
        <v>✔ sesuai</v>
      </c>
      <c r="L54" s="103"/>
    </row>
    <row r="55" customFormat="false" ht="15" hidden="false" customHeight="false" outlineLevel="0" collapsed="false">
      <c r="A55" s="13" t="n">
        <v>49</v>
      </c>
      <c r="B55" s="13" t="s">
        <v>1973</v>
      </c>
      <c r="C55" s="13" t="s">
        <v>1983</v>
      </c>
      <c r="D55" s="13" t="n">
        <v>2020</v>
      </c>
      <c r="E55" s="50" t="n">
        <f aca="false">Schedules!C80</f>
        <v>29669046423</v>
      </c>
      <c r="F55" s="50" t="n">
        <f aca="false">Schedules!C75</f>
        <v>29669046423</v>
      </c>
      <c r="G55" s="101" t="n">
        <f aca="false">IF(COUNT(E55:F55)=2,E55-F55,"")</f>
        <v>0</v>
      </c>
      <c r="H55" s="102" t="n">
        <v>10</v>
      </c>
      <c r="I55" s="4" t="str">
        <f aca="false">IF(COUNT(E55:F55)&lt;2,"N/A",IF(ABS(G55)&lt;=H55,"OK","❌"))</f>
        <v>OK</v>
      </c>
      <c r="J55" s="102" t="s">
        <v>1932</v>
      </c>
      <c r="K55" s="4" t="str">
        <f aca="false">IF(I55=J55,"✔ sesuai","✖ TIDAK sesuai")</f>
        <v>✔ sesuai</v>
      </c>
      <c r="L55" s="103"/>
    </row>
    <row r="56" customFormat="false" ht="15" hidden="false" customHeight="false" outlineLevel="0" collapsed="false">
      <c r="A56" s="13" t="n">
        <v>50</v>
      </c>
      <c r="B56" s="13" t="s">
        <v>1973</v>
      </c>
      <c r="C56" s="13" t="s">
        <v>1984</v>
      </c>
      <c r="D56" s="13" t="n">
        <v>2020</v>
      </c>
      <c r="E56" s="50" t="n">
        <f aca="false">Schedules!C116</f>
        <v>18986141553</v>
      </c>
      <c r="F56" s="50" t="n">
        <f aca="false">Schedules!C115</f>
        <v>18986141553</v>
      </c>
      <c r="G56" s="101" t="n">
        <f aca="false">IF(COUNT(E56:F56)=2,E56-F56,"")</f>
        <v>0</v>
      </c>
      <c r="H56" s="102" t="n">
        <v>1</v>
      </c>
      <c r="I56" s="4" t="str">
        <f aca="false">IF(COUNT(E56:F56)&lt;2,"N/A",IF(ABS(G56)&lt;=H56,"OK","❌"))</f>
        <v>OK</v>
      </c>
      <c r="J56" s="102" t="s">
        <v>1932</v>
      </c>
      <c r="K56" s="4" t="str">
        <f aca="false">IF(I56=J56,"✔ sesuai","✖ TIDAK sesuai")</f>
        <v>✔ sesuai</v>
      </c>
      <c r="L56" s="103"/>
    </row>
    <row r="57" customFormat="false" ht="15" hidden="false" customHeight="false" outlineLevel="0" collapsed="false">
      <c r="A57" s="13" t="n">
        <v>51</v>
      </c>
      <c r="B57" s="13" t="s">
        <v>1973</v>
      </c>
      <c r="C57" s="13" t="s">
        <v>1985</v>
      </c>
      <c r="D57" s="13" t="n">
        <v>2020</v>
      </c>
      <c r="E57" s="50" t="n">
        <f aca="false">Schedules!C142</f>
        <v>21365533162</v>
      </c>
      <c r="F57" s="50" t="n">
        <f aca="false">Schedules!C141</f>
        <v>21365533162</v>
      </c>
      <c r="G57" s="101" t="n">
        <f aca="false">IF(COUNT(E57:F57)=2,E57-F57,"")</f>
        <v>0</v>
      </c>
      <c r="H57" s="102" t="n">
        <v>1</v>
      </c>
      <c r="I57" s="4" t="str">
        <f aca="false">IF(COUNT(E57:F57)&lt;2,"N/A",IF(ABS(G57)&lt;=H57,"OK","❌"))</f>
        <v>OK</v>
      </c>
      <c r="J57" s="102" t="s">
        <v>1932</v>
      </c>
      <c r="K57" s="4" t="str">
        <f aca="false">IF(I57=J57,"✔ sesuai","✖ TIDAK sesuai")</f>
        <v>✔ sesuai</v>
      </c>
      <c r="L57" s="103"/>
    </row>
    <row r="58" customFormat="false" ht="15" hidden="false" customHeight="false" outlineLevel="0" collapsed="false">
      <c r="A58" s="13" t="n">
        <v>52</v>
      </c>
      <c r="B58" s="13" t="s">
        <v>1973</v>
      </c>
      <c r="C58" s="13" t="s">
        <v>1986</v>
      </c>
      <c r="D58" s="13" t="n">
        <v>2020</v>
      </c>
      <c r="E58" s="50" t="n">
        <f aca="false">Schedules!C147</f>
        <v>12178787599</v>
      </c>
      <c r="F58" s="50" t="n">
        <f aca="false">Schedules!C146</f>
        <v>12178787599</v>
      </c>
      <c r="G58" s="101" t="n">
        <f aca="false">IF(COUNT(E58:F58)=2,E58-F58,"")</f>
        <v>0</v>
      </c>
      <c r="H58" s="102" t="n">
        <v>1</v>
      </c>
      <c r="I58" s="4" t="str">
        <f aca="false">IF(COUNT(E58:F58)&lt;2,"N/A",IF(ABS(G58)&lt;=H58,"OK","❌"))</f>
        <v>OK</v>
      </c>
      <c r="J58" s="102" t="s">
        <v>1932</v>
      </c>
      <c r="K58" s="4" t="str">
        <f aca="false">IF(I58=J58,"✔ sesuai","✖ TIDAK sesuai")</f>
        <v>✔ sesuai</v>
      </c>
      <c r="L58" s="103"/>
    </row>
    <row r="59" customFormat="false" ht="15" hidden="false" customHeight="false" outlineLevel="0" collapsed="false">
      <c r="A59" s="13" t="n">
        <v>53</v>
      </c>
      <c r="B59" s="13" t="s">
        <v>1973</v>
      </c>
      <c r="C59" s="13" t="s">
        <v>1987</v>
      </c>
      <c r="D59" s="13" t="n">
        <v>2020</v>
      </c>
      <c r="E59" s="50" t="n">
        <f aca="false">Schedules!C157</f>
        <v>120125322795</v>
      </c>
      <c r="F59" s="50" t="n">
        <f aca="false">Schedules!C155</f>
        <v>120125322795</v>
      </c>
      <c r="G59" s="101" t="n">
        <f aca="false">IF(COUNT(E59:F59)=2,E59-F59,"")</f>
        <v>0</v>
      </c>
      <c r="H59" s="102" t="n">
        <v>1</v>
      </c>
      <c r="I59" s="4" t="str">
        <f aca="false">IF(COUNT(E59:F59)&lt;2,"N/A",IF(ABS(G59)&lt;=H59,"OK","❌"))</f>
        <v>OK</v>
      </c>
      <c r="J59" s="102" t="s">
        <v>1932</v>
      </c>
      <c r="K59" s="4" t="str">
        <f aca="false">IF(I59=J59,"✔ sesuai","✖ TIDAK sesuai")</f>
        <v>✔ sesuai</v>
      </c>
      <c r="L59" s="103"/>
    </row>
    <row r="60" customFormat="false" ht="15" hidden="false" customHeight="false" outlineLevel="0" collapsed="false">
      <c r="A60" s="13" t="n">
        <v>54</v>
      </c>
      <c r="B60" s="13" t="s">
        <v>1973</v>
      </c>
      <c r="C60" s="13" t="s">
        <v>1988</v>
      </c>
      <c r="D60" s="13" t="n">
        <v>2020</v>
      </c>
      <c r="E60" s="50" t="n">
        <f aca="false">Schedules!C177</f>
        <v>26531851745</v>
      </c>
      <c r="F60" s="50" t="n">
        <f aca="false">Schedules!C175</f>
        <v>26531851745</v>
      </c>
      <c r="G60" s="101" t="n">
        <f aca="false">IF(COUNT(E60:F60)=2,E60-F60,"")</f>
        <v>0</v>
      </c>
      <c r="H60" s="102" t="n">
        <v>1</v>
      </c>
      <c r="I60" s="4" t="str">
        <f aca="false">IF(COUNT(E60:F60)&lt;2,"N/A",IF(ABS(G60)&lt;=H60,"OK","❌"))</f>
        <v>OK</v>
      </c>
      <c r="J60" s="102" t="s">
        <v>1932</v>
      </c>
      <c r="K60" s="4" t="str">
        <f aca="false">IF(I60=J60,"✔ sesuai","✖ TIDAK sesuai")</f>
        <v>✔ sesuai</v>
      </c>
      <c r="L60" s="103"/>
    </row>
    <row r="61" customFormat="false" ht="15" hidden="false" customHeight="false" outlineLevel="0" collapsed="false">
      <c r="A61" s="13" t="n">
        <v>55</v>
      </c>
      <c r="B61" s="13" t="s">
        <v>1973</v>
      </c>
      <c r="C61" s="13" t="s">
        <v>1989</v>
      </c>
      <c r="D61" s="13" t="n">
        <v>2020</v>
      </c>
      <c r="E61" s="50" t="n">
        <f aca="false">Schedules!C244</f>
        <v>391717789095</v>
      </c>
      <c r="F61" s="50" t="n">
        <f aca="false">Schedules!C242</f>
        <v>391717789095</v>
      </c>
      <c r="G61" s="101" t="n">
        <f aca="false">IF(COUNT(E61:F61)=2,E61-F61,"")</f>
        <v>0</v>
      </c>
      <c r="H61" s="102" t="n">
        <v>1</v>
      </c>
      <c r="I61" s="4" t="str">
        <f aca="false">IF(COUNT(E61:F61)&lt;2,"N/A",IF(ABS(G61)&lt;=H61,"OK","❌"))</f>
        <v>OK</v>
      </c>
      <c r="J61" s="102" t="s">
        <v>1932</v>
      </c>
      <c r="K61" s="4" t="str">
        <f aca="false">IF(I61=J61,"✔ sesuai","✖ TIDAK sesuai")</f>
        <v>✔ sesuai</v>
      </c>
      <c r="L61" s="103"/>
    </row>
    <row r="62" customFormat="false" ht="15" hidden="false" customHeight="false" outlineLevel="0" collapsed="false">
      <c r="A62" s="13" t="n">
        <v>56</v>
      </c>
      <c r="B62" s="13" t="s">
        <v>1973</v>
      </c>
      <c r="C62" s="13" t="s">
        <v>1990</v>
      </c>
      <c r="D62" s="13" t="n">
        <v>2020</v>
      </c>
      <c r="E62" s="50" t="n">
        <f aca="false">Schedules!C250</f>
        <v>98070320345</v>
      </c>
      <c r="F62" s="50" t="n">
        <f aca="false">Schedules!C248</f>
        <v>98070320345</v>
      </c>
      <c r="G62" s="101" t="n">
        <f aca="false">IF(COUNT(E62:F62)=2,E62-F62,"")</f>
        <v>0</v>
      </c>
      <c r="H62" s="102" t="n">
        <v>1</v>
      </c>
      <c r="I62" s="4" t="str">
        <f aca="false">IF(COUNT(E62:F62)&lt;2,"N/A",IF(ABS(G62)&lt;=H62,"OK","❌"))</f>
        <v>OK</v>
      </c>
      <c r="J62" s="102" t="s">
        <v>1932</v>
      </c>
      <c r="K62" s="4" t="str">
        <f aca="false">IF(I62=J62,"✔ sesuai","✖ TIDAK sesuai")</f>
        <v>✔ sesuai</v>
      </c>
      <c r="L62" s="103"/>
    </row>
    <row r="63" customFormat="false" ht="15" hidden="false" customHeight="false" outlineLevel="0" collapsed="false">
      <c r="A63" s="13" t="n">
        <v>57</v>
      </c>
      <c r="B63" s="13" t="s">
        <v>1973</v>
      </c>
      <c r="C63" s="13" t="s">
        <v>1991</v>
      </c>
      <c r="D63" s="13" t="n">
        <v>2020</v>
      </c>
      <c r="E63" s="50" t="n">
        <f aca="false">Schedules!C267</f>
        <v>7629130152</v>
      </c>
      <c r="F63" s="50" t="n">
        <f aca="false">Schedules!C266</f>
        <v>7629130152</v>
      </c>
      <c r="G63" s="101" t="n">
        <f aca="false">IF(COUNT(E63:F63)=2,E63-F63,"")</f>
        <v>0</v>
      </c>
      <c r="H63" s="102" t="n">
        <v>1</v>
      </c>
      <c r="I63" s="4" t="str">
        <f aca="false">IF(COUNT(E63:F63)&lt;2,"N/A",IF(ABS(G63)&lt;=H63,"OK","❌"))</f>
        <v>OK</v>
      </c>
      <c r="J63" s="102" t="s">
        <v>1932</v>
      </c>
      <c r="K63" s="4" t="str">
        <f aca="false">IF(I63=J63,"✔ sesuai","✖ TIDAK sesuai")</f>
        <v>✔ sesuai</v>
      </c>
      <c r="L63" s="103"/>
    </row>
    <row r="64" customFormat="false" ht="15" hidden="false" customHeight="false" outlineLevel="0" collapsed="false">
      <c r="A64" s="13" t="n">
        <v>58</v>
      </c>
      <c r="B64" s="13" t="s">
        <v>1973</v>
      </c>
      <c r="C64" s="13" t="s">
        <v>1992</v>
      </c>
      <c r="D64" s="13" t="n">
        <v>2020</v>
      </c>
      <c r="E64" s="50" t="n">
        <f aca="false">Schedules!C299</f>
        <v>1166562641077</v>
      </c>
      <c r="F64" s="50" t="n">
        <f aca="false">Schedules!C298</f>
        <v>1166562641077</v>
      </c>
      <c r="G64" s="101" t="n">
        <f aca="false">IF(COUNT(E64:F64)=2,E64-F64,"")</f>
        <v>0</v>
      </c>
      <c r="H64" s="102" t="n">
        <v>1</v>
      </c>
      <c r="I64" s="4" t="str">
        <f aca="false">IF(COUNT(E64:F64)&lt;2,"N/A",IF(ABS(G64)&lt;=H64,"OK","❌"))</f>
        <v>OK</v>
      </c>
      <c r="J64" s="102" t="s">
        <v>1932</v>
      </c>
      <c r="K64" s="4" t="str">
        <f aca="false">IF(I64=J64,"✔ sesuai","✖ TIDAK sesuai")</f>
        <v>✔ sesuai</v>
      </c>
      <c r="L64" s="103"/>
    </row>
    <row r="65" customFormat="false" ht="15" hidden="false" customHeight="false" outlineLevel="0" collapsed="false">
      <c r="A65" s="13" t="n">
        <v>59</v>
      </c>
      <c r="B65" s="13" t="s">
        <v>1973</v>
      </c>
      <c r="C65" s="13" t="s">
        <v>1993</v>
      </c>
      <c r="D65" s="13" t="n">
        <v>2020</v>
      </c>
      <c r="E65" s="50" t="n">
        <f aca="false">Schedules!C310</f>
        <v>654993791224</v>
      </c>
      <c r="F65" s="50" t="n">
        <f aca="false">Schedules!C309</f>
        <v>654993791224</v>
      </c>
      <c r="G65" s="101" t="n">
        <f aca="false">IF(COUNT(E65:F65)=2,E65-F65,"")</f>
        <v>0</v>
      </c>
      <c r="H65" s="102" t="n">
        <v>1</v>
      </c>
      <c r="I65" s="4" t="str">
        <f aca="false">IF(COUNT(E65:F65)&lt;2,"N/A",IF(ABS(G65)&lt;=H65,"OK","❌"))</f>
        <v>OK</v>
      </c>
      <c r="J65" s="102" t="s">
        <v>1932</v>
      </c>
      <c r="K65" s="4" t="str">
        <f aca="false">IF(I65=J65,"✔ sesuai","✖ TIDAK sesuai")</f>
        <v>✔ sesuai</v>
      </c>
      <c r="L65" s="103"/>
    </row>
    <row r="66" customFormat="false" ht="15" hidden="false" customHeight="false" outlineLevel="0" collapsed="false">
      <c r="A66" s="13" t="n">
        <v>60</v>
      </c>
      <c r="B66" s="13" t="s">
        <v>1973</v>
      </c>
      <c r="C66" s="13" t="s">
        <v>1994</v>
      </c>
      <c r="D66" s="13" t="n">
        <v>2020</v>
      </c>
      <c r="E66" s="50" t="n">
        <f aca="false">Schedules!C316</f>
        <v>10361877103</v>
      </c>
      <c r="F66" s="50" t="n">
        <f aca="false">Schedules!C315</f>
        <v>10361877103</v>
      </c>
      <c r="G66" s="101" t="n">
        <f aca="false">IF(COUNT(E66:F66)=2,E66-F66,"")</f>
        <v>0</v>
      </c>
      <c r="H66" s="102" t="n">
        <v>1</v>
      </c>
      <c r="I66" s="4" t="str">
        <f aca="false">IF(COUNT(E66:F66)&lt;2,"N/A",IF(ABS(G66)&lt;=H66,"OK","❌"))</f>
        <v>OK</v>
      </c>
      <c r="J66" s="102" t="s">
        <v>1932</v>
      </c>
      <c r="K66" s="4" t="str">
        <f aca="false">IF(I66=J66,"✔ sesuai","✖ TIDAK sesuai")</f>
        <v>✔ sesuai</v>
      </c>
      <c r="L66" s="103"/>
    </row>
    <row r="67" customFormat="false" ht="15" hidden="false" customHeight="false" outlineLevel="0" collapsed="false">
      <c r="A67" s="13" t="n">
        <v>61</v>
      </c>
      <c r="B67" s="13" t="s">
        <v>1973</v>
      </c>
      <c r="C67" s="13" t="s">
        <v>1995</v>
      </c>
      <c r="D67" s="13" t="n">
        <v>2020</v>
      </c>
      <c r="E67" s="50" t="n">
        <f aca="false">Schedules!C339</f>
        <v>326512973831</v>
      </c>
      <c r="F67" s="50" t="n">
        <f aca="false">Schedules!C338</f>
        <v>326512973831</v>
      </c>
      <c r="G67" s="101" t="n">
        <f aca="false">IF(COUNT(E67:F67)=2,E67-F67,"")</f>
        <v>0</v>
      </c>
      <c r="H67" s="102" t="n">
        <v>1</v>
      </c>
      <c r="I67" s="4" t="str">
        <f aca="false">IF(COUNT(E67:F67)&lt;2,"N/A",IF(ABS(G67)&lt;=H67,"OK","❌"))</f>
        <v>OK</v>
      </c>
      <c r="J67" s="102" t="s">
        <v>1932</v>
      </c>
      <c r="K67" s="4" t="str">
        <f aca="false">IF(I67=J67,"✔ sesuai","✖ TIDAK sesuai")</f>
        <v>✔ sesuai</v>
      </c>
      <c r="L67" s="103"/>
    </row>
    <row r="68" customFormat="false" ht="15" hidden="false" customHeight="false" outlineLevel="0" collapsed="false">
      <c r="A68" s="13" t="n">
        <v>62</v>
      </c>
      <c r="B68" s="13" t="s">
        <v>1930</v>
      </c>
      <c r="C68" s="13" t="s">
        <v>1931</v>
      </c>
      <c r="D68" s="13" t="n">
        <v>2021</v>
      </c>
      <c r="E68" s="50" t="n">
        <f aca="false">IS!D8</f>
        <v>974021081068</v>
      </c>
      <c r="F68" s="50" t="n">
        <f aca="false">IS!D39</f>
        <v>974021081068</v>
      </c>
      <c r="G68" s="101" t="n">
        <f aca="false">IF(COUNT(E68:F68)=2,E68-F68,"")</f>
        <v>0</v>
      </c>
      <c r="H68" s="102" t="n">
        <v>1</v>
      </c>
      <c r="I68" s="4" t="str">
        <f aca="false">IF(COUNT(E68:F68)&lt;2,"N/A",IF(ABS(G68)&lt;=H68,"OK","❌"))</f>
        <v>OK</v>
      </c>
      <c r="J68" s="102" t="s">
        <v>1932</v>
      </c>
      <c r="K68" s="4" t="str">
        <f aca="false">IF(I68=J68,"✔ sesuai","✖ TIDAK sesuai")</f>
        <v>✔ sesuai</v>
      </c>
      <c r="L68" s="103"/>
    </row>
    <row r="69" customFormat="false" ht="15" hidden="false" customHeight="false" outlineLevel="0" collapsed="false">
      <c r="A69" s="13" t="n">
        <v>63</v>
      </c>
      <c r="B69" s="13" t="s">
        <v>1930</v>
      </c>
      <c r="C69" s="13" t="s">
        <v>1933</v>
      </c>
      <c r="D69" s="13" t="n">
        <v>2021</v>
      </c>
      <c r="E69" s="50" t="n">
        <f aca="false">IS!D11</f>
        <v>-510647767433</v>
      </c>
      <c r="F69" s="50" t="n">
        <f aca="false">IS!D40</f>
        <v>-510647767433</v>
      </c>
      <c r="G69" s="101" t="n">
        <f aca="false">IF(COUNT(E69:F69)=2,E69-F69,"")</f>
        <v>0</v>
      </c>
      <c r="H69" s="102" t="n">
        <v>1</v>
      </c>
      <c r="I69" s="4" t="str">
        <f aca="false">IF(COUNT(E69:F69)&lt;2,"N/A",IF(ABS(G69)&lt;=H69,"OK","❌"))</f>
        <v>OK</v>
      </c>
      <c r="J69" s="102" t="s">
        <v>1932</v>
      </c>
      <c r="K69" s="4" t="str">
        <f aca="false">IF(I69=J69,"✔ sesuai","✖ TIDAK sesuai")</f>
        <v>✔ sesuai</v>
      </c>
      <c r="L69" s="103"/>
    </row>
    <row r="70" customFormat="false" ht="15" hidden="false" customHeight="false" outlineLevel="0" collapsed="false">
      <c r="A70" s="13" t="n">
        <v>64</v>
      </c>
      <c r="B70" s="13" t="s">
        <v>1930</v>
      </c>
      <c r="C70" s="13" t="s">
        <v>1934</v>
      </c>
      <c r="D70" s="13" t="n">
        <v>2021</v>
      </c>
      <c r="E70" s="50" t="n">
        <f aca="false">IS!D17</f>
        <v>457138685522</v>
      </c>
      <c r="F70" s="50" t="n">
        <f aca="false">IS!D41</f>
        <v>457138685522</v>
      </c>
      <c r="G70" s="101" t="n">
        <f aca="false">IF(COUNT(E70:F70)=2,E70-F70,"")</f>
        <v>0</v>
      </c>
      <c r="H70" s="102" t="n">
        <v>1</v>
      </c>
      <c r="I70" s="4" t="str">
        <f aca="false">IF(COUNT(E70:F70)&lt;2,"N/A",IF(ABS(G70)&lt;=H70,"OK","❌"))</f>
        <v>OK</v>
      </c>
      <c r="J70" s="102" t="s">
        <v>1932</v>
      </c>
      <c r="K70" s="4" t="str">
        <f aca="false">IF(I70=J70,"✔ sesuai","✖ TIDAK sesuai")</f>
        <v>✔ sesuai</v>
      </c>
      <c r="L70" s="103"/>
    </row>
    <row r="71" customFormat="false" ht="15" hidden="false" customHeight="false" outlineLevel="0" collapsed="false">
      <c r="A71" s="13" t="n">
        <v>65</v>
      </c>
      <c r="B71" s="13" t="s">
        <v>1930</v>
      </c>
      <c r="C71" s="13" t="s">
        <v>1935</v>
      </c>
      <c r="D71" s="13" t="n">
        <v>2021</v>
      </c>
      <c r="E71" s="50" t="n">
        <f aca="false">IS!D21</f>
        <v>-102489898340</v>
      </c>
      <c r="F71" s="50" t="n">
        <f aca="false">IS!D42</f>
        <v>-102489898340</v>
      </c>
      <c r="G71" s="101" t="n">
        <f aca="false">IF(COUNT(E71:F71)=2,E71-F71,"")</f>
        <v>0</v>
      </c>
      <c r="H71" s="102" t="n">
        <v>1</v>
      </c>
      <c r="I71" s="4" t="str">
        <f aca="false">IF(COUNT(E71:F71)&lt;2,"N/A",IF(ABS(G71)&lt;=H71,"OK","❌"))</f>
        <v>OK</v>
      </c>
      <c r="J71" s="102" t="s">
        <v>1932</v>
      </c>
      <c r="K71" s="4" t="str">
        <f aca="false">IF(I71=J71,"✔ sesuai","✖ TIDAK sesuai")</f>
        <v>✔ sesuai</v>
      </c>
      <c r="L71" s="103"/>
    </row>
    <row r="72" customFormat="false" ht="15" hidden="false" customHeight="false" outlineLevel="0" collapsed="false">
      <c r="A72" s="13" t="n">
        <v>66</v>
      </c>
      <c r="B72" s="13" t="s">
        <v>1930</v>
      </c>
      <c r="C72" s="13" t="s">
        <v>1936</v>
      </c>
      <c r="D72" s="13" t="n">
        <v>2021</v>
      </c>
      <c r="E72" s="50" t="n">
        <f aca="false">IS!D22</f>
        <v>354648787182</v>
      </c>
      <c r="F72" s="50" t="n">
        <f aca="false">IS!D43</f>
        <v>354648787182</v>
      </c>
      <c r="G72" s="101" t="n">
        <f aca="false">IF(COUNT(E72:F72)=2,E72-F72,"")</f>
        <v>0</v>
      </c>
      <c r="H72" s="102" t="n">
        <v>1</v>
      </c>
      <c r="I72" s="4" t="str">
        <f aca="false">IF(COUNT(E72:F72)&lt;2,"N/A",IF(ABS(G72)&lt;=H72,"OK","❌"))</f>
        <v>OK</v>
      </c>
      <c r="J72" s="102" t="s">
        <v>1932</v>
      </c>
      <c r="K72" s="4" t="str">
        <f aca="false">IF(I72=J72,"✔ sesuai","✖ TIDAK sesuai")</f>
        <v>✔ sesuai</v>
      </c>
      <c r="L72" s="103"/>
    </row>
    <row r="73" customFormat="false" ht="15" hidden="false" customHeight="false" outlineLevel="0" collapsed="false">
      <c r="A73" s="13" t="n">
        <v>67</v>
      </c>
      <c r="B73" s="13" t="s">
        <v>1930</v>
      </c>
      <c r="C73" s="13" t="s">
        <v>1937</v>
      </c>
      <c r="D73" s="13" t="n">
        <v>2021</v>
      </c>
      <c r="E73" s="50" t="n">
        <f aca="false">IS!D30</f>
        <v>-123948062</v>
      </c>
      <c r="F73" s="50" t="n">
        <f aca="false">IS!D44</f>
        <v>-123948062</v>
      </c>
      <c r="G73" s="101" t="n">
        <f aca="false">IF(COUNT(E73:F73)=2,E73-F73,"")</f>
        <v>0</v>
      </c>
      <c r="H73" s="102" t="n">
        <v>1</v>
      </c>
      <c r="I73" s="4" t="str">
        <f aca="false">IF(COUNT(E73:F73)&lt;2,"N/A",IF(ABS(G73)&lt;=H73,"OK","❌"))</f>
        <v>OK</v>
      </c>
      <c r="J73" s="102" t="s">
        <v>1932</v>
      </c>
      <c r="K73" s="4" t="str">
        <f aca="false">IF(I73=J73,"✔ sesuai","✖ TIDAK sesuai")</f>
        <v>✔ sesuai</v>
      </c>
      <c r="L73" s="103"/>
    </row>
    <row r="74" customFormat="false" ht="15" hidden="false" customHeight="false" outlineLevel="0" collapsed="false">
      <c r="A74" s="13" t="n">
        <v>68</v>
      </c>
      <c r="B74" s="13" t="s">
        <v>1930</v>
      </c>
      <c r="C74" s="13" t="s">
        <v>1938</v>
      </c>
      <c r="D74" s="13" t="n">
        <v>2021</v>
      </c>
      <c r="E74" s="50" t="n">
        <f aca="false">IS!D31</f>
        <v>354524839120</v>
      </c>
      <c r="F74" s="50" t="n">
        <f aca="false">IS!D45</f>
        <v>354524839120</v>
      </c>
      <c r="G74" s="101" t="n">
        <f aca="false">IF(COUNT(E74:F74)=2,E74-F74,"")</f>
        <v>0</v>
      </c>
      <c r="H74" s="102" t="n">
        <v>1</v>
      </c>
      <c r="I74" s="4" t="str">
        <f aca="false">IF(COUNT(E74:F74)&lt;2,"N/A",IF(ABS(G74)&lt;=H74,"OK","❌"))</f>
        <v>OK</v>
      </c>
      <c r="J74" s="102" t="s">
        <v>1932</v>
      </c>
      <c r="K74" s="4" t="str">
        <f aca="false">IF(I74=J74,"✔ sesuai","✖ TIDAK sesuai")</f>
        <v>✔ sesuai</v>
      </c>
      <c r="L74" s="103"/>
    </row>
    <row r="75" customFormat="false" ht="15" hidden="false" customHeight="false" outlineLevel="0" collapsed="false">
      <c r="A75" s="13" t="n">
        <v>69</v>
      </c>
      <c r="B75" s="13" t="s">
        <v>1930</v>
      </c>
      <c r="C75" s="13" t="s">
        <v>1938</v>
      </c>
      <c r="D75" s="13" t="n">
        <v>2021</v>
      </c>
      <c r="E75" s="50" t="n">
        <f aca="false">IS!D31</f>
        <v>354524839120</v>
      </c>
      <c r="F75" s="50" t="n">
        <f aca="false">IS!D46</f>
        <v>354524839120</v>
      </c>
      <c r="G75" s="101" t="n">
        <f aca="false">IF(COUNT(E75:F75)=2,E75-F75,"")</f>
        <v>0</v>
      </c>
      <c r="H75" s="102" t="n">
        <v>1</v>
      </c>
      <c r="I75" s="4" t="str">
        <f aca="false">IF(COUNT(E75:F75)&lt;2,"N/A",IF(ABS(G75)&lt;=H75,"OK","❌"))</f>
        <v>OK</v>
      </c>
      <c r="J75" s="102" t="s">
        <v>1932</v>
      </c>
      <c r="K75" s="4" t="str">
        <f aca="false">IF(I75=J75,"✔ sesuai","✖ TIDAK sesuai")</f>
        <v>✔ sesuai</v>
      </c>
      <c r="L75" s="103"/>
    </row>
    <row r="76" customFormat="false" ht="15" hidden="false" customHeight="false" outlineLevel="0" collapsed="false">
      <c r="A76" s="13" t="n">
        <v>70</v>
      </c>
      <c r="B76" s="13" t="s">
        <v>1930</v>
      </c>
      <c r="C76" s="13" t="s">
        <v>1939</v>
      </c>
      <c r="D76" s="13" t="n">
        <v>2021</v>
      </c>
      <c r="E76" s="50" t="n">
        <f aca="false">BS!D15</f>
        <v>1131105723933</v>
      </c>
      <c r="F76" s="50" t="n">
        <f aca="false">BS!D60</f>
        <v>1131105723933</v>
      </c>
      <c r="G76" s="101" t="n">
        <f aca="false">IF(COUNT(E76:F76)=2,E76-F76,"")</f>
        <v>0</v>
      </c>
      <c r="H76" s="102" t="n">
        <v>1</v>
      </c>
      <c r="I76" s="4" t="str">
        <f aca="false">IF(COUNT(E76:F76)&lt;2,"N/A",IF(ABS(G76)&lt;=H76,"OK","❌"))</f>
        <v>OK</v>
      </c>
      <c r="J76" s="102" t="s">
        <v>1932</v>
      </c>
      <c r="K76" s="4" t="str">
        <f aca="false">IF(I76=J76,"✔ sesuai","✖ TIDAK sesuai")</f>
        <v>✔ sesuai</v>
      </c>
      <c r="L76" s="103"/>
    </row>
    <row r="77" customFormat="false" ht="15" hidden="false" customHeight="false" outlineLevel="0" collapsed="false">
      <c r="A77" s="13" t="n">
        <v>71</v>
      </c>
      <c r="B77" s="13" t="s">
        <v>1930</v>
      </c>
      <c r="C77" s="13" t="s">
        <v>1940</v>
      </c>
      <c r="D77" s="13" t="n">
        <v>2021</v>
      </c>
      <c r="E77" s="50" t="n">
        <f aca="false">BS!D25</f>
        <v>1682590798495</v>
      </c>
      <c r="F77" s="50" t="n">
        <f aca="false">BS!D61</f>
        <v>1682590798495</v>
      </c>
      <c r="G77" s="101" t="n">
        <f aca="false">IF(COUNT(E77:F77)=2,E77-F77,"")</f>
        <v>0</v>
      </c>
      <c r="H77" s="102" t="n">
        <v>1</v>
      </c>
      <c r="I77" s="4" t="str">
        <f aca="false">IF(COUNT(E77:F77)&lt;2,"N/A",IF(ABS(G77)&lt;=H77,"OK","❌"))</f>
        <v>OK</v>
      </c>
      <c r="J77" s="102" t="s">
        <v>1932</v>
      </c>
      <c r="K77" s="4" t="str">
        <f aca="false">IF(I77=J77,"✔ sesuai","✖ TIDAK sesuai")</f>
        <v>✔ sesuai</v>
      </c>
      <c r="L77" s="103"/>
    </row>
    <row r="78" customFormat="false" ht="15" hidden="false" customHeight="false" outlineLevel="0" collapsed="false">
      <c r="A78" s="13" t="n">
        <v>72</v>
      </c>
      <c r="B78" s="13" t="s">
        <v>1930</v>
      </c>
      <c r="C78" s="13" t="s">
        <v>1941</v>
      </c>
      <c r="D78" s="13" t="n">
        <v>2021</v>
      </c>
      <c r="E78" s="50" t="n">
        <f aca="false">BS!D26</f>
        <v>2813696522428</v>
      </c>
      <c r="F78" s="50" t="n">
        <f aca="false">BS!D62</f>
        <v>2813696522428</v>
      </c>
      <c r="G78" s="101" t="n">
        <f aca="false">IF(COUNT(E78:F78)=2,E78-F78,"")</f>
        <v>0</v>
      </c>
      <c r="H78" s="102" t="n">
        <v>1</v>
      </c>
      <c r="I78" s="4" t="str">
        <f aca="false">IF(COUNT(E78:F78)&lt;2,"N/A",IF(ABS(G78)&lt;=H78,"OK","❌"))</f>
        <v>OK</v>
      </c>
      <c r="J78" s="102" t="s">
        <v>1932</v>
      </c>
      <c r="K78" s="4" t="str">
        <f aca="false">IF(I78=J78,"✔ sesuai","✖ TIDAK sesuai")</f>
        <v>✔ sesuai</v>
      </c>
      <c r="L78" s="103"/>
    </row>
    <row r="79" customFormat="false" ht="15" hidden="false" customHeight="false" outlineLevel="0" collapsed="false">
      <c r="A79" s="13" t="n">
        <v>73</v>
      </c>
      <c r="B79" s="13" t="s">
        <v>1930</v>
      </c>
      <c r="C79" s="13" t="s">
        <v>1942</v>
      </c>
      <c r="D79" s="13" t="n">
        <v>2021</v>
      </c>
      <c r="E79" s="50" t="n">
        <f aca="false">BS!D38</f>
        <v>736497124836</v>
      </c>
      <c r="F79" s="50" t="n">
        <f aca="false">BS!D63</f>
        <v>736497124836</v>
      </c>
      <c r="G79" s="101" t="n">
        <f aca="false">IF(COUNT(E79:F79)=2,E79-F79,"")</f>
        <v>0</v>
      </c>
      <c r="H79" s="102" t="n">
        <v>1</v>
      </c>
      <c r="I79" s="4" t="str">
        <f aca="false">IF(COUNT(E79:F79)&lt;2,"N/A",IF(ABS(G79)&lt;=H79,"OK","❌"))</f>
        <v>OK</v>
      </c>
      <c r="J79" s="102" t="s">
        <v>1932</v>
      </c>
      <c r="K79" s="4" t="str">
        <f aca="false">IF(I79=J79,"✔ sesuai","✖ TIDAK sesuai")</f>
        <v>✔ sesuai</v>
      </c>
      <c r="L79" s="103"/>
    </row>
    <row r="80" customFormat="false" ht="15" hidden="false" customHeight="false" outlineLevel="0" collapsed="false">
      <c r="A80" s="13" t="n">
        <v>74</v>
      </c>
      <c r="B80" s="13" t="s">
        <v>1930</v>
      </c>
      <c r="C80" s="13" t="s">
        <v>1943</v>
      </c>
      <c r="D80" s="13" t="n">
        <v>2021</v>
      </c>
      <c r="E80" s="50" t="n">
        <f aca="false">BS!D44</f>
        <v>280983395942</v>
      </c>
      <c r="F80" s="50" t="n">
        <f aca="false">BS!D64</f>
        <v>280983395942</v>
      </c>
      <c r="G80" s="101" t="n">
        <f aca="false">IF(COUNT(E80:F80)=2,E80-F80,"")</f>
        <v>0</v>
      </c>
      <c r="H80" s="102" t="n">
        <v>1</v>
      </c>
      <c r="I80" s="4" t="str">
        <f aca="false">IF(COUNT(E80:F80)&lt;2,"N/A",IF(ABS(G80)&lt;=H80,"OK","❌"))</f>
        <v>OK</v>
      </c>
      <c r="J80" s="102" t="s">
        <v>1932</v>
      </c>
      <c r="K80" s="4" t="str">
        <f aca="false">IF(I80=J80,"✔ sesuai","✖ TIDAK sesuai")</f>
        <v>✔ sesuai</v>
      </c>
      <c r="L80" s="103"/>
    </row>
    <row r="81" customFormat="false" ht="15" hidden="false" customHeight="false" outlineLevel="0" collapsed="false">
      <c r="A81" s="13" t="n">
        <v>75</v>
      </c>
      <c r="B81" s="13" t="s">
        <v>1930</v>
      </c>
      <c r="C81" s="13" t="s">
        <v>1944</v>
      </c>
      <c r="D81" s="13" t="n">
        <v>2021</v>
      </c>
      <c r="E81" s="50" t="n">
        <f aca="false">BS!D45</f>
        <v>1017480520778</v>
      </c>
      <c r="F81" s="50" t="n">
        <f aca="false">BS!D65</f>
        <v>1017480520778</v>
      </c>
      <c r="G81" s="101" t="n">
        <f aca="false">IF(COUNT(E81:F81)=2,E81-F81,"")</f>
        <v>0</v>
      </c>
      <c r="H81" s="102" t="n">
        <v>1</v>
      </c>
      <c r="I81" s="4" t="str">
        <f aca="false">IF(COUNT(E81:F81)&lt;2,"N/A",IF(ABS(G81)&lt;=H81,"OK","❌"))</f>
        <v>OK</v>
      </c>
      <c r="J81" s="102" t="s">
        <v>1932</v>
      </c>
      <c r="K81" s="4" t="str">
        <f aca="false">IF(I81=J81,"✔ sesuai","✖ TIDAK sesuai")</f>
        <v>✔ sesuai</v>
      </c>
      <c r="L81" s="103"/>
    </row>
    <row r="82" customFormat="false" ht="15" hidden="false" customHeight="false" outlineLevel="0" collapsed="false">
      <c r="A82" s="13" t="n">
        <v>76</v>
      </c>
      <c r="B82" s="13" t="s">
        <v>1930</v>
      </c>
      <c r="C82" s="13" t="s">
        <v>1945</v>
      </c>
      <c r="D82" s="13" t="n">
        <v>2021</v>
      </c>
      <c r="E82" s="50" t="n">
        <f aca="false">BS!D55</f>
        <v>1550739689597</v>
      </c>
      <c r="F82" s="50" t="n">
        <f aca="false">BS!D66</f>
        <v>1550739689597</v>
      </c>
      <c r="G82" s="101" t="n">
        <f aca="false">IF(COUNT(E82:F82)=2,E82-F82,"")</f>
        <v>0</v>
      </c>
      <c r="H82" s="102" t="n">
        <v>1</v>
      </c>
      <c r="I82" s="4" t="str">
        <f aca="false">IF(COUNT(E82:F82)&lt;2,"N/A",IF(ABS(G82)&lt;=H82,"OK","❌"))</f>
        <v>OK</v>
      </c>
      <c r="J82" s="102" t="s">
        <v>1932</v>
      </c>
      <c r="K82" s="4" t="str">
        <f aca="false">IF(I82=J82,"✔ sesuai","✖ TIDAK sesuai")</f>
        <v>✔ sesuai</v>
      </c>
      <c r="L82" s="103"/>
    </row>
    <row r="83" customFormat="false" ht="15" hidden="false" customHeight="false" outlineLevel="0" collapsed="false">
      <c r="A83" s="13" t="n">
        <v>77</v>
      </c>
      <c r="B83" s="13" t="s">
        <v>1930</v>
      </c>
      <c r="C83" s="13" t="s">
        <v>1946</v>
      </c>
      <c r="D83" s="13" t="n">
        <v>2021</v>
      </c>
      <c r="E83" s="50" t="n">
        <f aca="false">BS!D57</f>
        <v>1796216001650</v>
      </c>
      <c r="F83" s="50" t="n">
        <f aca="false">BS!D67</f>
        <v>1796216001650</v>
      </c>
      <c r="G83" s="101" t="n">
        <f aca="false">IF(COUNT(E83:F83)=2,E83-F83,"")</f>
        <v>0</v>
      </c>
      <c r="H83" s="102" t="n">
        <v>1</v>
      </c>
      <c r="I83" s="4" t="str">
        <f aca="false">IF(COUNT(E83:F83)&lt;2,"N/A",IF(ABS(G83)&lt;=H83,"OK","❌"))</f>
        <v>OK</v>
      </c>
      <c r="J83" s="102" t="s">
        <v>1932</v>
      </c>
      <c r="K83" s="4" t="str">
        <f aca="false">IF(I83=J83,"✔ sesuai","✖ TIDAK sesuai")</f>
        <v>✔ sesuai</v>
      </c>
      <c r="L83" s="103"/>
    </row>
    <row r="84" customFormat="false" ht="15" hidden="false" customHeight="false" outlineLevel="0" collapsed="false">
      <c r="A84" s="13" t="n">
        <v>78</v>
      </c>
      <c r="B84" s="13" t="s">
        <v>1930</v>
      </c>
      <c r="C84" s="13" t="s">
        <v>1947</v>
      </c>
      <c r="D84" s="13" t="n">
        <v>2021</v>
      </c>
      <c r="E84" s="50" t="n">
        <f aca="false">BS!D58</f>
        <v>2813696522428</v>
      </c>
      <c r="F84" s="50" t="n">
        <f aca="false">BS!D68</f>
        <v>2813696522428</v>
      </c>
      <c r="G84" s="101" t="n">
        <f aca="false">IF(COUNT(E84:F84)=2,E84-F84,"")</f>
        <v>0</v>
      </c>
      <c r="H84" s="102" t="n">
        <v>1</v>
      </c>
      <c r="I84" s="4" t="str">
        <f aca="false">IF(COUNT(E84:F84)&lt;2,"N/A",IF(ABS(G84)&lt;=H84,"OK","❌"))</f>
        <v>OK</v>
      </c>
      <c r="J84" s="102" t="s">
        <v>1932</v>
      </c>
      <c r="K84" s="4" t="str">
        <f aca="false">IF(I84=J84,"✔ sesuai","✖ TIDAK sesuai")</f>
        <v>✔ sesuai</v>
      </c>
      <c r="L84" s="103"/>
    </row>
    <row r="85" customFormat="false" ht="15" hidden="false" customHeight="false" outlineLevel="0" collapsed="false">
      <c r="A85" s="13" t="n">
        <v>79</v>
      </c>
      <c r="B85" s="13" t="s">
        <v>1930</v>
      </c>
      <c r="C85" s="13" t="s">
        <v>1948</v>
      </c>
      <c r="D85" s="13" t="n">
        <v>2021</v>
      </c>
      <c r="E85" s="50" t="n">
        <f aca="false">CF!D13</f>
        <v>349438392180</v>
      </c>
      <c r="F85" s="50" t="n">
        <f aca="false">CF!D42</f>
        <v>349438392180</v>
      </c>
      <c r="G85" s="101" t="n">
        <f aca="false">IF(COUNT(E85:F85)=2,E85-F85,"")</f>
        <v>0</v>
      </c>
      <c r="H85" s="102" t="n">
        <v>1</v>
      </c>
      <c r="I85" s="4" t="str">
        <f aca="false">IF(COUNT(E85:F85)&lt;2,"N/A",IF(ABS(G85)&lt;=H85,"OK","❌"))</f>
        <v>OK</v>
      </c>
      <c r="J85" s="102" t="s">
        <v>1932</v>
      </c>
      <c r="K85" s="4" t="str">
        <f aca="false">IF(I85=J85,"✔ sesuai","✖ TIDAK sesuai")</f>
        <v>✔ sesuai</v>
      </c>
      <c r="L85" s="103"/>
    </row>
    <row r="86" customFormat="false" ht="15" hidden="false" customHeight="false" outlineLevel="0" collapsed="false">
      <c r="A86" s="13" t="n">
        <v>80</v>
      </c>
      <c r="B86" s="13" t="s">
        <v>1930</v>
      </c>
      <c r="C86" s="13" t="s">
        <v>1949</v>
      </c>
      <c r="D86" s="13" t="n">
        <v>2021</v>
      </c>
      <c r="E86" s="50" t="n">
        <f aca="false">CF!D21</f>
        <v>-319670362181</v>
      </c>
      <c r="F86" s="50" t="n">
        <f aca="false">CF!D43</f>
        <v>-319670362181</v>
      </c>
      <c r="G86" s="101" t="n">
        <f aca="false">IF(COUNT(E86:F86)=2,E86-F86,"")</f>
        <v>0</v>
      </c>
      <c r="H86" s="102" t="n">
        <v>1</v>
      </c>
      <c r="I86" s="4" t="str">
        <f aca="false">IF(COUNT(E86:F86)&lt;2,"N/A",IF(ABS(G86)&lt;=H86,"OK","❌"))</f>
        <v>OK</v>
      </c>
      <c r="J86" s="102" t="s">
        <v>1932</v>
      </c>
      <c r="K86" s="4" t="str">
        <f aca="false">IF(I86=J86,"✔ sesuai","✖ TIDAK sesuai")</f>
        <v>✔ sesuai</v>
      </c>
      <c r="L86" s="103"/>
    </row>
    <row r="87" customFormat="false" ht="15" hidden="false" customHeight="false" outlineLevel="0" collapsed="false">
      <c r="A87" s="13" t="n">
        <v>81</v>
      </c>
      <c r="B87" s="13" t="s">
        <v>1930</v>
      </c>
      <c r="C87" s="13" t="s">
        <v>1950</v>
      </c>
      <c r="D87" s="13" t="n">
        <v>2021</v>
      </c>
      <c r="E87" s="50" t="n">
        <f aca="false">CF!D31</f>
        <v>158468151885</v>
      </c>
      <c r="F87" s="50" t="n">
        <f aca="false">CF!D44</f>
        <v>158468151885</v>
      </c>
      <c r="G87" s="101" t="n">
        <f aca="false">IF(COUNT(E87:F87)=2,E87-F87,"")</f>
        <v>0</v>
      </c>
      <c r="H87" s="102" t="n">
        <v>1</v>
      </c>
      <c r="I87" s="4" t="str">
        <f aca="false">IF(COUNT(E87:F87)&lt;2,"N/A",IF(ABS(G87)&lt;=H87,"OK","❌"))</f>
        <v>OK</v>
      </c>
      <c r="J87" s="102" t="s">
        <v>1932</v>
      </c>
      <c r="K87" s="4" t="str">
        <f aca="false">IF(I87=J87,"✔ sesuai","✖ TIDAK sesuai")</f>
        <v>✔ sesuai</v>
      </c>
      <c r="L87" s="103"/>
    </row>
    <row r="88" customFormat="false" ht="15" hidden="false" customHeight="false" outlineLevel="0" collapsed="false">
      <c r="A88" s="13" t="n">
        <v>82</v>
      </c>
      <c r="B88" s="13" t="s">
        <v>1930</v>
      </c>
      <c r="C88" s="13" t="s">
        <v>1951</v>
      </c>
      <c r="D88" s="13" t="n">
        <v>2021</v>
      </c>
      <c r="E88" s="50" t="n">
        <f aca="false">CF!D32</f>
        <v>188236181884</v>
      </c>
      <c r="F88" s="50" t="n">
        <f aca="false">CF!D45</f>
        <v>188236181884</v>
      </c>
      <c r="G88" s="101" t="n">
        <f aca="false">IF(COUNT(E88:F88)=2,E88-F88,"")</f>
        <v>0</v>
      </c>
      <c r="H88" s="102" t="n">
        <v>1</v>
      </c>
      <c r="I88" s="4" t="str">
        <f aca="false">IF(COUNT(E88:F88)&lt;2,"N/A",IF(ABS(G88)&lt;=H88,"OK","❌"))</f>
        <v>OK</v>
      </c>
      <c r="J88" s="102" t="s">
        <v>1932</v>
      </c>
      <c r="K88" s="4" t="str">
        <f aca="false">IF(I88=J88,"✔ sesuai","✖ TIDAK sesuai")</f>
        <v>✔ sesuai</v>
      </c>
      <c r="L88" s="103"/>
    </row>
    <row r="89" customFormat="false" ht="15" hidden="false" customHeight="false" outlineLevel="0" collapsed="false">
      <c r="A89" s="13" t="n">
        <v>83</v>
      </c>
      <c r="B89" s="13" t="s">
        <v>1930</v>
      </c>
      <c r="C89" s="13" t="s">
        <v>1952</v>
      </c>
      <c r="D89" s="13" t="n">
        <v>2021</v>
      </c>
      <c r="E89" s="50" t="n">
        <f aca="false">CF!D35</f>
        <v>829761008475</v>
      </c>
      <c r="F89" s="50" t="n">
        <f aca="false">CF!D46</f>
        <v>829761008475</v>
      </c>
      <c r="G89" s="101" t="n">
        <f aca="false">IF(COUNT(E89:F89)=2,E89-F89,"")</f>
        <v>0</v>
      </c>
      <c r="H89" s="102" t="n">
        <v>1</v>
      </c>
      <c r="I89" s="4" t="str">
        <f aca="false">IF(COUNT(E89:F89)&lt;2,"N/A",IF(ABS(G89)&lt;=H89,"OK","❌"))</f>
        <v>OK</v>
      </c>
      <c r="J89" s="102" t="s">
        <v>1932</v>
      </c>
      <c r="K89" s="4" t="str">
        <f aca="false">IF(I89=J89,"✔ sesuai","✖ TIDAK sesuai")</f>
        <v>✔ sesuai</v>
      </c>
      <c r="L89" s="103"/>
    </row>
    <row r="90" customFormat="false" ht="15" hidden="false" customHeight="false" outlineLevel="0" collapsed="false">
      <c r="A90" s="13" t="n">
        <v>84</v>
      </c>
      <c r="B90" s="13" t="s">
        <v>1953</v>
      </c>
      <c r="C90" s="13" t="s">
        <v>1954</v>
      </c>
      <c r="D90" s="13" t="n">
        <v>2021</v>
      </c>
      <c r="E90" s="50" t="n">
        <f aca="false">BS!D26</f>
        <v>2813696522428</v>
      </c>
      <c r="F90" s="50" t="n">
        <f aca="false">BS!D58</f>
        <v>2813696522428</v>
      </c>
      <c r="G90" s="101" t="n">
        <f aca="false">IF(COUNT(E90:F90)=2,E90-F90,"")</f>
        <v>0</v>
      </c>
      <c r="H90" s="102" t="n">
        <v>1</v>
      </c>
      <c r="I90" s="4" t="str">
        <f aca="false">IF(COUNT(E90:F90)&lt;2,"N/A",IF(ABS(G90)&lt;=H90,"OK","❌"))</f>
        <v>OK</v>
      </c>
      <c r="J90" s="102" t="s">
        <v>1932</v>
      </c>
      <c r="K90" s="4" t="str">
        <f aca="false">IF(I90=J90,"✔ sesuai","✖ TIDAK sesuai")</f>
        <v>✔ sesuai</v>
      </c>
      <c r="L90" s="103"/>
    </row>
    <row r="91" customFormat="false" ht="15" hidden="false" customHeight="false" outlineLevel="0" collapsed="false">
      <c r="A91" s="13" t="n">
        <v>85</v>
      </c>
      <c r="B91" s="13" t="s">
        <v>1953</v>
      </c>
      <c r="C91" s="13" t="s">
        <v>1955</v>
      </c>
      <c r="D91" s="13" t="n">
        <v>2021</v>
      </c>
      <c r="E91" s="50" t="n">
        <f aca="false">IS!D22</f>
        <v>354648787182</v>
      </c>
      <c r="F91" s="50" t="n">
        <f aca="false">IS!D33+IS!D34</f>
        <v>354648787182</v>
      </c>
      <c r="G91" s="101" t="n">
        <f aca="false">IF(COUNT(E91:F91)=2,E91-F91,"")</f>
        <v>0</v>
      </c>
      <c r="H91" s="102" t="n">
        <v>1</v>
      </c>
      <c r="I91" s="4" t="str">
        <f aca="false">IF(COUNT(E91:F91)&lt;2,"N/A",IF(ABS(G91)&lt;=H91,"OK","❌"))</f>
        <v>OK</v>
      </c>
      <c r="J91" s="102" t="s">
        <v>1932</v>
      </c>
      <c r="K91" s="4" t="str">
        <f aca="false">IF(I91=J91,"✔ sesuai","✖ TIDAK sesuai")</f>
        <v>✔ sesuai</v>
      </c>
      <c r="L91" s="103"/>
    </row>
    <row r="92" customFormat="false" ht="15" hidden="false" customHeight="false" outlineLevel="0" collapsed="false">
      <c r="A92" s="13" t="n">
        <v>86</v>
      </c>
      <c r="B92" s="13" t="s">
        <v>1953</v>
      </c>
      <c r="C92" s="13" t="s">
        <v>1956</v>
      </c>
      <c r="D92" s="13" t="n">
        <v>2021</v>
      </c>
      <c r="E92" s="50" t="n">
        <f aca="false">IS!D31</f>
        <v>354524839120</v>
      </c>
      <c r="F92" s="50" t="n">
        <f aca="false">IS!D35+IS!D36</f>
        <v>354524839120</v>
      </c>
      <c r="G92" s="101" t="n">
        <f aca="false">IF(COUNT(E92:F92)=2,E92-F92,"")</f>
        <v>0</v>
      </c>
      <c r="H92" s="102" t="n">
        <v>1</v>
      </c>
      <c r="I92" s="4" t="str">
        <f aca="false">IF(COUNT(E92:F92)&lt;2,"N/A",IF(ABS(G92)&lt;=H92,"OK","❌"))</f>
        <v>OK</v>
      </c>
      <c r="J92" s="102" t="s">
        <v>1932</v>
      </c>
      <c r="K92" s="4" t="str">
        <f aca="false">IF(I92=J92,"✔ sesuai","✖ TIDAK sesuai")</f>
        <v>✔ sesuai</v>
      </c>
      <c r="L92" s="103"/>
    </row>
    <row r="93" customFormat="false" ht="15" hidden="false" customHeight="false" outlineLevel="0" collapsed="false">
      <c r="A93" s="13" t="n">
        <v>87</v>
      </c>
      <c r="B93" s="13" t="s">
        <v>1953</v>
      </c>
      <c r="C93" s="13" t="s">
        <v>1957</v>
      </c>
      <c r="D93" s="13" t="n">
        <v>2021</v>
      </c>
      <c r="E93" s="50" t="n">
        <f aca="false">CF!D35</f>
        <v>829761008475</v>
      </c>
      <c r="F93" s="50" t="n">
        <f aca="false">BS!D6</f>
        <v>829761008475</v>
      </c>
      <c r="G93" s="101" t="n">
        <f aca="false">IF(COUNT(E93:F93)=2,E93-F93,"")</f>
        <v>0</v>
      </c>
      <c r="H93" s="102" t="n">
        <v>1</v>
      </c>
      <c r="I93" s="4" t="str">
        <f aca="false">IF(COUNT(E93:F93)&lt;2,"N/A",IF(ABS(G93)&lt;=H93,"OK","❌"))</f>
        <v>OK</v>
      </c>
      <c r="J93" s="102" t="s">
        <v>1932</v>
      </c>
      <c r="K93" s="4" t="str">
        <f aca="false">IF(I93=J93,"✔ sesuai","✖ TIDAK sesuai")</f>
        <v>✔ sesuai</v>
      </c>
      <c r="L93" s="103"/>
    </row>
    <row r="94" customFormat="false" ht="15" hidden="false" customHeight="false" outlineLevel="0" collapsed="false">
      <c r="A94" s="13" t="n">
        <v>88</v>
      </c>
      <c r="B94" s="13" t="s">
        <v>1996</v>
      </c>
      <c r="C94" s="13" t="s">
        <v>1997</v>
      </c>
      <c r="D94" s="13" t="n">
        <v>2021</v>
      </c>
      <c r="E94" s="50" t="n">
        <f aca="false">CF!D34</f>
        <v>641524826591</v>
      </c>
      <c r="F94" s="50" t="n">
        <f aca="false">BS!C6</f>
        <v>624986556241</v>
      </c>
      <c r="G94" s="101" t="n">
        <f aca="false">IF(COUNT(E94:F94)=2,E94-F94,"")</f>
        <v>16538270350</v>
      </c>
      <c r="H94" s="102" t="n">
        <v>1</v>
      </c>
      <c r="I94" s="4" t="str">
        <f aca="false">IF(COUNT(E94:F94)&lt;2,"N/A",IF(ABS(G94)&lt;=H94,"OK","❌"))</f>
        <v>❌</v>
      </c>
      <c r="J94" s="102" t="s">
        <v>1998</v>
      </c>
      <c r="K94" s="4" t="str">
        <f aca="false">IF(I94=J94,"✔ sesuai","✖ TIDAK sesuai")</f>
        <v>✔ sesuai</v>
      </c>
      <c r="L94" s="103" t="s">
        <v>1999</v>
      </c>
    </row>
    <row r="95" customFormat="false" ht="15" hidden="false" customHeight="false" outlineLevel="0" collapsed="false">
      <c r="A95" s="13" t="n">
        <v>89</v>
      </c>
      <c r="B95" s="13" t="s">
        <v>1958</v>
      </c>
      <c r="C95" s="13" t="s">
        <v>1959</v>
      </c>
      <c r="D95" s="13" t="n">
        <v>2021</v>
      </c>
      <c r="E95" s="50" t="n">
        <f aca="false">Schedules!D12</f>
        <v>1890800275747</v>
      </c>
      <c r="F95" s="50" t="n">
        <f aca="false">IS!D6</f>
        <v>1890800275747</v>
      </c>
      <c r="G95" s="101" t="n">
        <f aca="false">IF(COUNT(E95:F95)=2,E95-F95,"")</f>
        <v>0</v>
      </c>
      <c r="H95" s="102" t="n">
        <v>1</v>
      </c>
      <c r="I95" s="4" t="str">
        <f aca="false">IF(COUNT(E95:F95)&lt;2,"N/A",IF(ABS(G95)&lt;=H95,"OK","❌"))</f>
        <v>OK</v>
      </c>
      <c r="J95" s="102" t="s">
        <v>1932</v>
      </c>
      <c r="K95" s="4" t="str">
        <f aca="false">IF(I95=J95,"✔ sesuai","✖ TIDAK sesuai")</f>
        <v>✔ sesuai</v>
      </c>
      <c r="L95" s="103"/>
    </row>
    <row r="96" customFormat="false" ht="15" hidden="false" customHeight="false" outlineLevel="0" collapsed="false">
      <c r="A96" s="13" t="n">
        <v>90</v>
      </c>
      <c r="B96" s="13" t="s">
        <v>1958</v>
      </c>
      <c r="C96" s="13" t="s">
        <v>1960</v>
      </c>
      <c r="D96" s="13" t="n">
        <v>2021</v>
      </c>
      <c r="E96" s="50" t="n">
        <f aca="false">Schedules!D309</f>
        <v>916779194679</v>
      </c>
      <c r="F96" s="50" t="n">
        <f aca="false">-IS!D7</f>
        <v>916779194679</v>
      </c>
      <c r="G96" s="101" t="n">
        <f aca="false">IF(COUNT(E96:F96)=2,E96-F96,"")</f>
        <v>0</v>
      </c>
      <c r="H96" s="102" t="n">
        <v>1</v>
      </c>
      <c r="I96" s="4" t="str">
        <f aca="false">IF(COUNT(E96:F96)&lt;2,"N/A",IF(ABS(G96)&lt;=H96,"OK","❌"))</f>
        <v>OK</v>
      </c>
      <c r="J96" s="102" t="s">
        <v>1932</v>
      </c>
      <c r="K96" s="4" t="str">
        <f aca="false">IF(I96=J96,"✔ sesuai","✖ TIDAK sesuai")</f>
        <v>✔ sesuai</v>
      </c>
      <c r="L96" s="103"/>
    </row>
    <row r="97" customFormat="false" ht="15" hidden="false" customHeight="false" outlineLevel="0" collapsed="false">
      <c r="A97" s="13" t="n">
        <v>91</v>
      </c>
      <c r="B97" s="13" t="s">
        <v>1958</v>
      </c>
      <c r="C97" s="13" t="s">
        <v>1961</v>
      </c>
      <c r="D97" s="13" t="n">
        <v>2021</v>
      </c>
      <c r="E97" s="50" t="n">
        <f aca="false">Schedules!D315</f>
        <v>37745632578</v>
      </c>
      <c r="F97" s="50" t="n">
        <f aca="false">-IS!D9</f>
        <v>37745632578</v>
      </c>
      <c r="G97" s="101" t="n">
        <f aca="false">IF(COUNT(E97:F97)=2,E97-F97,"")</f>
        <v>0</v>
      </c>
      <c r="H97" s="102" t="n">
        <v>1</v>
      </c>
      <c r="I97" s="4" t="str">
        <f aca="false">IF(COUNT(E97:F97)&lt;2,"N/A",IF(ABS(G97)&lt;=H97,"OK","❌"))</f>
        <v>OK</v>
      </c>
      <c r="J97" s="102" t="s">
        <v>1932</v>
      </c>
      <c r="K97" s="4" t="str">
        <f aca="false">IF(I97=J97,"✔ sesuai","✖ TIDAK sesuai")</f>
        <v>✔ sesuai</v>
      </c>
      <c r="L97" s="103"/>
    </row>
    <row r="98" customFormat="false" ht="15" hidden="false" customHeight="false" outlineLevel="0" collapsed="false">
      <c r="A98" s="13" t="n">
        <v>92</v>
      </c>
      <c r="B98" s="13" t="s">
        <v>1958</v>
      </c>
      <c r="C98" s="13" t="s">
        <v>1962</v>
      </c>
      <c r="D98" s="13" t="n">
        <v>2021</v>
      </c>
      <c r="E98" s="50" t="n">
        <f aca="false">Schedules!D338</f>
        <v>472902134855</v>
      </c>
      <c r="F98" s="50" t="n">
        <f aca="false">-IS!D10</f>
        <v>472902134855</v>
      </c>
      <c r="G98" s="101" t="n">
        <f aca="false">IF(COUNT(E98:F98)=2,E98-F98,"")</f>
        <v>0</v>
      </c>
      <c r="H98" s="102" t="n">
        <v>1</v>
      </c>
      <c r="I98" s="4" t="str">
        <f aca="false">IF(COUNT(E98:F98)&lt;2,"N/A",IF(ABS(G98)&lt;=H98,"OK","❌"))</f>
        <v>OK</v>
      </c>
      <c r="J98" s="102" t="s">
        <v>1932</v>
      </c>
      <c r="K98" s="4" t="str">
        <f aca="false">IF(I98=J98,"✔ sesuai","✖ TIDAK sesuai")</f>
        <v>✔ sesuai</v>
      </c>
      <c r="L98" s="103"/>
    </row>
    <row r="99" customFormat="false" ht="15" hidden="false" customHeight="false" outlineLevel="0" collapsed="false">
      <c r="A99" s="13" t="n">
        <v>93</v>
      </c>
      <c r="B99" s="13" t="s">
        <v>1958</v>
      </c>
      <c r="C99" s="13" t="s">
        <v>1963</v>
      </c>
      <c r="D99" s="13" t="n">
        <v>2021</v>
      </c>
      <c r="E99" s="50" t="n">
        <f aca="false">Schedules!D115</f>
        <v>38894708132</v>
      </c>
      <c r="F99" s="50" t="n">
        <f aca="false">BS!D12</f>
        <v>38894708132</v>
      </c>
      <c r="G99" s="101" t="n">
        <f aca="false">IF(COUNT(E99:F99)=2,E99-F99,"")</f>
        <v>0</v>
      </c>
      <c r="H99" s="102" t="n">
        <v>1</v>
      </c>
      <c r="I99" s="4" t="str">
        <f aca="false">IF(COUNT(E99:F99)&lt;2,"N/A",IF(ABS(G99)&lt;=H99,"OK","❌"))</f>
        <v>OK</v>
      </c>
      <c r="J99" s="102" t="s">
        <v>1932</v>
      </c>
      <c r="K99" s="4" t="str">
        <f aca="false">IF(I99=J99,"✔ sesuai","✖ TIDAK sesuai")</f>
        <v>✔ sesuai</v>
      </c>
      <c r="L99" s="103"/>
    </row>
    <row r="100" customFormat="false" ht="15" hidden="false" customHeight="false" outlineLevel="0" collapsed="false">
      <c r="A100" s="13" t="n">
        <v>94</v>
      </c>
      <c r="B100" s="13" t="s">
        <v>1958</v>
      </c>
      <c r="C100" s="13" t="s">
        <v>1964</v>
      </c>
      <c r="D100" s="13" t="n">
        <v>2021</v>
      </c>
      <c r="E100" s="50" t="n">
        <f aca="false">Schedules!D98</f>
        <v>156760305676</v>
      </c>
      <c r="F100" s="50" t="n">
        <f aca="false">(BS!D9+BS!D8)</f>
        <v>156760305676</v>
      </c>
      <c r="G100" s="101" t="n">
        <f aca="false">IF(COUNT(E100:F100)=2,E100-F100,"")</f>
        <v>0</v>
      </c>
      <c r="H100" s="102" t="n">
        <v>1</v>
      </c>
      <c r="I100" s="4" t="str">
        <f aca="false">IF(COUNT(E100:F100)&lt;2,"N/A",IF(ABS(G100)&lt;=H100,"OK","❌"))</f>
        <v>OK</v>
      </c>
      <c r="J100" s="102" t="s">
        <v>1932</v>
      </c>
      <c r="K100" s="4" t="str">
        <f aca="false">IF(I100=J100,"✔ sesuai","✖ TIDAK sesuai")</f>
        <v>✔ sesuai</v>
      </c>
      <c r="L100" s="103"/>
    </row>
    <row r="101" customFormat="false" ht="15" hidden="false" customHeight="false" outlineLevel="0" collapsed="false">
      <c r="A101" s="13" t="n">
        <v>95</v>
      </c>
      <c r="B101" s="13" t="s">
        <v>1958</v>
      </c>
      <c r="C101" s="13" t="s">
        <v>1965</v>
      </c>
      <c r="D101" s="13" t="n">
        <v>2021</v>
      </c>
      <c r="E101" s="50" t="n">
        <f aca="false">Schedules!D155</f>
        <v>119160438932</v>
      </c>
      <c r="F101" s="50" t="n">
        <f aca="false">(BS!D30+BS!D29)</f>
        <v>119160438932</v>
      </c>
      <c r="G101" s="101" t="n">
        <f aca="false">IF(COUNT(E101:F101)=2,E101-F101,"")</f>
        <v>0</v>
      </c>
      <c r="H101" s="102" t="n">
        <v>1</v>
      </c>
      <c r="I101" s="4" t="str">
        <f aca="false">IF(COUNT(E101:F101)&lt;2,"N/A",IF(ABS(G101)&lt;=H101,"OK","❌"))</f>
        <v>OK</v>
      </c>
      <c r="J101" s="102" t="s">
        <v>1932</v>
      </c>
      <c r="K101" s="4" t="str">
        <f aca="false">IF(I101=J101,"✔ sesuai","✖ TIDAK sesuai")</f>
        <v>✔ sesuai</v>
      </c>
      <c r="L101" s="103"/>
    </row>
    <row r="102" customFormat="false" ht="15" hidden="false" customHeight="false" outlineLevel="0" collapsed="false">
      <c r="A102" s="13" t="n">
        <v>96</v>
      </c>
      <c r="B102" s="13" t="s">
        <v>1958</v>
      </c>
      <c r="C102" s="13" t="s">
        <v>1966</v>
      </c>
      <c r="D102" s="13" t="n">
        <v>2021</v>
      </c>
      <c r="E102" s="50" t="n">
        <f aca="false">Schedules!D141</f>
        <v>58582945320</v>
      </c>
      <c r="F102" s="50" t="n">
        <f aca="false">(BS!D37+BS!D43)</f>
        <v>58582945320</v>
      </c>
      <c r="G102" s="101" t="n">
        <f aca="false">IF(COUNT(E102:F102)=2,E102-F102,"")</f>
        <v>0</v>
      </c>
      <c r="H102" s="102" t="n">
        <v>1</v>
      </c>
      <c r="I102" s="4" t="str">
        <f aca="false">IF(COUNT(E102:F102)&lt;2,"N/A",IF(ABS(G102)&lt;=H102,"OK","❌"))</f>
        <v>OK</v>
      </c>
      <c r="J102" s="102" t="s">
        <v>1932</v>
      </c>
      <c r="K102" s="4" t="str">
        <f aca="false">IF(I102=J102,"✔ sesuai","✖ TIDAK sesuai")</f>
        <v>✔ sesuai</v>
      </c>
      <c r="L102" s="103"/>
    </row>
    <row r="103" customFormat="false" ht="15" hidden="false" customHeight="false" outlineLevel="0" collapsed="false">
      <c r="A103" s="13" t="n">
        <v>97</v>
      </c>
      <c r="B103" s="13" t="s">
        <v>1958</v>
      </c>
      <c r="C103" s="13" t="s">
        <v>1967</v>
      </c>
      <c r="D103" s="13" t="n">
        <v>2021</v>
      </c>
      <c r="E103" s="50" t="n">
        <f aca="false">Schedules!D242</f>
        <v>391717789095</v>
      </c>
      <c r="F103" s="50" t="n">
        <f aca="false">BS!D28</f>
        <v>391717789095</v>
      </c>
      <c r="G103" s="101" t="n">
        <f aca="false">IF(COUNT(E103:F103)=2,E103-F103,"")</f>
        <v>0</v>
      </c>
      <c r="H103" s="102" t="n">
        <v>1</v>
      </c>
      <c r="I103" s="4" t="str">
        <f aca="false">IF(COUNT(E103:F103)&lt;2,"N/A",IF(ABS(G103)&lt;=H103,"OK","❌"))</f>
        <v>OK</v>
      </c>
      <c r="J103" s="102" t="s">
        <v>1932</v>
      </c>
      <c r="K103" s="4" t="str">
        <f aca="false">IF(I103=J103,"✔ sesuai","✖ TIDAK sesuai")</f>
        <v>✔ sesuai</v>
      </c>
      <c r="L103" s="103"/>
    </row>
    <row r="104" customFormat="false" ht="15" hidden="false" customHeight="false" outlineLevel="0" collapsed="false">
      <c r="A104" s="13" t="n">
        <v>98</v>
      </c>
      <c r="B104" s="13" t="s">
        <v>1958</v>
      </c>
      <c r="C104" s="13" t="s">
        <v>1968</v>
      </c>
      <c r="D104" s="13" t="n">
        <v>2021</v>
      </c>
      <c r="E104" s="50" t="n">
        <f aca="false">Schedules!D253</f>
        <v>221773503875</v>
      </c>
      <c r="F104" s="50" t="n">
        <f aca="false">(BS!D36+BS!D42)</f>
        <v>221773503875</v>
      </c>
      <c r="G104" s="101" t="n">
        <f aca="false">IF(COUNT(E104:F104)=2,E104-F104,"")</f>
        <v>0</v>
      </c>
      <c r="H104" s="102" t="n">
        <v>1</v>
      </c>
      <c r="I104" s="4" t="str">
        <f aca="false">IF(COUNT(E104:F104)&lt;2,"N/A",IF(ABS(G104)&lt;=H104,"OK","❌"))</f>
        <v>OK</v>
      </c>
      <c r="J104" s="102" t="s">
        <v>1932</v>
      </c>
      <c r="K104" s="4" t="str">
        <f aca="false">IF(I104=J104,"✔ sesuai","✖ TIDAK sesuai")</f>
        <v>✔ sesuai</v>
      </c>
      <c r="L104" s="103"/>
    </row>
    <row r="105" customFormat="false" ht="15" hidden="false" customHeight="false" outlineLevel="0" collapsed="false">
      <c r="A105" s="13" t="n">
        <v>99</v>
      </c>
      <c r="B105" s="13" t="s">
        <v>1958</v>
      </c>
      <c r="C105" s="13" t="s">
        <v>1969</v>
      </c>
      <c r="D105" s="13" t="n">
        <v>2021</v>
      </c>
      <c r="E105" s="50" t="n">
        <f aca="false">Schedules!D175</f>
        <v>102489898340</v>
      </c>
      <c r="F105" s="50" t="n">
        <f aca="false">-IS!D21</f>
        <v>102489898340</v>
      </c>
      <c r="G105" s="101" t="n">
        <f aca="false">IF(COUNT(E105:F105)=2,E105-F105,"")</f>
        <v>0</v>
      </c>
      <c r="H105" s="102" t="n">
        <v>1</v>
      </c>
      <c r="I105" s="4" t="str">
        <f aca="false">IF(COUNT(E105:F105)&lt;2,"N/A",IF(ABS(G105)&lt;=H105,"OK","❌"))</f>
        <v>OK</v>
      </c>
      <c r="J105" s="102" t="s">
        <v>1932</v>
      </c>
      <c r="K105" s="4" t="str">
        <f aca="false">IF(I105=J105,"✔ sesuai","✖ TIDAK sesuai")</f>
        <v>✔ sesuai</v>
      </c>
      <c r="L105" s="103"/>
    </row>
    <row r="106" customFormat="false" ht="15" hidden="false" customHeight="false" outlineLevel="0" collapsed="false">
      <c r="A106" s="13" t="n">
        <v>100</v>
      </c>
      <c r="B106" s="13" t="s">
        <v>1958</v>
      </c>
      <c r="C106" s="13" t="s">
        <v>1970</v>
      </c>
      <c r="D106" s="13" t="n">
        <v>2021</v>
      </c>
      <c r="E106" s="50" t="n">
        <f aca="false">Schedules!D274</f>
        <v>51410006855</v>
      </c>
      <c r="F106" s="50" t="n">
        <f aca="false">BS!D41</f>
        <v>51410006855</v>
      </c>
      <c r="G106" s="101" t="n">
        <f aca="false">IF(COUNT(E106:F106)=2,E106-F106,"")</f>
        <v>0</v>
      </c>
      <c r="H106" s="102" t="n">
        <v>1</v>
      </c>
      <c r="I106" s="4" t="str">
        <f aca="false">IF(COUNT(E106:F106)&lt;2,"N/A",IF(ABS(G106)&lt;=H106,"OK","❌"))</f>
        <v>OK</v>
      </c>
      <c r="J106" s="102" t="s">
        <v>1932</v>
      </c>
      <c r="K106" s="4" t="str">
        <f aca="false">IF(I106=J106,"✔ sesuai","✖ TIDAK sesuai")</f>
        <v>✔ sesuai</v>
      </c>
      <c r="L106" s="103"/>
    </row>
    <row r="107" customFormat="false" ht="15" hidden="false" customHeight="false" outlineLevel="0" collapsed="false">
      <c r="A107" s="13" t="n">
        <v>101</v>
      </c>
      <c r="B107" s="13" t="s">
        <v>1958</v>
      </c>
      <c r="C107" s="13" t="s">
        <v>1971</v>
      </c>
      <c r="D107" s="13" t="n">
        <v>2021</v>
      </c>
      <c r="E107" s="50" t="n">
        <f aca="false">Schedules!D68</f>
        <v>1499198307038</v>
      </c>
      <c r="F107" s="50" t="n">
        <f aca="false">BS!D19</f>
        <v>1499198307038</v>
      </c>
      <c r="G107" s="101" t="n">
        <f aca="false">IF(COUNT(E107:F107)=2,E107-F107,"")</f>
        <v>0</v>
      </c>
      <c r="H107" s="102" t="n">
        <v>1</v>
      </c>
      <c r="I107" s="4" t="str">
        <f aca="false">IF(COUNT(E107:F107)&lt;2,"N/A",IF(ABS(G107)&lt;=H107,"OK","❌"))</f>
        <v>OK</v>
      </c>
      <c r="J107" s="102" t="s">
        <v>1932</v>
      </c>
      <c r="K107" s="4" t="str">
        <f aca="false">IF(I107=J107,"✔ sesuai","✖ TIDAK sesuai")</f>
        <v>✔ sesuai</v>
      </c>
      <c r="L107" s="103"/>
    </row>
    <row r="108" customFormat="false" ht="15" hidden="false" customHeight="false" outlineLevel="0" collapsed="false">
      <c r="A108" s="13" t="n">
        <v>102</v>
      </c>
      <c r="B108" s="13" t="s">
        <v>1958</v>
      </c>
      <c r="C108" s="13" t="s">
        <v>1972</v>
      </c>
      <c r="D108" s="13" t="n">
        <v>2021</v>
      </c>
      <c r="E108" s="50" t="n">
        <f aca="false">Schedules!D69</f>
        <v>60480439977</v>
      </c>
      <c r="F108" s="50" t="n">
        <f aca="false">BS!D20</f>
        <v>60480439977</v>
      </c>
      <c r="G108" s="101" t="n">
        <f aca="false">IF(COUNT(E108:F108)=2,E108-F108,"")</f>
        <v>0</v>
      </c>
      <c r="H108" s="102" t="n">
        <v>1</v>
      </c>
      <c r="I108" s="4" t="str">
        <f aca="false">IF(COUNT(E108:F108)&lt;2,"N/A",IF(ABS(G108)&lt;=H108,"OK","❌"))</f>
        <v>OK</v>
      </c>
      <c r="J108" s="102" t="s">
        <v>1932</v>
      </c>
      <c r="K108" s="4" t="str">
        <f aca="false">IF(I108=J108,"✔ sesuai","✖ TIDAK sesuai")</f>
        <v>✔ sesuai</v>
      </c>
      <c r="L108" s="103"/>
    </row>
    <row r="109" customFormat="false" ht="15" hidden="false" customHeight="false" outlineLevel="0" collapsed="false">
      <c r="A109" s="13" t="n">
        <v>103</v>
      </c>
      <c r="B109" s="13" t="s">
        <v>1973</v>
      </c>
      <c r="C109" s="13" t="s">
        <v>1974</v>
      </c>
      <c r="D109" s="13" t="n">
        <v>2021</v>
      </c>
      <c r="E109" s="50" t="n">
        <f aca="false">Schedules!D15+Schedules!D16</f>
        <v>62603942562</v>
      </c>
      <c r="F109" s="50" t="n">
        <f aca="false">Schedules!D14</f>
        <v>62603942562</v>
      </c>
      <c r="G109" s="101" t="n">
        <f aca="false">IF(COUNT(E109:F109)=2,E109-F109,"")</f>
        <v>0</v>
      </c>
      <c r="H109" s="102" t="n">
        <v>1</v>
      </c>
      <c r="I109" s="4" t="str">
        <f aca="false">IF(COUNT(E109:F109)&lt;2,"N/A",IF(ABS(G109)&lt;=H109,"OK","❌"))</f>
        <v>OK</v>
      </c>
      <c r="J109" s="102" t="s">
        <v>1932</v>
      </c>
      <c r="K109" s="4" t="str">
        <f aca="false">IF(I109=J109,"✔ sesuai","✖ TIDAK sesuai")</f>
        <v>✔ sesuai</v>
      </c>
      <c r="L109" s="103"/>
    </row>
    <row r="110" customFormat="false" ht="15" hidden="false" customHeight="false" outlineLevel="0" collapsed="false">
      <c r="A110" s="13" t="n">
        <v>104</v>
      </c>
      <c r="B110" s="13" t="s">
        <v>1973</v>
      </c>
      <c r="C110" s="13" t="s">
        <v>1975</v>
      </c>
      <c r="D110" s="13" t="n">
        <v>2021</v>
      </c>
      <c r="E110" s="50" t="n">
        <f aca="false">Schedules!D40</f>
        <v>1821999864219</v>
      </c>
      <c r="F110" s="50" t="n">
        <f aca="false">Schedules!D39</f>
        <v>1821999864219</v>
      </c>
      <c r="G110" s="101" t="n">
        <f aca="false">IF(COUNT(E110:F110)=2,E110-F110,"")</f>
        <v>0</v>
      </c>
      <c r="H110" s="102" t="n">
        <v>1</v>
      </c>
      <c r="I110" s="4" t="str">
        <f aca="false">IF(COUNT(E110:F110)&lt;2,"N/A",IF(ABS(G110)&lt;=H110,"OK","❌"))</f>
        <v>OK</v>
      </c>
      <c r="J110" s="102" t="s">
        <v>1932</v>
      </c>
      <c r="K110" s="4" t="str">
        <f aca="false">IF(I110=J110,"✔ sesuai","✖ TIDAK sesuai")</f>
        <v>✔ sesuai</v>
      </c>
      <c r="L110" s="103"/>
    </row>
    <row r="111" customFormat="false" ht="15" hidden="false" customHeight="false" outlineLevel="0" collapsed="false">
      <c r="A111" s="13" t="n">
        <v>105</v>
      </c>
      <c r="B111" s="13" t="s">
        <v>1973</v>
      </c>
      <c r="C111" s="13" t="s">
        <v>1976</v>
      </c>
      <c r="D111" s="13" t="n">
        <v>2021</v>
      </c>
      <c r="E111" s="50" t="n">
        <f aca="false">Schedules!D49</f>
        <v>322801557181</v>
      </c>
      <c r="F111" s="50" t="n">
        <f aca="false">Schedules!D48</f>
        <v>322801557181</v>
      </c>
      <c r="G111" s="101" t="n">
        <f aca="false">IF(COUNT(E111:F111)=2,E111-F111,"")</f>
        <v>0</v>
      </c>
      <c r="H111" s="102" t="n">
        <v>1</v>
      </c>
      <c r="I111" s="4" t="str">
        <f aca="false">IF(COUNT(E111:F111)&lt;2,"N/A",IF(ABS(G111)&lt;=H111,"OK","❌"))</f>
        <v>OK</v>
      </c>
      <c r="J111" s="102" t="s">
        <v>1932</v>
      </c>
      <c r="K111" s="4" t="str">
        <f aca="false">IF(I111=J111,"✔ sesuai","✖ TIDAK sesuai")</f>
        <v>✔ sesuai</v>
      </c>
      <c r="L111" s="103"/>
    </row>
    <row r="112" customFormat="false" ht="15" hidden="false" customHeight="false" outlineLevel="0" collapsed="false">
      <c r="A112" s="13" t="n">
        <v>106</v>
      </c>
      <c r="B112" s="13" t="s">
        <v>1973</v>
      </c>
      <c r="C112" s="13" t="s">
        <v>1977</v>
      </c>
      <c r="D112" s="13" t="n">
        <v>2021</v>
      </c>
      <c r="E112" s="50" t="n">
        <f aca="false">Schedules!D58</f>
        <v>85831291253</v>
      </c>
      <c r="F112" s="50" t="n">
        <f aca="false">Schedules!D57</f>
        <v>85831291253</v>
      </c>
      <c r="G112" s="101" t="n">
        <f aca="false">IF(COUNT(E112:F112)=2,E112-F112,"")</f>
        <v>0</v>
      </c>
      <c r="H112" s="102" t="n">
        <v>1</v>
      </c>
      <c r="I112" s="4" t="str">
        <f aca="false">IF(COUNT(E112:F112)&lt;2,"N/A",IF(ABS(G112)&lt;=H112,"OK","❌"))</f>
        <v>OK</v>
      </c>
      <c r="J112" s="102" t="s">
        <v>1932</v>
      </c>
      <c r="K112" s="4" t="str">
        <f aca="false">IF(I112=J112,"✔ sesuai","✖ TIDAK sesuai")</f>
        <v>✔ sesuai</v>
      </c>
      <c r="L112" s="103"/>
    </row>
    <row r="113" customFormat="false" ht="15" hidden="false" customHeight="false" outlineLevel="0" collapsed="false">
      <c r="A113" s="13" t="n">
        <v>107</v>
      </c>
      <c r="B113" s="13" t="s">
        <v>1973</v>
      </c>
      <c r="C113" s="13" t="s">
        <v>1978</v>
      </c>
      <c r="D113" s="13" t="n">
        <v>2021</v>
      </c>
      <c r="E113" s="50" t="n">
        <f aca="false">Schedules!D67</f>
        <v>25350851276</v>
      </c>
      <c r="F113" s="50" t="n">
        <f aca="false">Schedules!D66</f>
        <v>25350851276</v>
      </c>
      <c r="G113" s="101" t="n">
        <f aca="false">IF(COUNT(E113:F113)=2,E113-F113,"")</f>
        <v>0</v>
      </c>
      <c r="H113" s="102" t="n">
        <v>1</v>
      </c>
      <c r="I113" s="4" t="str">
        <f aca="false">IF(COUNT(E113:F113)&lt;2,"N/A",IF(ABS(G113)&lt;=H113,"OK","❌"))</f>
        <v>OK</v>
      </c>
      <c r="J113" s="102" t="s">
        <v>1932</v>
      </c>
      <c r="K113" s="4" t="str">
        <f aca="false">IF(I113=J113,"✔ sesuai","✖ TIDAK sesuai")</f>
        <v>✔ sesuai</v>
      </c>
      <c r="L113" s="103"/>
    </row>
    <row r="114" customFormat="false" ht="15" hidden="false" customHeight="false" outlineLevel="0" collapsed="false">
      <c r="A114" s="13" t="n">
        <v>108</v>
      </c>
      <c r="B114" s="13" t="s">
        <v>1958</v>
      </c>
      <c r="C114" s="13" t="s">
        <v>1979</v>
      </c>
      <c r="D114" s="13" t="n">
        <v>2021</v>
      </c>
      <c r="E114" s="50" t="n">
        <f aca="false">Schedules!D78</f>
        <v>245476312053</v>
      </c>
      <c r="F114" s="50" t="n">
        <f aca="false">BS!D56</f>
        <v>245476312053</v>
      </c>
      <c r="G114" s="101" t="n">
        <f aca="false">IF(COUNT(E114:F114)=2,E114-F114,"")</f>
        <v>0</v>
      </c>
      <c r="H114" s="102" t="n">
        <v>10</v>
      </c>
      <c r="I114" s="4" t="str">
        <f aca="false">IF(COUNT(E114:F114)&lt;2,"N/A",IF(ABS(G114)&lt;=H114,"OK","❌"))</f>
        <v>OK</v>
      </c>
      <c r="J114" s="102" t="s">
        <v>1932</v>
      </c>
      <c r="K114" s="4" t="str">
        <f aca="false">IF(I114=J114,"✔ sesuai","✖ TIDAK sesuai")</f>
        <v>✔ sesuai</v>
      </c>
      <c r="L114" s="103"/>
    </row>
    <row r="115" customFormat="false" ht="15" hidden="false" customHeight="false" outlineLevel="0" collapsed="false">
      <c r="A115" s="13" t="n">
        <v>109</v>
      </c>
      <c r="B115" s="13" t="s">
        <v>1958</v>
      </c>
      <c r="C115" s="13" t="s">
        <v>1980</v>
      </c>
      <c r="D115" s="13" t="n">
        <v>2021</v>
      </c>
      <c r="E115" s="50" t="n">
        <f aca="false">Schedules!D75</f>
        <v>140159661589</v>
      </c>
      <c r="F115" s="50" t="n">
        <f aca="false">IS!D34</f>
        <v>140159661589</v>
      </c>
      <c r="G115" s="101" t="n">
        <f aca="false">IF(COUNT(E115:F115)=2,E115-F115,"")</f>
        <v>0</v>
      </c>
      <c r="H115" s="102" t="n">
        <v>10</v>
      </c>
      <c r="I115" s="4" t="str">
        <f aca="false">IF(COUNT(E115:F115)&lt;2,"N/A",IF(ABS(G115)&lt;=H115,"OK","❌"))</f>
        <v>OK</v>
      </c>
      <c r="J115" s="102" t="s">
        <v>1932</v>
      </c>
      <c r="K115" s="4" t="str">
        <f aca="false">IF(I115=J115,"✔ sesuai","✖ TIDAK sesuai")</f>
        <v>✔ sesuai</v>
      </c>
      <c r="L115" s="103" t="s">
        <v>1981</v>
      </c>
    </row>
    <row r="116" customFormat="false" ht="15" hidden="false" customHeight="false" outlineLevel="0" collapsed="false">
      <c r="A116" s="13" t="n">
        <v>110</v>
      </c>
      <c r="B116" s="13" t="s">
        <v>1973</v>
      </c>
      <c r="C116" s="13" t="s">
        <v>1982</v>
      </c>
      <c r="D116" s="13" t="n">
        <v>2021</v>
      </c>
      <c r="E116" s="50" t="n">
        <f aca="false">Schedules!D79</f>
        <v>245476312053</v>
      </c>
      <c r="F116" s="50" t="n">
        <f aca="false">Schedules!D78</f>
        <v>245476312053</v>
      </c>
      <c r="G116" s="101" t="n">
        <f aca="false">IF(COUNT(E116:F116)=2,E116-F116,"")</f>
        <v>0</v>
      </c>
      <c r="H116" s="102" t="n">
        <v>10</v>
      </c>
      <c r="I116" s="4" t="str">
        <f aca="false">IF(COUNT(E116:F116)&lt;2,"N/A",IF(ABS(G116)&lt;=H116,"OK","❌"))</f>
        <v>OK</v>
      </c>
      <c r="J116" s="102" t="s">
        <v>1932</v>
      </c>
      <c r="K116" s="4" t="str">
        <f aca="false">IF(I116=J116,"✔ sesuai","✖ TIDAK sesuai")</f>
        <v>✔ sesuai</v>
      </c>
      <c r="L116" s="103"/>
    </row>
    <row r="117" customFormat="false" ht="15" hidden="false" customHeight="false" outlineLevel="0" collapsed="false">
      <c r="A117" s="13" t="n">
        <v>111</v>
      </c>
      <c r="B117" s="13" t="s">
        <v>1973</v>
      </c>
      <c r="C117" s="13" t="s">
        <v>1983</v>
      </c>
      <c r="D117" s="13" t="n">
        <v>2021</v>
      </c>
      <c r="E117" s="50" t="n">
        <f aca="false">Schedules!D80</f>
        <v>140159661589</v>
      </c>
      <c r="F117" s="50" t="n">
        <f aca="false">Schedules!D75</f>
        <v>140159661589</v>
      </c>
      <c r="G117" s="101" t="n">
        <f aca="false">IF(COUNT(E117:F117)=2,E117-F117,"")</f>
        <v>0</v>
      </c>
      <c r="H117" s="102" t="n">
        <v>10</v>
      </c>
      <c r="I117" s="4" t="str">
        <f aca="false">IF(COUNT(E117:F117)&lt;2,"N/A",IF(ABS(G117)&lt;=H117,"OK","❌"))</f>
        <v>OK</v>
      </c>
      <c r="J117" s="102" t="s">
        <v>1932</v>
      </c>
      <c r="K117" s="4" t="str">
        <f aca="false">IF(I117=J117,"✔ sesuai","✖ TIDAK sesuai")</f>
        <v>✔ sesuai</v>
      </c>
      <c r="L117" s="103"/>
    </row>
    <row r="118" customFormat="false" ht="15" hidden="false" customHeight="false" outlineLevel="0" collapsed="false">
      <c r="A118" s="13" t="n">
        <v>112</v>
      </c>
      <c r="B118" s="13" t="s">
        <v>1973</v>
      </c>
      <c r="C118" s="13" t="s">
        <v>1984</v>
      </c>
      <c r="D118" s="13" t="n">
        <v>2021</v>
      </c>
      <c r="E118" s="50" t="n">
        <f aca="false">Schedules!D116</f>
        <v>38894708132</v>
      </c>
      <c r="F118" s="50" t="n">
        <f aca="false">Schedules!D115</f>
        <v>38894708132</v>
      </c>
      <c r="G118" s="101" t="n">
        <f aca="false">IF(COUNT(E118:F118)=2,E118-F118,"")</f>
        <v>0</v>
      </c>
      <c r="H118" s="102" t="n">
        <v>1</v>
      </c>
      <c r="I118" s="4" t="str">
        <f aca="false">IF(COUNT(E118:F118)&lt;2,"N/A",IF(ABS(G118)&lt;=H118,"OK","❌"))</f>
        <v>OK</v>
      </c>
      <c r="J118" s="102" t="s">
        <v>1932</v>
      </c>
      <c r="K118" s="4" t="str">
        <f aca="false">IF(I118=J118,"✔ sesuai","✖ TIDAK sesuai")</f>
        <v>✔ sesuai</v>
      </c>
      <c r="L118" s="103"/>
    </row>
    <row r="119" customFormat="false" ht="15" hidden="false" customHeight="false" outlineLevel="0" collapsed="false">
      <c r="A119" s="13" t="n">
        <v>113</v>
      </c>
      <c r="B119" s="13" t="s">
        <v>1973</v>
      </c>
      <c r="C119" s="13" t="s">
        <v>1985</v>
      </c>
      <c r="D119" s="13" t="n">
        <v>2021</v>
      </c>
      <c r="E119" s="50" t="n">
        <f aca="false">Schedules!D142</f>
        <v>58582945320</v>
      </c>
      <c r="F119" s="50" t="n">
        <f aca="false">Schedules!D141</f>
        <v>58582945320</v>
      </c>
      <c r="G119" s="101" t="n">
        <f aca="false">IF(COUNT(E119:F119)=2,E119-F119,"")</f>
        <v>0</v>
      </c>
      <c r="H119" s="102" t="n">
        <v>1</v>
      </c>
      <c r="I119" s="4" t="str">
        <f aca="false">IF(COUNT(E119:F119)&lt;2,"N/A",IF(ABS(G119)&lt;=H119,"OK","❌"))</f>
        <v>OK</v>
      </c>
      <c r="J119" s="102" t="s">
        <v>1932</v>
      </c>
      <c r="K119" s="4" t="str">
        <f aca="false">IF(I119=J119,"✔ sesuai","✖ TIDAK sesuai")</f>
        <v>✔ sesuai</v>
      </c>
      <c r="L119" s="103"/>
    </row>
    <row r="120" customFormat="false" ht="15" hidden="false" customHeight="false" outlineLevel="0" collapsed="false">
      <c r="A120" s="13" t="n">
        <v>114</v>
      </c>
      <c r="B120" s="13" t="s">
        <v>1973</v>
      </c>
      <c r="C120" s="13" t="s">
        <v>1986</v>
      </c>
      <c r="D120" s="13" t="n">
        <v>2021</v>
      </c>
      <c r="E120" s="50" t="n">
        <f aca="false">Schedules!D147</f>
        <v>13910814458</v>
      </c>
      <c r="F120" s="50" t="n">
        <f aca="false">Schedules!D146</f>
        <v>13910814458</v>
      </c>
      <c r="G120" s="101" t="n">
        <f aca="false">IF(COUNT(E120:F120)=2,E120-F120,"")</f>
        <v>0</v>
      </c>
      <c r="H120" s="102" t="n">
        <v>1</v>
      </c>
      <c r="I120" s="4" t="str">
        <f aca="false">IF(COUNT(E120:F120)&lt;2,"N/A",IF(ABS(G120)&lt;=H120,"OK","❌"))</f>
        <v>OK</v>
      </c>
      <c r="J120" s="102" t="s">
        <v>1932</v>
      </c>
      <c r="K120" s="4" t="str">
        <f aca="false">IF(I120=J120,"✔ sesuai","✖ TIDAK sesuai")</f>
        <v>✔ sesuai</v>
      </c>
      <c r="L120" s="103"/>
    </row>
    <row r="121" customFormat="false" ht="15" hidden="false" customHeight="false" outlineLevel="0" collapsed="false">
      <c r="A121" s="13" t="n">
        <v>115</v>
      </c>
      <c r="B121" s="13" t="s">
        <v>1973</v>
      </c>
      <c r="C121" s="13" t="s">
        <v>1987</v>
      </c>
      <c r="D121" s="13" t="n">
        <v>2021</v>
      </c>
      <c r="E121" s="50" t="n">
        <f aca="false">Schedules!D157</f>
        <v>119160438932</v>
      </c>
      <c r="F121" s="50" t="n">
        <f aca="false">Schedules!D155</f>
        <v>119160438932</v>
      </c>
      <c r="G121" s="101" t="n">
        <f aca="false">IF(COUNT(E121:F121)=2,E121-F121,"")</f>
        <v>0</v>
      </c>
      <c r="H121" s="102" t="n">
        <v>1</v>
      </c>
      <c r="I121" s="4" t="str">
        <f aca="false">IF(COUNT(E121:F121)&lt;2,"N/A",IF(ABS(G121)&lt;=H121,"OK","❌"))</f>
        <v>OK</v>
      </c>
      <c r="J121" s="102" t="s">
        <v>1932</v>
      </c>
      <c r="K121" s="4" t="str">
        <f aca="false">IF(I121=J121,"✔ sesuai","✖ TIDAK sesuai")</f>
        <v>✔ sesuai</v>
      </c>
      <c r="L121" s="103"/>
    </row>
    <row r="122" customFormat="false" ht="15" hidden="false" customHeight="false" outlineLevel="0" collapsed="false">
      <c r="A122" s="13" t="n">
        <v>116</v>
      </c>
      <c r="B122" s="13" t="s">
        <v>1973</v>
      </c>
      <c r="C122" s="13" t="s">
        <v>1988</v>
      </c>
      <c r="D122" s="13" t="n">
        <v>2021</v>
      </c>
      <c r="E122" s="50" t="n">
        <f aca="false">Schedules!D177</f>
        <v>102489898340</v>
      </c>
      <c r="F122" s="50" t="n">
        <f aca="false">Schedules!D175</f>
        <v>102489898340</v>
      </c>
      <c r="G122" s="101" t="n">
        <f aca="false">IF(COUNT(E122:F122)=2,E122-F122,"")</f>
        <v>0</v>
      </c>
      <c r="H122" s="102" t="n">
        <v>1</v>
      </c>
      <c r="I122" s="4" t="str">
        <f aca="false">IF(COUNT(E122:F122)&lt;2,"N/A",IF(ABS(G122)&lt;=H122,"OK","❌"))</f>
        <v>OK</v>
      </c>
      <c r="J122" s="102" t="s">
        <v>1932</v>
      </c>
      <c r="K122" s="4" t="str">
        <f aca="false">IF(I122=J122,"✔ sesuai","✖ TIDAK sesuai")</f>
        <v>✔ sesuai</v>
      </c>
      <c r="L122" s="103"/>
    </row>
    <row r="123" customFormat="false" ht="15" hidden="false" customHeight="false" outlineLevel="0" collapsed="false">
      <c r="A123" s="13" t="n">
        <v>117</v>
      </c>
      <c r="B123" s="13" t="s">
        <v>1973</v>
      </c>
      <c r="C123" s="13" t="s">
        <v>1989</v>
      </c>
      <c r="D123" s="13" t="n">
        <v>2021</v>
      </c>
      <c r="E123" s="50" t="n">
        <f aca="false">Schedules!D244</f>
        <v>391717789095</v>
      </c>
      <c r="F123" s="50" t="n">
        <f aca="false">Schedules!D242</f>
        <v>391717789095</v>
      </c>
      <c r="G123" s="101" t="n">
        <f aca="false">IF(COUNT(E123:F123)=2,E123-F123,"")</f>
        <v>0</v>
      </c>
      <c r="H123" s="102" t="n">
        <v>1</v>
      </c>
      <c r="I123" s="4" t="str">
        <f aca="false">IF(COUNT(E123:F123)&lt;2,"N/A",IF(ABS(G123)&lt;=H123,"OK","❌"))</f>
        <v>OK</v>
      </c>
      <c r="J123" s="102" t="s">
        <v>1932</v>
      </c>
      <c r="K123" s="4" t="str">
        <f aca="false">IF(I123=J123,"✔ sesuai","✖ TIDAK sesuai")</f>
        <v>✔ sesuai</v>
      </c>
      <c r="L123" s="103"/>
    </row>
    <row r="124" customFormat="false" ht="15" hidden="false" customHeight="false" outlineLevel="0" collapsed="false">
      <c r="A124" s="13" t="n">
        <v>118</v>
      </c>
      <c r="B124" s="13" t="s">
        <v>1973</v>
      </c>
      <c r="C124" s="13" t="s">
        <v>1990</v>
      </c>
      <c r="D124" s="13" t="n">
        <v>2021</v>
      </c>
      <c r="E124" s="50" t="n">
        <f aca="false">Schedules!D250</f>
        <v>221773503875</v>
      </c>
      <c r="F124" s="50" t="n">
        <f aca="false">Schedules!D248</f>
        <v>221773503875</v>
      </c>
      <c r="G124" s="101" t="n">
        <f aca="false">IF(COUNT(E124:F124)=2,E124-F124,"")</f>
        <v>0</v>
      </c>
      <c r="H124" s="102" t="n">
        <v>1</v>
      </c>
      <c r="I124" s="4" t="str">
        <f aca="false">IF(COUNT(E124:F124)&lt;2,"N/A",IF(ABS(G124)&lt;=H124,"OK","❌"))</f>
        <v>OK</v>
      </c>
      <c r="J124" s="102" t="s">
        <v>1932</v>
      </c>
      <c r="K124" s="4" t="str">
        <f aca="false">IF(I124=J124,"✔ sesuai","✖ TIDAK sesuai")</f>
        <v>✔ sesuai</v>
      </c>
      <c r="L124" s="103"/>
    </row>
    <row r="125" customFormat="false" ht="15" hidden="false" customHeight="false" outlineLevel="0" collapsed="false">
      <c r="A125" s="13" t="n">
        <v>119</v>
      </c>
      <c r="B125" s="13" t="s">
        <v>1973</v>
      </c>
      <c r="C125" s="13" t="s">
        <v>1991</v>
      </c>
      <c r="D125" s="13" t="n">
        <v>2021</v>
      </c>
      <c r="E125" s="50" t="n">
        <f aca="false">Schedules!D267</f>
        <v>15880018857</v>
      </c>
      <c r="F125" s="50" t="n">
        <f aca="false">Schedules!D266</f>
        <v>15880018857</v>
      </c>
      <c r="G125" s="101" t="n">
        <f aca="false">IF(COUNT(E125:F125)=2,E125-F125,"")</f>
        <v>0</v>
      </c>
      <c r="H125" s="102" t="n">
        <v>1</v>
      </c>
      <c r="I125" s="4" t="str">
        <f aca="false">IF(COUNT(E125:F125)&lt;2,"N/A",IF(ABS(G125)&lt;=H125,"OK","❌"))</f>
        <v>OK</v>
      </c>
      <c r="J125" s="102" t="s">
        <v>1932</v>
      </c>
      <c r="K125" s="4" t="str">
        <f aca="false">IF(I125=J125,"✔ sesuai","✖ TIDAK sesuai")</f>
        <v>✔ sesuai</v>
      </c>
      <c r="L125" s="103"/>
    </row>
    <row r="126" customFormat="false" ht="15" hidden="false" customHeight="false" outlineLevel="0" collapsed="false">
      <c r="A126" s="13" t="n">
        <v>120</v>
      </c>
      <c r="B126" s="13" t="s">
        <v>1973</v>
      </c>
      <c r="C126" s="13" t="s">
        <v>1992</v>
      </c>
      <c r="D126" s="13" t="n">
        <v>2021</v>
      </c>
      <c r="E126" s="50" t="n">
        <f aca="false">Schedules!D299</f>
        <v>1946822359466</v>
      </c>
      <c r="F126" s="50" t="n">
        <f aca="false">Schedules!D298</f>
        <v>1946822359466</v>
      </c>
      <c r="G126" s="101" t="n">
        <f aca="false">IF(COUNT(E126:F126)=2,E126-F126,"")</f>
        <v>0</v>
      </c>
      <c r="H126" s="102" t="n">
        <v>1</v>
      </c>
      <c r="I126" s="4" t="str">
        <f aca="false">IF(COUNT(E126:F126)&lt;2,"N/A",IF(ABS(G126)&lt;=H126,"OK","❌"))</f>
        <v>OK</v>
      </c>
      <c r="J126" s="102" t="s">
        <v>1932</v>
      </c>
      <c r="K126" s="4" t="str">
        <f aca="false">IF(I126=J126,"✔ sesuai","✖ TIDAK sesuai")</f>
        <v>✔ sesuai</v>
      </c>
      <c r="L126" s="103"/>
    </row>
    <row r="127" customFormat="false" ht="15" hidden="false" customHeight="false" outlineLevel="0" collapsed="false">
      <c r="A127" s="13" t="n">
        <v>121</v>
      </c>
      <c r="B127" s="13" t="s">
        <v>1973</v>
      </c>
      <c r="C127" s="13" t="s">
        <v>1993</v>
      </c>
      <c r="D127" s="13" t="n">
        <v>2021</v>
      </c>
      <c r="E127" s="50" t="n">
        <f aca="false">Schedules!D310</f>
        <v>916779194679</v>
      </c>
      <c r="F127" s="50" t="n">
        <f aca="false">Schedules!D309</f>
        <v>916779194679</v>
      </c>
      <c r="G127" s="101" t="n">
        <f aca="false">IF(COUNT(E127:F127)=2,E127-F127,"")</f>
        <v>0</v>
      </c>
      <c r="H127" s="102" t="n">
        <v>1</v>
      </c>
      <c r="I127" s="4" t="str">
        <f aca="false">IF(COUNT(E127:F127)&lt;2,"N/A",IF(ABS(G127)&lt;=H127,"OK","❌"))</f>
        <v>OK</v>
      </c>
      <c r="J127" s="102" t="s">
        <v>1932</v>
      </c>
      <c r="K127" s="4" t="str">
        <f aca="false">IF(I127=J127,"✔ sesuai","✖ TIDAK sesuai")</f>
        <v>✔ sesuai</v>
      </c>
      <c r="L127" s="103"/>
    </row>
    <row r="128" customFormat="false" ht="15" hidden="false" customHeight="false" outlineLevel="0" collapsed="false">
      <c r="A128" s="13" t="n">
        <v>122</v>
      </c>
      <c r="B128" s="13" t="s">
        <v>1973</v>
      </c>
      <c r="C128" s="13" t="s">
        <v>1994</v>
      </c>
      <c r="D128" s="13" t="n">
        <v>2021</v>
      </c>
      <c r="E128" s="50" t="n">
        <f aca="false">Schedules!D316</f>
        <v>37745632578</v>
      </c>
      <c r="F128" s="50" t="n">
        <f aca="false">Schedules!D315</f>
        <v>37745632578</v>
      </c>
      <c r="G128" s="101" t="n">
        <f aca="false">IF(COUNT(E128:F128)=2,E128-F128,"")</f>
        <v>0</v>
      </c>
      <c r="H128" s="102" t="n">
        <v>1</v>
      </c>
      <c r="I128" s="4" t="str">
        <f aca="false">IF(COUNT(E128:F128)&lt;2,"N/A",IF(ABS(G128)&lt;=H128,"OK","❌"))</f>
        <v>OK</v>
      </c>
      <c r="J128" s="102" t="s">
        <v>1932</v>
      </c>
      <c r="K128" s="4" t="str">
        <f aca="false">IF(I128=J128,"✔ sesuai","✖ TIDAK sesuai")</f>
        <v>✔ sesuai</v>
      </c>
      <c r="L128" s="103"/>
    </row>
    <row r="129" customFormat="false" ht="15" hidden="false" customHeight="false" outlineLevel="0" collapsed="false">
      <c r="A129" s="13" t="n">
        <v>123</v>
      </c>
      <c r="B129" s="13" t="s">
        <v>1973</v>
      </c>
      <c r="C129" s="13" t="s">
        <v>1995</v>
      </c>
      <c r="D129" s="13" t="n">
        <v>2021</v>
      </c>
      <c r="E129" s="50" t="n">
        <f aca="false">Schedules!D339</f>
        <v>472902134855</v>
      </c>
      <c r="F129" s="50" t="n">
        <f aca="false">Schedules!D338</f>
        <v>472902134855</v>
      </c>
      <c r="G129" s="101" t="n">
        <f aca="false">IF(COUNT(E129:F129)=2,E129-F129,"")</f>
        <v>0</v>
      </c>
      <c r="H129" s="102" t="n">
        <v>1</v>
      </c>
      <c r="I129" s="4" t="str">
        <f aca="false">IF(COUNT(E129:F129)&lt;2,"N/A",IF(ABS(G129)&lt;=H129,"OK","❌"))</f>
        <v>OK</v>
      </c>
      <c r="J129" s="102" t="s">
        <v>1932</v>
      </c>
      <c r="K129" s="4" t="str">
        <f aca="false">IF(I129=J129,"✔ sesuai","✖ TIDAK sesuai")</f>
        <v>✔ sesuai</v>
      </c>
      <c r="L129" s="103"/>
    </row>
    <row r="130" customFormat="false" ht="15" hidden="false" customHeight="false" outlineLevel="0" collapsed="false">
      <c r="A130" s="13" t="n">
        <v>124</v>
      </c>
      <c r="B130" s="13" t="s">
        <v>2000</v>
      </c>
      <c r="C130" s="13" t="s">
        <v>2001</v>
      </c>
      <c r="D130" s="13" t="n">
        <v>2021</v>
      </c>
      <c r="E130" s="70" t="n">
        <f aca="false">IS!D37</f>
        <v>44</v>
      </c>
      <c r="F130" s="70" t="n">
        <f aca="false">ROUND(IS!D33/8603416176,2)</f>
        <v>24.93</v>
      </c>
      <c r="G130" s="104" t="n">
        <f aca="false">IF(COUNT(E130:F130)=2,E130-F130,"")</f>
        <v>19.07</v>
      </c>
      <c r="H130" s="102" t="n">
        <v>0.05</v>
      </c>
      <c r="I130" s="4" t="str">
        <f aca="false">IF(COUNT(E130:F130)&lt;2,"N/A",IF(ABS(G130)&lt;=H130,"OK","❌"))</f>
        <v>❌</v>
      </c>
      <c r="J130" s="102" t="s">
        <v>1998</v>
      </c>
      <c r="K130" s="4" t="str">
        <f aca="false">IF(I130=J130,"✔ sesuai","✖ TIDAK sesuai")</f>
        <v>✔ sesuai</v>
      </c>
      <c r="L130" s="103" t="s">
        <v>2002</v>
      </c>
    </row>
    <row r="131" customFormat="false" ht="15" hidden="false" customHeight="false" outlineLevel="0" collapsed="false">
      <c r="A131" s="13" t="n">
        <v>125</v>
      </c>
      <c r="B131" s="13" t="s">
        <v>1930</v>
      </c>
      <c r="C131" s="13" t="s">
        <v>1931</v>
      </c>
      <c r="D131" s="13" t="n">
        <v>2022</v>
      </c>
      <c r="E131" s="50" t="n">
        <f aca="false">IS!E8</f>
        <v>764552637083</v>
      </c>
      <c r="F131" s="50" t="n">
        <f aca="false">IS!E39</f>
        <v>764552637083</v>
      </c>
      <c r="G131" s="101" t="n">
        <f aca="false">IF(COUNT(E131:F131)=2,E131-F131,"")</f>
        <v>0</v>
      </c>
      <c r="H131" s="102" t="n">
        <v>1</v>
      </c>
      <c r="I131" s="4" t="str">
        <f aca="false">IF(COUNT(E131:F131)&lt;2,"N/A",IF(ABS(G131)&lt;=H131,"OK","❌"))</f>
        <v>OK</v>
      </c>
      <c r="J131" s="102" t="s">
        <v>1932</v>
      </c>
      <c r="K131" s="4" t="str">
        <f aca="false">IF(I131=J131,"✔ sesuai","✖ TIDAK sesuai")</f>
        <v>✔ sesuai</v>
      </c>
      <c r="L131" s="103"/>
    </row>
    <row r="132" customFormat="false" ht="15" hidden="false" customHeight="false" outlineLevel="0" collapsed="false">
      <c r="A132" s="13" t="n">
        <v>126</v>
      </c>
      <c r="B132" s="13" t="s">
        <v>1930</v>
      </c>
      <c r="C132" s="13" t="s">
        <v>1933</v>
      </c>
      <c r="D132" s="13" t="n">
        <v>2022</v>
      </c>
      <c r="E132" s="50" t="n">
        <f aca="false">IS!E11</f>
        <v>-549453811729</v>
      </c>
      <c r="F132" s="50" t="n">
        <f aca="false">IS!E40</f>
        <v>-549453811729</v>
      </c>
      <c r="G132" s="101" t="n">
        <f aca="false">IF(COUNT(E132:F132)=2,E132-F132,"")</f>
        <v>0</v>
      </c>
      <c r="H132" s="102" t="n">
        <v>1</v>
      </c>
      <c r="I132" s="4" t="str">
        <f aca="false">IF(COUNT(E132:F132)&lt;2,"N/A",IF(ABS(G132)&lt;=H132,"OK","❌"))</f>
        <v>OK</v>
      </c>
      <c r="J132" s="102" t="s">
        <v>1932</v>
      </c>
      <c r="K132" s="4" t="str">
        <f aca="false">IF(I132=J132,"✔ sesuai","✖ TIDAK sesuai")</f>
        <v>✔ sesuai</v>
      </c>
      <c r="L132" s="103"/>
    </row>
    <row r="133" customFormat="false" ht="15" hidden="false" customHeight="false" outlineLevel="0" collapsed="false">
      <c r="A133" s="13" t="n">
        <v>127</v>
      </c>
      <c r="B133" s="13" t="s">
        <v>1930</v>
      </c>
      <c r="C133" s="13" t="s">
        <v>1934</v>
      </c>
      <c r="D133" s="13" t="n">
        <v>2022</v>
      </c>
      <c r="E133" s="50" t="n">
        <f aca="false">IS!E17</f>
        <v>176790020011</v>
      </c>
      <c r="F133" s="50" t="n">
        <f aca="false">IS!E41</f>
        <v>176790020011</v>
      </c>
      <c r="G133" s="101" t="n">
        <f aca="false">IF(COUNT(E133:F133)=2,E133-F133,"")</f>
        <v>0</v>
      </c>
      <c r="H133" s="102" t="n">
        <v>1</v>
      </c>
      <c r="I133" s="4" t="str">
        <f aca="false">IF(COUNT(E133:F133)&lt;2,"N/A",IF(ABS(G133)&lt;=H133,"OK","❌"))</f>
        <v>OK</v>
      </c>
      <c r="J133" s="102" t="s">
        <v>1932</v>
      </c>
      <c r="K133" s="4" t="str">
        <f aca="false">IF(I133=J133,"✔ sesuai","✖ TIDAK sesuai")</f>
        <v>✔ sesuai</v>
      </c>
      <c r="L133" s="103"/>
    </row>
    <row r="134" customFormat="false" ht="15" hidden="false" customHeight="false" outlineLevel="0" collapsed="false">
      <c r="A134" s="13" t="n">
        <v>128</v>
      </c>
      <c r="B134" s="13" t="s">
        <v>1930</v>
      </c>
      <c r="C134" s="13" t="s">
        <v>1935</v>
      </c>
      <c r="D134" s="13" t="n">
        <v>2022</v>
      </c>
      <c r="E134" s="50" t="n">
        <f aca="false">IS!E21</f>
        <v>-47858164349</v>
      </c>
      <c r="F134" s="50" t="n">
        <f aca="false">IS!E42</f>
        <v>-47858164349</v>
      </c>
      <c r="G134" s="101" t="n">
        <f aca="false">IF(COUNT(E134:F134)=2,E134-F134,"")</f>
        <v>0</v>
      </c>
      <c r="H134" s="102" t="n">
        <v>1</v>
      </c>
      <c r="I134" s="4" t="str">
        <f aca="false">IF(COUNT(E134:F134)&lt;2,"N/A",IF(ABS(G134)&lt;=H134,"OK","❌"))</f>
        <v>OK</v>
      </c>
      <c r="J134" s="102" t="s">
        <v>1932</v>
      </c>
      <c r="K134" s="4" t="str">
        <f aca="false">IF(I134=J134,"✔ sesuai","✖ TIDAK sesuai")</f>
        <v>✔ sesuai</v>
      </c>
      <c r="L134" s="103"/>
    </row>
    <row r="135" customFormat="false" ht="15" hidden="false" customHeight="false" outlineLevel="0" collapsed="false">
      <c r="A135" s="13" t="n">
        <v>129</v>
      </c>
      <c r="B135" s="13" t="s">
        <v>1930</v>
      </c>
      <c r="C135" s="13" t="s">
        <v>1936</v>
      </c>
      <c r="D135" s="13" t="n">
        <v>2022</v>
      </c>
      <c r="E135" s="50" t="n">
        <f aca="false">IS!E22</f>
        <v>128931855662</v>
      </c>
      <c r="F135" s="50" t="n">
        <f aca="false">IS!E43</f>
        <v>128931855662</v>
      </c>
      <c r="G135" s="101" t="n">
        <f aca="false">IF(COUNT(E135:F135)=2,E135-F135,"")</f>
        <v>0</v>
      </c>
      <c r="H135" s="102" t="n">
        <v>1</v>
      </c>
      <c r="I135" s="4" t="str">
        <f aca="false">IF(COUNT(E135:F135)&lt;2,"N/A",IF(ABS(G135)&lt;=H135,"OK","❌"))</f>
        <v>OK</v>
      </c>
      <c r="J135" s="102" t="s">
        <v>1932</v>
      </c>
      <c r="K135" s="4" t="str">
        <f aca="false">IF(I135=J135,"✔ sesuai","✖ TIDAK sesuai")</f>
        <v>✔ sesuai</v>
      </c>
      <c r="L135" s="103"/>
    </row>
    <row r="136" customFormat="false" ht="15" hidden="false" customHeight="false" outlineLevel="0" collapsed="false">
      <c r="A136" s="13" t="n">
        <v>130</v>
      </c>
      <c r="B136" s="13" t="s">
        <v>1930</v>
      </c>
      <c r="C136" s="13" t="s">
        <v>1937</v>
      </c>
      <c r="D136" s="13" t="n">
        <v>2022</v>
      </c>
      <c r="E136" s="50" t="n">
        <f aca="false">IS!E30</f>
        <v>-5808339610</v>
      </c>
      <c r="F136" s="50" t="n">
        <f aca="false">IS!E44</f>
        <v>-5808339610</v>
      </c>
      <c r="G136" s="101" t="n">
        <f aca="false">IF(COUNT(E136:F136)=2,E136-F136,"")</f>
        <v>0</v>
      </c>
      <c r="H136" s="102" t="n">
        <v>1</v>
      </c>
      <c r="I136" s="4" t="str">
        <f aca="false">IF(COUNT(E136:F136)&lt;2,"N/A",IF(ABS(G136)&lt;=H136,"OK","❌"))</f>
        <v>OK</v>
      </c>
      <c r="J136" s="102" t="s">
        <v>1932</v>
      </c>
      <c r="K136" s="4" t="str">
        <f aca="false">IF(I136=J136,"✔ sesuai","✖ TIDAK sesuai")</f>
        <v>✔ sesuai</v>
      </c>
      <c r="L136" s="103"/>
    </row>
    <row r="137" customFormat="false" ht="15" hidden="false" customHeight="false" outlineLevel="0" collapsed="false">
      <c r="A137" s="13" t="n">
        <v>131</v>
      </c>
      <c r="B137" s="13" t="s">
        <v>1930</v>
      </c>
      <c r="C137" s="13" t="s">
        <v>1938</v>
      </c>
      <c r="D137" s="13" t="n">
        <v>2022</v>
      </c>
      <c r="E137" s="50" t="n">
        <f aca="false">IS!E31</f>
        <v>123123516052</v>
      </c>
      <c r="F137" s="50" t="n">
        <f aca="false">IS!E45</f>
        <v>123123516052</v>
      </c>
      <c r="G137" s="101" t="n">
        <f aca="false">IF(COUNT(E137:F137)=2,E137-F137,"")</f>
        <v>0</v>
      </c>
      <c r="H137" s="102" t="n">
        <v>1</v>
      </c>
      <c r="I137" s="4" t="str">
        <f aca="false">IF(COUNT(E137:F137)&lt;2,"N/A",IF(ABS(G137)&lt;=H137,"OK","❌"))</f>
        <v>OK</v>
      </c>
      <c r="J137" s="102" t="s">
        <v>1932</v>
      </c>
      <c r="K137" s="4" t="str">
        <f aca="false">IF(I137=J137,"✔ sesuai","✖ TIDAK sesuai")</f>
        <v>✔ sesuai</v>
      </c>
      <c r="L137" s="103"/>
    </row>
    <row r="138" customFormat="false" ht="15" hidden="false" customHeight="false" outlineLevel="0" collapsed="false">
      <c r="A138" s="13" t="n">
        <v>132</v>
      </c>
      <c r="B138" s="13" t="s">
        <v>1930</v>
      </c>
      <c r="C138" s="13" t="s">
        <v>1938</v>
      </c>
      <c r="D138" s="13" t="n">
        <v>2022</v>
      </c>
      <c r="E138" s="50" t="n">
        <f aca="false">IS!E31</f>
        <v>123123516052</v>
      </c>
      <c r="F138" s="50" t="n">
        <f aca="false">IS!E46</f>
        <v>123123516052</v>
      </c>
      <c r="G138" s="101" t="n">
        <f aca="false">IF(COUNT(E138:F138)=2,E138-F138,"")</f>
        <v>0</v>
      </c>
      <c r="H138" s="102" t="n">
        <v>1</v>
      </c>
      <c r="I138" s="4" t="str">
        <f aca="false">IF(COUNT(E138:F138)&lt;2,"N/A",IF(ABS(G138)&lt;=H138,"OK","❌"))</f>
        <v>OK</v>
      </c>
      <c r="J138" s="102" t="s">
        <v>1932</v>
      </c>
      <c r="K138" s="4" t="str">
        <f aca="false">IF(I138=J138,"✔ sesuai","✖ TIDAK sesuai")</f>
        <v>✔ sesuai</v>
      </c>
      <c r="L138" s="103"/>
    </row>
    <row r="139" customFormat="false" ht="15" hidden="false" customHeight="false" outlineLevel="0" collapsed="false">
      <c r="A139" s="13" t="n">
        <v>133</v>
      </c>
      <c r="B139" s="13" t="s">
        <v>1930</v>
      </c>
      <c r="C139" s="13" t="s">
        <v>1939</v>
      </c>
      <c r="D139" s="13" t="n">
        <v>2022</v>
      </c>
      <c r="E139" s="50" t="n">
        <f aca="false">BS!E15</f>
        <v>887830081235</v>
      </c>
      <c r="F139" s="50" t="n">
        <f aca="false">BS!E60</f>
        <v>887830081235</v>
      </c>
      <c r="G139" s="101" t="n">
        <f aca="false">IF(COUNT(E139:F139)=2,E139-F139,"")</f>
        <v>0</v>
      </c>
      <c r="H139" s="102" t="n">
        <v>1</v>
      </c>
      <c r="I139" s="4" t="str">
        <f aca="false">IF(COUNT(E139:F139)&lt;2,"N/A",IF(ABS(G139)&lt;=H139,"OK","❌"))</f>
        <v>OK</v>
      </c>
      <c r="J139" s="102" t="s">
        <v>1932</v>
      </c>
      <c r="K139" s="4" t="str">
        <f aca="false">IF(I139=J139,"✔ sesuai","✖ TIDAK sesuai")</f>
        <v>✔ sesuai</v>
      </c>
      <c r="L139" s="103"/>
    </row>
    <row r="140" customFormat="false" ht="15" hidden="false" customHeight="false" outlineLevel="0" collapsed="false">
      <c r="A140" s="13" t="n">
        <v>134</v>
      </c>
      <c r="B140" s="13" t="s">
        <v>1930</v>
      </c>
      <c r="C140" s="13" t="s">
        <v>1940</v>
      </c>
      <c r="D140" s="13" t="n">
        <v>2022</v>
      </c>
      <c r="E140" s="50" t="n">
        <f aca="false">BS!E25</f>
        <v>2050780067755</v>
      </c>
      <c r="F140" s="50" t="n">
        <f aca="false">BS!E61</f>
        <v>2050780067755</v>
      </c>
      <c r="G140" s="101" t="n">
        <f aca="false">IF(COUNT(E140:F140)=2,E140-F140,"")</f>
        <v>0</v>
      </c>
      <c r="H140" s="102" t="n">
        <v>1</v>
      </c>
      <c r="I140" s="4" t="str">
        <f aca="false">IF(COUNT(E140:F140)&lt;2,"N/A",IF(ABS(G140)&lt;=H140,"OK","❌"))</f>
        <v>OK</v>
      </c>
      <c r="J140" s="102" t="s">
        <v>1932</v>
      </c>
      <c r="K140" s="4" t="str">
        <f aca="false">IF(I140=J140,"✔ sesuai","✖ TIDAK sesuai")</f>
        <v>✔ sesuai</v>
      </c>
      <c r="L140" s="103"/>
    </row>
    <row r="141" customFormat="false" ht="15" hidden="false" customHeight="false" outlineLevel="0" collapsed="false">
      <c r="A141" s="13" t="n">
        <v>135</v>
      </c>
      <c r="B141" s="13" t="s">
        <v>1930</v>
      </c>
      <c r="C141" s="13" t="s">
        <v>1941</v>
      </c>
      <c r="D141" s="13" t="n">
        <v>2022</v>
      </c>
      <c r="E141" s="50" t="n">
        <f aca="false">BS!E26</f>
        <v>2938610148990</v>
      </c>
      <c r="F141" s="50" t="n">
        <f aca="false">BS!E62</f>
        <v>2938610148990</v>
      </c>
      <c r="G141" s="101" t="n">
        <f aca="false">IF(COUNT(E141:F141)=2,E141-F141,"")</f>
        <v>0</v>
      </c>
      <c r="H141" s="102" t="n">
        <v>1</v>
      </c>
      <c r="I141" s="4" t="str">
        <f aca="false">IF(COUNT(E141:F141)&lt;2,"N/A",IF(ABS(G141)&lt;=H141,"OK","❌"))</f>
        <v>OK</v>
      </c>
      <c r="J141" s="102" t="s">
        <v>1932</v>
      </c>
      <c r="K141" s="4" t="str">
        <f aca="false">IF(I141=J141,"✔ sesuai","✖ TIDAK sesuai")</f>
        <v>✔ sesuai</v>
      </c>
      <c r="L141" s="103"/>
    </row>
    <row r="142" customFormat="false" ht="15" hidden="false" customHeight="false" outlineLevel="0" collapsed="false">
      <c r="A142" s="13" t="n">
        <v>136</v>
      </c>
      <c r="B142" s="13" t="s">
        <v>1930</v>
      </c>
      <c r="C142" s="13" t="s">
        <v>1942</v>
      </c>
      <c r="D142" s="13" t="n">
        <v>2022</v>
      </c>
      <c r="E142" s="50" t="n">
        <f aca="false">BS!E38</f>
        <v>643862008271</v>
      </c>
      <c r="F142" s="50" t="n">
        <f aca="false">BS!E63</f>
        <v>643862008271</v>
      </c>
      <c r="G142" s="101" t="n">
        <f aca="false">IF(COUNT(E142:F142)=2,E142-F142,"")</f>
        <v>0</v>
      </c>
      <c r="H142" s="102" t="n">
        <v>1</v>
      </c>
      <c r="I142" s="4" t="str">
        <f aca="false">IF(COUNT(E142:F142)&lt;2,"N/A",IF(ABS(G142)&lt;=H142,"OK","❌"))</f>
        <v>OK</v>
      </c>
      <c r="J142" s="102" t="s">
        <v>1932</v>
      </c>
      <c r="K142" s="4" t="str">
        <f aca="false">IF(I142=J142,"✔ sesuai","✖ TIDAK sesuai")</f>
        <v>✔ sesuai</v>
      </c>
      <c r="L142" s="103"/>
    </row>
    <row r="143" customFormat="false" ht="15" hidden="false" customHeight="false" outlineLevel="0" collapsed="false">
      <c r="A143" s="13" t="n">
        <v>137</v>
      </c>
      <c r="B143" s="13" t="s">
        <v>1930</v>
      </c>
      <c r="C143" s="13" t="s">
        <v>1943</v>
      </c>
      <c r="D143" s="13" t="n">
        <v>2022</v>
      </c>
      <c r="E143" s="50" t="n">
        <f aca="false">BS!E44</f>
        <v>486515696314</v>
      </c>
      <c r="F143" s="50" t="n">
        <f aca="false">BS!E64</f>
        <v>486515696314</v>
      </c>
      <c r="G143" s="101" t="n">
        <f aca="false">IF(COUNT(E143:F143)=2,E143-F143,"")</f>
        <v>0</v>
      </c>
      <c r="H143" s="102" t="n">
        <v>1</v>
      </c>
      <c r="I143" s="4" t="str">
        <f aca="false">IF(COUNT(E143:F143)&lt;2,"N/A",IF(ABS(G143)&lt;=H143,"OK","❌"))</f>
        <v>OK</v>
      </c>
      <c r="J143" s="102" t="s">
        <v>1932</v>
      </c>
      <c r="K143" s="4" t="str">
        <f aca="false">IF(I143=J143,"✔ sesuai","✖ TIDAK sesuai")</f>
        <v>✔ sesuai</v>
      </c>
      <c r="L143" s="103"/>
    </row>
    <row r="144" customFormat="false" ht="15" hidden="false" customHeight="false" outlineLevel="0" collapsed="false">
      <c r="A144" s="13" t="n">
        <v>138</v>
      </c>
      <c r="B144" s="13" t="s">
        <v>1930</v>
      </c>
      <c r="C144" s="13" t="s">
        <v>1944</v>
      </c>
      <c r="D144" s="13" t="n">
        <v>2022</v>
      </c>
      <c r="E144" s="50" t="n">
        <f aca="false">BS!E45</f>
        <v>1130377704585</v>
      </c>
      <c r="F144" s="50" t="n">
        <f aca="false">BS!E65</f>
        <v>1130377704585</v>
      </c>
      <c r="G144" s="101" t="n">
        <f aca="false">IF(COUNT(E144:F144)=2,E144-F144,"")</f>
        <v>0</v>
      </c>
      <c r="H144" s="102" t="n">
        <v>1</v>
      </c>
      <c r="I144" s="4" t="str">
        <f aca="false">IF(COUNT(E144:F144)&lt;2,"N/A",IF(ABS(G144)&lt;=H144,"OK","❌"))</f>
        <v>OK</v>
      </c>
      <c r="J144" s="102" t="s">
        <v>1932</v>
      </c>
      <c r="K144" s="4" t="str">
        <f aca="false">IF(I144=J144,"✔ sesuai","✖ TIDAK sesuai")</f>
        <v>✔ sesuai</v>
      </c>
      <c r="L144" s="103"/>
    </row>
    <row r="145" customFormat="false" ht="15" hidden="false" customHeight="false" outlineLevel="0" collapsed="false">
      <c r="A145" s="13" t="n">
        <v>139</v>
      </c>
      <c r="B145" s="13" t="s">
        <v>1930</v>
      </c>
      <c r="C145" s="13" t="s">
        <v>1945</v>
      </c>
      <c r="D145" s="13" t="n">
        <v>2022</v>
      </c>
      <c r="E145" s="50" t="n">
        <f aca="false">BS!E55</f>
        <v>1596150796616</v>
      </c>
      <c r="F145" s="50" t="n">
        <f aca="false">BS!E66</f>
        <v>1596150796616</v>
      </c>
      <c r="G145" s="101" t="n">
        <f aca="false">IF(COUNT(E145:F145)=2,E145-F145,"")</f>
        <v>0</v>
      </c>
      <c r="H145" s="102" t="n">
        <v>1</v>
      </c>
      <c r="I145" s="4" t="str">
        <f aca="false">IF(COUNT(E145:F145)&lt;2,"N/A",IF(ABS(G145)&lt;=H145,"OK","❌"))</f>
        <v>OK</v>
      </c>
      <c r="J145" s="102" t="s">
        <v>1932</v>
      </c>
      <c r="K145" s="4" t="str">
        <f aca="false">IF(I145=J145,"✔ sesuai","✖ TIDAK sesuai")</f>
        <v>✔ sesuai</v>
      </c>
      <c r="L145" s="103"/>
    </row>
    <row r="146" customFormat="false" ht="15" hidden="false" customHeight="false" outlineLevel="0" collapsed="false">
      <c r="A146" s="13" t="n">
        <v>140</v>
      </c>
      <c r="B146" s="13" t="s">
        <v>1930</v>
      </c>
      <c r="C146" s="13" t="s">
        <v>1946</v>
      </c>
      <c r="D146" s="13" t="n">
        <v>2022</v>
      </c>
      <c r="E146" s="50" t="n">
        <f aca="false">BS!E57</f>
        <v>1808232444405</v>
      </c>
      <c r="F146" s="50" t="n">
        <f aca="false">BS!E67</f>
        <v>1808232444405</v>
      </c>
      <c r="G146" s="101" t="n">
        <f aca="false">IF(COUNT(E146:F146)=2,E146-F146,"")</f>
        <v>0</v>
      </c>
      <c r="H146" s="102" t="n">
        <v>1</v>
      </c>
      <c r="I146" s="4" t="str">
        <f aca="false">IF(COUNT(E146:F146)&lt;2,"N/A",IF(ABS(G146)&lt;=H146,"OK","❌"))</f>
        <v>OK</v>
      </c>
      <c r="J146" s="102" t="s">
        <v>1932</v>
      </c>
      <c r="K146" s="4" t="str">
        <f aca="false">IF(I146=J146,"✔ sesuai","✖ TIDAK sesuai")</f>
        <v>✔ sesuai</v>
      </c>
      <c r="L146" s="103"/>
    </row>
    <row r="147" customFormat="false" ht="15" hidden="false" customHeight="false" outlineLevel="0" collapsed="false">
      <c r="A147" s="13" t="n">
        <v>141</v>
      </c>
      <c r="B147" s="13" t="s">
        <v>1930</v>
      </c>
      <c r="C147" s="13" t="s">
        <v>1947</v>
      </c>
      <c r="D147" s="13" t="n">
        <v>2022</v>
      </c>
      <c r="E147" s="50" t="n">
        <f aca="false">BS!E58</f>
        <v>2938610148990</v>
      </c>
      <c r="F147" s="50" t="n">
        <f aca="false">BS!E68</f>
        <v>2938610148990</v>
      </c>
      <c r="G147" s="101" t="n">
        <f aca="false">IF(COUNT(E147:F147)=2,E147-F147,"")</f>
        <v>0</v>
      </c>
      <c r="H147" s="102" t="n">
        <v>1</v>
      </c>
      <c r="I147" s="4" t="str">
        <f aca="false">IF(COUNT(E147:F147)&lt;2,"N/A",IF(ABS(G147)&lt;=H147,"OK","❌"))</f>
        <v>OK</v>
      </c>
      <c r="J147" s="102" t="s">
        <v>1932</v>
      </c>
      <c r="K147" s="4" t="str">
        <f aca="false">IF(I147=J147,"✔ sesuai","✖ TIDAK sesuai")</f>
        <v>✔ sesuai</v>
      </c>
      <c r="L147" s="103"/>
    </row>
    <row r="148" customFormat="false" ht="15" hidden="false" customHeight="false" outlineLevel="0" collapsed="false">
      <c r="A148" s="13" t="n">
        <v>142</v>
      </c>
      <c r="B148" s="13" t="s">
        <v>1930</v>
      </c>
      <c r="C148" s="13" t="s">
        <v>1948</v>
      </c>
      <c r="D148" s="13" t="n">
        <v>2022</v>
      </c>
      <c r="E148" s="50" t="n">
        <f aca="false">CF!E13</f>
        <v>131084359442</v>
      </c>
      <c r="F148" s="50" t="n">
        <f aca="false">CF!E42</f>
        <v>131084359442</v>
      </c>
      <c r="G148" s="101" t="n">
        <f aca="false">IF(COUNT(E148:F148)=2,E148-F148,"")</f>
        <v>0</v>
      </c>
      <c r="H148" s="102" t="n">
        <v>1</v>
      </c>
      <c r="I148" s="4" t="str">
        <f aca="false">IF(COUNT(E148:F148)&lt;2,"N/A",IF(ABS(G148)&lt;=H148,"OK","❌"))</f>
        <v>OK</v>
      </c>
      <c r="J148" s="102" t="s">
        <v>1932</v>
      </c>
      <c r="K148" s="4" t="str">
        <f aca="false">IF(I148=J148,"✔ sesuai","✖ TIDAK sesuai")</f>
        <v>✔ sesuai</v>
      </c>
      <c r="L148" s="103"/>
    </row>
    <row r="149" customFormat="false" ht="15" hidden="false" customHeight="false" outlineLevel="0" collapsed="false">
      <c r="A149" s="13" t="n">
        <v>143</v>
      </c>
      <c r="B149" s="13" t="s">
        <v>1930</v>
      </c>
      <c r="C149" s="13" t="s">
        <v>1949</v>
      </c>
      <c r="D149" s="13" t="n">
        <v>2022</v>
      </c>
      <c r="E149" s="50" t="n">
        <f aca="false">CF!E21</f>
        <v>-438033856431</v>
      </c>
      <c r="F149" s="50" t="n">
        <f aca="false">CF!E43</f>
        <v>-438033856431</v>
      </c>
      <c r="G149" s="101" t="n">
        <f aca="false">IF(COUNT(E149:F149)=2,E149-F149,"")</f>
        <v>0</v>
      </c>
      <c r="H149" s="102" t="n">
        <v>1</v>
      </c>
      <c r="I149" s="4" t="str">
        <f aca="false">IF(COUNT(E149:F149)&lt;2,"N/A",IF(ABS(G149)&lt;=H149,"OK","❌"))</f>
        <v>OK</v>
      </c>
      <c r="J149" s="102" t="s">
        <v>1932</v>
      </c>
      <c r="K149" s="4" t="str">
        <f aca="false">IF(I149=J149,"✔ sesuai","✖ TIDAK sesuai")</f>
        <v>✔ sesuai</v>
      </c>
      <c r="L149" s="103"/>
    </row>
    <row r="150" customFormat="false" ht="15" hidden="false" customHeight="false" outlineLevel="0" collapsed="false">
      <c r="A150" s="13" t="n">
        <v>144</v>
      </c>
      <c r="B150" s="13" t="s">
        <v>1930</v>
      </c>
      <c r="C150" s="13" t="s">
        <v>1950</v>
      </c>
      <c r="D150" s="13" t="n">
        <v>2022</v>
      </c>
      <c r="E150" s="50" t="n">
        <f aca="false">CF!E31</f>
        <v>106466159406</v>
      </c>
      <c r="F150" s="50" t="n">
        <f aca="false">CF!E44</f>
        <v>106466159406</v>
      </c>
      <c r="G150" s="101" t="n">
        <f aca="false">IF(COUNT(E150:F150)=2,E150-F150,"")</f>
        <v>0</v>
      </c>
      <c r="H150" s="102" t="n">
        <v>1</v>
      </c>
      <c r="I150" s="4" t="str">
        <f aca="false">IF(COUNT(E150:F150)&lt;2,"N/A",IF(ABS(G150)&lt;=H150,"OK","❌"))</f>
        <v>OK</v>
      </c>
      <c r="J150" s="102" t="s">
        <v>1932</v>
      </c>
      <c r="K150" s="4" t="str">
        <f aca="false">IF(I150=J150,"✔ sesuai","✖ TIDAK sesuai")</f>
        <v>✔ sesuai</v>
      </c>
      <c r="L150" s="103"/>
    </row>
    <row r="151" customFormat="false" ht="15" hidden="false" customHeight="false" outlineLevel="0" collapsed="false">
      <c r="A151" s="13" t="n">
        <v>145</v>
      </c>
      <c r="B151" s="13" t="s">
        <v>1930</v>
      </c>
      <c r="C151" s="13" t="s">
        <v>1951</v>
      </c>
      <c r="D151" s="13" t="n">
        <v>2022</v>
      </c>
      <c r="E151" s="50" t="n">
        <f aca="false">CF!E32</f>
        <v>-200483337583</v>
      </c>
      <c r="F151" s="50" t="n">
        <f aca="false">CF!E45</f>
        <v>-200483337583</v>
      </c>
      <c r="G151" s="101" t="n">
        <f aca="false">IF(COUNT(E151:F151)=2,E151-F151,"")</f>
        <v>0</v>
      </c>
      <c r="H151" s="102" t="n">
        <v>1</v>
      </c>
      <c r="I151" s="4" t="str">
        <f aca="false">IF(COUNT(E151:F151)&lt;2,"N/A",IF(ABS(G151)&lt;=H151,"OK","❌"))</f>
        <v>OK</v>
      </c>
      <c r="J151" s="102" t="s">
        <v>1932</v>
      </c>
      <c r="K151" s="4" t="str">
        <f aca="false">IF(I151=J151,"✔ sesuai","✖ TIDAK sesuai")</f>
        <v>✔ sesuai</v>
      </c>
      <c r="L151" s="103"/>
    </row>
    <row r="152" customFormat="false" ht="15" hidden="false" customHeight="false" outlineLevel="0" collapsed="false">
      <c r="A152" s="13" t="n">
        <v>146</v>
      </c>
      <c r="B152" s="13" t="s">
        <v>1930</v>
      </c>
      <c r="C152" s="13" t="s">
        <v>1952</v>
      </c>
      <c r="D152" s="13" t="n">
        <v>2022</v>
      </c>
      <c r="E152" s="50" t="n">
        <f aca="false">CF!E35</f>
        <v>629277670892</v>
      </c>
      <c r="F152" s="50" t="n">
        <f aca="false">CF!E46</f>
        <v>629277670892</v>
      </c>
      <c r="G152" s="101" t="n">
        <f aca="false">IF(COUNT(E152:F152)=2,E152-F152,"")</f>
        <v>0</v>
      </c>
      <c r="H152" s="102" t="n">
        <v>1</v>
      </c>
      <c r="I152" s="4" t="str">
        <f aca="false">IF(COUNT(E152:F152)&lt;2,"N/A",IF(ABS(G152)&lt;=H152,"OK","❌"))</f>
        <v>OK</v>
      </c>
      <c r="J152" s="102" t="s">
        <v>1932</v>
      </c>
      <c r="K152" s="4" t="str">
        <f aca="false">IF(I152=J152,"✔ sesuai","✖ TIDAK sesuai")</f>
        <v>✔ sesuai</v>
      </c>
      <c r="L152" s="103"/>
    </row>
    <row r="153" customFormat="false" ht="15" hidden="false" customHeight="false" outlineLevel="0" collapsed="false">
      <c r="A153" s="13" t="n">
        <v>147</v>
      </c>
      <c r="B153" s="13" t="s">
        <v>1953</v>
      </c>
      <c r="C153" s="13" t="s">
        <v>1954</v>
      </c>
      <c r="D153" s="13" t="n">
        <v>2022</v>
      </c>
      <c r="E153" s="50" t="n">
        <f aca="false">BS!E26</f>
        <v>2938610148990</v>
      </c>
      <c r="F153" s="50" t="n">
        <f aca="false">BS!E58</f>
        <v>2938610148990</v>
      </c>
      <c r="G153" s="101" t="n">
        <f aca="false">IF(COUNT(E153:F153)=2,E153-F153,"")</f>
        <v>0</v>
      </c>
      <c r="H153" s="102" t="n">
        <v>1</v>
      </c>
      <c r="I153" s="4" t="str">
        <f aca="false">IF(COUNT(E153:F153)&lt;2,"N/A",IF(ABS(G153)&lt;=H153,"OK","❌"))</f>
        <v>OK</v>
      </c>
      <c r="J153" s="102" t="s">
        <v>1932</v>
      </c>
      <c r="K153" s="4" t="str">
        <f aca="false">IF(I153=J153,"✔ sesuai","✖ TIDAK sesuai")</f>
        <v>✔ sesuai</v>
      </c>
      <c r="L153" s="103"/>
    </row>
    <row r="154" customFormat="false" ht="15" hidden="false" customHeight="false" outlineLevel="0" collapsed="false">
      <c r="A154" s="13" t="n">
        <v>148</v>
      </c>
      <c r="B154" s="13" t="s">
        <v>1953</v>
      </c>
      <c r="C154" s="13" t="s">
        <v>1955</v>
      </c>
      <c r="D154" s="13" t="n">
        <v>2022</v>
      </c>
      <c r="E154" s="50" t="n">
        <f aca="false">IS!E22</f>
        <v>128931855662</v>
      </c>
      <c r="F154" s="50" t="n">
        <f aca="false">IS!E33+IS!E34</f>
        <v>128931855662</v>
      </c>
      <c r="G154" s="101" t="n">
        <f aca="false">IF(COUNT(E154:F154)=2,E154-F154,"")</f>
        <v>0</v>
      </c>
      <c r="H154" s="102" t="n">
        <v>1</v>
      </c>
      <c r="I154" s="4" t="str">
        <f aca="false">IF(COUNT(E154:F154)&lt;2,"N/A",IF(ABS(G154)&lt;=H154,"OK","❌"))</f>
        <v>OK</v>
      </c>
      <c r="J154" s="102" t="s">
        <v>1932</v>
      </c>
      <c r="K154" s="4" t="str">
        <f aca="false">IF(I154=J154,"✔ sesuai","✖ TIDAK sesuai")</f>
        <v>✔ sesuai</v>
      </c>
      <c r="L154" s="103"/>
    </row>
    <row r="155" customFormat="false" ht="15" hidden="false" customHeight="false" outlineLevel="0" collapsed="false">
      <c r="A155" s="13" t="n">
        <v>149</v>
      </c>
      <c r="B155" s="13" t="s">
        <v>1953</v>
      </c>
      <c r="C155" s="13" t="s">
        <v>1956</v>
      </c>
      <c r="D155" s="13" t="n">
        <v>2022</v>
      </c>
      <c r="E155" s="50" t="n">
        <f aca="false">IS!E31</f>
        <v>123123516052</v>
      </c>
      <c r="F155" s="50" t="n">
        <f aca="false">IS!E35+IS!E36</f>
        <v>123123516052</v>
      </c>
      <c r="G155" s="101" t="n">
        <f aca="false">IF(COUNT(E155:F155)=2,E155-F155,"")</f>
        <v>0</v>
      </c>
      <c r="H155" s="102" t="n">
        <v>1</v>
      </c>
      <c r="I155" s="4" t="str">
        <f aca="false">IF(COUNT(E155:F155)&lt;2,"N/A",IF(ABS(G155)&lt;=H155,"OK","❌"))</f>
        <v>OK</v>
      </c>
      <c r="J155" s="102" t="s">
        <v>1932</v>
      </c>
      <c r="K155" s="4" t="str">
        <f aca="false">IF(I155=J155,"✔ sesuai","✖ TIDAK sesuai")</f>
        <v>✔ sesuai</v>
      </c>
      <c r="L155" s="103"/>
    </row>
    <row r="156" customFormat="false" ht="15" hidden="false" customHeight="false" outlineLevel="0" collapsed="false">
      <c r="A156" s="13" t="n">
        <v>150</v>
      </c>
      <c r="B156" s="13" t="s">
        <v>1953</v>
      </c>
      <c r="C156" s="13" t="s">
        <v>1957</v>
      </c>
      <c r="D156" s="13" t="n">
        <v>2022</v>
      </c>
      <c r="E156" s="50" t="n">
        <f aca="false">CF!E35</f>
        <v>629277670892</v>
      </c>
      <c r="F156" s="50" t="n">
        <f aca="false">BS!E6</f>
        <v>629277670892</v>
      </c>
      <c r="G156" s="101" t="n">
        <f aca="false">IF(COUNT(E156:F156)=2,E156-F156,"")</f>
        <v>0</v>
      </c>
      <c r="H156" s="102" t="n">
        <v>1</v>
      </c>
      <c r="I156" s="4" t="str">
        <f aca="false">IF(COUNT(E156:F156)&lt;2,"N/A",IF(ABS(G156)&lt;=H156,"OK","❌"))</f>
        <v>OK</v>
      </c>
      <c r="J156" s="102" t="s">
        <v>1932</v>
      </c>
      <c r="K156" s="4" t="str">
        <f aca="false">IF(I156=J156,"✔ sesuai","✖ TIDAK sesuai")</f>
        <v>✔ sesuai</v>
      </c>
      <c r="L156" s="103"/>
    </row>
    <row r="157" customFormat="false" ht="15" hidden="false" customHeight="false" outlineLevel="0" collapsed="false">
      <c r="A157" s="13" t="n">
        <v>151</v>
      </c>
      <c r="B157" s="13" t="s">
        <v>1996</v>
      </c>
      <c r="C157" s="13" t="s">
        <v>1997</v>
      </c>
      <c r="D157" s="13" t="n">
        <v>2022</v>
      </c>
      <c r="E157" s="50" t="n">
        <f aca="false">CF!E34</f>
        <v>829761008475</v>
      </c>
      <c r="F157" s="50" t="n">
        <f aca="false">BS!D6</f>
        <v>829761008475</v>
      </c>
      <c r="G157" s="101" t="n">
        <f aca="false">IF(COUNT(E157:F157)=2,E157-F157,"")</f>
        <v>0</v>
      </c>
      <c r="H157" s="102" t="n">
        <v>1</v>
      </c>
      <c r="I157" s="4" t="str">
        <f aca="false">IF(COUNT(E157:F157)&lt;2,"N/A",IF(ABS(G157)&lt;=H157,"OK","❌"))</f>
        <v>OK</v>
      </c>
      <c r="J157" s="102" t="s">
        <v>1932</v>
      </c>
      <c r="K157" s="4" t="str">
        <f aca="false">IF(I157=J157,"✔ sesuai","✖ TIDAK sesuai")</f>
        <v>✔ sesuai</v>
      </c>
      <c r="L157" s="103"/>
    </row>
    <row r="158" customFormat="false" ht="15" hidden="false" customHeight="false" outlineLevel="0" collapsed="false">
      <c r="A158" s="13" t="n">
        <v>152</v>
      </c>
      <c r="B158" s="13" t="s">
        <v>1958</v>
      </c>
      <c r="C158" s="13" t="s">
        <v>1959</v>
      </c>
      <c r="D158" s="13" t="n">
        <v>2022</v>
      </c>
      <c r="E158" s="50" t="n">
        <f aca="false">Schedules!E12</f>
        <v>1658687911222</v>
      </c>
      <c r="F158" s="50" t="n">
        <f aca="false">IS!E6</f>
        <v>1658687911222</v>
      </c>
      <c r="G158" s="101" t="n">
        <f aca="false">IF(COUNT(E158:F158)=2,E158-F158,"")</f>
        <v>0</v>
      </c>
      <c r="H158" s="102" t="n">
        <v>1</v>
      </c>
      <c r="I158" s="4" t="str">
        <f aca="false">IF(COUNT(E158:F158)&lt;2,"N/A",IF(ABS(G158)&lt;=H158,"OK","❌"))</f>
        <v>OK</v>
      </c>
      <c r="J158" s="102" t="s">
        <v>1932</v>
      </c>
      <c r="K158" s="4" t="str">
        <f aca="false">IF(I158=J158,"✔ sesuai","✖ TIDAK sesuai")</f>
        <v>✔ sesuai</v>
      </c>
      <c r="L158" s="103"/>
    </row>
    <row r="159" customFormat="false" ht="15" hidden="false" customHeight="false" outlineLevel="0" collapsed="false">
      <c r="A159" s="13" t="n">
        <v>153</v>
      </c>
      <c r="B159" s="13" t="s">
        <v>1958</v>
      </c>
      <c r="C159" s="13" t="s">
        <v>1960</v>
      </c>
      <c r="D159" s="13" t="n">
        <v>2022</v>
      </c>
      <c r="E159" s="50" t="n">
        <f aca="false">Schedules!E309</f>
        <v>894135274139</v>
      </c>
      <c r="F159" s="50" t="n">
        <f aca="false">-IS!E7</f>
        <v>894135274139</v>
      </c>
      <c r="G159" s="101" t="n">
        <f aca="false">IF(COUNT(E159:F159)=2,E159-F159,"")</f>
        <v>0</v>
      </c>
      <c r="H159" s="102" t="n">
        <v>1</v>
      </c>
      <c r="I159" s="4" t="str">
        <f aca="false">IF(COUNT(E159:F159)&lt;2,"N/A",IF(ABS(G159)&lt;=H159,"OK","❌"))</f>
        <v>OK</v>
      </c>
      <c r="J159" s="102" t="s">
        <v>1932</v>
      </c>
      <c r="K159" s="4" t="str">
        <f aca="false">IF(I159=J159,"✔ sesuai","✖ TIDAK sesuai")</f>
        <v>✔ sesuai</v>
      </c>
      <c r="L159" s="103"/>
    </row>
    <row r="160" customFormat="false" ht="15" hidden="false" customHeight="false" outlineLevel="0" collapsed="false">
      <c r="A160" s="13" t="n">
        <v>154</v>
      </c>
      <c r="B160" s="13" t="s">
        <v>1958</v>
      </c>
      <c r="C160" s="13" t="s">
        <v>1961</v>
      </c>
      <c r="D160" s="13" t="n">
        <v>2022</v>
      </c>
      <c r="E160" s="50" t="n">
        <f aca="false">Schedules!E315</f>
        <v>39106497692</v>
      </c>
      <c r="F160" s="50" t="n">
        <f aca="false">-IS!E9</f>
        <v>39106497692</v>
      </c>
      <c r="G160" s="101" t="n">
        <f aca="false">IF(COUNT(E160:F160)=2,E160-F160,"")</f>
        <v>0</v>
      </c>
      <c r="H160" s="102" t="n">
        <v>1</v>
      </c>
      <c r="I160" s="4" t="str">
        <f aca="false">IF(COUNT(E160:F160)&lt;2,"N/A",IF(ABS(G160)&lt;=H160,"OK","❌"))</f>
        <v>OK</v>
      </c>
      <c r="J160" s="102" t="s">
        <v>1932</v>
      </c>
      <c r="K160" s="4" t="str">
        <f aca="false">IF(I160=J160,"✔ sesuai","✖ TIDAK sesuai")</f>
        <v>✔ sesuai</v>
      </c>
      <c r="L160" s="103"/>
    </row>
    <row r="161" customFormat="false" ht="15" hidden="false" customHeight="false" outlineLevel="0" collapsed="false">
      <c r="A161" s="13" t="n">
        <v>155</v>
      </c>
      <c r="B161" s="13" t="s">
        <v>1958</v>
      </c>
      <c r="C161" s="13" t="s">
        <v>1962</v>
      </c>
      <c r="D161" s="13" t="n">
        <v>2022</v>
      </c>
      <c r="E161" s="50" t="n">
        <f aca="false">Schedules!E338</f>
        <v>510347314037</v>
      </c>
      <c r="F161" s="50" t="n">
        <f aca="false">-IS!E10</f>
        <v>510347314037</v>
      </c>
      <c r="G161" s="101" t="n">
        <f aca="false">IF(COUNT(E161:F161)=2,E161-F161,"")</f>
        <v>0</v>
      </c>
      <c r="H161" s="102" t="n">
        <v>1</v>
      </c>
      <c r="I161" s="4" t="str">
        <f aca="false">IF(COUNT(E161:F161)&lt;2,"N/A",IF(ABS(G161)&lt;=H161,"OK","❌"))</f>
        <v>OK</v>
      </c>
      <c r="J161" s="102" t="s">
        <v>1932</v>
      </c>
      <c r="K161" s="4" t="str">
        <f aca="false">IF(I161=J161,"✔ sesuai","✖ TIDAK sesuai")</f>
        <v>✔ sesuai</v>
      </c>
      <c r="L161" s="103"/>
    </row>
    <row r="162" customFormat="false" ht="15" hidden="false" customHeight="false" outlineLevel="0" collapsed="false">
      <c r="A162" s="13" t="n">
        <v>156</v>
      </c>
      <c r="B162" s="13" t="s">
        <v>1958</v>
      </c>
      <c r="C162" s="13" t="s">
        <v>1963</v>
      </c>
      <c r="D162" s="13" t="n">
        <v>2022</v>
      </c>
      <c r="E162" s="50" t="n">
        <f aca="false">Schedules!E115</f>
        <v>39449108364</v>
      </c>
      <c r="F162" s="50" t="n">
        <f aca="false">BS!E12</f>
        <v>39449108364</v>
      </c>
      <c r="G162" s="101" t="n">
        <f aca="false">IF(COUNT(E162:F162)=2,E162-F162,"")</f>
        <v>0</v>
      </c>
      <c r="H162" s="102" t="n">
        <v>1</v>
      </c>
      <c r="I162" s="4" t="str">
        <f aca="false">IF(COUNT(E162:F162)&lt;2,"N/A",IF(ABS(G162)&lt;=H162,"OK","❌"))</f>
        <v>OK</v>
      </c>
      <c r="J162" s="102" t="s">
        <v>1932</v>
      </c>
      <c r="K162" s="4" t="str">
        <f aca="false">IF(I162=J162,"✔ sesuai","✖ TIDAK sesuai")</f>
        <v>✔ sesuai</v>
      </c>
      <c r="L162" s="103"/>
    </row>
    <row r="163" customFormat="false" ht="15" hidden="false" customHeight="false" outlineLevel="0" collapsed="false">
      <c r="A163" s="13" t="n">
        <v>157</v>
      </c>
      <c r="B163" s="13" t="s">
        <v>1958</v>
      </c>
      <c r="C163" s="13" t="s">
        <v>1964</v>
      </c>
      <c r="D163" s="13" t="n">
        <v>2022</v>
      </c>
      <c r="E163" s="50" t="n">
        <f aca="false">Schedules!E98</f>
        <v>114643521666</v>
      </c>
      <c r="F163" s="50" t="n">
        <f aca="false">(BS!E9+BS!E8)</f>
        <v>114643521666</v>
      </c>
      <c r="G163" s="101" t="n">
        <f aca="false">IF(COUNT(E163:F163)=2,E163-F163,"")</f>
        <v>0</v>
      </c>
      <c r="H163" s="102" t="n">
        <v>1</v>
      </c>
      <c r="I163" s="4" t="str">
        <f aca="false">IF(COUNT(E163:F163)&lt;2,"N/A",IF(ABS(G163)&lt;=H163,"OK","❌"))</f>
        <v>OK</v>
      </c>
      <c r="J163" s="102" t="s">
        <v>1932</v>
      </c>
      <c r="K163" s="4" t="str">
        <f aca="false">IF(I163=J163,"✔ sesuai","✖ TIDAK sesuai")</f>
        <v>✔ sesuai</v>
      </c>
      <c r="L163" s="103"/>
    </row>
    <row r="164" customFormat="false" ht="15" hidden="false" customHeight="false" outlineLevel="0" collapsed="false">
      <c r="A164" s="13" t="n">
        <v>158</v>
      </c>
      <c r="B164" s="13" t="s">
        <v>1958</v>
      </c>
      <c r="C164" s="13" t="s">
        <v>1965</v>
      </c>
      <c r="D164" s="13" t="n">
        <v>2022</v>
      </c>
      <c r="E164" s="50" t="n">
        <f aca="false">Schedules!E155</f>
        <v>91788261047</v>
      </c>
      <c r="F164" s="50" t="n">
        <f aca="false">(BS!E30+BS!E29)</f>
        <v>91788261047</v>
      </c>
      <c r="G164" s="101" t="n">
        <f aca="false">IF(COUNT(E164:F164)=2,E164-F164,"")</f>
        <v>0</v>
      </c>
      <c r="H164" s="102" t="n">
        <v>1</v>
      </c>
      <c r="I164" s="4" t="str">
        <f aca="false">IF(COUNT(E164:F164)&lt;2,"N/A",IF(ABS(G164)&lt;=H164,"OK","❌"))</f>
        <v>OK</v>
      </c>
      <c r="J164" s="102" t="s">
        <v>1932</v>
      </c>
      <c r="K164" s="4" t="str">
        <f aca="false">IF(I164=J164,"✔ sesuai","✖ TIDAK sesuai")</f>
        <v>✔ sesuai</v>
      </c>
      <c r="L164" s="103"/>
    </row>
    <row r="165" customFormat="false" ht="15" hidden="false" customHeight="false" outlineLevel="0" collapsed="false">
      <c r="A165" s="13" t="n">
        <v>159</v>
      </c>
      <c r="B165" s="13" t="s">
        <v>1958</v>
      </c>
      <c r="C165" s="13" t="s">
        <v>1966</v>
      </c>
      <c r="D165" s="13" t="n">
        <v>2022</v>
      </c>
      <c r="E165" s="50" t="n">
        <f aca="false">Schedules!E141</f>
        <v>76264032884</v>
      </c>
      <c r="F165" s="50" t="n">
        <f aca="false">(BS!E37+BS!E43)</f>
        <v>76264032884</v>
      </c>
      <c r="G165" s="101" t="n">
        <f aca="false">IF(COUNT(E165:F165)=2,E165-F165,"")</f>
        <v>0</v>
      </c>
      <c r="H165" s="102" t="n">
        <v>1</v>
      </c>
      <c r="I165" s="4" t="str">
        <f aca="false">IF(COUNT(E165:F165)&lt;2,"N/A",IF(ABS(G165)&lt;=H165,"OK","❌"))</f>
        <v>OK</v>
      </c>
      <c r="J165" s="102" t="s">
        <v>1932</v>
      </c>
      <c r="K165" s="4" t="str">
        <f aca="false">IF(I165=J165,"✔ sesuai","✖ TIDAK sesuai")</f>
        <v>✔ sesuai</v>
      </c>
      <c r="L165" s="103"/>
    </row>
    <row r="166" customFormat="false" ht="15" hidden="false" customHeight="false" outlineLevel="0" collapsed="false">
      <c r="A166" s="13" t="n">
        <v>160</v>
      </c>
      <c r="B166" s="13" t="s">
        <v>1958</v>
      </c>
      <c r="C166" s="13" t="s">
        <v>1967</v>
      </c>
      <c r="D166" s="13" t="n">
        <v>2022</v>
      </c>
      <c r="E166" s="50" t="n">
        <f aca="false">Schedules!E242</f>
        <v>391717789095</v>
      </c>
      <c r="F166" s="50" t="n">
        <f aca="false">BS!E28</f>
        <v>391717789095</v>
      </c>
      <c r="G166" s="101" t="n">
        <f aca="false">IF(COUNT(E166:F166)=2,E166-F166,"")</f>
        <v>0</v>
      </c>
      <c r="H166" s="102" t="n">
        <v>1</v>
      </c>
      <c r="I166" s="4" t="str">
        <f aca="false">IF(COUNT(E166:F166)&lt;2,"N/A",IF(ABS(G166)&lt;=H166,"OK","❌"))</f>
        <v>OK</v>
      </c>
      <c r="J166" s="102" t="s">
        <v>1932</v>
      </c>
      <c r="K166" s="4" t="str">
        <f aca="false">IF(I166=J166,"✔ sesuai","✖ TIDAK sesuai")</f>
        <v>✔ sesuai</v>
      </c>
      <c r="L166" s="103"/>
    </row>
    <row r="167" customFormat="false" ht="15" hidden="false" customHeight="false" outlineLevel="0" collapsed="false">
      <c r="A167" s="13" t="n">
        <v>161</v>
      </c>
      <c r="B167" s="13" t="s">
        <v>1958</v>
      </c>
      <c r="C167" s="13" t="s">
        <v>1968</v>
      </c>
      <c r="D167" s="13" t="n">
        <v>2022</v>
      </c>
      <c r="E167" s="50" t="n">
        <f aca="false">Schedules!E253</f>
        <v>463437832670</v>
      </c>
      <c r="F167" s="50" t="n">
        <f aca="false">(BS!E36+BS!E42)</f>
        <v>463437832670</v>
      </c>
      <c r="G167" s="101" t="n">
        <f aca="false">IF(COUNT(E167:F167)=2,E167-F167,"")</f>
        <v>0</v>
      </c>
      <c r="H167" s="102" t="n">
        <v>1</v>
      </c>
      <c r="I167" s="4" t="str">
        <f aca="false">IF(COUNT(E167:F167)&lt;2,"N/A",IF(ABS(G167)&lt;=H167,"OK","❌"))</f>
        <v>OK</v>
      </c>
      <c r="J167" s="102" t="s">
        <v>1932</v>
      </c>
      <c r="K167" s="4" t="str">
        <f aca="false">IF(I167=J167,"✔ sesuai","✖ TIDAK sesuai")</f>
        <v>✔ sesuai</v>
      </c>
      <c r="L167" s="103"/>
    </row>
    <row r="168" customFormat="false" ht="15" hidden="false" customHeight="false" outlineLevel="0" collapsed="false">
      <c r="A168" s="13" t="n">
        <v>162</v>
      </c>
      <c r="B168" s="13" t="s">
        <v>1958</v>
      </c>
      <c r="C168" s="13" t="s">
        <v>1969</v>
      </c>
      <c r="D168" s="13" t="n">
        <v>2022</v>
      </c>
      <c r="E168" s="50" t="n">
        <f aca="false">Schedules!E175</f>
        <v>47858164349</v>
      </c>
      <c r="F168" s="50" t="n">
        <f aca="false">-IS!E21</f>
        <v>47858164349</v>
      </c>
      <c r="G168" s="101" t="n">
        <f aca="false">IF(COUNT(E168:F168)=2,E168-F168,"")</f>
        <v>0</v>
      </c>
      <c r="H168" s="102" t="n">
        <v>1</v>
      </c>
      <c r="I168" s="4" t="str">
        <f aca="false">IF(COUNT(E168:F168)&lt;2,"N/A",IF(ABS(G168)&lt;=H168,"OK","❌"))</f>
        <v>OK</v>
      </c>
      <c r="J168" s="102" t="s">
        <v>1932</v>
      </c>
      <c r="K168" s="4" t="str">
        <f aca="false">IF(I168=J168,"✔ sesuai","✖ TIDAK sesuai")</f>
        <v>✔ sesuai</v>
      </c>
      <c r="L168" s="103"/>
    </row>
    <row r="169" customFormat="false" ht="15" hidden="false" customHeight="false" outlineLevel="0" collapsed="false">
      <c r="A169" s="13" t="n">
        <v>163</v>
      </c>
      <c r="B169" s="13" t="s">
        <v>1958</v>
      </c>
      <c r="C169" s="13" t="s">
        <v>1970</v>
      </c>
      <c r="D169" s="13" t="n">
        <v>2022</v>
      </c>
      <c r="E169" s="50" t="n">
        <f aca="false">Schedules!E274</f>
        <v>28534604984</v>
      </c>
      <c r="F169" s="50" t="n">
        <f aca="false">BS!E41</f>
        <v>28534604984</v>
      </c>
      <c r="G169" s="101" t="n">
        <f aca="false">IF(COUNT(E169:F169)=2,E169-F169,"")</f>
        <v>0</v>
      </c>
      <c r="H169" s="102" t="n">
        <v>1</v>
      </c>
      <c r="I169" s="4" t="str">
        <f aca="false">IF(COUNT(E169:F169)&lt;2,"N/A",IF(ABS(G169)&lt;=H169,"OK","❌"))</f>
        <v>OK</v>
      </c>
      <c r="J169" s="102" t="s">
        <v>1932</v>
      </c>
      <c r="K169" s="4" t="str">
        <f aca="false">IF(I169=J169,"✔ sesuai","✖ TIDAK sesuai")</f>
        <v>✔ sesuai</v>
      </c>
      <c r="L169" s="103"/>
    </row>
    <row r="170" customFormat="false" ht="15" hidden="false" customHeight="false" outlineLevel="0" collapsed="false">
      <c r="A170" s="13" t="n">
        <v>164</v>
      </c>
      <c r="B170" s="13" t="s">
        <v>1958</v>
      </c>
      <c r="C170" s="13" t="s">
        <v>1971</v>
      </c>
      <c r="D170" s="13" t="n">
        <v>2022</v>
      </c>
      <c r="E170" s="50" t="n">
        <f aca="false">Schedules!E68</f>
        <v>1757540033465</v>
      </c>
      <c r="F170" s="50" t="n">
        <f aca="false">BS!E19</f>
        <v>1757540033465</v>
      </c>
      <c r="G170" s="101" t="n">
        <f aca="false">IF(COUNT(E170:F170)=2,E170-F170,"")</f>
        <v>0</v>
      </c>
      <c r="H170" s="102" t="n">
        <v>1</v>
      </c>
      <c r="I170" s="4" t="str">
        <f aca="false">IF(COUNT(E170:F170)&lt;2,"N/A",IF(ABS(G170)&lt;=H170,"OK","❌"))</f>
        <v>OK</v>
      </c>
      <c r="J170" s="102" t="s">
        <v>1932</v>
      </c>
      <c r="K170" s="4" t="str">
        <f aca="false">IF(I170=J170,"✔ sesuai","✖ TIDAK sesuai")</f>
        <v>✔ sesuai</v>
      </c>
      <c r="L170" s="103"/>
    </row>
    <row r="171" customFormat="false" ht="15" hidden="false" customHeight="false" outlineLevel="0" collapsed="false">
      <c r="A171" s="13" t="n">
        <v>165</v>
      </c>
      <c r="B171" s="13" t="s">
        <v>1958</v>
      </c>
      <c r="C171" s="13" t="s">
        <v>1972</v>
      </c>
      <c r="D171" s="13" t="n">
        <v>2022</v>
      </c>
      <c r="E171" s="50" t="n">
        <f aca="false">Schedules!E69</f>
        <v>86574078236</v>
      </c>
      <c r="F171" s="50" t="n">
        <f aca="false">BS!E20</f>
        <v>86574078236</v>
      </c>
      <c r="G171" s="101" t="n">
        <f aca="false">IF(COUNT(E171:F171)=2,E171-F171,"")</f>
        <v>0</v>
      </c>
      <c r="H171" s="102" t="n">
        <v>1</v>
      </c>
      <c r="I171" s="4" t="str">
        <f aca="false">IF(COUNT(E171:F171)&lt;2,"N/A",IF(ABS(G171)&lt;=H171,"OK","❌"))</f>
        <v>OK</v>
      </c>
      <c r="J171" s="102" t="s">
        <v>1932</v>
      </c>
      <c r="K171" s="4" t="str">
        <f aca="false">IF(I171=J171,"✔ sesuai","✖ TIDAK sesuai")</f>
        <v>✔ sesuai</v>
      </c>
      <c r="L171" s="103"/>
    </row>
    <row r="172" customFormat="false" ht="15" hidden="false" customHeight="false" outlineLevel="0" collapsed="false">
      <c r="A172" s="13" t="n">
        <v>166</v>
      </c>
      <c r="B172" s="13" t="s">
        <v>1973</v>
      </c>
      <c r="C172" s="13" t="s">
        <v>1974</v>
      </c>
      <c r="D172" s="13" t="n">
        <v>2022</v>
      </c>
      <c r="E172" s="50" t="n">
        <f aca="false">Schedules!E15+Schedules!E16</f>
        <v>89644390884</v>
      </c>
      <c r="F172" s="50" t="n">
        <f aca="false">Schedules!E14</f>
        <v>89644390884</v>
      </c>
      <c r="G172" s="101" t="n">
        <f aca="false">IF(COUNT(E172:F172)=2,E172-F172,"")</f>
        <v>0</v>
      </c>
      <c r="H172" s="102" t="n">
        <v>1</v>
      </c>
      <c r="I172" s="4" t="str">
        <f aca="false">IF(COUNT(E172:F172)&lt;2,"N/A",IF(ABS(G172)&lt;=H172,"OK","❌"))</f>
        <v>OK</v>
      </c>
      <c r="J172" s="102" t="s">
        <v>1932</v>
      </c>
      <c r="K172" s="4" t="str">
        <f aca="false">IF(I172=J172,"✔ sesuai","✖ TIDAK sesuai")</f>
        <v>✔ sesuai</v>
      </c>
      <c r="L172" s="103"/>
    </row>
    <row r="173" customFormat="false" ht="15" hidden="false" customHeight="false" outlineLevel="0" collapsed="false">
      <c r="A173" s="13" t="n">
        <v>167</v>
      </c>
      <c r="B173" s="13" t="s">
        <v>1973</v>
      </c>
      <c r="C173" s="13" t="s">
        <v>1975</v>
      </c>
      <c r="D173" s="13" t="n">
        <v>2022</v>
      </c>
      <c r="E173" s="50" t="n">
        <f aca="false">Schedules!E40</f>
        <v>2200928844858</v>
      </c>
      <c r="F173" s="50" t="n">
        <f aca="false">Schedules!E39</f>
        <v>2200928844858</v>
      </c>
      <c r="G173" s="101" t="n">
        <f aca="false">IF(COUNT(E173:F173)=2,E173-F173,"")</f>
        <v>0</v>
      </c>
      <c r="H173" s="102" t="n">
        <v>1</v>
      </c>
      <c r="I173" s="4" t="str">
        <f aca="false">IF(COUNT(E173:F173)&lt;2,"N/A",IF(ABS(G173)&lt;=H173,"OK","❌"))</f>
        <v>OK</v>
      </c>
      <c r="J173" s="102" t="s">
        <v>1932</v>
      </c>
      <c r="K173" s="4" t="str">
        <f aca="false">IF(I173=J173,"✔ sesuai","✖ TIDAK sesuai")</f>
        <v>✔ sesuai</v>
      </c>
      <c r="L173" s="103"/>
    </row>
    <row r="174" customFormat="false" ht="15" hidden="false" customHeight="false" outlineLevel="0" collapsed="false">
      <c r="A174" s="13" t="n">
        <v>168</v>
      </c>
      <c r="B174" s="13" t="s">
        <v>1973</v>
      </c>
      <c r="C174" s="13" t="s">
        <v>1976</v>
      </c>
      <c r="D174" s="13" t="n">
        <v>2022</v>
      </c>
      <c r="E174" s="50" t="n">
        <f aca="false">Schedules!E49</f>
        <v>443388811393</v>
      </c>
      <c r="F174" s="50" t="n">
        <f aca="false">Schedules!E48</f>
        <v>443388811393</v>
      </c>
      <c r="G174" s="101" t="n">
        <f aca="false">IF(COUNT(E174:F174)=2,E174-F174,"")</f>
        <v>0</v>
      </c>
      <c r="H174" s="102" t="n">
        <v>1</v>
      </c>
      <c r="I174" s="4" t="str">
        <f aca="false">IF(COUNT(E174:F174)&lt;2,"N/A",IF(ABS(G174)&lt;=H174,"OK","❌"))</f>
        <v>OK</v>
      </c>
      <c r="J174" s="102" t="s">
        <v>1932</v>
      </c>
      <c r="K174" s="4" t="str">
        <f aca="false">IF(I174=J174,"✔ sesuai","✖ TIDAK sesuai")</f>
        <v>✔ sesuai</v>
      </c>
      <c r="L174" s="103"/>
    </row>
    <row r="175" customFormat="false" ht="15" hidden="false" customHeight="false" outlineLevel="0" collapsed="false">
      <c r="A175" s="13" t="n">
        <v>169</v>
      </c>
      <c r="B175" s="13" t="s">
        <v>1973</v>
      </c>
      <c r="C175" s="13" t="s">
        <v>1977</v>
      </c>
      <c r="D175" s="13" t="n">
        <v>2022</v>
      </c>
      <c r="E175" s="50" t="n">
        <f aca="false">Schedules!E58</f>
        <v>134705604780</v>
      </c>
      <c r="F175" s="50" t="n">
        <f aca="false">Schedules!E57</f>
        <v>134705604780</v>
      </c>
      <c r="G175" s="101" t="n">
        <f aca="false">IF(COUNT(E175:F175)=2,E175-F175,"")</f>
        <v>0</v>
      </c>
      <c r="H175" s="102" t="n">
        <v>1</v>
      </c>
      <c r="I175" s="4" t="str">
        <f aca="false">IF(COUNT(E175:F175)&lt;2,"N/A",IF(ABS(G175)&lt;=H175,"OK","❌"))</f>
        <v>OK</v>
      </c>
      <c r="J175" s="102" t="s">
        <v>1932</v>
      </c>
      <c r="K175" s="4" t="str">
        <f aca="false">IF(I175=J175,"✔ sesuai","✖ TIDAK sesuai")</f>
        <v>✔ sesuai</v>
      </c>
      <c r="L175" s="103"/>
    </row>
    <row r="176" customFormat="false" ht="15" hidden="false" customHeight="false" outlineLevel="0" collapsed="false">
      <c r="A176" s="13" t="n">
        <v>170</v>
      </c>
      <c r="B176" s="13" t="s">
        <v>1973</v>
      </c>
      <c r="C176" s="13" t="s">
        <v>1978</v>
      </c>
      <c r="D176" s="13" t="n">
        <v>2022</v>
      </c>
      <c r="E176" s="50" t="n">
        <f aca="false">Schedules!E67</f>
        <v>48131526544</v>
      </c>
      <c r="F176" s="50" t="n">
        <f aca="false">Schedules!E66</f>
        <v>48131526544</v>
      </c>
      <c r="G176" s="101" t="n">
        <f aca="false">IF(COUNT(E176:F176)=2,E176-F176,"")</f>
        <v>0</v>
      </c>
      <c r="H176" s="102" t="n">
        <v>1</v>
      </c>
      <c r="I176" s="4" t="str">
        <f aca="false">IF(COUNT(E176:F176)&lt;2,"N/A",IF(ABS(G176)&lt;=H176,"OK","❌"))</f>
        <v>OK</v>
      </c>
      <c r="J176" s="102" t="s">
        <v>1932</v>
      </c>
      <c r="K176" s="4" t="str">
        <f aca="false">IF(I176=J176,"✔ sesuai","✖ TIDAK sesuai")</f>
        <v>✔ sesuai</v>
      </c>
      <c r="L176" s="103"/>
    </row>
    <row r="177" customFormat="false" ht="15" hidden="false" customHeight="false" outlineLevel="0" collapsed="false">
      <c r="A177" s="13" t="n">
        <v>171</v>
      </c>
      <c r="B177" s="13" t="s">
        <v>1958</v>
      </c>
      <c r="C177" s="13" t="s">
        <v>1979</v>
      </c>
      <c r="D177" s="13" t="n">
        <v>2022</v>
      </c>
      <c r="E177" s="50" t="n">
        <f aca="false">Schedules!E78</f>
        <v>212081647789</v>
      </c>
      <c r="F177" s="50" t="n">
        <f aca="false">BS!E56</f>
        <v>212081647789</v>
      </c>
      <c r="G177" s="101" t="n">
        <f aca="false">IF(COUNT(E177:F177)=2,E177-F177,"")</f>
        <v>0</v>
      </c>
      <c r="H177" s="102" t="n">
        <v>10</v>
      </c>
      <c r="I177" s="4" t="str">
        <f aca="false">IF(COUNT(E177:F177)&lt;2,"N/A",IF(ABS(G177)&lt;=H177,"OK","❌"))</f>
        <v>OK</v>
      </c>
      <c r="J177" s="102" t="s">
        <v>1932</v>
      </c>
      <c r="K177" s="4" t="str">
        <f aca="false">IF(I177=J177,"✔ sesuai","✖ TIDAK sesuai")</f>
        <v>✔ sesuai</v>
      </c>
      <c r="L177" s="103"/>
    </row>
    <row r="178" customFormat="false" ht="15" hidden="false" customHeight="false" outlineLevel="0" collapsed="false">
      <c r="A178" s="13" t="n">
        <v>172</v>
      </c>
      <c r="B178" s="13" t="s">
        <v>1958</v>
      </c>
      <c r="C178" s="13" t="s">
        <v>1980</v>
      </c>
      <c r="D178" s="13" t="n">
        <v>2022</v>
      </c>
      <c r="E178" s="50" t="n">
        <f aca="false">Schedules!E75</f>
        <v>45704128489</v>
      </c>
      <c r="F178" s="50" t="n">
        <f aca="false">IS!E34</f>
        <v>45704128489</v>
      </c>
      <c r="G178" s="101" t="n">
        <f aca="false">IF(COUNT(E178:F178)=2,E178-F178,"")</f>
        <v>0</v>
      </c>
      <c r="H178" s="102" t="n">
        <v>10</v>
      </c>
      <c r="I178" s="4" t="str">
        <f aca="false">IF(COUNT(E178:F178)&lt;2,"N/A",IF(ABS(G178)&lt;=H178,"OK","❌"))</f>
        <v>OK</v>
      </c>
      <c r="J178" s="102" t="s">
        <v>1932</v>
      </c>
      <c r="K178" s="4" t="str">
        <f aca="false">IF(I178=J178,"✔ sesuai","✖ TIDAK sesuai")</f>
        <v>✔ sesuai</v>
      </c>
      <c r="L178" s="103" t="s">
        <v>1981</v>
      </c>
    </row>
    <row r="179" customFormat="false" ht="15" hidden="false" customHeight="false" outlineLevel="0" collapsed="false">
      <c r="A179" s="13" t="n">
        <v>173</v>
      </c>
      <c r="B179" s="13" t="s">
        <v>1973</v>
      </c>
      <c r="C179" s="13" t="s">
        <v>1982</v>
      </c>
      <c r="D179" s="13" t="n">
        <v>2022</v>
      </c>
      <c r="E179" s="50" t="n">
        <f aca="false">Schedules!E79</f>
        <v>212081647789</v>
      </c>
      <c r="F179" s="50" t="n">
        <f aca="false">Schedules!E78</f>
        <v>212081647789</v>
      </c>
      <c r="G179" s="101" t="n">
        <f aca="false">IF(COUNT(E179:F179)=2,E179-F179,"")</f>
        <v>0</v>
      </c>
      <c r="H179" s="102" t="n">
        <v>10</v>
      </c>
      <c r="I179" s="4" t="str">
        <f aca="false">IF(COUNT(E179:F179)&lt;2,"N/A",IF(ABS(G179)&lt;=H179,"OK","❌"))</f>
        <v>OK</v>
      </c>
      <c r="J179" s="102" t="s">
        <v>1932</v>
      </c>
      <c r="K179" s="4" t="str">
        <f aca="false">IF(I179=J179,"✔ sesuai","✖ TIDAK sesuai")</f>
        <v>✔ sesuai</v>
      </c>
      <c r="L179" s="103"/>
    </row>
    <row r="180" customFormat="false" ht="15" hidden="false" customHeight="false" outlineLevel="0" collapsed="false">
      <c r="A180" s="13" t="n">
        <v>174</v>
      </c>
      <c r="B180" s="13" t="s">
        <v>1973</v>
      </c>
      <c r="C180" s="13" t="s">
        <v>1983</v>
      </c>
      <c r="D180" s="13" t="n">
        <v>2022</v>
      </c>
      <c r="E180" s="50" t="n">
        <f aca="false">Schedules!E80</f>
        <v>45704128489</v>
      </c>
      <c r="F180" s="50" t="n">
        <f aca="false">Schedules!E75</f>
        <v>45704128489</v>
      </c>
      <c r="G180" s="101" t="n">
        <f aca="false">IF(COUNT(E180:F180)=2,E180-F180,"")</f>
        <v>0</v>
      </c>
      <c r="H180" s="102" t="n">
        <v>10</v>
      </c>
      <c r="I180" s="4" t="str">
        <f aca="false">IF(COUNT(E180:F180)&lt;2,"N/A",IF(ABS(G180)&lt;=H180,"OK","❌"))</f>
        <v>OK</v>
      </c>
      <c r="J180" s="102" t="s">
        <v>1932</v>
      </c>
      <c r="K180" s="4" t="str">
        <f aca="false">IF(I180=J180,"✔ sesuai","✖ TIDAK sesuai")</f>
        <v>✔ sesuai</v>
      </c>
      <c r="L180" s="103"/>
    </row>
    <row r="181" customFormat="false" ht="15" hidden="false" customHeight="false" outlineLevel="0" collapsed="false">
      <c r="A181" s="13" t="n">
        <v>175</v>
      </c>
      <c r="B181" s="13" t="s">
        <v>1973</v>
      </c>
      <c r="C181" s="13" t="s">
        <v>1984</v>
      </c>
      <c r="D181" s="13" t="n">
        <v>2022</v>
      </c>
      <c r="E181" s="50" t="n">
        <f aca="false">Schedules!E116</f>
        <v>39449108364</v>
      </c>
      <c r="F181" s="50" t="n">
        <f aca="false">Schedules!E115</f>
        <v>39449108364</v>
      </c>
      <c r="G181" s="101" t="n">
        <f aca="false">IF(COUNT(E181:F181)=2,E181-F181,"")</f>
        <v>0</v>
      </c>
      <c r="H181" s="102" t="n">
        <v>1</v>
      </c>
      <c r="I181" s="4" t="str">
        <f aca="false">IF(COUNT(E181:F181)&lt;2,"N/A",IF(ABS(G181)&lt;=H181,"OK","❌"))</f>
        <v>OK</v>
      </c>
      <c r="J181" s="102" t="s">
        <v>1932</v>
      </c>
      <c r="K181" s="4" t="str">
        <f aca="false">IF(I181=J181,"✔ sesuai","✖ TIDAK sesuai")</f>
        <v>✔ sesuai</v>
      </c>
      <c r="L181" s="103"/>
    </row>
    <row r="182" customFormat="false" ht="15" hidden="false" customHeight="false" outlineLevel="0" collapsed="false">
      <c r="A182" s="13" t="n">
        <v>176</v>
      </c>
      <c r="B182" s="13" t="s">
        <v>1973</v>
      </c>
      <c r="C182" s="13" t="s">
        <v>1985</v>
      </c>
      <c r="D182" s="13" t="n">
        <v>2022</v>
      </c>
      <c r="E182" s="50" t="n">
        <f aca="false">Schedules!E142</f>
        <v>76264032884</v>
      </c>
      <c r="F182" s="50" t="n">
        <f aca="false">Schedules!E141</f>
        <v>76264032884</v>
      </c>
      <c r="G182" s="101" t="n">
        <f aca="false">IF(COUNT(E182:F182)=2,E182-F182,"")</f>
        <v>0</v>
      </c>
      <c r="H182" s="102" t="n">
        <v>1</v>
      </c>
      <c r="I182" s="4" t="str">
        <f aca="false">IF(COUNT(E182:F182)&lt;2,"N/A",IF(ABS(G182)&lt;=H182,"OK","❌"))</f>
        <v>OK</v>
      </c>
      <c r="J182" s="102" t="s">
        <v>1932</v>
      </c>
      <c r="K182" s="4" t="str">
        <f aca="false">IF(I182=J182,"✔ sesuai","✖ TIDAK sesuai")</f>
        <v>✔ sesuai</v>
      </c>
      <c r="L182" s="103"/>
    </row>
    <row r="183" customFormat="false" ht="15" hidden="false" customHeight="false" outlineLevel="0" collapsed="false">
      <c r="A183" s="13" t="n">
        <v>177</v>
      </c>
      <c r="B183" s="13" t="s">
        <v>1973</v>
      </c>
      <c r="C183" s="13" t="s">
        <v>1986</v>
      </c>
      <c r="D183" s="13" t="n">
        <v>2022</v>
      </c>
      <c r="E183" s="50" t="n">
        <f aca="false">Schedules!E147</f>
        <v>18330917363</v>
      </c>
      <c r="F183" s="50" t="n">
        <f aca="false">Schedules!E146</f>
        <v>18330917363</v>
      </c>
      <c r="G183" s="101" t="n">
        <f aca="false">IF(COUNT(E183:F183)=2,E183-F183,"")</f>
        <v>0</v>
      </c>
      <c r="H183" s="102" t="n">
        <v>1</v>
      </c>
      <c r="I183" s="4" t="str">
        <f aca="false">IF(COUNT(E183:F183)&lt;2,"N/A",IF(ABS(G183)&lt;=H183,"OK","❌"))</f>
        <v>OK</v>
      </c>
      <c r="J183" s="102" t="s">
        <v>1932</v>
      </c>
      <c r="K183" s="4" t="str">
        <f aca="false">IF(I183=J183,"✔ sesuai","✖ TIDAK sesuai")</f>
        <v>✔ sesuai</v>
      </c>
      <c r="L183" s="103"/>
    </row>
    <row r="184" customFormat="false" ht="15" hidden="false" customHeight="false" outlineLevel="0" collapsed="false">
      <c r="A184" s="13" t="n">
        <v>178</v>
      </c>
      <c r="B184" s="13" t="s">
        <v>1973</v>
      </c>
      <c r="C184" s="13" t="s">
        <v>1987</v>
      </c>
      <c r="D184" s="13" t="n">
        <v>2022</v>
      </c>
      <c r="E184" s="50" t="n">
        <f aca="false">Schedules!E157</f>
        <v>91788261047</v>
      </c>
      <c r="F184" s="50" t="n">
        <f aca="false">Schedules!E155</f>
        <v>91788261047</v>
      </c>
      <c r="G184" s="101" t="n">
        <f aca="false">IF(COUNT(E184:F184)=2,E184-F184,"")</f>
        <v>0</v>
      </c>
      <c r="H184" s="102" t="n">
        <v>1</v>
      </c>
      <c r="I184" s="4" t="str">
        <f aca="false">IF(COUNT(E184:F184)&lt;2,"N/A",IF(ABS(G184)&lt;=H184,"OK","❌"))</f>
        <v>OK</v>
      </c>
      <c r="J184" s="102" t="s">
        <v>1932</v>
      </c>
      <c r="K184" s="4" t="str">
        <f aca="false">IF(I184=J184,"✔ sesuai","✖ TIDAK sesuai")</f>
        <v>✔ sesuai</v>
      </c>
      <c r="L184" s="103"/>
    </row>
    <row r="185" customFormat="false" ht="15" hidden="false" customHeight="false" outlineLevel="0" collapsed="false">
      <c r="A185" s="13" t="n">
        <v>179</v>
      </c>
      <c r="B185" s="13" t="s">
        <v>1973</v>
      </c>
      <c r="C185" s="13" t="s">
        <v>1988</v>
      </c>
      <c r="D185" s="13" t="n">
        <v>2022</v>
      </c>
      <c r="E185" s="50" t="n">
        <f aca="false">Schedules!E177</f>
        <v>47858164349</v>
      </c>
      <c r="F185" s="50" t="n">
        <f aca="false">Schedules!E175</f>
        <v>47858164349</v>
      </c>
      <c r="G185" s="101" t="n">
        <f aca="false">IF(COUNT(E185:F185)=2,E185-F185,"")</f>
        <v>0</v>
      </c>
      <c r="H185" s="102" t="n">
        <v>1</v>
      </c>
      <c r="I185" s="4" t="str">
        <f aca="false">IF(COUNT(E185:F185)&lt;2,"N/A",IF(ABS(G185)&lt;=H185,"OK","❌"))</f>
        <v>OK</v>
      </c>
      <c r="J185" s="102" t="s">
        <v>1932</v>
      </c>
      <c r="K185" s="4" t="str">
        <f aca="false">IF(I185=J185,"✔ sesuai","✖ TIDAK sesuai")</f>
        <v>✔ sesuai</v>
      </c>
      <c r="L185" s="103"/>
    </row>
    <row r="186" customFormat="false" ht="15" hidden="false" customHeight="false" outlineLevel="0" collapsed="false">
      <c r="A186" s="13" t="n">
        <v>180</v>
      </c>
      <c r="B186" s="13" t="s">
        <v>1973</v>
      </c>
      <c r="C186" s="13" t="s">
        <v>1989</v>
      </c>
      <c r="D186" s="13" t="n">
        <v>2022</v>
      </c>
      <c r="E186" s="50" t="n">
        <f aca="false">Schedules!E244</f>
        <v>391717789095</v>
      </c>
      <c r="F186" s="50" t="n">
        <f aca="false">Schedules!E242</f>
        <v>391717789095</v>
      </c>
      <c r="G186" s="101" t="n">
        <f aca="false">IF(COUNT(E186:F186)=2,E186-F186,"")</f>
        <v>0</v>
      </c>
      <c r="H186" s="102" t="n">
        <v>1</v>
      </c>
      <c r="I186" s="4" t="str">
        <f aca="false">IF(COUNT(E186:F186)&lt;2,"N/A",IF(ABS(G186)&lt;=H186,"OK","❌"))</f>
        <v>OK</v>
      </c>
      <c r="J186" s="102" t="s">
        <v>1932</v>
      </c>
      <c r="K186" s="4" t="str">
        <f aca="false">IF(I186=J186,"✔ sesuai","✖ TIDAK sesuai")</f>
        <v>✔ sesuai</v>
      </c>
      <c r="L186" s="103"/>
    </row>
    <row r="187" customFormat="false" ht="15" hidden="false" customHeight="false" outlineLevel="0" collapsed="false">
      <c r="A187" s="13" t="n">
        <v>181</v>
      </c>
      <c r="B187" s="13" t="s">
        <v>1973</v>
      </c>
      <c r="C187" s="13" t="s">
        <v>1990</v>
      </c>
      <c r="D187" s="13" t="n">
        <v>2022</v>
      </c>
      <c r="E187" s="50" t="n">
        <f aca="false">Schedules!E250</f>
        <v>463437832670</v>
      </c>
      <c r="F187" s="50" t="n">
        <f aca="false">Schedules!E248</f>
        <v>463437832670</v>
      </c>
      <c r="G187" s="101" t="n">
        <f aca="false">IF(COUNT(E187:F187)=2,E187-F187,"")</f>
        <v>0</v>
      </c>
      <c r="H187" s="102" t="n">
        <v>1</v>
      </c>
      <c r="I187" s="4" t="str">
        <f aca="false">IF(COUNT(E187:F187)&lt;2,"N/A",IF(ABS(G187)&lt;=H187,"OK","❌"))</f>
        <v>OK</v>
      </c>
      <c r="J187" s="102" t="s">
        <v>1932</v>
      </c>
      <c r="K187" s="4" t="str">
        <f aca="false">IF(I187=J187,"✔ sesuai","✖ TIDAK sesuai")</f>
        <v>✔ sesuai</v>
      </c>
      <c r="L187" s="103"/>
    </row>
    <row r="188" customFormat="false" ht="15" hidden="false" customHeight="false" outlineLevel="0" collapsed="false">
      <c r="A188" s="13" t="n">
        <v>182</v>
      </c>
      <c r="B188" s="13" t="s">
        <v>1973</v>
      </c>
      <c r="C188" s="13" t="s">
        <v>1991</v>
      </c>
      <c r="D188" s="13" t="n">
        <v>2022</v>
      </c>
      <c r="E188" s="50" t="n">
        <f aca="false">Schedules!E267</f>
        <v>-3830525560</v>
      </c>
      <c r="F188" s="50" t="n">
        <f aca="false">Schedules!E266</f>
        <v>-3830525560</v>
      </c>
      <c r="G188" s="101" t="n">
        <f aca="false">IF(COUNT(E188:F188)=2,E188-F188,"")</f>
        <v>0</v>
      </c>
      <c r="H188" s="102" t="n">
        <v>1</v>
      </c>
      <c r="I188" s="4" t="str">
        <f aca="false">IF(COUNT(E188:F188)&lt;2,"N/A",IF(ABS(G188)&lt;=H188,"OK","❌"))</f>
        <v>OK</v>
      </c>
      <c r="J188" s="102" t="s">
        <v>1932</v>
      </c>
      <c r="K188" s="4" t="str">
        <f aca="false">IF(I188=J188,"✔ sesuai","✖ TIDAK sesuai")</f>
        <v>✔ sesuai</v>
      </c>
      <c r="L188" s="103"/>
    </row>
    <row r="189" customFormat="false" ht="15" hidden="false" customHeight="false" outlineLevel="0" collapsed="false">
      <c r="A189" s="13" t="n">
        <v>183</v>
      </c>
      <c r="B189" s="13" t="s">
        <v>1973</v>
      </c>
      <c r="C189" s="13" t="s">
        <v>1992</v>
      </c>
      <c r="D189" s="13" t="n">
        <v>2022</v>
      </c>
      <c r="E189" s="50" t="n">
        <f aca="false">Schedules!E299</f>
        <v>1719842151119</v>
      </c>
      <c r="F189" s="50" t="n">
        <f aca="false">Schedules!E298</f>
        <v>1719842151119</v>
      </c>
      <c r="G189" s="101" t="n">
        <f aca="false">IF(COUNT(E189:F189)=2,E189-F189,"")</f>
        <v>0</v>
      </c>
      <c r="H189" s="102" t="n">
        <v>1</v>
      </c>
      <c r="I189" s="4" t="str">
        <f aca="false">IF(COUNT(E189:F189)&lt;2,"N/A",IF(ABS(G189)&lt;=H189,"OK","❌"))</f>
        <v>OK</v>
      </c>
      <c r="J189" s="102" t="s">
        <v>1932</v>
      </c>
      <c r="K189" s="4" t="str">
        <f aca="false">IF(I189=J189,"✔ sesuai","✖ TIDAK sesuai")</f>
        <v>✔ sesuai</v>
      </c>
      <c r="L189" s="103"/>
    </row>
    <row r="190" customFormat="false" ht="15" hidden="false" customHeight="false" outlineLevel="0" collapsed="false">
      <c r="A190" s="13" t="n">
        <v>184</v>
      </c>
      <c r="B190" s="13" t="s">
        <v>1973</v>
      </c>
      <c r="C190" s="13" t="s">
        <v>1993</v>
      </c>
      <c r="D190" s="13" t="n">
        <v>2022</v>
      </c>
      <c r="E190" s="50" t="n">
        <f aca="false">Schedules!E310</f>
        <v>894135274139</v>
      </c>
      <c r="F190" s="50" t="n">
        <f aca="false">Schedules!E309</f>
        <v>894135274139</v>
      </c>
      <c r="G190" s="101" t="n">
        <f aca="false">IF(COUNT(E190:F190)=2,E190-F190,"")</f>
        <v>0</v>
      </c>
      <c r="H190" s="102" t="n">
        <v>1</v>
      </c>
      <c r="I190" s="4" t="str">
        <f aca="false">IF(COUNT(E190:F190)&lt;2,"N/A",IF(ABS(G190)&lt;=H190,"OK","❌"))</f>
        <v>OK</v>
      </c>
      <c r="J190" s="102" t="s">
        <v>1932</v>
      </c>
      <c r="K190" s="4" t="str">
        <f aca="false">IF(I190=J190,"✔ sesuai","✖ TIDAK sesuai")</f>
        <v>✔ sesuai</v>
      </c>
      <c r="L190" s="103"/>
    </row>
    <row r="191" customFormat="false" ht="15" hidden="false" customHeight="false" outlineLevel="0" collapsed="false">
      <c r="A191" s="13" t="n">
        <v>185</v>
      </c>
      <c r="B191" s="13" t="s">
        <v>1973</v>
      </c>
      <c r="C191" s="13" t="s">
        <v>1994</v>
      </c>
      <c r="D191" s="13" t="n">
        <v>2022</v>
      </c>
      <c r="E191" s="50" t="n">
        <f aca="false">Schedules!E316</f>
        <v>39106497692</v>
      </c>
      <c r="F191" s="50" t="n">
        <f aca="false">Schedules!E315</f>
        <v>39106497692</v>
      </c>
      <c r="G191" s="101" t="n">
        <f aca="false">IF(COUNT(E191:F191)=2,E191-F191,"")</f>
        <v>0</v>
      </c>
      <c r="H191" s="102" t="n">
        <v>1</v>
      </c>
      <c r="I191" s="4" t="str">
        <f aca="false">IF(COUNT(E191:F191)&lt;2,"N/A",IF(ABS(G191)&lt;=H191,"OK","❌"))</f>
        <v>OK</v>
      </c>
      <c r="J191" s="102" t="s">
        <v>1932</v>
      </c>
      <c r="K191" s="4" t="str">
        <f aca="false">IF(I191=J191,"✔ sesuai","✖ TIDAK sesuai")</f>
        <v>✔ sesuai</v>
      </c>
      <c r="L191" s="103"/>
    </row>
    <row r="192" customFormat="false" ht="15" hidden="false" customHeight="false" outlineLevel="0" collapsed="false">
      <c r="A192" s="13" t="n">
        <v>186</v>
      </c>
      <c r="B192" s="13" t="s">
        <v>1973</v>
      </c>
      <c r="C192" s="13" t="s">
        <v>1995</v>
      </c>
      <c r="D192" s="13" t="n">
        <v>2022</v>
      </c>
      <c r="E192" s="50" t="n">
        <f aca="false">Schedules!E339</f>
        <v>510347314037</v>
      </c>
      <c r="F192" s="50" t="n">
        <f aca="false">Schedules!E338</f>
        <v>510347314037</v>
      </c>
      <c r="G192" s="101" t="n">
        <f aca="false">IF(COUNT(E192:F192)=2,E192-F192,"")</f>
        <v>0</v>
      </c>
      <c r="H192" s="102" t="n">
        <v>1</v>
      </c>
      <c r="I192" s="4" t="str">
        <f aca="false">IF(COUNT(E192:F192)&lt;2,"N/A",IF(ABS(G192)&lt;=H192,"OK","❌"))</f>
        <v>OK</v>
      </c>
      <c r="J192" s="102" t="s">
        <v>1932</v>
      </c>
      <c r="K192" s="4" t="str">
        <f aca="false">IF(I192=J192,"✔ sesuai","✖ TIDAK sesuai")</f>
        <v>✔ sesuai</v>
      </c>
      <c r="L192" s="103"/>
    </row>
    <row r="193" customFormat="false" ht="15" hidden="false" customHeight="false" outlineLevel="0" collapsed="false">
      <c r="A193" s="13" t="n">
        <v>187</v>
      </c>
      <c r="B193" s="13" t="s">
        <v>2000</v>
      </c>
      <c r="C193" s="13" t="s">
        <v>2001</v>
      </c>
      <c r="D193" s="13" t="n">
        <v>2022</v>
      </c>
      <c r="E193" s="70" t="n">
        <f aca="false">IS!E37</f>
        <v>9.7</v>
      </c>
      <c r="F193" s="70" t="n">
        <f aca="false">ROUND(IS!E33/8603416176,2)</f>
        <v>9.67</v>
      </c>
      <c r="G193" s="104" t="n">
        <f aca="false">IF(COUNT(E193:F193)=2,E193-F193,"")</f>
        <v>0.0299999999999994</v>
      </c>
      <c r="H193" s="102" t="n">
        <v>0.05</v>
      </c>
      <c r="I193" s="4" t="str">
        <f aca="false">IF(COUNT(E193:F193)&lt;2,"N/A",IF(ABS(G193)&lt;=H193,"OK","❌"))</f>
        <v>OK</v>
      </c>
      <c r="J193" s="102" t="s">
        <v>1932</v>
      </c>
      <c r="K193" s="4" t="str">
        <f aca="false">IF(I193=J193,"✔ sesuai","✖ TIDAK sesuai")</f>
        <v>✔ sesuai</v>
      </c>
      <c r="L193" s="103"/>
    </row>
    <row r="194" customFormat="false" ht="15" hidden="false" customHeight="false" outlineLevel="0" collapsed="false">
      <c r="A194" s="13" t="n">
        <v>188</v>
      </c>
      <c r="B194" s="13" t="s">
        <v>1930</v>
      </c>
      <c r="C194" s="13" t="s">
        <v>1931</v>
      </c>
      <c r="D194" s="13" t="n">
        <v>2023</v>
      </c>
      <c r="E194" s="50" t="n">
        <f aca="false">IS!F8</f>
        <v>695812877111</v>
      </c>
      <c r="F194" s="50" t="n">
        <f aca="false">IS!F39</f>
        <v>695812877111</v>
      </c>
      <c r="G194" s="101" t="n">
        <f aca="false">IF(COUNT(E194:F194)=2,E194-F194,"")</f>
        <v>0</v>
      </c>
      <c r="H194" s="102" t="n">
        <v>1</v>
      </c>
      <c r="I194" s="4" t="str">
        <f aca="false">IF(COUNT(E194:F194)&lt;2,"N/A",IF(ABS(G194)&lt;=H194,"OK","❌"))</f>
        <v>OK</v>
      </c>
      <c r="J194" s="102" t="s">
        <v>1932</v>
      </c>
      <c r="K194" s="4" t="str">
        <f aca="false">IF(I194=J194,"✔ sesuai","✖ TIDAK sesuai")</f>
        <v>✔ sesuai</v>
      </c>
      <c r="L194" s="103"/>
    </row>
    <row r="195" customFormat="false" ht="15" hidden="false" customHeight="false" outlineLevel="0" collapsed="false">
      <c r="A195" s="13" t="n">
        <v>189</v>
      </c>
      <c r="B195" s="13" t="s">
        <v>1930</v>
      </c>
      <c r="C195" s="13" t="s">
        <v>1933</v>
      </c>
      <c r="D195" s="13" t="n">
        <v>2023</v>
      </c>
      <c r="E195" s="50" t="n">
        <f aca="false">IS!F11</f>
        <v>-605261362551</v>
      </c>
      <c r="F195" s="50" t="n">
        <f aca="false">IS!F40</f>
        <v>-605261362551</v>
      </c>
      <c r="G195" s="101" t="n">
        <f aca="false">IF(COUNT(E195:F195)=2,E195-F195,"")</f>
        <v>0</v>
      </c>
      <c r="H195" s="102" t="n">
        <v>1</v>
      </c>
      <c r="I195" s="4" t="str">
        <f aca="false">IF(COUNT(E195:F195)&lt;2,"N/A",IF(ABS(G195)&lt;=H195,"OK","❌"))</f>
        <v>OK</v>
      </c>
      <c r="J195" s="102" t="s">
        <v>1932</v>
      </c>
      <c r="K195" s="4" t="str">
        <f aca="false">IF(I195=J195,"✔ sesuai","✖ TIDAK sesuai")</f>
        <v>✔ sesuai</v>
      </c>
      <c r="L195" s="103"/>
    </row>
    <row r="196" customFormat="false" ht="15" hidden="false" customHeight="false" outlineLevel="0" collapsed="false">
      <c r="A196" s="13" t="n">
        <v>190</v>
      </c>
      <c r="B196" s="13" t="s">
        <v>1930</v>
      </c>
      <c r="C196" s="13" t="s">
        <v>1934</v>
      </c>
      <c r="D196" s="13" t="n">
        <v>2023</v>
      </c>
      <c r="E196" s="50" t="n">
        <f aca="false">IS!F17</f>
        <v>40323055724</v>
      </c>
      <c r="F196" s="50" t="n">
        <f aca="false">IS!F41</f>
        <v>40323055724</v>
      </c>
      <c r="G196" s="101" t="n">
        <f aca="false">IF(COUNT(E196:F196)=2,E196-F196,"")</f>
        <v>0</v>
      </c>
      <c r="H196" s="102" t="n">
        <v>1</v>
      </c>
      <c r="I196" s="4" t="str">
        <f aca="false">IF(COUNT(E196:F196)&lt;2,"N/A",IF(ABS(G196)&lt;=H196,"OK","❌"))</f>
        <v>OK</v>
      </c>
      <c r="J196" s="102" t="s">
        <v>1932</v>
      </c>
      <c r="K196" s="4" t="str">
        <f aca="false">IF(I196=J196,"✔ sesuai","✖ TIDAK sesuai")</f>
        <v>✔ sesuai</v>
      </c>
      <c r="L196" s="103"/>
    </row>
    <row r="197" customFormat="false" ht="15" hidden="false" customHeight="false" outlineLevel="0" collapsed="false">
      <c r="A197" s="13" t="n">
        <v>191</v>
      </c>
      <c r="B197" s="13" t="s">
        <v>1930</v>
      </c>
      <c r="C197" s="13" t="s">
        <v>1935</v>
      </c>
      <c r="D197" s="13" t="n">
        <v>2023</v>
      </c>
      <c r="E197" s="50" t="n">
        <f aca="false">IS!F21</f>
        <v>-24093626876</v>
      </c>
      <c r="F197" s="50" t="n">
        <f aca="false">IS!F42</f>
        <v>-24093626876</v>
      </c>
      <c r="G197" s="101" t="n">
        <f aca="false">IF(COUNT(E197:F197)=2,E197-F197,"")</f>
        <v>0</v>
      </c>
      <c r="H197" s="102" t="n">
        <v>1</v>
      </c>
      <c r="I197" s="4" t="str">
        <f aca="false">IF(COUNT(E197:F197)&lt;2,"N/A",IF(ABS(G197)&lt;=H197,"OK","❌"))</f>
        <v>OK</v>
      </c>
      <c r="J197" s="102" t="s">
        <v>1932</v>
      </c>
      <c r="K197" s="4" t="str">
        <f aca="false">IF(I197=J197,"✔ sesuai","✖ TIDAK sesuai")</f>
        <v>✔ sesuai</v>
      </c>
      <c r="L197" s="103"/>
    </row>
    <row r="198" customFormat="false" ht="15" hidden="false" customHeight="false" outlineLevel="0" collapsed="false">
      <c r="A198" s="13" t="n">
        <v>192</v>
      </c>
      <c r="B198" s="13" t="s">
        <v>1930</v>
      </c>
      <c r="C198" s="13" t="s">
        <v>1936</v>
      </c>
      <c r="D198" s="13" t="n">
        <v>2023</v>
      </c>
      <c r="E198" s="50" t="n">
        <f aca="false">IS!F22</f>
        <v>16229428848</v>
      </c>
      <c r="F198" s="50" t="n">
        <f aca="false">IS!F43</f>
        <v>16229428848</v>
      </c>
      <c r="G198" s="101" t="n">
        <f aca="false">IF(COUNT(E198:F198)=2,E198-F198,"")</f>
        <v>0</v>
      </c>
      <c r="H198" s="102" t="n">
        <v>1</v>
      </c>
      <c r="I198" s="4" t="str">
        <f aca="false">IF(COUNT(E198:F198)&lt;2,"N/A",IF(ABS(G198)&lt;=H198,"OK","❌"))</f>
        <v>OK</v>
      </c>
      <c r="J198" s="102" t="s">
        <v>1932</v>
      </c>
      <c r="K198" s="4" t="str">
        <f aca="false">IF(I198=J198,"✔ sesuai","✖ TIDAK sesuai")</f>
        <v>✔ sesuai</v>
      </c>
      <c r="L198" s="103"/>
    </row>
    <row r="199" customFormat="false" ht="15" hidden="false" customHeight="false" outlineLevel="0" collapsed="false">
      <c r="A199" s="13" t="n">
        <v>193</v>
      </c>
      <c r="B199" s="13" t="s">
        <v>1930</v>
      </c>
      <c r="C199" s="13" t="s">
        <v>1937</v>
      </c>
      <c r="D199" s="13" t="n">
        <v>2023</v>
      </c>
      <c r="E199" s="50" t="n">
        <f aca="false">IS!F30</f>
        <v>1081406355</v>
      </c>
      <c r="F199" s="50" t="n">
        <f aca="false">IS!F44</f>
        <v>1081406355</v>
      </c>
      <c r="G199" s="101" t="n">
        <f aca="false">IF(COUNT(E199:F199)=2,E199-F199,"")</f>
        <v>0</v>
      </c>
      <c r="H199" s="102" t="n">
        <v>1</v>
      </c>
      <c r="I199" s="4" t="str">
        <f aca="false">IF(COUNT(E199:F199)&lt;2,"N/A",IF(ABS(G199)&lt;=H199,"OK","❌"))</f>
        <v>OK</v>
      </c>
      <c r="J199" s="102" t="s">
        <v>1932</v>
      </c>
      <c r="K199" s="4" t="str">
        <f aca="false">IF(I199=J199,"✔ sesuai","✖ TIDAK sesuai")</f>
        <v>✔ sesuai</v>
      </c>
      <c r="L199" s="103"/>
    </row>
    <row r="200" customFormat="false" ht="15" hidden="false" customHeight="false" outlineLevel="0" collapsed="false">
      <c r="A200" s="13" t="n">
        <v>194</v>
      </c>
      <c r="B200" s="13" t="s">
        <v>1930</v>
      </c>
      <c r="C200" s="13" t="s">
        <v>1938</v>
      </c>
      <c r="D200" s="13" t="n">
        <v>2023</v>
      </c>
      <c r="E200" s="50" t="n">
        <f aca="false">IS!F31</f>
        <v>17310835203</v>
      </c>
      <c r="F200" s="50" t="n">
        <f aca="false">IS!F45</f>
        <v>17310835203</v>
      </c>
      <c r="G200" s="101" t="n">
        <f aca="false">IF(COUNT(E200:F200)=2,E200-F200,"")</f>
        <v>0</v>
      </c>
      <c r="H200" s="102" t="n">
        <v>1</v>
      </c>
      <c r="I200" s="4" t="str">
        <f aca="false">IF(COUNT(E200:F200)&lt;2,"N/A",IF(ABS(G200)&lt;=H200,"OK","❌"))</f>
        <v>OK</v>
      </c>
      <c r="J200" s="102" t="s">
        <v>1932</v>
      </c>
      <c r="K200" s="4" t="str">
        <f aca="false">IF(I200=J200,"✔ sesuai","✖ TIDAK sesuai")</f>
        <v>✔ sesuai</v>
      </c>
      <c r="L200" s="103"/>
    </row>
    <row r="201" customFormat="false" ht="15" hidden="false" customHeight="false" outlineLevel="0" collapsed="false">
      <c r="A201" s="13" t="n">
        <v>195</v>
      </c>
      <c r="B201" s="13" t="s">
        <v>1930</v>
      </c>
      <c r="C201" s="13" t="s">
        <v>1938</v>
      </c>
      <c r="D201" s="13" t="n">
        <v>2023</v>
      </c>
      <c r="E201" s="50" t="n">
        <f aca="false">IS!F31</f>
        <v>17310835203</v>
      </c>
      <c r="F201" s="50" t="n">
        <f aca="false">IS!F46</f>
        <v>17310835203</v>
      </c>
      <c r="G201" s="101" t="n">
        <f aca="false">IF(COUNT(E201:F201)=2,E201-F201,"")</f>
        <v>0</v>
      </c>
      <c r="H201" s="102" t="n">
        <v>1</v>
      </c>
      <c r="I201" s="4" t="str">
        <f aca="false">IF(COUNT(E201:F201)&lt;2,"N/A",IF(ABS(G201)&lt;=H201,"OK","❌"))</f>
        <v>OK</v>
      </c>
      <c r="J201" s="102" t="s">
        <v>1932</v>
      </c>
      <c r="K201" s="4" t="str">
        <f aca="false">IF(I201=J201,"✔ sesuai","✖ TIDAK sesuai")</f>
        <v>✔ sesuai</v>
      </c>
      <c r="L201" s="103"/>
    </row>
    <row r="202" customFormat="false" ht="15" hidden="false" customHeight="false" outlineLevel="0" collapsed="false">
      <c r="A202" s="13" t="n">
        <v>196</v>
      </c>
      <c r="B202" s="13" t="s">
        <v>1930</v>
      </c>
      <c r="C202" s="13" t="s">
        <v>1939</v>
      </c>
      <c r="D202" s="13" t="n">
        <v>2023</v>
      </c>
      <c r="E202" s="50" t="n">
        <f aca="false">BS!F15</f>
        <v>869046161672</v>
      </c>
      <c r="F202" s="50" t="n">
        <f aca="false">BS!F60</f>
        <v>869046161672</v>
      </c>
      <c r="G202" s="101" t="n">
        <f aca="false">IF(COUNT(E202:F202)=2,E202-F202,"")</f>
        <v>0</v>
      </c>
      <c r="H202" s="102" t="n">
        <v>1</v>
      </c>
      <c r="I202" s="4" t="str">
        <f aca="false">IF(COUNT(E202:F202)&lt;2,"N/A",IF(ABS(G202)&lt;=H202,"OK","❌"))</f>
        <v>OK</v>
      </c>
      <c r="J202" s="102" t="s">
        <v>1932</v>
      </c>
      <c r="K202" s="4" t="str">
        <f aca="false">IF(I202=J202,"✔ sesuai","✖ TIDAK sesuai")</f>
        <v>✔ sesuai</v>
      </c>
      <c r="L202" s="103"/>
    </row>
    <row r="203" customFormat="false" ht="15" hidden="false" customHeight="false" outlineLevel="0" collapsed="false">
      <c r="A203" s="13" t="n">
        <v>197</v>
      </c>
      <c r="B203" s="13" t="s">
        <v>1930</v>
      </c>
      <c r="C203" s="13" t="s">
        <v>1940</v>
      </c>
      <c r="D203" s="13" t="n">
        <v>2023</v>
      </c>
      <c r="E203" s="50" t="n">
        <f aca="false">BS!F25</f>
        <v>2214115872776</v>
      </c>
      <c r="F203" s="50" t="n">
        <f aca="false">BS!F61</f>
        <v>2214115872776</v>
      </c>
      <c r="G203" s="101" t="n">
        <f aca="false">IF(COUNT(E203:F203)=2,E203-F203,"")</f>
        <v>0</v>
      </c>
      <c r="H203" s="102" t="n">
        <v>1</v>
      </c>
      <c r="I203" s="4" t="str">
        <f aca="false">IF(COUNT(E203:F203)&lt;2,"N/A",IF(ABS(G203)&lt;=H203,"OK","❌"))</f>
        <v>OK</v>
      </c>
      <c r="J203" s="102" t="s">
        <v>1932</v>
      </c>
      <c r="K203" s="4" t="str">
        <f aca="false">IF(I203=J203,"✔ sesuai","✖ TIDAK sesuai")</f>
        <v>✔ sesuai</v>
      </c>
      <c r="L203" s="103"/>
    </row>
    <row r="204" customFormat="false" ht="15" hidden="false" customHeight="false" outlineLevel="0" collapsed="false">
      <c r="A204" s="13" t="n">
        <v>198</v>
      </c>
      <c r="B204" s="13" t="s">
        <v>1930</v>
      </c>
      <c r="C204" s="13" t="s">
        <v>1941</v>
      </c>
      <c r="D204" s="13" t="n">
        <v>2023</v>
      </c>
      <c r="E204" s="50" t="n">
        <f aca="false">BS!F26</f>
        <v>3083162034448</v>
      </c>
      <c r="F204" s="50" t="n">
        <f aca="false">BS!F62</f>
        <v>3083162034448</v>
      </c>
      <c r="G204" s="101" t="n">
        <f aca="false">IF(COUNT(E204:F204)=2,E204-F204,"")</f>
        <v>0</v>
      </c>
      <c r="H204" s="102" t="n">
        <v>1</v>
      </c>
      <c r="I204" s="4" t="str">
        <f aca="false">IF(COUNT(E204:F204)&lt;2,"N/A",IF(ABS(G204)&lt;=H204,"OK","❌"))</f>
        <v>OK</v>
      </c>
      <c r="J204" s="102" t="s">
        <v>1932</v>
      </c>
      <c r="K204" s="4" t="str">
        <f aca="false">IF(I204=J204,"✔ sesuai","✖ TIDAK sesuai")</f>
        <v>✔ sesuai</v>
      </c>
      <c r="L204" s="103"/>
    </row>
    <row r="205" customFormat="false" ht="15" hidden="false" customHeight="false" outlineLevel="0" collapsed="false">
      <c r="A205" s="13" t="n">
        <v>199</v>
      </c>
      <c r="B205" s="13" t="s">
        <v>1930</v>
      </c>
      <c r="C205" s="13" t="s">
        <v>1942</v>
      </c>
      <c r="D205" s="13" t="n">
        <v>2023</v>
      </c>
      <c r="E205" s="50" t="n">
        <f aca="false">BS!F38</f>
        <v>569631547013</v>
      </c>
      <c r="F205" s="50" t="n">
        <f aca="false">BS!F63</f>
        <v>569631547013</v>
      </c>
      <c r="G205" s="101" t="n">
        <f aca="false">IF(COUNT(E205:F205)=2,E205-F205,"")</f>
        <v>0</v>
      </c>
      <c r="H205" s="102" t="n">
        <v>1</v>
      </c>
      <c r="I205" s="4" t="str">
        <f aca="false">IF(COUNT(E205:F205)&lt;2,"N/A",IF(ABS(G205)&lt;=H205,"OK","❌"))</f>
        <v>OK</v>
      </c>
      <c r="J205" s="102" t="s">
        <v>1932</v>
      </c>
      <c r="K205" s="4" t="str">
        <f aca="false">IF(I205=J205,"✔ sesuai","✖ TIDAK sesuai")</f>
        <v>✔ sesuai</v>
      </c>
      <c r="L205" s="103"/>
    </row>
    <row r="206" customFormat="false" ht="15" hidden="false" customHeight="false" outlineLevel="0" collapsed="false">
      <c r="A206" s="13" t="n">
        <v>200</v>
      </c>
      <c r="B206" s="13" t="s">
        <v>1930</v>
      </c>
      <c r="C206" s="13" t="s">
        <v>1943</v>
      </c>
      <c r="D206" s="13" t="n">
        <v>2023</v>
      </c>
      <c r="E206" s="50" t="n">
        <f aca="false">BS!F44</f>
        <v>713494578983</v>
      </c>
      <c r="F206" s="50" t="n">
        <f aca="false">BS!F64</f>
        <v>713494578983</v>
      </c>
      <c r="G206" s="101" t="n">
        <f aca="false">IF(COUNT(E206:F206)=2,E206-F206,"")</f>
        <v>0</v>
      </c>
      <c r="H206" s="102" t="n">
        <v>1</v>
      </c>
      <c r="I206" s="4" t="str">
        <f aca="false">IF(COUNT(E206:F206)&lt;2,"N/A",IF(ABS(G206)&lt;=H206,"OK","❌"))</f>
        <v>OK</v>
      </c>
      <c r="J206" s="102" t="s">
        <v>1932</v>
      </c>
      <c r="K206" s="4" t="str">
        <f aca="false">IF(I206=J206,"✔ sesuai","✖ TIDAK sesuai")</f>
        <v>✔ sesuai</v>
      </c>
      <c r="L206" s="103"/>
    </row>
    <row r="207" customFormat="false" ht="15" hidden="false" customHeight="false" outlineLevel="0" collapsed="false">
      <c r="A207" s="13" t="n">
        <v>201</v>
      </c>
      <c r="B207" s="13" t="s">
        <v>1930</v>
      </c>
      <c r="C207" s="13" t="s">
        <v>1944</v>
      </c>
      <c r="D207" s="13" t="n">
        <v>2023</v>
      </c>
      <c r="E207" s="50" t="n">
        <f aca="false">BS!F45</f>
        <v>1283126125996</v>
      </c>
      <c r="F207" s="50" t="n">
        <f aca="false">BS!F65</f>
        <v>1283126125996</v>
      </c>
      <c r="G207" s="101" t="n">
        <f aca="false">IF(COUNT(E207:F207)=2,E207-F207,"")</f>
        <v>0</v>
      </c>
      <c r="H207" s="102" t="n">
        <v>1</v>
      </c>
      <c r="I207" s="4" t="str">
        <f aca="false">IF(COUNT(E207:F207)&lt;2,"N/A",IF(ABS(G207)&lt;=H207,"OK","❌"))</f>
        <v>OK</v>
      </c>
      <c r="J207" s="102" t="s">
        <v>1932</v>
      </c>
      <c r="K207" s="4" t="str">
        <f aca="false">IF(I207=J207,"✔ sesuai","✖ TIDAK sesuai")</f>
        <v>✔ sesuai</v>
      </c>
      <c r="L207" s="103"/>
    </row>
    <row r="208" customFormat="false" ht="15" hidden="false" customHeight="false" outlineLevel="0" collapsed="false">
      <c r="A208" s="13" t="n">
        <v>202</v>
      </c>
      <c r="B208" s="13" t="s">
        <v>1930</v>
      </c>
      <c r="C208" s="13" t="s">
        <v>1945</v>
      </c>
      <c r="D208" s="13" t="n">
        <v>2023</v>
      </c>
      <c r="E208" s="50" t="n">
        <f aca="false">BS!F55</f>
        <v>1589813147615</v>
      </c>
      <c r="F208" s="50" t="n">
        <f aca="false">BS!F66</f>
        <v>1589813147615</v>
      </c>
      <c r="G208" s="101" t="n">
        <f aca="false">IF(COUNT(E208:F208)=2,E208-F208,"")</f>
        <v>0</v>
      </c>
      <c r="H208" s="102" t="n">
        <v>1</v>
      </c>
      <c r="I208" s="4" t="str">
        <f aca="false">IF(COUNT(E208:F208)&lt;2,"N/A",IF(ABS(G208)&lt;=H208,"OK","❌"))</f>
        <v>OK</v>
      </c>
      <c r="J208" s="102" t="s">
        <v>1932</v>
      </c>
      <c r="K208" s="4" t="str">
        <f aca="false">IF(I208=J208,"✔ sesuai","✖ TIDAK sesuai")</f>
        <v>✔ sesuai</v>
      </c>
      <c r="L208" s="103"/>
    </row>
    <row r="209" customFormat="false" ht="15" hidden="false" customHeight="false" outlineLevel="0" collapsed="false">
      <c r="A209" s="13" t="n">
        <v>203</v>
      </c>
      <c r="B209" s="13" t="s">
        <v>1930</v>
      </c>
      <c r="C209" s="13" t="s">
        <v>1946</v>
      </c>
      <c r="D209" s="13" t="n">
        <v>2023</v>
      </c>
      <c r="E209" s="50" t="n">
        <f aca="false">BS!F57</f>
        <v>1800035908452</v>
      </c>
      <c r="F209" s="50" t="n">
        <f aca="false">BS!F67</f>
        <v>1800035908452</v>
      </c>
      <c r="G209" s="101" t="n">
        <f aca="false">IF(COUNT(E209:F209)=2,E209-F209,"")</f>
        <v>0</v>
      </c>
      <c r="H209" s="102" t="n">
        <v>1</v>
      </c>
      <c r="I209" s="4" t="str">
        <f aca="false">IF(COUNT(E209:F209)&lt;2,"N/A",IF(ABS(G209)&lt;=H209,"OK","❌"))</f>
        <v>OK</v>
      </c>
      <c r="J209" s="102" t="s">
        <v>1932</v>
      </c>
      <c r="K209" s="4" t="str">
        <f aca="false">IF(I209=J209,"✔ sesuai","✖ TIDAK sesuai")</f>
        <v>✔ sesuai</v>
      </c>
      <c r="L209" s="103"/>
    </row>
    <row r="210" customFormat="false" ht="15" hidden="false" customHeight="false" outlineLevel="0" collapsed="false">
      <c r="A210" s="13" t="n">
        <v>204</v>
      </c>
      <c r="B210" s="13" t="s">
        <v>1930</v>
      </c>
      <c r="C210" s="13" t="s">
        <v>1947</v>
      </c>
      <c r="D210" s="13" t="n">
        <v>2023</v>
      </c>
      <c r="E210" s="50" t="n">
        <f aca="false">BS!F58</f>
        <v>3083162034448</v>
      </c>
      <c r="F210" s="50" t="n">
        <f aca="false">BS!F68</f>
        <v>3083162034448</v>
      </c>
      <c r="G210" s="101" t="n">
        <f aca="false">IF(COUNT(E210:F210)=2,E210-F210,"")</f>
        <v>0</v>
      </c>
      <c r="H210" s="102" t="n">
        <v>1</v>
      </c>
      <c r="I210" s="4" t="str">
        <f aca="false">IF(COUNT(E210:F210)&lt;2,"N/A",IF(ABS(G210)&lt;=H210,"OK","❌"))</f>
        <v>OK</v>
      </c>
      <c r="J210" s="102" t="s">
        <v>1932</v>
      </c>
      <c r="K210" s="4" t="str">
        <f aca="false">IF(I210=J210,"✔ sesuai","✖ TIDAK sesuai")</f>
        <v>✔ sesuai</v>
      </c>
      <c r="L210" s="103"/>
    </row>
    <row r="211" customFormat="false" ht="15" hidden="false" customHeight="false" outlineLevel="0" collapsed="false">
      <c r="A211" s="13" t="n">
        <v>205</v>
      </c>
      <c r="B211" s="13" t="s">
        <v>1930</v>
      </c>
      <c r="C211" s="13" t="s">
        <v>1948</v>
      </c>
      <c r="D211" s="13" t="n">
        <v>2023</v>
      </c>
      <c r="E211" s="50" t="n">
        <f aca="false">CF!F13</f>
        <v>51438728484</v>
      </c>
      <c r="F211" s="50" t="n">
        <f aca="false">CF!F42</f>
        <v>51438728484</v>
      </c>
      <c r="G211" s="101" t="n">
        <f aca="false">IF(COUNT(E211:F211)=2,E211-F211,"")</f>
        <v>0</v>
      </c>
      <c r="H211" s="102" t="n">
        <v>1</v>
      </c>
      <c r="I211" s="4" t="str">
        <f aca="false">IF(COUNT(E211:F211)&lt;2,"N/A",IF(ABS(G211)&lt;=H211,"OK","❌"))</f>
        <v>OK</v>
      </c>
      <c r="J211" s="102" t="s">
        <v>1932</v>
      </c>
      <c r="K211" s="4" t="str">
        <f aca="false">IF(I211=J211,"✔ sesuai","✖ TIDAK sesuai")</f>
        <v>✔ sesuai</v>
      </c>
      <c r="L211" s="103"/>
    </row>
    <row r="212" customFormat="false" ht="15" hidden="false" customHeight="false" outlineLevel="0" collapsed="false">
      <c r="A212" s="13" t="n">
        <v>206</v>
      </c>
      <c r="B212" s="13" t="s">
        <v>1930</v>
      </c>
      <c r="C212" s="13" t="s">
        <v>1949</v>
      </c>
      <c r="D212" s="13" t="n">
        <v>2023</v>
      </c>
      <c r="E212" s="50" t="n">
        <f aca="false">CF!F21</f>
        <v>-212221540575</v>
      </c>
      <c r="F212" s="50" t="n">
        <f aca="false">CF!F43</f>
        <v>-212221540575</v>
      </c>
      <c r="G212" s="101" t="n">
        <f aca="false">IF(COUNT(E212:F212)=2,E212-F212,"")</f>
        <v>0</v>
      </c>
      <c r="H212" s="102" t="n">
        <v>1</v>
      </c>
      <c r="I212" s="4" t="str">
        <f aca="false">IF(COUNT(E212:F212)&lt;2,"N/A",IF(ABS(G212)&lt;=H212,"OK","❌"))</f>
        <v>OK</v>
      </c>
      <c r="J212" s="102" t="s">
        <v>1932</v>
      </c>
      <c r="K212" s="4" t="str">
        <f aca="false">IF(I212=J212,"✔ sesuai","✖ TIDAK sesuai")</f>
        <v>✔ sesuai</v>
      </c>
      <c r="L212" s="103"/>
    </row>
    <row r="213" customFormat="false" ht="15" hidden="false" customHeight="false" outlineLevel="0" collapsed="false">
      <c r="A213" s="13" t="n">
        <v>207</v>
      </c>
      <c r="B213" s="13" t="s">
        <v>1930</v>
      </c>
      <c r="C213" s="13" t="s">
        <v>1950</v>
      </c>
      <c r="D213" s="13" t="n">
        <v>2023</v>
      </c>
      <c r="E213" s="50" t="n">
        <f aca="false">CF!F31</f>
        <v>153563150624</v>
      </c>
      <c r="F213" s="50" t="n">
        <f aca="false">CF!F44</f>
        <v>153563150624</v>
      </c>
      <c r="G213" s="101" t="n">
        <f aca="false">IF(COUNT(E213:F213)=2,E213-F213,"")</f>
        <v>0</v>
      </c>
      <c r="H213" s="102" t="n">
        <v>1</v>
      </c>
      <c r="I213" s="4" t="str">
        <f aca="false">IF(COUNT(E213:F213)&lt;2,"N/A",IF(ABS(G213)&lt;=H213,"OK","❌"))</f>
        <v>OK</v>
      </c>
      <c r="J213" s="102" t="s">
        <v>1932</v>
      </c>
      <c r="K213" s="4" t="str">
        <f aca="false">IF(I213=J213,"✔ sesuai","✖ TIDAK sesuai")</f>
        <v>✔ sesuai</v>
      </c>
      <c r="L213" s="103"/>
    </row>
    <row r="214" customFormat="false" ht="15" hidden="false" customHeight="false" outlineLevel="0" collapsed="false">
      <c r="A214" s="13" t="n">
        <v>208</v>
      </c>
      <c r="B214" s="13" t="s">
        <v>1930</v>
      </c>
      <c r="C214" s="13" t="s">
        <v>1951</v>
      </c>
      <c r="D214" s="13" t="n">
        <v>2023</v>
      </c>
      <c r="E214" s="50" t="n">
        <f aca="false">CF!F32</f>
        <v>-7219661467</v>
      </c>
      <c r="F214" s="50" t="n">
        <f aca="false">CF!F45</f>
        <v>-7219661467</v>
      </c>
      <c r="G214" s="101" t="n">
        <f aca="false">IF(COUNT(E214:F214)=2,E214-F214,"")</f>
        <v>0</v>
      </c>
      <c r="H214" s="102" t="n">
        <v>1</v>
      </c>
      <c r="I214" s="4" t="str">
        <f aca="false">IF(COUNT(E214:F214)&lt;2,"N/A",IF(ABS(G214)&lt;=H214,"OK","❌"))</f>
        <v>OK</v>
      </c>
      <c r="J214" s="102" t="s">
        <v>1932</v>
      </c>
      <c r="K214" s="4" t="str">
        <f aca="false">IF(I214=J214,"✔ sesuai","✖ TIDAK sesuai")</f>
        <v>✔ sesuai</v>
      </c>
      <c r="L214" s="103"/>
    </row>
    <row r="215" customFormat="false" ht="15" hidden="false" customHeight="false" outlineLevel="0" collapsed="false">
      <c r="A215" s="13" t="n">
        <v>209</v>
      </c>
      <c r="B215" s="13" t="s">
        <v>1930</v>
      </c>
      <c r="C215" s="13" t="s">
        <v>1952</v>
      </c>
      <c r="D215" s="13" t="n">
        <v>2023</v>
      </c>
      <c r="E215" s="50" t="n">
        <f aca="false">CF!F35</f>
        <v>622058009425</v>
      </c>
      <c r="F215" s="50" t="n">
        <f aca="false">CF!F46</f>
        <v>622058009425</v>
      </c>
      <c r="G215" s="101" t="n">
        <f aca="false">IF(COUNT(E215:F215)=2,E215-F215,"")</f>
        <v>0</v>
      </c>
      <c r="H215" s="102" t="n">
        <v>1</v>
      </c>
      <c r="I215" s="4" t="str">
        <f aca="false">IF(COUNT(E215:F215)&lt;2,"N/A",IF(ABS(G215)&lt;=H215,"OK","❌"))</f>
        <v>OK</v>
      </c>
      <c r="J215" s="102" t="s">
        <v>1932</v>
      </c>
      <c r="K215" s="4" t="str">
        <f aca="false">IF(I215=J215,"✔ sesuai","✖ TIDAK sesuai")</f>
        <v>✔ sesuai</v>
      </c>
      <c r="L215" s="103"/>
    </row>
    <row r="216" customFormat="false" ht="15" hidden="false" customHeight="false" outlineLevel="0" collapsed="false">
      <c r="A216" s="13" t="n">
        <v>210</v>
      </c>
      <c r="B216" s="13" t="s">
        <v>1953</v>
      </c>
      <c r="C216" s="13" t="s">
        <v>1954</v>
      </c>
      <c r="D216" s="13" t="n">
        <v>2023</v>
      </c>
      <c r="E216" s="50" t="n">
        <f aca="false">BS!F26</f>
        <v>3083162034448</v>
      </c>
      <c r="F216" s="50" t="n">
        <f aca="false">BS!F58</f>
        <v>3083162034448</v>
      </c>
      <c r="G216" s="101" t="n">
        <f aca="false">IF(COUNT(E216:F216)=2,E216-F216,"")</f>
        <v>0</v>
      </c>
      <c r="H216" s="102" t="n">
        <v>1</v>
      </c>
      <c r="I216" s="4" t="str">
        <f aca="false">IF(COUNT(E216:F216)&lt;2,"N/A",IF(ABS(G216)&lt;=H216,"OK","❌"))</f>
        <v>OK</v>
      </c>
      <c r="J216" s="102" t="s">
        <v>1932</v>
      </c>
      <c r="K216" s="4" t="str">
        <f aca="false">IF(I216=J216,"✔ sesuai","✖ TIDAK sesuai")</f>
        <v>✔ sesuai</v>
      </c>
      <c r="L216" s="103"/>
    </row>
    <row r="217" customFormat="false" ht="15" hidden="false" customHeight="false" outlineLevel="0" collapsed="false">
      <c r="A217" s="13" t="n">
        <v>211</v>
      </c>
      <c r="B217" s="13" t="s">
        <v>1953</v>
      </c>
      <c r="C217" s="13" t="s">
        <v>1955</v>
      </c>
      <c r="D217" s="13" t="n">
        <v>2023</v>
      </c>
      <c r="E217" s="50" t="n">
        <f aca="false">IS!F22</f>
        <v>16229428848</v>
      </c>
      <c r="F217" s="50" t="n">
        <f aca="false">IS!F33+IS!F34</f>
        <v>16229428848</v>
      </c>
      <c r="G217" s="101" t="n">
        <f aca="false">IF(COUNT(E217:F217)=2,E217-F217,"")</f>
        <v>0</v>
      </c>
      <c r="H217" s="102" t="n">
        <v>1</v>
      </c>
      <c r="I217" s="4" t="str">
        <f aca="false">IF(COUNT(E217:F217)&lt;2,"N/A",IF(ABS(G217)&lt;=H217,"OK","❌"))</f>
        <v>OK</v>
      </c>
      <c r="J217" s="102" t="s">
        <v>1932</v>
      </c>
      <c r="K217" s="4" t="str">
        <f aca="false">IF(I217=J217,"✔ sesuai","✖ TIDAK sesuai")</f>
        <v>✔ sesuai</v>
      </c>
      <c r="L217" s="103"/>
    </row>
    <row r="218" customFormat="false" ht="15" hidden="false" customHeight="false" outlineLevel="0" collapsed="false">
      <c r="A218" s="13" t="n">
        <v>212</v>
      </c>
      <c r="B218" s="13" t="s">
        <v>1953</v>
      </c>
      <c r="C218" s="13" t="s">
        <v>1956</v>
      </c>
      <c r="D218" s="13" t="n">
        <v>2023</v>
      </c>
      <c r="E218" s="50" t="n">
        <f aca="false">IS!F31</f>
        <v>17310835203</v>
      </c>
      <c r="F218" s="50" t="n">
        <f aca="false">IS!F35+IS!F36</f>
        <v>17310835203</v>
      </c>
      <c r="G218" s="101" t="n">
        <f aca="false">IF(COUNT(E218:F218)=2,E218-F218,"")</f>
        <v>0</v>
      </c>
      <c r="H218" s="102" t="n">
        <v>1</v>
      </c>
      <c r="I218" s="4" t="str">
        <f aca="false">IF(COUNT(E218:F218)&lt;2,"N/A",IF(ABS(G218)&lt;=H218,"OK","❌"))</f>
        <v>OK</v>
      </c>
      <c r="J218" s="102" t="s">
        <v>1932</v>
      </c>
      <c r="K218" s="4" t="str">
        <f aca="false">IF(I218=J218,"✔ sesuai","✖ TIDAK sesuai")</f>
        <v>✔ sesuai</v>
      </c>
      <c r="L218" s="103"/>
    </row>
    <row r="219" customFormat="false" ht="15" hidden="false" customHeight="false" outlineLevel="0" collapsed="false">
      <c r="A219" s="13" t="n">
        <v>213</v>
      </c>
      <c r="B219" s="13" t="s">
        <v>1953</v>
      </c>
      <c r="C219" s="13" t="s">
        <v>1957</v>
      </c>
      <c r="D219" s="13" t="n">
        <v>2023</v>
      </c>
      <c r="E219" s="50" t="n">
        <f aca="false">CF!F35</f>
        <v>622058009425</v>
      </c>
      <c r="F219" s="50" t="n">
        <f aca="false">BS!F6</f>
        <v>622058009425</v>
      </c>
      <c r="G219" s="101" t="n">
        <f aca="false">IF(COUNT(E219:F219)=2,E219-F219,"")</f>
        <v>0</v>
      </c>
      <c r="H219" s="102" t="n">
        <v>1</v>
      </c>
      <c r="I219" s="4" t="str">
        <f aca="false">IF(COUNT(E219:F219)&lt;2,"N/A",IF(ABS(G219)&lt;=H219,"OK","❌"))</f>
        <v>OK</v>
      </c>
      <c r="J219" s="102" t="s">
        <v>1932</v>
      </c>
      <c r="K219" s="4" t="str">
        <f aca="false">IF(I219=J219,"✔ sesuai","✖ TIDAK sesuai")</f>
        <v>✔ sesuai</v>
      </c>
      <c r="L219" s="103"/>
    </row>
    <row r="220" customFormat="false" ht="15" hidden="false" customHeight="false" outlineLevel="0" collapsed="false">
      <c r="A220" s="13" t="n">
        <v>214</v>
      </c>
      <c r="B220" s="13" t="s">
        <v>1996</v>
      </c>
      <c r="C220" s="13" t="s">
        <v>1997</v>
      </c>
      <c r="D220" s="13" t="n">
        <v>2023</v>
      </c>
      <c r="E220" s="50" t="n">
        <f aca="false">CF!F34</f>
        <v>629277670892</v>
      </c>
      <c r="F220" s="50" t="n">
        <f aca="false">BS!E6</f>
        <v>629277670892</v>
      </c>
      <c r="G220" s="101" t="n">
        <f aca="false">IF(COUNT(E220:F220)=2,E220-F220,"")</f>
        <v>0</v>
      </c>
      <c r="H220" s="102" t="n">
        <v>1</v>
      </c>
      <c r="I220" s="4" t="str">
        <f aca="false">IF(COUNT(E220:F220)&lt;2,"N/A",IF(ABS(G220)&lt;=H220,"OK","❌"))</f>
        <v>OK</v>
      </c>
      <c r="J220" s="102" t="s">
        <v>1932</v>
      </c>
      <c r="K220" s="4" t="str">
        <f aca="false">IF(I220=J220,"✔ sesuai","✖ TIDAK sesuai")</f>
        <v>✔ sesuai</v>
      </c>
      <c r="L220" s="103"/>
    </row>
    <row r="221" customFormat="false" ht="15" hidden="false" customHeight="false" outlineLevel="0" collapsed="false">
      <c r="A221" s="13" t="n">
        <v>215</v>
      </c>
      <c r="B221" s="13" t="s">
        <v>1958</v>
      </c>
      <c r="C221" s="13" t="s">
        <v>1959</v>
      </c>
      <c r="D221" s="13" t="n">
        <v>2023</v>
      </c>
      <c r="E221" s="50" t="n">
        <f aca="false">Schedules!F12</f>
        <v>1488197483371</v>
      </c>
      <c r="F221" s="50" t="n">
        <f aca="false">IS!F6</f>
        <v>1488197483371</v>
      </c>
      <c r="G221" s="101" t="n">
        <f aca="false">IF(COUNT(E221:F221)=2,E221-F221,"")</f>
        <v>0</v>
      </c>
      <c r="H221" s="102" t="n">
        <v>1</v>
      </c>
      <c r="I221" s="4" t="str">
        <f aca="false">IF(COUNT(E221:F221)&lt;2,"N/A",IF(ABS(G221)&lt;=H221,"OK","❌"))</f>
        <v>OK</v>
      </c>
      <c r="J221" s="102" t="s">
        <v>1932</v>
      </c>
      <c r="K221" s="4" t="str">
        <f aca="false">IF(I221=J221,"✔ sesuai","✖ TIDAK sesuai")</f>
        <v>✔ sesuai</v>
      </c>
      <c r="L221" s="103"/>
    </row>
    <row r="222" customFormat="false" ht="15" hidden="false" customHeight="false" outlineLevel="0" collapsed="false">
      <c r="A222" s="13" t="n">
        <v>216</v>
      </c>
      <c r="B222" s="13" t="s">
        <v>1958</v>
      </c>
      <c r="C222" s="13" t="s">
        <v>1960</v>
      </c>
      <c r="D222" s="13" t="n">
        <v>2023</v>
      </c>
      <c r="E222" s="50" t="n">
        <f aca="false">Schedules!F309</f>
        <v>792384606260</v>
      </c>
      <c r="F222" s="50" t="n">
        <f aca="false">-IS!F7</f>
        <v>792384606260</v>
      </c>
      <c r="G222" s="101" t="n">
        <f aca="false">IF(COUNT(E222:F222)=2,E222-F222,"")</f>
        <v>0</v>
      </c>
      <c r="H222" s="102" t="n">
        <v>1</v>
      </c>
      <c r="I222" s="4" t="str">
        <f aca="false">IF(COUNT(E222:F222)&lt;2,"N/A",IF(ABS(G222)&lt;=H222,"OK","❌"))</f>
        <v>OK</v>
      </c>
      <c r="J222" s="102" t="s">
        <v>1932</v>
      </c>
      <c r="K222" s="4" t="str">
        <f aca="false">IF(I222=J222,"✔ sesuai","✖ TIDAK sesuai")</f>
        <v>✔ sesuai</v>
      </c>
      <c r="L222" s="103"/>
    </row>
    <row r="223" customFormat="false" ht="15" hidden="false" customHeight="false" outlineLevel="0" collapsed="false">
      <c r="A223" s="13" t="n">
        <v>217</v>
      </c>
      <c r="B223" s="13" t="s">
        <v>1958</v>
      </c>
      <c r="C223" s="13" t="s">
        <v>1961</v>
      </c>
      <c r="D223" s="13" t="n">
        <v>2023</v>
      </c>
      <c r="E223" s="50" t="n">
        <f aca="false">Schedules!F315</f>
        <v>34852503763</v>
      </c>
      <c r="F223" s="50" t="n">
        <f aca="false">-IS!F9</f>
        <v>34852503763</v>
      </c>
      <c r="G223" s="101" t="n">
        <f aca="false">IF(COUNT(E223:F223)=2,E223-F223,"")</f>
        <v>0</v>
      </c>
      <c r="H223" s="102" t="n">
        <v>1</v>
      </c>
      <c r="I223" s="4" t="str">
        <f aca="false">IF(COUNT(E223:F223)&lt;2,"N/A",IF(ABS(G223)&lt;=H223,"OK","❌"))</f>
        <v>OK</v>
      </c>
      <c r="J223" s="102" t="s">
        <v>1932</v>
      </c>
      <c r="K223" s="4" t="str">
        <f aca="false">IF(I223=J223,"✔ sesuai","✖ TIDAK sesuai")</f>
        <v>✔ sesuai</v>
      </c>
      <c r="L223" s="103"/>
    </row>
    <row r="224" customFormat="false" ht="15" hidden="false" customHeight="false" outlineLevel="0" collapsed="false">
      <c r="A224" s="13" t="n">
        <v>218</v>
      </c>
      <c r="B224" s="13" t="s">
        <v>1958</v>
      </c>
      <c r="C224" s="13" t="s">
        <v>1962</v>
      </c>
      <c r="D224" s="13" t="n">
        <v>2023</v>
      </c>
      <c r="E224" s="50" t="n">
        <f aca="false">Schedules!F338</f>
        <v>570408858788</v>
      </c>
      <c r="F224" s="50" t="n">
        <f aca="false">-IS!F10</f>
        <v>570408858788</v>
      </c>
      <c r="G224" s="101" t="n">
        <f aca="false">IF(COUNT(E224:F224)=2,E224-F224,"")</f>
        <v>0</v>
      </c>
      <c r="H224" s="102" t="n">
        <v>1</v>
      </c>
      <c r="I224" s="4" t="str">
        <f aca="false">IF(COUNT(E224:F224)&lt;2,"N/A",IF(ABS(G224)&lt;=H224,"OK","❌"))</f>
        <v>OK</v>
      </c>
      <c r="J224" s="102" t="s">
        <v>1932</v>
      </c>
      <c r="K224" s="4" t="str">
        <f aca="false">IF(I224=J224,"✔ sesuai","✖ TIDAK sesuai")</f>
        <v>✔ sesuai</v>
      </c>
      <c r="L224" s="103"/>
    </row>
    <row r="225" customFormat="false" ht="15" hidden="false" customHeight="false" outlineLevel="0" collapsed="false">
      <c r="A225" s="13" t="n">
        <v>219</v>
      </c>
      <c r="B225" s="13" t="s">
        <v>1958</v>
      </c>
      <c r="C225" s="13" t="s">
        <v>1963</v>
      </c>
      <c r="D225" s="13" t="n">
        <v>2023</v>
      </c>
      <c r="E225" s="50" t="n">
        <f aca="false">Schedules!F115</f>
        <v>42198489975</v>
      </c>
      <c r="F225" s="50" t="n">
        <f aca="false">BS!F12</f>
        <v>42198489975</v>
      </c>
      <c r="G225" s="101" t="n">
        <f aca="false">IF(COUNT(E225:F225)=2,E225-F225,"")</f>
        <v>0</v>
      </c>
      <c r="H225" s="102" t="n">
        <v>1</v>
      </c>
      <c r="I225" s="4" t="str">
        <f aca="false">IF(COUNT(E225:F225)&lt;2,"N/A",IF(ABS(G225)&lt;=H225,"OK","❌"))</f>
        <v>OK</v>
      </c>
      <c r="J225" s="102" t="s">
        <v>1932</v>
      </c>
      <c r="K225" s="4" t="str">
        <f aca="false">IF(I225=J225,"✔ sesuai","✖ TIDAK sesuai")</f>
        <v>✔ sesuai</v>
      </c>
      <c r="L225" s="103"/>
    </row>
    <row r="226" customFormat="false" ht="15" hidden="false" customHeight="false" outlineLevel="0" collapsed="false">
      <c r="A226" s="13" t="n">
        <v>220</v>
      </c>
      <c r="B226" s="13" t="s">
        <v>1958</v>
      </c>
      <c r="C226" s="13" t="s">
        <v>1964</v>
      </c>
      <c r="D226" s="13" t="n">
        <v>2023</v>
      </c>
      <c r="E226" s="50" t="n">
        <f aca="false">Schedules!F98</f>
        <v>110468662796</v>
      </c>
      <c r="F226" s="50" t="n">
        <f aca="false">(BS!F9+BS!F8)</f>
        <v>110468662796</v>
      </c>
      <c r="G226" s="101" t="n">
        <f aca="false">IF(COUNT(E226:F226)=2,E226-F226,"")</f>
        <v>0</v>
      </c>
      <c r="H226" s="102" t="n">
        <v>1</v>
      </c>
      <c r="I226" s="4" t="str">
        <f aca="false">IF(COUNT(E226:F226)&lt;2,"N/A",IF(ABS(G226)&lt;=H226,"OK","❌"))</f>
        <v>OK</v>
      </c>
      <c r="J226" s="102" t="s">
        <v>1932</v>
      </c>
      <c r="K226" s="4" t="str">
        <f aca="false">IF(I226=J226,"✔ sesuai","✖ TIDAK sesuai")</f>
        <v>✔ sesuai</v>
      </c>
      <c r="L226" s="103"/>
    </row>
    <row r="227" customFormat="false" ht="15" hidden="false" customHeight="false" outlineLevel="0" collapsed="false">
      <c r="A227" s="13" t="n">
        <v>221</v>
      </c>
      <c r="B227" s="13" t="s">
        <v>1958</v>
      </c>
      <c r="C227" s="13" t="s">
        <v>1965</v>
      </c>
      <c r="D227" s="13" t="n">
        <v>2023</v>
      </c>
      <c r="E227" s="50" t="n">
        <f aca="false">Schedules!F155</f>
        <v>55770943580</v>
      </c>
      <c r="F227" s="50" t="n">
        <f aca="false">(BS!F30+BS!F29)</f>
        <v>55770943580</v>
      </c>
      <c r="G227" s="101" t="n">
        <f aca="false">IF(COUNT(E227:F227)=2,E227-F227,"")</f>
        <v>0</v>
      </c>
      <c r="H227" s="102" t="n">
        <v>1</v>
      </c>
      <c r="I227" s="4" t="str">
        <f aca="false">IF(COUNT(E227:F227)&lt;2,"N/A",IF(ABS(G227)&lt;=H227,"OK","❌"))</f>
        <v>OK</v>
      </c>
      <c r="J227" s="102" t="s">
        <v>1932</v>
      </c>
      <c r="K227" s="4" t="str">
        <f aca="false">IF(I227=J227,"✔ sesuai","✖ TIDAK sesuai")</f>
        <v>✔ sesuai</v>
      </c>
      <c r="L227" s="103"/>
    </row>
    <row r="228" customFormat="false" ht="15" hidden="false" customHeight="false" outlineLevel="0" collapsed="false">
      <c r="A228" s="13" t="n">
        <v>222</v>
      </c>
      <c r="B228" s="13" t="s">
        <v>1958</v>
      </c>
      <c r="C228" s="13" t="s">
        <v>1966</v>
      </c>
      <c r="D228" s="13" t="n">
        <v>2023</v>
      </c>
      <c r="E228" s="50" t="n">
        <f aca="false">Schedules!F141</f>
        <v>92775258119</v>
      </c>
      <c r="F228" s="50" t="n">
        <f aca="false">(BS!F37+BS!F43)</f>
        <v>92775258119</v>
      </c>
      <c r="G228" s="101" t="n">
        <f aca="false">IF(COUNT(E228:F228)=2,E228-F228,"")</f>
        <v>0</v>
      </c>
      <c r="H228" s="102" t="n">
        <v>1</v>
      </c>
      <c r="I228" s="4" t="str">
        <f aca="false">IF(COUNT(E228:F228)&lt;2,"N/A",IF(ABS(G228)&lt;=H228,"OK","❌"))</f>
        <v>OK</v>
      </c>
      <c r="J228" s="102" t="s">
        <v>1932</v>
      </c>
      <c r="K228" s="4" t="str">
        <f aca="false">IF(I228=J228,"✔ sesuai","✖ TIDAK sesuai")</f>
        <v>✔ sesuai</v>
      </c>
      <c r="L228" s="103"/>
    </row>
    <row r="229" customFormat="false" ht="15" hidden="false" customHeight="false" outlineLevel="0" collapsed="false">
      <c r="A229" s="13" t="n">
        <v>223</v>
      </c>
      <c r="B229" s="13" t="s">
        <v>1958</v>
      </c>
      <c r="C229" s="13" t="s">
        <v>1967</v>
      </c>
      <c r="D229" s="13" t="n">
        <v>2023</v>
      </c>
      <c r="E229" s="50" t="n">
        <f aca="false">Schedules!F242</f>
        <v>411753242245</v>
      </c>
      <c r="F229" s="50" t="n">
        <f aca="false">BS!F28</f>
        <v>411753242245</v>
      </c>
      <c r="G229" s="101" t="n">
        <f aca="false">IF(COUNT(E229:F229)=2,E229-F229,"")</f>
        <v>0</v>
      </c>
      <c r="H229" s="102" t="n">
        <v>1</v>
      </c>
      <c r="I229" s="4" t="str">
        <f aca="false">IF(COUNT(E229:F229)&lt;2,"N/A",IF(ABS(G229)&lt;=H229,"OK","❌"))</f>
        <v>OK</v>
      </c>
      <c r="J229" s="102" t="s">
        <v>1932</v>
      </c>
      <c r="K229" s="4" t="str">
        <f aca="false">IF(I229=J229,"✔ sesuai","✖ TIDAK sesuai")</f>
        <v>✔ sesuai</v>
      </c>
      <c r="L229" s="103"/>
    </row>
    <row r="230" customFormat="false" ht="15" hidden="false" customHeight="false" outlineLevel="0" collapsed="false">
      <c r="A230" s="13" t="n">
        <v>224</v>
      </c>
      <c r="B230" s="13" t="s">
        <v>1958</v>
      </c>
      <c r="C230" s="13" t="s">
        <v>1968</v>
      </c>
      <c r="D230" s="13" t="n">
        <v>2023</v>
      </c>
      <c r="E230" s="50" t="n">
        <f aca="false">Schedules!F253</f>
        <v>615424973148</v>
      </c>
      <c r="F230" s="50" t="n">
        <f aca="false">(BS!F36+BS!F42)</f>
        <v>615424973148</v>
      </c>
      <c r="G230" s="101" t="n">
        <f aca="false">IF(COUNT(E230:F230)=2,E230-F230,"")</f>
        <v>0</v>
      </c>
      <c r="H230" s="102" t="n">
        <v>1</v>
      </c>
      <c r="I230" s="4" t="str">
        <f aca="false">IF(COUNT(E230:F230)&lt;2,"N/A",IF(ABS(G230)&lt;=H230,"OK","❌"))</f>
        <v>OK</v>
      </c>
      <c r="J230" s="102" t="s">
        <v>1932</v>
      </c>
      <c r="K230" s="4" t="str">
        <f aca="false">IF(I230=J230,"✔ sesuai","✖ TIDAK sesuai")</f>
        <v>✔ sesuai</v>
      </c>
      <c r="L230" s="103"/>
    </row>
    <row r="231" customFormat="false" ht="15" hidden="false" customHeight="false" outlineLevel="0" collapsed="false">
      <c r="A231" s="13" t="n">
        <v>225</v>
      </c>
      <c r="B231" s="13" t="s">
        <v>1958</v>
      </c>
      <c r="C231" s="13" t="s">
        <v>1969</v>
      </c>
      <c r="D231" s="13" t="n">
        <v>2023</v>
      </c>
      <c r="E231" s="50" t="n">
        <f aca="false">Schedules!F175</f>
        <v>24093626876</v>
      </c>
      <c r="F231" s="50" t="n">
        <f aca="false">-IS!F21</f>
        <v>24093626876</v>
      </c>
      <c r="G231" s="101" t="n">
        <f aca="false">IF(COUNT(E231:F231)=2,E231-F231,"")</f>
        <v>0</v>
      </c>
      <c r="H231" s="102" t="n">
        <v>1</v>
      </c>
      <c r="I231" s="4" t="str">
        <f aca="false">IF(COUNT(E231:F231)&lt;2,"N/A",IF(ABS(G231)&lt;=H231,"OK","❌"))</f>
        <v>OK</v>
      </c>
      <c r="J231" s="102" t="s">
        <v>1932</v>
      </c>
      <c r="K231" s="4" t="str">
        <f aca="false">IF(I231=J231,"✔ sesuai","✖ TIDAK sesuai")</f>
        <v>✔ sesuai</v>
      </c>
      <c r="L231" s="103"/>
    </row>
    <row r="232" customFormat="false" ht="15" hidden="false" customHeight="false" outlineLevel="0" collapsed="false">
      <c r="A232" s="13" t="n">
        <v>226</v>
      </c>
      <c r="B232" s="13" t="s">
        <v>1958</v>
      </c>
      <c r="C232" s="13" t="s">
        <v>1970</v>
      </c>
      <c r="D232" s="13" t="n">
        <v>2023</v>
      </c>
      <c r="E232" s="50" t="n">
        <f aca="false">Schedules!F274</f>
        <v>25063931536</v>
      </c>
      <c r="F232" s="50" t="n">
        <f aca="false">BS!F41</f>
        <v>25063931536</v>
      </c>
      <c r="G232" s="101" t="n">
        <f aca="false">IF(COUNT(E232:F232)=2,E232-F232,"")</f>
        <v>0</v>
      </c>
      <c r="H232" s="102" t="n">
        <v>1</v>
      </c>
      <c r="I232" s="4" t="str">
        <f aca="false">IF(COUNT(E232:F232)&lt;2,"N/A",IF(ABS(G232)&lt;=H232,"OK","❌"))</f>
        <v>OK</v>
      </c>
      <c r="J232" s="102" t="s">
        <v>1932</v>
      </c>
      <c r="K232" s="4" t="str">
        <f aca="false">IF(I232=J232,"✔ sesuai","✖ TIDAK sesuai")</f>
        <v>✔ sesuai</v>
      </c>
      <c r="L232" s="103"/>
    </row>
    <row r="233" customFormat="false" ht="15" hidden="false" customHeight="false" outlineLevel="0" collapsed="false">
      <c r="A233" s="13" t="n">
        <v>227</v>
      </c>
      <c r="B233" s="13" t="s">
        <v>1958</v>
      </c>
      <c r="C233" s="13" t="s">
        <v>1971</v>
      </c>
      <c r="D233" s="13" t="n">
        <v>2023</v>
      </c>
      <c r="E233" s="50" t="n">
        <f aca="false">Schedules!F68</f>
        <v>1863253878489</v>
      </c>
      <c r="F233" s="50" t="n">
        <f aca="false">BS!F19</f>
        <v>1863253878489</v>
      </c>
      <c r="G233" s="101" t="n">
        <f aca="false">IF(COUNT(E233:F233)=2,E233-F233,"")</f>
        <v>0</v>
      </c>
      <c r="H233" s="102" t="n">
        <v>1</v>
      </c>
      <c r="I233" s="4" t="str">
        <f aca="false">IF(COUNT(E233:F233)&lt;2,"N/A",IF(ABS(G233)&lt;=H233,"OK","❌"))</f>
        <v>OK</v>
      </c>
      <c r="J233" s="102" t="s">
        <v>1932</v>
      </c>
      <c r="K233" s="4" t="str">
        <f aca="false">IF(I233=J233,"✔ sesuai","✖ TIDAK sesuai")</f>
        <v>✔ sesuai</v>
      </c>
      <c r="L233" s="103"/>
    </row>
    <row r="234" customFormat="false" ht="15" hidden="false" customHeight="false" outlineLevel="0" collapsed="false">
      <c r="A234" s="13" t="n">
        <v>228</v>
      </c>
      <c r="B234" s="13" t="s">
        <v>1958</v>
      </c>
      <c r="C234" s="13" t="s">
        <v>1972</v>
      </c>
      <c r="D234" s="13" t="n">
        <v>2023</v>
      </c>
      <c r="E234" s="50" t="n">
        <f aca="false">Schedules!F69</f>
        <v>102986330128</v>
      </c>
      <c r="F234" s="50" t="n">
        <f aca="false">BS!F20</f>
        <v>102986330128</v>
      </c>
      <c r="G234" s="101" t="n">
        <f aca="false">IF(COUNT(E234:F234)=2,E234-F234,"")</f>
        <v>0</v>
      </c>
      <c r="H234" s="102" t="n">
        <v>1</v>
      </c>
      <c r="I234" s="4" t="str">
        <f aca="false">IF(COUNT(E234:F234)&lt;2,"N/A",IF(ABS(G234)&lt;=H234,"OK","❌"))</f>
        <v>OK</v>
      </c>
      <c r="J234" s="102" t="s">
        <v>1932</v>
      </c>
      <c r="K234" s="4" t="str">
        <f aca="false">IF(I234=J234,"✔ sesuai","✖ TIDAK sesuai")</f>
        <v>✔ sesuai</v>
      </c>
      <c r="L234" s="103"/>
    </row>
    <row r="235" customFormat="false" ht="15" hidden="false" customHeight="false" outlineLevel="0" collapsed="false">
      <c r="A235" s="13" t="n">
        <v>229</v>
      </c>
      <c r="B235" s="13" t="s">
        <v>1973</v>
      </c>
      <c r="C235" s="13" t="s">
        <v>1974</v>
      </c>
      <c r="D235" s="13" t="n">
        <v>2023</v>
      </c>
      <c r="E235" s="50" t="n">
        <f aca="false">Schedules!F15+Schedules!F16</f>
        <v>94759038958</v>
      </c>
      <c r="F235" s="50" t="n">
        <f aca="false">Schedules!F14</f>
        <v>94759038958</v>
      </c>
      <c r="G235" s="101" t="n">
        <f aca="false">IF(COUNT(E235:F235)=2,E235-F235,"")</f>
        <v>0</v>
      </c>
      <c r="H235" s="102" t="n">
        <v>1</v>
      </c>
      <c r="I235" s="4" t="str">
        <f aca="false">IF(COUNT(E235:F235)&lt;2,"N/A",IF(ABS(G235)&lt;=H235,"OK","❌"))</f>
        <v>OK</v>
      </c>
      <c r="J235" s="102" t="s">
        <v>1932</v>
      </c>
      <c r="K235" s="4" t="str">
        <f aca="false">IF(I235=J235,"✔ sesuai","✖ TIDAK sesuai")</f>
        <v>✔ sesuai</v>
      </c>
      <c r="L235" s="103"/>
    </row>
    <row r="236" customFormat="false" ht="15" hidden="false" customHeight="false" outlineLevel="0" collapsed="false">
      <c r="A236" s="13" t="n">
        <v>230</v>
      </c>
      <c r="B236" s="13" t="s">
        <v>1973</v>
      </c>
      <c r="C236" s="13" t="s">
        <v>1975</v>
      </c>
      <c r="D236" s="13" t="n">
        <v>2023</v>
      </c>
      <c r="E236" s="50" t="n">
        <f aca="false">Schedules!F40</f>
        <v>2394902267489</v>
      </c>
      <c r="F236" s="50" t="n">
        <f aca="false">Schedules!F39</f>
        <v>2394902267489</v>
      </c>
      <c r="G236" s="101" t="n">
        <f aca="false">IF(COUNT(E236:F236)=2,E236-F236,"")</f>
        <v>0</v>
      </c>
      <c r="H236" s="102" t="n">
        <v>1</v>
      </c>
      <c r="I236" s="4" t="str">
        <f aca="false">IF(COUNT(E236:F236)&lt;2,"N/A",IF(ABS(G236)&lt;=H236,"OK","❌"))</f>
        <v>OK</v>
      </c>
      <c r="J236" s="102" t="s">
        <v>1932</v>
      </c>
      <c r="K236" s="4" t="str">
        <f aca="false">IF(I236=J236,"✔ sesuai","✖ TIDAK sesuai")</f>
        <v>✔ sesuai</v>
      </c>
      <c r="L236" s="103"/>
    </row>
    <row r="237" customFormat="false" ht="15" hidden="false" customHeight="false" outlineLevel="0" collapsed="false">
      <c r="A237" s="13" t="n">
        <v>231</v>
      </c>
      <c r="B237" s="13" t="s">
        <v>1973</v>
      </c>
      <c r="C237" s="13" t="s">
        <v>1976</v>
      </c>
      <c r="D237" s="13" t="n">
        <v>2023</v>
      </c>
      <c r="E237" s="50" t="n">
        <f aca="false">Schedules!F49</f>
        <v>531648389000</v>
      </c>
      <c r="F237" s="50" t="n">
        <f aca="false">Schedules!F48</f>
        <v>531648389000</v>
      </c>
      <c r="G237" s="101" t="n">
        <f aca="false">IF(COUNT(E237:F237)=2,E237-F237,"")</f>
        <v>0</v>
      </c>
      <c r="H237" s="102" t="n">
        <v>1</v>
      </c>
      <c r="I237" s="4" t="str">
        <f aca="false">IF(COUNT(E237:F237)&lt;2,"N/A",IF(ABS(G237)&lt;=H237,"OK","❌"))</f>
        <v>OK</v>
      </c>
      <c r="J237" s="102" t="s">
        <v>1932</v>
      </c>
      <c r="K237" s="4" t="str">
        <f aca="false">IF(I237=J237,"✔ sesuai","✖ TIDAK sesuai")</f>
        <v>✔ sesuai</v>
      </c>
      <c r="L237" s="103"/>
    </row>
    <row r="238" customFormat="false" ht="15" hidden="false" customHeight="false" outlineLevel="0" collapsed="false">
      <c r="A238" s="13" t="n">
        <v>232</v>
      </c>
      <c r="B238" s="13" t="s">
        <v>1973</v>
      </c>
      <c r="C238" s="13" t="s">
        <v>1977</v>
      </c>
      <c r="D238" s="13" t="n">
        <v>2023</v>
      </c>
      <c r="E238" s="50" t="n">
        <f aca="false">Schedules!F58</f>
        <v>153462960304</v>
      </c>
      <c r="F238" s="50" t="n">
        <f aca="false">Schedules!F57</f>
        <v>153462960304</v>
      </c>
      <c r="G238" s="101" t="n">
        <f aca="false">IF(COUNT(E238:F238)=2,E238-F238,"")</f>
        <v>0</v>
      </c>
      <c r="H238" s="102" t="n">
        <v>1</v>
      </c>
      <c r="I238" s="4" t="str">
        <f aca="false">IF(COUNT(E238:F238)&lt;2,"N/A",IF(ABS(G238)&lt;=H238,"OK","❌"))</f>
        <v>OK</v>
      </c>
      <c r="J238" s="102" t="s">
        <v>1932</v>
      </c>
      <c r="K238" s="4" t="str">
        <f aca="false">IF(I238=J238,"✔ sesuai","✖ TIDAK sesuai")</f>
        <v>✔ sesuai</v>
      </c>
      <c r="L238" s="103"/>
    </row>
    <row r="239" customFormat="false" ht="15" hidden="false" customHeight="false" outlineLevel="0" collapsed="false">
      <c r="A239" s="13" t="n">
        <v>233</v>
      </c>
      <c r="B239" s="13" t="s">
        <v>1973</v>
      </c>
      <c r="C239" s="13" t="s">
        <v>1978</v>
      </c>
      <c r="D239" s="13" t="n">
        <v>2023</v>
      </c>
      <c r="E239" s="50" t="n">
        <f aca="false">Schedules!F67</f>
        <v>50476630176</v>
      </c>
      <c r="F239" s="50" t="n">
        <f aca="false">Schedules!F66</f>
        <v>50476630176</v>
      </c>
      <c r="G239" s="101" t="n">
        <f aca="false">IF(COUNT(E239:F239)=2,E239-F239,"")</f>
        <v>0</v>
      </c>
      <c r="H239" s="102" t="n">
        <v>1</v>
      </c>
      <c r="I239" s="4" t="str">
        <f aca="false">IF(COUNT(E239:F239)&lt;2,"N/A",IF(ABS(G239)&lt;=H239,"OK","❌"))</f>
        <v>OK</v>
      </c>
      <c r="J239" s="102" t="s">
        <v>1932</v>
      </c>
      <c r="K239" s="4" t="str">
        <f aca="false">IF(I239=J239,"✔ sesuai","✖ TIDAK sesuai")</f>
        <v>✔ sesuai</v>
      </c>
      <c r="L239" s="103"/>
    </row>
    <row r="240" customFormat="false" ht="15" hidden="false" customHeight="false" outlineLevel="0" collapsed="false">
      <c r="A240" s="13" t="n">
        <v>234</v>
      </c>
      <c r="B240" s="13" t="s">
        <v>1958</v>
      </c>
      <c r="C240" s="13" t="s">
        <v>1979</v>
      </c>
      <c r="D240" s="13" t="n">
        <v>2023</v>
      </c>
      <c r="E240" s="50" t="n">
        <f aca="false">Schedules!F78</f>
        <v>210222760837</v>
      </c>
      <c r="F240" s="50" t="n">
        <f aca="false">BS!F56</f>
        <v>210222760837</v>
      </c>
      <c r="G240" s="101" t="n">
        <f aca="false">IF(COUNT(E240:F240)=2,E240-F240,"")</f>
        <v>0</v>
      </c>
      <c r="H240" s="102" t="n">
        <v>10</v>
      </c>
      <c r="I240" s="4" t="str">
        <f aca="false">IF(COUNT(E240:F240)&lt;2,"N/A",IF(ABS(G240)&lt;=H240,"OK","❌"))</f>
        <v>OK</v>
      </c>
      <c r="J240" s="102" t="s">
        <v>1932</v>
      </c>
      <c r="K240" s="4" t="str">
        <f aca="false">IF(I240=J240,"✔ sesuai","✖ TIDAK sesuai")</f>
        <v>✔ sesuai</v>
      </c>
      <c r="L240" s="103"/>
    </row>
    <row r="241" customFormat="false" ht="15" hidden="false" customHeight="false" outlineLevel="0" collapsed="false">
      <c r="A241" s="13" t="n">
        <v>235</v>
      </c>
      <c r="B241" s="13" t="s">
        <v>1958</v>
      </c>
      <c r="C241" s="13" t="s">
        <v>1980</v>
      </c>
      <c r="D241" s="13" t="n">
        <v>2023</v>
      </c>
      <c r="E241" s="50" t="n">
        <f aca="false">Schedules!F75</f>
        <v>8768294480</v>
      </c>
      <c r="F241" s="50" t="n">
        <f aca="false">IS!F34</f>
        <v>8768294480</v>
      </c>
      <c r="G241" s="101" t="n">
        <f aca="false">IF(COUNT(E241:F241)=2,E241-F241,"")</f>
        <v>0</v>
      </c>
      <c r="H241" s="102" t="n">
        <v>10</v>
      </c>
      <c r="I241" s="4" t="str">
        <f aca="false">IF(COUNT(E241:F241)&lt;2,"N/A",IF(ABS(G241)&lt;=H241,"OK","❌"))</f>
        <v>OK</v>
      </c>
      <c r="J241" s="102" t="s">
        <v>1932</v>
      </c>
      <c r="K241" s="4" t="str">
        <f aca="false">IF(I241=J241,"✔ sesuai","✖ TIDAK sesuai")</f>
        <v>✔ sesuai</v>
      </c>
      <c r="L241" s="103" t="s">
        <v>1981</v>
      </c>
    </row>
    <row r="242" customFormat="false" ht="15" hidden="false" customHeight="false" outlineLevel="0" collapsed="false">
      <c r="A242" s="13" t="n">
        <v>236</v>
      </c>
      <c r="B242" s="13" t="s">
        <v>1973</v>
      </c>
      <c r="C242" s="13" t="s">
        <v>1982</v>
      </c>
      <c r="D242" s="13" t="n">
        <v>2023</v>
      </c>
      <c r="E242" s="50" t="n">
        <f aca="false">Schedules!F79</f>
        <v>210222760837</v>
      </c>
      <c r="F242" s="50" t="n">
        <f aca="false">Schedules!F78</f>
        <v>210222760837</v>
      </c>
      <c r="G242" s="101" t="n">
        <f aca="false">IF(COUNT(E242:F242)=2,E242-F242,"")</f>
        <v>0</v>
      </c>
      <c r="H242" s="102" t="n">
        <v>10</v>
      </c>
      <c r="I242" s="4" t="str">
        <f aca="false">IF(COUNT(E242:F242)&lt;2,"N/A",IF(ABS(G242)&lt;=H242,"OK","❌"))</f>
        <v>OK</v>
      </c>
      <c r="J242" s="102" t="s">
        <v>1932</v>
      </c>
      <c r="K242" s="4" t="str">
        <f aca="false">IF(I242=J242,"✔ sesuai","✖ TIDAK sesuai")</f>
        <v>✔ sesuai</v>
      </c>
      <c r="L242" s="103"/>
    </row>
    <row r="243" customFormat="false" ht="15" hidden="false" customHeight="false" outlineLevel="0" collapsed="false">
      <c r="A243" s="13" t="n">
        <v>237</v>
      </c>
      <c r="B243" s="13" t="s">
        <v>1973</v>
      </c>
      <c r="C243" s="13" t="s">
        <v>1983</v>
      </c>
      <c r="D243" s="13" t="n">
        <v>2023</v>
      </c>
      <c r="E243" s="50" t="n">
        <f aca="false">Schedules!F80</f>
        <v>8768294480</v>
      </c>
      <c r="F243" s="50" t="n">
        <f aca="false">Schedules!F75</f>
        <v>8768294480</v>
      </c>
      <c r="G243" s="101" t="n">
        <f aca="false">IF(COUNT(E243:F243)=2,E243-F243,"")</f>
        <v>0</v>
      </c>
      <c r="H243" s="102" t="n">
        <v>10</v>
      </c>
      <c r="I243" s="4" t="str">
        <f aca="false">IF(COUNT(E243:F243)&lt;2,"N/A",IF(ABS(G243)&lt;=H243,"OK","❌"))</f>
        <v>OK</v>
      </c>
      <c r="J243" s="102" t="s">
        <v>1932</v>
      </c>
      <c r="K243" s="4" t="str">
        <f aca="false">IF(I243=J243,"✔ sesuai","✖ TIDAK sesuai")</f>
        <v>✔ sesuai</v>
      </c>
      <c r="L243" s="103"/>
    </row>
    <row r="244" customFormat="false" ht="15" hidden="false" customHeight="false" outlineLevel="0" collapsed="false">
      <c r="A244" s="13" t="n">
        <v>238</v>
      </c>
      <c r="B244" s="13" t="s">
        <v>1973</v>
      </c>
      <c r="C244" s="13" t="s">
        <v>1984</v>
      </c>
      <c r="D244" s="13" t="n">
        <v>2023</v>
      </c>
      <c r="E244" s="50" t="n">
        <f aca="false">Schedules!F116</f>
        <v>42198489975</v>
      </c>
      <c r="F244" s="50" t="n">
        <f aca="false">Schedules!F115</f>
        <v>42198489975</v>
      </c>
      <c r="G244" s="101" t="n">
        <f aca="false">IF(COUNT(E244:F244)=2,E244-F244,"")</f>
        <v>0</v>
      </c>
      <c r="H244" s="102" t="n">
        <v>1</v>
      </c>
      <c r="I244" s="4" t="str">
        <f aca="false">IF(COUNT(E244:F244)&lt;2,"N/A",IF(ABS(G244)&lt;=H244,"OK","❌"))</f>
        <v>OK</v>
      </c>
      <c r="J244" s="102" t="s">
        <v>1932</v>
      </c>
      <c r="K244" s="4" t="str">
        <f aca="false">IF(I244=J244,"✔ sesuai","✖ TIDAK sesuai")</f>
        <v>✔ sesuai</v>
      </c>
      <c r="L244" s="103"/>
    </row>
    <row r="245" customFormat="false" ht="15" hidden="false" customHeight="false" outlineLevel="0" collapsed="false">
      <c r="A245" s="13" t="n">
        <v>239</v>
      </c>
      <c r="B245" s="13" t="s">
        <v>1973</v>
      </c>
      <c r="C245" s="13" t="s">
        <v>1985</v>
      </c>
      <c r="D245" s="13" t="n">
        <v>2023</v>
      </c>
      <c r="E245" s="50" t="n">
        <f aca="false">Schedules!F142</f>
        <v>92775258119</v>
      </c>
      <c r="F245" s="50" t="n">
        <f aca="false">Schedules!F141</f>
        <v>92775258119</v>
      </c>
      <c r="G245" s="101" t="n">
        <f aca="false">IF(COUNT(E245:F245)=2,E245-F245,"")</f>
        <v>0</v>
      </c>
      <c r="H245" s="102" t="n">
        <v>1</v>
      </c>
      <c r="I245" s="4" t="str">
        <f aca="false">IF(COUNT(E245:F245)&lt;2,"N/A",IF(ABS(G245)&lt;=H245,"OK","❌"))</f>
        <v>OK</v>
      </c>
      <c r="J245" s="102" t="s">
        <v>1932</v>
      </c>
      <c r="K245" s="4" t="str">
        <f aca="false">IF(I245=J245,"✔ sesuai","✖ TIDAK sesuai")</f>
        <v>✔ sesuai</v>
      </c>
      <c r="L245" s="103"/>
    </row>
    <row r="246" customFormat="false" ht="15" hidden="false" customHeight="false" outlineLevel="0" collapsed="false">
      <c r="A246" s="13" t="n">
        <v>240</v>
      </c>
      <c r="B246" s="13" t="s">
        <v>1973</v>
      </c>
      <c r="C246" s="13" t="s">
        <v>1986</v>
      </c>
      <c r="D246" s="13" t="n">
        <v>2023</v>
      </c>
      <c r="E246" s="50" t="n">
        <f aca="false">Schedules!F147</f>
        <v>15786407124</v>
      </c>
      <c r="F246" s="50" t="n">
        <f aca="false">Schedules!F146</f>
        <v>15786407124</v>
      </c>
      <c r="G246" s="101" t="n">
        <f aca="false">IF(COUNT(E246:F246)=2,E246-F246,"")</f>
        <v>0</v>
      </c>
      <c r="H246" s="102" t="n">
        <v>1</v>
      </c>
      <c r="I246" s="4" t="str">
        <f aca="false">IF(COUNT(E246:F246)&lt;2,"N/A",IF(ABS(G246)&lt;=H246,"OK","❌"))</f>
        <v>OK</v>
      </c>
      <c r="J246" s="102" t="s">
        <v>1932</v>
      </c>
      <c r="K246" s="4" t="str">
        <f aca="false">IF(I246=J246,"✔ sesuai","✖ TIDAK sesuai")</f>
        <v>✔ sesuai</v>
      </c>
      <c r="L246" s="103"/>
    </row>
    <row r="247" customFormat="false" ht="15" hidden="false" customHeight="false" outlineLevel="0" collapsed="false">
      <c r="A247" s="13" t="n">
        <v>241</v>
      </c>
      <c r="B247" s="13" t="s">
        <v>1973</v>
      </c>
      <c r="C247" s="13" t="s">
        <v>1987</v>
      </c>
      <c r="D247" s="13" t="n">
        <v>2023</v>
      </c>
      <c r="E247" s="50" t="n">
        <f aca="false">Schedules!F157</f>
        <v>55770943580</v>
      </c>
      <c r="F247" s="50" t="n">
        <f aca="false">Schedules!F155</f>
        <v>55770943580</v>
      </c>
      <c r="G247" s="101" t="n">
        <f aca="false">IF(COUNT(E247:F247)=2,E247-F247,"")</f>
        <v>0</v>
      </c>
      <c r="H247" s="102" t="n">
        <v>1</v>
      </c>
      <c r="I247" s="4" t="str">
        <f aca="false">IF(COUNT(E247:F247)&lt;2,"N/A",IF(ABS(G247)&lt;=H247,"OK","❌"))</f>
        <v>OK</v>
      </c>
      <c r="J247" s="102" t="s">
        <v>1932</v>
      </c>
      <c r="K247" s="4" t="str">
        <f aca="false">IF(I247=J247,"✔ sesuai","✖ TIDAK sesuai")</f>
        <v>✔ sesuai</v>
      </c>
      <c r="L247" s="103"/>
    </row>
    <row r="248" customFormat="false" ht="15" hidden="false" customHeight="false" outlineLevel="0" collapsed="false">
      <c r="A248" s="13" t="n">
        <v>242</v>
      </c>
      <c r="B248" s="13" t="s">
        <v>1973</v>
      </c>
      <c r="C248" s="13" t="s">
        <v>1988</v>
      </c>
      <c r="D248" s="13" t="n">
        <v>2023</v>
      </c>
      <c r="E248" s="50" t="n">
        <f aca="false">Schedules!F177</f>
        <v>24093626876</v>
      </c>
      <c r="F248" s="50" t="n">
        <f aca="false">Schedules!F175</f>
        <v>24093626876</v>
      </c>
      <c r="G248" s="101" t="n">
        <f aca="false">IF(COUNT(E248:F248)=2,E248-F248,"")</f>
        <v>0</v>
      </c>
      <c r="H248" s="102" t="n">
        <v>1</v>
      </c>
      <c r="I248" s="4" t="str">
        <f aca="false">IF(COUNT(E248:F248)&lt;2,"N/A",IF(ABS(G248)&lt;=H248,"OK","❌"))</f>
        <v>OK</v>
      </c>
      <c r="J248" s="102" t="s">
        <v>1932</v>
      </c>
      <c r="K248" s="4" t="str">
        <f aca="false">IF(I248=J248,"✔ sesuai","✖ TIDAK sesuai")</f>
        <v>✔ sesuai</v>
      </c>
      <c r="L248" s="103"/>
    </row>
    <row r="249" customFormat="false" ht="15" hidden="false" customHeight="false" outlineLevel="0" collapsed="false">
      <c r="A249" s="13" t="n">
        <v>243</v>
      </c>
      <c r="B249" s="13" t="s">
        <v>1973</v>
      </c>
      <c r="C249" s="13" t="s">
        <v>1989</v>
      </c>
      <c r="D249" s="13" t="n">
        <v>2023</v>
      </c>
      <c r="E249" s="50" t="n">
        <f aca="false">Schedules!F244</f>
        <v>411753242245</v>
      </c>
      <c r="F249" s="50" t="n">
        <f aca="false">Schedules!F242</f>
        <v>411753242245</v>
      </c>
      <c r="G249" s="101" t="n">
        <f aca="false">IF(COUNT(E249:F249)=2,E249-F249,"")</f>
        <v>0</v>
      </c>
      <c r="H249" s="102" t="n">
        <v>1</v>
      </c>
      <c r="I249" s="4" t="str">
        <f aca="false">IF(COUNT(E249:F249)&lt;2,"N/A",IF(ABS(G249)&lt;=H249,"OK","❌"))</f>
        <v>OK</v>
      </c>
      <c r="J249" s="102" t="s">
        <v>1932</v>
      </c>
      <c r="K249" s="4" t="str">
        <f aca="false">IF(I249=J249,"✔ sesuai","✖ TIDAK sesuai")</f>
        <v>✔ sesuai</v>
      </c>
      <c r="L249" s="103"/>
    </row>
    <row r="250" customFormat="false" ht="15" hidden="false" customHeight="false" outlineLevel="0" collapsed="false">
      <c r="A250" s="13" t="n">
        <v>244</v>
      </c>
      <c r="B250" s="13" t="s">
        <v>1973</v>
      </c>
      <c r="C250" s="13" t="s">
        <v>1990</v>
      </c>
      <c r="D250" s="13" t="n">
        <v>2023</v>
      </c>
      <c r="E250" s="50" t="n">
        <f aca="false">Schedules!F250</f>
        <v>619752977728</v>
      </c>
      <c r="F250" s="50" t="n">
        <f aca="false">Schedules!F248</f>
        <v>619752977728</v>
      </c>
      <c r="G250" s="101" t="n">
        <f aca="false">IF(COUNT(E250:F250)=2,E250-F250,"")</f>
        <v>0</v>
      </c>
      <c r="H250" s="102" t="n">
        <v>1</v>
      </c>
      <c r="I250" s="4" t="str">
        <f aca="false">IF(COUNT(E250:F250)&lt;2,"N/A",IF(ABS(G250)&lt;=H250,"OK","❌"))</f>
        <v>OK</v>
      </c>
      <c r="J250" s="102" t="s">
        <v>1932</v>
      </c>
      <c r="K250" s="4" t="str">
        <f aca="false">IF(I250=J250,"✔ sesuai","✖ TIDAK sesuai")</f>
        <v>✔ sesuai</v>
      </c>
      <c r="L250" s="103"/>
    </row>
    <row r="251" customFormat="false" ht="15" hidden="false" customHeight="false" outlineLevel="0" collapsed="false">
      <c r="A251" s="13" t="n">
        <v>245</v>
      </c>
      <c r="B251" s="13" t="s">
        <v>1973</v>
      </c>
      <c r="C251" s="13" t="s">
        <v>1991</v>
      </c>
      <c r="D251" s="13" t="n">
        <v>2023</v>
      </c>
      <c r="E251" s="50" t="n">
        <f aca="false">Schedules!F267</f>
        <v>6484009640</v>
      </c>
      <c r="F251" s="50" t="n">
        <f aca="false">Schedules!F266</f>
        <v>6484009640</v>
      </c>
      <c r="G251" s="101" t="n">
        <f aca="false">IF(COUNT(E251:F251)=2,E251-F251,"")</f>
        <v>0</v>
      </c>
      <c r="H251" s="102" t="n">
        <v>1</v>
      </c>
      <c r="I251" s="4" t="str">
        <f aca="false">IF(COUNT(E251:F251)&lt;2,"N/A",IF(ABS(G251)&lt;=H251,"OK","❌"))</f>
        <v>OK</v>
      </c>
      <c r="J251" s="102" t="s">
        <v>1932</v>
      </c>
      <c r="K251" s="4" t="str">
        <f aca="false">IF(I251=J251,"✔ sesuai","✖ TIDAK sesuai")</f>
        <v>✔ sesuai</v>
      </c>
      <c r="L251" s="103"/>
    </row>
    <row r="252" customFormat="false" ht="15" hidden="false" customHeight="false" outlineLevel="0" collapsed="false">
      <c r="A252" s="13" t="n">
        <v>246</v>
      </c>
      <c r="B252" s="13" t="s">
        <v>1973</v>
      </c>
      <c r="C252" s="13" t="s">
        <v>1992</v>
      </c>
      <c r="D252" s="13" t="n">
        <v>2023</v>
      </c>
      <c r="E252" s="50" t="n">
        <f aca="false">Schedules!F299</f>
        <v>1558974602697</v>
      </c>
      <c r="F252" s="50" t="n">
        <f aca="false">Schedules!F298</f>
        <v>1558974602697</v>
      </c>
      <c r="G252" s="101" t="n">
        <f aca="false">IF(COUNT(E252:F252)=2,E252-F252,"")</f>
        <v>0</v>
      </c>
      <c r="H252" s="102" t="n">
        <v>1</v>
      </c>
      <c r="I252" s="4" t="str">
        <f aca="false">IF(COUNT(E252:F252)&lt;2,"N/A",IF(ABS(G252)&lt;=H252,"OK","❌"))</f>
        <v>OK</v>
      </c>
      <c r="J252" s="102" t="s">
        <v>1932</v>
      </c>
      <c r="K252" s="4" t="str">
        <f aca="false">IF(I252=J252,"✔ sesuai","✖ TIDAK sesuai")</f>
        <v>✔ sesuai</v>
      </c>
      <c r="L252" s="103"/>
    </row>
    <row r="253" customFormat="false" ht="15" hidden="false" customHeight="false" outlineLevel="0" collapsed="false">
      <c r="A253" s="13" t="n">
        <v>247</v>
      </c>
      <c r="B253" s="13" t="s">
        <v>1973</v>
      </c>
      <c r="C253" s="13" t="s">
        <v>1993</v>
      </c>
      <c r="D253" s="13" t="n">
        <v>2023</v>
      </c>
      <c r="E253" s="50" t="n">
        <f aca="false">Schedules!F310</f>
        <v>792384606260</v>
      </c>
      <c r="F253" s="50" t="n">
        <f aca="false">Schedules!F309</f>
        <v>792384606260</v>
      </c>
      <c r="G253" s="101" t="n">
        <f aca="false">IF(COUNT(E253:F253)=2,E253-F253,"")</f>
        <v>0</v>
      </c>
      <c r="H253" s="102" t="n">
        <v>1</v>
      </c>
      <c r="I253" s="4" t="str">
        <f aca="false">IF(COUNT(E253:F253)&lt;2,"N/A",IF(ABS(G253)&lt;=H253,"OK","❌"))</f>
        <v>OK</v>
      </c>
      <c r="J253" s="102" t="s">
        <v>1932</v>
      </c>
      <c r="K253" s="4" t="str">
        <f aca="false">IF(I253=J253,"✔ sesuai","✖ TIDAK sesuai")</f>
        <v>✔ sesuai</v>
      </c>
      <c r="L253" s="103"/>
    </row>
    <row r="254" customFormat="false" ht="15" hidden="false" customHeight="false" outlineLevel="0" collapsed="false">
      <c r="A254" s="13" t="n">
        <v>248</v>
      </c>
      <c r="B254" s="13" t="s">
        <v>1973</v>
      </c>
      <c r="C254" s="13" t="s">
        <v>1994</v>
      </c>
      <c r="D254" s="13" t="n">
        <v>2023</v>
      </c>
      <c r="E254" s="50" t="n">
        <f aca="false">Schedules!F316</f>
        <v>34852503763</v>
      </c>
      <c r="F254" s="50" t="n">
        <f aca="false">Schedules!F315</f>
        <v>34852503763</v>
      </c>
      <c r="G254" s="101" t="n">
        <f aca="false">IF(COUNT(E254:F254)=2,E254-F254,"")</f>
        <v>0</v>
      </c>
      <c r="H254" s="102" t="n">
        <v>1</v>
      </c>
      <c r="I254" s="4" t="str">
        <f aca="false">IF(COUNT(E254:F254)&lt;2,"N/A",IF(ABS(G254)&lt;=H254,"OK","❌"))</f>
        <v>OK</v>
      </c>
      <c r="J254" s="102" t="s">
        <v>1932</v>
      </c>
      <c r="K254" s="4" t="str">
        <f aca="false">IF(I254=J254,"✔ sesuai","✖ TIDAK sesuai")</f>
        <v>✔ sesuai</v>
      </c>
      <c r="L254" s="103"/>
    </row>
    <row r="255" customFormat="false" ht="15" hidden="false" customHeight="false" outlineLevel="0" collapsed="false">
      <c r="A255" s="13" t="n">
        <v>249</v>
      </c>
      <c r="B255" s="13" t="s">
        <v>1973</v>
      </c>
      <c r="C255" s="13" t="s">
        <v>1995</v>
      </c>
      <c r="D255" s="13" t="n">
        <v>2023</v>
      </c>
      <c r="E255" s="50" t="n">
        <f aca="false">Schedules!F339</f>
        <v>570408858788</v>
      </c>
      <c r="F255" s="50" t="n">
        <f aca="false">Schedules!F338</f>
        <v>570408858788</v>
      </c>
      <c r="G255" s="101" t="n">
        <f aca="false">IF(COUNT(E255:F255)=2,E255-F255,"")</f>
        <v>0</v>
      </c>
      <c r="H255" s="102" t="n">
        <v>1</v>
      </c>
      <c r="I255" s="4" t="str">
        <f aca="false">IF(COUNT(E255:F255)&lt;2,"N/A",IF(ABS(G255)&lt;=H255,"OK","❌"))</f>
        <v>OK</v>
      </c>
      <c r="J255" s="102" t="s">
        <v>1932</v>
      </c>
      <c r="K255" s="4" t="str">
        <f aca="false">IF(I255=J255,"✔ sesuai","✖ TIDAK sesuai")</f>
        <v>✔ sesuai</v>
      </c>
      <c r="L255" s="103"/>
    </row>
    <row r="256" customFormat="false" ht="15" hidden="false" customHeight="false" outlineLevel="0" collapsed="false">
      <c r="A256" s="13" t="n">
        <v>250</v>
      </c>
      <c r="B256" s="13" t="s">
        <v>2000</v>
      </c>
      <c r="C256" s="13" t="s">
        <v>2001</v>
      </c>
      <c r="D256" s="13" t="n">
        <v>2023</v>
      </c>
      <c r="E256" s="70" t="n">
        <f aca="false">IS!F37</f>
        <v>0.9</v>
      </c>
      <c r="F256" s="70" t="n">
        <f aca="false">ROUND(IS!F33/8603416176,2)</f>
        <v>0.87</v>
      </c>
      <c r="G256" s="104" t="n">
        <f aca="false">IF(COUNT(E256:F256)=2,E256-F256,"")</f>
        <v>0.03</v>
      </c>
      <c r="H256" s="102" t="n">
        <v>0.05</v>
      </c>
      <c r="I256" s="4" t="str">
        <f aca="false">IF(COUNT(E256:F256)&lt;2,"N/A",IF(ABS(G256)&lt;=H256,"OK","❌"))</f>
        <v>OK</v>
      </c>
      <c r="J256" s="102" t="s">
        <v>1932</v>
      </c>
      <c r="K256" s="4" t="str">
        <f aca="false">IF(I256=J256,"✔ sesuai","✖ TIDAK sesuai")</f>
        <v>✔ sesuai</v>
      </c>
      <c r="L256" s="103"/>
    </row>
    <row r="257" customFormat="false" ht="15" hidden="false" customHeight="false" outlineLevel="0" collapsed="false">
      <c r="A257" s="13" t="n">
        <v>251</v>
      </c>
      <c r="B257" s="13" t="s">
        <v>1930</v>
      </c>
      <c r="C257" s="13" t="s">
        <v>1931</v>
      </c>
      <c r="D257" s="13" t="n">
        <v>2024</v>
      </c>
      <c r="E257" s="50" t="n">
        <f aca="false">IS!G8</f>
        <v>707137015492</v>
      </c>
      <c r="F257" s="50" t="n">
        <f aca="false">IS!G39</f>
        <v>707137015492</v>
      </c>
      <c r="G257" s="101" t="n">
        <f aca="false">IF(COUNT(E257:F257)=2,E257-F257,"")</f>
        <v>0</v>
      </c>
      <c r="H257" s="102" t="n">
        <v>1</v>
      </c>
      <c r="I257" s="4" t="str">
        <f aca="false">IF(COUNT(E257:F257)&lt;2,"N/A",IF(ABS(G257)&lt;=H257,"OK","❌"))</f>
        <v>OK</v>
      </c>
      <c r="J257" s="102" t="s">
        <v>1932</v>
      </c>
      <c r="K257" s="4" t="str">
        <f aca="false">IF(I257=J257,"✔ sesuai","✖ TIDAK sesuai")</f>
        <v>✔ sesuai</v>
      </c>
      <c r="L257" s="103"/>
    </row>
    <row r="258" customFormat="false" ht="15" hidden="false" customHeight="false" outlineLevel="0" collapsed="false">
      <c r="A258" s="13" t="n">
        <v>252</v>
      </c>
      <c r="B258" s="13" t="s">
        <v>1930</v>
      </c>
      <c r="C258" s="13" t="s">
        <v>1933</v>
      </c>
      <c r="D258" s="13" t="n">
        <v>2024</v>
      </c>
      <c r="E258" s="50" t="n">
        <f aca="false">IS!G11</f>
        <v>-608070432997</v>
      </c>
      <c r="F258" s="50" t="n">
        <f aca="false">IS!G40</f>
        <v>-608070432997</v>
      </c>
      <c r="G258" s="101" t="n">
        <f aca="false">IF(COUNT(E258:F258)=2,E258-F258,"")</f>
        <v>0</v>
      </c>
      <c r="H258" s="102" t="n">
        <v>1</v>
      </c>
      <c r="I258" s="4" t="str">
        <f aca="false">IF(COUNT(E258:F258)&lt;2,"N/A",IF(ABS(G258)&lt;=H258,"OK","❌"))</f>
        <v>OK</v>
      </c>
      <c r="J258" s="102" t="s">
        <v>1932</v>
      </c>
      <c r="K258" s="4" t="str">
        <f aca="false">IF(I258=J258,"✔ sesuai","✖ TIDAK sesuai")</f>
        <v>✔ sesuai</v>
      </c>
      <c r="L258" s="103"/>
    </row>
    <row r="259" customFormat="false" ht="15" hidden="false" customHeight="false" outlineLevel="0" collapsed="false">
      <c r="A259" s="13" t="n">
        <v>253</v>
      </c>
      <c r="B259" s="13" t="s">
        <v>1930</v>
      </c>
      <c r="C259" s="13" t="s">
        <v>1934</v>
      </c>
      <c r="D259" s="13" t="n">
        <v>2024</v>
      </c>
      <c r="E259" s="50" t="n">
        <f aca="false">IS!G17</f>
        <v>38593731509</v>
      </c>
      <c r="F259" s="50" t="n">
        <f aca="false">IS!G41</f>
        <v>38593731509</v>
      </c>
      <c r="G259" s="101" t="n">
        <f aca="false">IF(COUNT(E259:F259)=2,E259-F259,"")</f>
        <v>0</v>
      </c>
      <c r="H259" s="102" t="n">
        <v>1</v>
      </c>
      <c r="I259" s="4" t="str">
        <f aca="false">IF(COUNT(E259:F259)&lt;2,"N/A",IF(ABS(G259)&lt;=H259,"OK","❌"))</f>
        <v>OK</v>
      </c>
      <c r="J259" s="102" t="s">
        <v>1932</v>
      </c>
      <c r="K259" s="4" t="str">
        <f aca="false">IF(I259=J259,"✔ sesuai","✖ TIDAK sesuai")</f>
        <v>✔ sesuai</v>
      </c>
      <c r="L259" s="103"/>
    </row>
    <row r="260" customFormat="false" ht="15" hidden="false" customHeight="false" outlineLevel="0" collapsed="false">
      <c r="A260" s="13" t="n">
        <v>254</v>
      </c>
      <c r="B260" s="13" t="s">
        <v>1930</v>
      </c>
      <c r="C260" s="13" t="s">
        <v>1935</v>
      </c>
      <c r="D260" s="13" t="n">
        <v>2024</v>
      </c>
      <c r="E260" s="50" t="n">
        <f aca="false">IS!G21</f>
        <v>-19697947242</v>
      </c>
      <c r="F260" s="50" t="n">
        <f aca="false">IS!G42</f>
        <v>-19697947242</v>
      </c>
      <c r="G260" s="101" t="n">
        <f aca="false">IF(COUNT(E260:F260)=2,E260-F260,"")</f>
        <v>0</v>
      </c>
      <c r="H260" s="102" t="n">
        <v>1</v>
      </c>
      <c r="I260" s="4" t="str">
        <f aca="false">IF(COUNT(E260:F260)&lt;2,"N/A",IF(ABS(G260)&lt;=H260,"OK","❌"))</f>
        <v>OK</v>
      </c>
      <c r="J260" s="102" t="s">
        <v>1932</v>
      </c>
      <c r="K260" s="4" t="str">
        <f aca="false">IF(I260=J260,"✔ sesuai","✖ TIDAK sesuai")</f>
        <v>✔ sesuai</v>
      </c>
      <c r="L260" s="103"/>
    </row>
    <row r="261" customFormat="false" ht="15" hidden="false" customHeight="false" outlineLevel="0" collapsed="false">
      <c r="A261" s="13" t="n">
        <v>255</v>
      </c>
      <c r="B261" s="13" t="s">
        <v>1930</v>
      </c>
      <c r="C261" s="13" t="s">
        <v>1936</v>
      </c>
      <c r="D261" s="13" t="n">
        <v>2024</v>
      </c>
      <c r="E261" s="50" t="n">
        <f aca="false">IS!G22</f>
        <v>18895784267</v>
      </c>
      <c r="F261" s="50" t="n">
        <f aca="false">IS!G43</f>
        <v>18895784267</v>
      </c>
      <c r="G261" s="101" t="n">
        <f aca="false">IF(COUNT(E261:F261)=2,E261-F261,"")</f>
        <v>0</v>
      </c>
      <c r="H261" s="102" t="n">
        <v>1</v>
      </c>
      <c r="I261" s="4" t="str">
        <f aca="false">IF(COUNT(E261:F261)&lt;2,"N/A",IF(ABS(G261)&lt;=H261,"OK","❌"))</f>
        <v>OK</v>
      </c>
      <c r="J261" s="102" t="s">
        <v>1932</v>
      </c>
      <c r="K261" s="4" t="str">
        <f aca="false">IF(I261=J261,"✔ sesuai","✖ TIDAK sesuai")</f>
        <v>✔ sesuai</v>
      </c>
      <c r="L261" s="103"/>
    </row>
    <row r="262" customFormat="false" ht="15" hidden="false" customHeight="false" outlineLevel="0" collapsed="false">
      <c r="A262" s="13" t="n">
        <v>256</v>
      </c>
      <c r="B262" s="13" t="s">
        <v>1930</v>
      </c>
      <c r="C262" s="13" t="s">
        <v>1937</v>
      </c>
      <c r="D262" s="13" t="n">
        <v>2024</v>
      </c>
      <c r="E262" s="50" t="n">
        <f aca="false">IS!G30</f>
        <v>-4032005043</v>
      </c>
      <c r="F262" s="50" t="n">
        <f aca="false">IS!G44</f>
        <v>-4032005043</v>
      </c>
      <c r="G262" s="101" t="n">
        <f aca="false">IF(COUNT(E262:F262)=2,E262-F262,"")</f>
        <v>0</v>
      </c>
      <c r="H262" s="102" t="n">
        <v>1</v>
      </c>
      <c r="I262" s="4" t="str">
        <f aca="false">IF(COUNT(E262:F262)&lt;2,"N/A",IF(ABS(G262)&lt;=H262,"OK","❌"))</f>
        <v>OK</v>
      </c>
      <c r="J262" s="102" t="s">
        <v>1932</v>
      </c>
      <c r="K262" s="4" t="str">
        <f aca="false">IF(I262=J262,"✔ sesuai","✖ TIDAK sesuai")</f>
        <v>✔ sesuai</v>
      </c>
      <c r="L262" s="103"/>
    </row>
    <row r="263" customFormat="false" ht="15" hidden="false" customHeight="false" outlineLevel="0" collapsed="false">
      <c r="A263" s="13" t="n">
        <v>257</v>
      </c>
      <c r="B263" s="13" t="s">
        <v>1930</v>
      </c>
      <c r="C263" s="13" t="s">
        <v>1938</v>
      </c>
      <c r="D263" s="13" t="n">
        <v>2024</v>
      </c>
      <c r="E263" s="50" t="n">
        <f aca="false">IS!G31</f>
        <v>14863779224</v>
      </c>
      <c r="F263" s="50" t="n">
        <f aca="false">IS!G45</f>
        <v>14863779223</v>
      </c>
      <c r="G263" s="101" t="n">
        <f aca="false">IF(COUNT(E263:F263)=2,E263-F263,"")</f>
        <v>1</v>
      </c>
      <c r="H263" s="102" t="n">
        <v>1</v>
      </c>
      <c r="I263" s="4" t="str">
        <f aca="false">IF(COUNT(E263:F263)&lt;2,"N/A",IF(ABS(G263)&lt;=H263,"OK","❌"))</f>
        <v>OK</v>
      </c>
      <c r="J263" s="102" t="s">
        <v>1932</v>
      </c>
      <c r="K263" s="4" t="str">
        <f aca="false">IF(I263=J263,"✔ sesuai","✖ TIDAK sesuai")</f>
        <v>✔ sesuai</v>
      </c>
      <c r="L263" s="103"/>
    </row>
    <row r="264" customFormat="false" ht="15" hidden="false" customHeight="false" outlineLevel="0" collapsed="false">
      <c r="A264" s="13" t="n">
        <v>258</v>
      </c>
      <c r="B264" s="13" t="s">
        <v>1930</v>
      </c>
      <c r="C264" s="13" t="s">
        <v>1938</v>
      </c>
      <c r="D264" s="13" t="n">
        <v>2024</v>
      </c>
      <c r="E264" s="50" t="n">
        <f aca="false">IS!G31</f>
        <v>14863779224</v>
      </c>
      <c r="F264" s="50" t="n">
        <f aca="false">IS!G46</f>
        <v>14863779224</v>
      </c>
      <c r="G264" s="101" t="n">
        <f aca="false">IF(COUNT(E264:F264)=2,E264-F264,"")</f>
        <v>0</v>
      </c>
      <c r="H264" s="102" t="n">
        <v>1</v>
      </c>
      <c r="I264" s="4" t="str">
        <f aca="false">IF(COUNT(E264:F264)&lt;2,"N/A",IF(ABS(G264)&lt;=H264,"OK","❌"))</f>
        <v>OK</v>
      </c>
      <c r="J264" s="102" t="s">
        <v>1932</v>
      </c>
      <c r="K264" s="4" t="str">
        <f aca="false">IF(I264=J264,"✔ sesuai","✖ TIDAK sesuai")</f>
        <v>✔ sesuai</v>
      </c>
      <c r="L264" s="103"/>
    </row>
    <row r="265" customFormat="false" ht="15" hidden="false" customHeight="false" outlineLevel="0" collapsed="false">
      <c r="A265" s="13" t="n">
        <v>259</v>
      </c>
      <c r="B265" s="13" t="s">
        <v>1930</v>
      </c>
      <c r="C265" s="13" t="s">
        <v>1939</v>
      </c>
      <c r="D265" s="13" t="n">
        <v>2024</v>
      </c>
      <c r="E265" s="50" t="n">
        <f aca="false">BS!G15</f>
        <v>1088880785952</v>
      </c>
      <c r="F265" s="50" t="n">
        <f aca="false">BS!G60</f>
        <v>1088880785952</v>
      </c>
      <c r="G265" s="101" t="n">
        <f aca="false">IF(COUNT(E265:F265)=2,E265-F265,"")</f>
        <v>0</v>
      </c>
      <c r="H265" s="102" t="n">
        <v>1</v>
      </c>
      <c r="I265" s="4" t="str">
        <f aca="false">IF(COUNT(E265:F265)&lt;2,"N/A",IF(ABS(G265)&lt;=H265,"OK","❌"))</f>
        <v>OK</v>
      </c>
      <c r="J265" s="102" t="s">
        <v>1932</v>
      </c>
      <c r="K265" s="4" t="str">
        <f aca="false">IF(I265=J265,"✔ sesuai","✖ TIDAK sesuai")</f>
        <v>✔ sesuai</v>
      </c>
      <c r="L265" s="103"/>
    </row>
    <row r="266" customFormat="false" ht="15" hidden="false" customHeight="false" outlineLevel="0" collapsed="false">
      <c r="A266" s="13" t="n">
        <v>260</v>
      </c>
      <c r="B266" s="13" t="s">
        <v>1930</v>
      </c>
      <c r="C266" s="13" t="s">
        <v>1940</v>
      </c>
      <c r="D266" s="13" t="n">
        <v>2024</v>
      </c>
      <c r="E266" s="50" t="n">
        <f aca="false">BS!G25</f>
        <v>2357480117796</v>
      </c>
      <c r="F266" s="50" t="n">
        <f aca="false">BS!G61</f>
        <v>2357480117796</v>
      </c>
      <c r="G266" s="101" t="n">
        <f aca="false">IF(COUNT(E266:F266)=2,E266-F266,"")</f>
        <v>0</v>
      </c>
      <c r="H266" s="102" t="n">
        <v>1</v>
      </c>
      <c r="I266" s="4" t="str">
        <f aca="false">IF(COUNT(E266:F266)&lt;2,"N/A",IF(ABS(G266)&lt;=H266,"OK","❌"))</f>
        <v>OK</v>
      </c>
      <c r="J266" s="102" t="s">
        <v>1932</v>
      </c>
      <c r="K266" s="4" t="str">
        <f aca="false">IF(I266=J266,"✔ sesuai","✖ TIDAK sesuai")</f>
        <v>✔ sesuai</v>
      </c>
      <c r="L266" s="103"/>
    </row>
    <row r="267" customFormat="false" ht="15" hidden="false" customHeight="false" outlineLevel="0" collapsed="false">
      <c r="A267" s="13" t="n">
        <v>261</v>
      </c>
      <c r="B267" s="13" t="s">
        <v>1930</v>
      </c>
      <c r="C267" s="13" t="s">
        <v>1941</v>
      </c>
      <c r="D267" s="13" t="n">
        <v>2024</v>
      </c>
      <c r="E267" s="50" t="n">
        <f aca="false">BS!G26</f>
        <v>3446360903748</v>
      </c>
      <c r="F267" s="50" t="n">
        <f aca="false">BS!G62</f>
        <v>3446360903748</v>
      </c>
      <c r="G267" s="101" t="n">
        <f aca="false">IF(COUNT(E267:F267)=2,E267-F267,"")</f>
        <v>0</v>
      </c>
      <c r="H267" s="102" t="n">
        <v>1</v>
      </c>
      <c r="I267" s="4" t="str">
        <f aca="false">IF(COUNT(E267:F267)&lt;2,"N/A",IF(ABS(G267)&lt;=H267,"OK","❌"))</f>
        <v>OK</v>
      </c>
      <c r="J267" s="102" t="s">
        <v>1932</v>
      </c>
      <c r="K267" s="4" t="str">
        <f aca="false">IF(I267=J267,"✔ sesuai","✖ TIDAK sesuai")</f>
        <v>✔ sesuai</v>
      </c>
      <c r="L267" s="103"/>
    </row>
    <row r="268" customFormat="false" ht="15" hidden="false" customHeight="false" outlineLevel="0" collapsed="false">
      <c r="A268" s="13" t="n">
        <v>262</v>
      </c>
      <c r="B268" s="13" t="s">
        <v>1930</v>
      </c>
      <c r="C268" s="13" t="s">
        <v>1942</v>
      </c>
      <c r="D268" s="13" t="n">
        <v>2024</v>
      </c>
      <c r="E268" s="50" t="n">
        <f aca="false">BS!G38</f>
        <v>568415968476</v>
      </c>
      <c r="F268" s="50" t="n">
        <f aca="false">BS!G63</f>
        <v>568415968476</v>
      </c>
      <c r="G268" s="101" t="n">
        <f aca="false">IF(COUNT(E268:F268)=2,E268-F268,"")</f>
        <v>0</v>
      </c>
      <c r="H268" s="102" t="n">
        <v>1</v>
      </c>
      <c r="I268" s="4" t="str">
        <f aca="false">IF(COUNT(E268:F268)&lt;2,"N/A",IF(ABS(G268)&lt;=H268,"OK","❌"))</f>
        <v>OK</v>
      </c>
      <c r="J268" s="102" t="s">
        <v>1932</v>
      </c>
      <c r="K268" s="4" t="str">
        <f aca="false">IF(I268=J268,"✔ sesuai","✖ TIDAK sesuai")</f>
        <v>✔ sesuai</v>
      </c>
      <c r="L268" s="103"/>
    </row>
    <row r="269" customFormat="false" ht="15" hidden="false" customHeight="false" outlineLevel="0" collapsed="false">
      <c r="A269" s="13" t="n">
        <v>263</v>
      </c>
      <c r="B269" s="13" t="s">
        <v>1930</v>
      </c>
      <c r="C269" s="13" t="s">
        <v>1943</v>
      </c>
      <c r="D269" s="13" t="n">
        <v>2024</v>
      </c>
      <c r="E269" s="50" t="n">
        <f aca="false">BS!G44</f>
        <v>730209250551</v>
      </c>
      <c r="F269" s="50" t="n">
        <f aca="false">BS!G64</f>
        <v>730209250551</v>
      </c>
      <c r="G269" s="101" t="n">
        <f aca="false">IF(COUNT(E269:F269)=2,E269-F269,"")</f>
        <v>0</v>
      </c>
      <c r="H269" s="102" t="n">
        <v>1</v>
      </c>
      <c r="I269" s="4" t="str">
        <f aca="false">IF(COUNT(E269:F269)&lt;2,"N/A",IF(ABS(G269)&lt;=H269,"OK","❌"))</f>
        <v>OK</v>
      </c>
      <c r="J269" s="102" t="s">
        <v>1932</v>
      </c>
      <c r="K269" s="4" t="str">
        <f aca="false">IF(I269=J269,"✔ sesuai","✖ TIDAK sesuai")</f>
        <v>✔ sesuai</v>
      </c>
      <c r="L269" s="103"/>
    </row>
    <row r="270" customFormat="false" ht="15" hidden="false" customHeight="false" outlineLevel="0" collapsed="false">
      <c r="A270" s="13" t="n">
        <v>264</v>
      </c>
      <c r="B270" s="13" t="s">
        <v>1930</v>
      </c>
      <c r="C270" s="13" t="s">
        <v>1944</v>
      </c>
      <c r="D270" s="13" t="n">
        <v>2024</v>
      </c>
      <c r="E270" s="50" t="n">
        <f aca="false">BS!G45</f>
        <v>1298625219027</v>
      </c>
      <c r="F270" s="50" t="n">
        <f aca="false">BS!G65</f>
        <v>1298625219027</v>
      </c>
      <c r="G270" s="101" t="n">
        <f aca="false">IF(COUNT(E270:F270)=2,E270-F270,"")</f>
        <v>0</v>
      </c>
      <c r="H270" s="102" t="n">
        <v>1</v>
      </c>
      <c r="I270" s="4" t="str">
        <f aca="false">IF(COUNT(E270:F270)&lt;2,"N/A",IF(ABS(G270)&lt;=H270,"OK","❌"))</f>
        <v>OK</v>
      </c>
      <c r="J270" s="102" t="s">
        <v>1932</v>
      </c>
      <c r="K270" s="4" t="str">
        <f aca="false">IF(I270=J270,"✔ sesuai","✖ TIDAK sesuai")</f>
        <v>✔ sesuai</v>
      </c>
      <c r="L270" s="103"/>
    </row>
    <row r="271" customFormat="false" ht="15" hidden="false" customHeight="false" outlineLevel="0" collapsed="false">
      <c r="A271" s="13" t="n">
        <v>265</v>
      </c>
      <c r="B271" s="13" t="s">
        <v>1930</v>
      </c>
      <c r="C271" s="13" t="s">
        <v>1945</v>
      </c>
      <c r="D271" s="13" t="n">
        <v>2024</v>
      </c>
      <c r="E271" s="50" t="n">
        <f aca="false">BS!G55</f>
        <v>1713479286013</v>
      </c>
      <c r="F271" s="50" t="n">
        <f aca="false">BS!G66</f>
        <v>1713479286013</v>
      </c>
      <c r="G271" s="101" t="n">
        <f aca="false">IF(COUNT(E271:F271)=2,E271-F271,"")</f>
        <v>0</v>
      </c>
      <c r="H271" s="102" t="n">
        <v>1</v>
      </c>
      <c r="I271" s="4" t="str">
        <f aca="false">IF(COUNT(E271:F271)&lt;2,"N/A",IF(ABS(G271)&lt;=H271,"OK","❌"))</f>
        <v>OK</v>
      </c>
      <c r="J271" s="102" t="s">
        <v>1932</v>
      </c>
      <c r="K271" s="4" t="str">
        <f aca="false">IF(I271=J271,"✔ sesuai","✖ TIDAK sesuai")</f>
        <v>✔ sesuai</v>
      </c>
      <c r="L271" s="103"/>
    </row>
    <row r="272" customFormat="false" ht="15" hidden="false" customHeight="false" outlineLevel="0" collapsed="false">
      <c r="A272" s="13" t="n">
        <v>266</v>
      </c>
      <c r="B272" s="13" t="s">
        <v>1930</v>
      </c>
      <c r="C272" s="13" t="s">
        <v>1946</v>
      </c>
      <c r="D272" s="13" t="n">
        <v>2024</v>
      </c>
      <c r="E272" s="50" t="n">
        <f aca="false">BS!G57</f>
        <v>2147735684721</v>
      </c>
      <c r="F272" s="50" t="n">
        <f aca="false">BS!G67</f>
        <v>2147735684721</v>
      </c>
      <c r="G272" s="101" t="n">
        <f aca="false">IF(COUNT(E272:F272)=2,E272-F272,"")</f>
        <v>0</v>
      </c>
      <c r="H272" s="102" t="n">
        <v>1</v>
      </c>
      <c r="I272" s="4" t="str">
        <f aca="false">IF(COUNT(E272:F272)&lt;2,"N/A",IF(ABS(G272)&lt;=H272,"OK","❌"))</f>
        <v>OK</v>
      </c>
      <c r="J272" s="102" t="s">
        <v>1932</v>
      </c>
      <c r="K272" s="4" t="str">
        <f aca="false">IF(I272=J272,"✔ sesuai","✖ TIDAK sesuai")</f>
        <v>✔ sesuai</v>
      </c>
      <c r="L272" s="103"/>
    </row>
    <row r="273" customFormat="false" ht="15" hidden="false" customHeight="false" outlineLevel="0" collapsed="false">
      <c r="A273" s="13" t="n">
        <v>267</v>
      </c>
      <c r="B273" s="13" t="s">
        <v>1930</v>
      </c>
      <c r="C273" s="13" t="s">
        <v>1947</v>
      </c>
      <c r="D273" s="13" t="n">
        <v>2024</v>
      </c>
      <c r="E273" s="50" t="n">
        <f aca="false">BS!G58</f>
        <v>3446360903748</v>
      </c>
      <c r="F273" s="50" t="n">
        <f aca="false">BS!G68</f>
        <v>3446360903748</v>
      </c>
      <c r="G273" s="101" t="n">
        <f aca="false">IF(COUNT(E273:F273)=2,E273-F273,"")</f>
        <v>0</v>
      </c>
      <c r="H273" s="102" t="n">
        <v>1</v>
      </c>
      <c r="I273" s="4" t="str">
        <f aca="false">IF(COUNT(E273:F273)&lt;2,"N/A",IF(ABS(G273)&lt;=H273,"OK","❌"))</f>
        <v>OK</v>
      </c>
      <c r="J273" s="102" t="s">
        <v>1932</v>
      </c>
      <c r="K273" s="4" t="str">
        <f aca="false">IF(I273=J273,"✔ sesuai","✖ TIDAK sesuai")</f>
        <v>✔ sesuai</v>
      </c>
      <c r="L273" s="103"/>
    </row>
    <row r="274" customFormat="false" ht="15" hidden="false" customHeight="false" outlineLevel="0" collapsed="false">
      <c r="A274" s="13" t="n">
        <v>268</v>
      </c>
      <c r="B274" s="13" t="s">
        <v>1930</v>
      </c>
      <c r="C274" s="13" t="s">
        <v>1948</v>
      </c>
      <c r="D274" s="13" t="n">
        <v>2024</v>
      </c>
      <c r="E274" s="50" t="n">
        <f aca="false">CF!G13</f>
        <v>33979487371</v>
      </c>
      <c r="F274" s="50" t="n">
        <f aca="false">CF!G42</f>
        <v>33979487371</v>
      </c>
      <c r="G274" s="101" t="n">
        <f aca="false">IF(COUNT(E274:F274)=2,E274-F274,"")</f>
        <v>0</v>
      </c>
      <c r="H274" s="102" t="n">
        <v>1</v>
      </c>
      <c r="I274" s="4" t="str">
        <f aca="false">IF(COUNT(E274:F274)&lt;2,"N/A",IF(ABS(G274)&lt;=H274,"OK","❌"))</f>
        <v>OK</v>
      </c>
      <c r="J274" s="102" t="s">
        <v>1932</v>
      </c>
      <c r="K274" s="4" t="str">
        <f aca="false">IF(I274=J274,"✔ sesuai","✖ TIDAK sesuai")</f>
        <v>✔ sesuai</v>
      </c>
      <c r="L274" s="103"/>
    </row>
    <row r="275" customFormat="false" ht="15" hidden="false" customHeight="false" outlineLevel="0" collapsed="false">
      <c r="A275" s="13" t="n">
        <v>269</v>
      </c>
      <c r="B275" s="13" t="s">
        <v>1930</v>
      </c>
      <c r="C275" s="13" t="s">
        <v>1949</v>
      </c>
      <c r="D275" s="13" t="n">
        <v>2024</v>
      </c>
      <c r="E275" s="50" t="n">
        <f aca="false">CF!G21</f>
        <v>-245291393404</v>
      </c>
      <c r="F275" s="50" t="n">
        <f aca="false">CF!G43</f>
        <v>-245291393404</v>
      </c>
      <c r="G275" s="101" t="n">
        <f aca="false">IF(COUNT(E275:F275)=2,E275-F275,"")</f>
        <v>0</v>
      </c>
      <c r="H275" s="102" t="n">
        <v>1</v>
      </c>
      <c r="I275" s="4" t="str">
        <f aca="false">IF(COUNT(E275:F275)&lt;2,"N/A",IF(ABS(G275)&lt;=H275,"OK","❌"))</f>
        <v>OK</v>
      </c>
      <c r="J275" s="102" t="s">
        <v>1932</v>
      </c>
      <c r="K275" s="4" t="str">
        <f aca="false">IF(I275=J275,"✔ sesuai","✖ TIDAK sesuai")</f>
        <v>✔ sesuai</v>
      </c>
      <c r="L275" s="103"/>
    </row>
    <row r="276" customFormat="false" ht="15" hidden="false" customHeight="false" outlineLevel="0" collapsed="false">
      <c r="A276" s="13" t="n">
        <v>270</v>
      </c>
      <c r="B276" s="13" t="s">
        <v>1930</v>
      </c>
      <c r="C276" s="13" t="s">
        <v>1950</v>
      </c>
      <c r="D276" s="13" t="n">
        <v>2024</v>
      </c>
      <c r="E276" s="50" t="n">
        <f aca="false">CF!G31</f>
        <v>372585952682</v>
      </c>
      <c r="F276" s="50" t="n">
        <f aca="false">CF!G44</f>
        <v>372585952682</v>
      </c>
      <c r="G276" s="101" t="n">
        <f aca="false">IF(COUNT(E276:F276)=2,E276-F276,"")</f>
        <v>0</v>
      </c>
      <c r="H276" s="102" t="n">
        <v>1</v>
      </c>
      <c r="I276" s="4" t="str">
        <f aca="false">IF(COUNT(E276:F276)&lt;2,"N/A",IF(ABS(G276)&lt;=H276,"OK","❌"))</f>
        <v>OK</v>
      </c>
      <c r="J276" s="102" t="s">
        <v>1932</v>
      </c>
      <c r="K276" s="4" t="str">
        <f aca="false">IF(I276=J276,"✔ sesuai","✖ TIDAK sesuai")</f>
        <v>✔ sesuai</v>
      </c>
      <c r="L276" s="103"/>
    </row>
    <row r="277" customFormat="false" ht="15" hidden="false" customHeight="false" outlineLevel="0" collapsed="false">
      <c r="A277" s="13" t="n">
        <v>271</v>
      </c>
      <c r="B277" s="13" t="s">
        <v>1930</v>
      </c>
      <c r="C277" s="13" t="s">
        <v>1951</v>
      </c>
      <c r="D277" s="13" t="n">
        <v>2024</v>
      </c>
      <c r="E277" s="50" t="n">
        <f aca="false">CF!G32</f>
        <v>161274046649</v>
      </c>
      <c r="F277" s="50" t="n">
        <f aca="false">CF!G45</f>
        <v>161274046649</v>
      </c>
      <c r="G277" s="101" t="n">
        <f aca="false">IF(COUNT(E277:F277)=2,E277-F277,"")</f>
        <v>0</v>
      </c>
      <c r="H277" s="102" t="n">
        <v>1</v>
      </c>
      <c r="I277" s="4" t="str">
        <f aca="false">IF(COUNT(E277:F277)&lt;2,"N/A",IF(ABS(G277)&lt;=H277,"OK","❌"))</f>
        <v>OK</v>
      </c>
      <c r="J277" s="102" t="s">
        <v>1932</v>
      </c>
      <c r="K277" s="4" t="str">
        <f aca="false">IF(I277=J277,"✔ sesuai","✖ TIDAK sesuai")</f>
        <v>✔ sesuai</v>
      </c>
      <c r="L277" s="103"/>
    </row>
    <row r="278" customFormat="false" ht="15" hidden="false" customHeight="false" outlineLevel="0" collapsed="false">
      <c r="A278" s="13" t="n">
        <v>272</v>
      </c>
      <c r="B278" s="13" t="s">
        <v>1930</v>
      </c>
      <c r="C278" s="13" t="s">
        <v>1952</v>
      </c>
      <c r="D278" s="13" t="n">
        <v>2024</v>
      </c>
      <c r="E278" s="50" t="n">
        <f aca="false">CF!G35</f>
        <v>783332056074</v>
      </c>
      <c r="F278" s="50" t="n">
        <f aca="false">CF!G46</f>
        <v>783332056074</v>
      </c>
      <c r="G278" s="101" t="n">
        <f aca="false">IF(COUNT(E278:F278)=2,E278-F278,"")</f>
        <v>0</v>
      </c>
      <c r="H278" s="102" t="n">
        <v>1</v>
      </c>
      <c r="I278" s="4" t="str">
        <f aca="false">IF(COUNT(E278:F278)&lt;2,"N/A",IF(ABS(G278)&lt;=H278,"OK","❌"))</f>
        <v>OK</v>
      </c>
      <c r="J278" s="102" t="s">
        <v>1932</v>
      </c>
      <c r="K278" s="4" t="str">
        <f aca="false">IF(I278=J278,"✔ sesuai","✖ TIDAK sesuai")</f>
        <v>✔ sesuai</v>
      </c>
      <c r="L278" s="103"/>
    </row>
    <row r="279" customFormat="false" ht="15" hidden="false" customHeight="false" outlineLevel="0" collapsed="false">
      <c r="A279" s="13" t="n">
        <v>273</v>
      </c>
      <c r="B279" s="13" t="s">
        <v>1953</v>
      </c>
      <c r="C279" s="13" t="s">
        <v>1954</v>
      </c>
      <c r="D279" s="13" t="n">
        <v>2024</v>
      </c>
      <c r="E279" s="50" t="n">
        <f aca="false">BS!G26</f>
        <v>3446360903748</v>
      </c>
      <c r="F279" s="50" t="n">
        <f aca="false">BS!G58</f>
        <v>3446360903748</v>
      </c>
      <c r="G279" s="101" t="n">
        <f aca="false">IF(COUNT(E279:F279)=2,E279-F279,"")</f>
        <v>0</v>
      </c>
      <c r="H279" s="102" t="n">
        <v>1</v>
      </c>
      <c r="I279" s="4" t="str">
        <f aca="false">IF(COUNT(E279:F279)&lt;2,"N/A",IF(ABS(G279)&lt;=H279,"OK","❌"))</f>
        <v>OK</v>
      </c>
      <c r="J279" s="102" t="s">
        <v>1932</v>
      </c>
      <c r="K279" s="4" t="str">
        <f aca="false">IF(I279=J279,"✔ sesuai","✖ TIDAK sesuai")</f>
        <v>✔ sesuai</v>
      </c>
      <c r="L279" s="103"/>
    </row>
    <row r="280" customFormat="false" ht="15" hidden="false" customHeight="false" outlineLevel="0" collapsed="false">
      <c r="A280" s="13" t="n">
        <v>274</v>
      </c>
      <c r="B280" s="13" t="s">
        <v>1953</v>
      </c>
      <c r="C280" s="13" t="s">
        <v>1955</v>
      </c>
      <c r="D280" s="13" t="n">
        <v>2024</v>
      </c>
      <c r="E280" s="50" t="n">
        <f aca="false">IS!G22</f>
        <v>18895784267</v>
      </c>
      <c r="F280" s="50" t="n">
        <f aca="false">IS!G33+IS!G34</f>
        <v>18895784267</v>
      </c>
      <c r="G280" s="101" t="n">
        <f aca="false">IF(COUNT(E280:F280)=2,E280-F280,"")</f>
        <v>0</v>
      </c>
      <c r="H280" s="102" t="n">
        <v>1</v>
      </c>
      <c r="I280" s="4" t="str">
        <f aca="false">IF(COUNT(E280:F280)&lt;2,"N/A",IF(ABS(G280)&lt;=H280,"OK","❌"))</f>
        <v>OK</v>
      </c>
      <c r="J280" s="102" t="s">
        <v>1932</v>
      </c>
      <c r="K280" s="4" t="str">
        <f aca="false">IF(I280=J280,"✔ sesuai","✖ TIDAK sesuai")</f>
        <v>✔ sesuai</v>
      </c>
      <c r="L280" s="103"/>
    </row>
    <row r="281" customFormat="false" ht="15" hidden="false" customHeight="false" outlineLevel="0" collapsed="false">
      <c r="A281" s="13" t="n">
        <v>275</v>
      </c>
      <c r="B281" s="13" t="s">
        <v>1953</v>
      </c>
      <c r="C281" s="13" t="s">
        <v>1956</v>
      </c>
      <c r="D281" s="13" t="n">
        <v>2024</v>
      </c>
      <c r="E281" s="50" t="n">
        <f aca="false">IS!G31</f>
        <v>14863779224</v>
      </c>
      <c r="F281" s="50" t="n">
        <f aca="false">IS!G35+IS!G36</f>
        <v>14863779224</v>
      </c>
      <c r="G281" s="101" t="n">
        <f aca="false">IF(COUNT(E281:F281)=2,E281-F281,"")</f>
        <v>0</v>
      </c>
      <c r="H281" s="102" t="n">
        <v>1</v>
      </c>
      <c r="I281" s="4" t="str">
        <f aca="false">IF(COUNT(E281:F281)&lt;2,"N/A",IF(ABS(G281)&lt;=H281,"OK","❌"))</f>
        <v>OK</v>
      </c>
      <c r="J281" s="102" t="s">
        <v>1932</v>
      </c>
      <c r="K281" s="4" t="str">
        <f aca="false">IF(I281=J281,"✔ sesuai","✖ TIDAK sesuai")</f>
        <v>✔ sesuai</v>
      </c>
      <c r="L281" s="103"/>
    </row>
    <row r="282" customFormat="false" ht="15" hidden="false" customHeight="false" outlineLevel="0" collapsed="false">
      <c r="A282" s="13" t="n">
        <v>276</v>
      </c>
      <c r="B282" s="13" t="s">
        <v>1953</v>
      </c>
      <c r="C282" s="13" t="s">
        <v>1957</v>
      </c>
      <c r="D282" s="13" t="n">
        <v>2024</v>
      </c>
      <c r="E282" s="50" t="n">
        <f aca="false">CF!G35</f>
        <v>783332056074</v>
      </c>
      <c r="F282" s="50" t="n">
        <f aca="false">BS!G6</f>
        <v>783332056074</v>
      </c>
      <c r="G282" s="101" t="n">
        <f aca="false">IF(COUNT(E282:F282)=2,E282-F282,"")</f>
        <v>0</v>
      </c>
      <c r="H282" s="102" t="n">
        <v>1</v>
      </c>
      <c r="I282" s="4" t="str">
        <f aca="false">IF(COUNT(E282:F282)&lt;2,"N/A",IF(ABS(G282)&lt;=H282,"OK","❌"))</f>
        <v>OK</v>
      </c>
      <c r="J282" s="102" t="s">
        <v>1932</v>
      </c>
      <c r="K282" s="4" t="str">
        <f aca="false">IF(I282=J282,"✔ sesuai","✖ TIDAK sesuai")</f>
        <v>✔ sesuai</v>
      </c>
      <c r="L282" s="103"/>
    </row>
    <row r="283" customFormat="false" ht="15" hidden="false" customHeight="false" outlineLevel="0" collapsed="false">
      <c r="A283" s="13" t="n">
        <v>277</v>
      </c>
      <c r="B283" s="13" t="s">
        <v>1996</v>
      </c>
      <c r="C283" s="13" t="s">
        <v>1997</v>
      </c>
      <c r="D283" s="13" t="n">
        <v>2024</v>
      </c>
      <c r="E283" s="50" t="n">
        <f aca="false">CF!G34</f>
        <v>622058009425</v>
      </c>
      <c r="F283" s="50" t="n">
        <f aca="false">BS!F6</f>
        <v>622058009425</v>
      </c>
      <c r="G283" s="101" t="n">
        <f aca="false">IF(COUNT(E283:F283)=2,E283-F283,"")</f>
        <v>0</v>
      </c>
      <c r="H283" s="102" t="n">
        <v>1</v>
      </c>
      <c r="I283" s="4" t="str">
        <f aca="false">IF(COUNT(E283:F283)&lt;2,"N/A",IF(ABS(G283)&lt;=H283,"OK","❌"))</f>
        <v>OK</v>
      </c>
      <c r="J283" s="102" t="s">
        <v>1932</v>
      </c>
      <c r="K283" s="4" t="str">
        <f aca="false">IF(I283=J283,"✔ sesuai","✖ TIDAK sesuai")</f>
        <v>✔ sesuai</v>
      </c>
      <c r="L283" s="103"/>
    </row>
    <row r="284" customFormat="false" ht="15" hidden="false" customHeight="false" outlineLevel="0" collapsed="false">
      <c r="A284" s="13" t="n">
        <v>278</v>
      </c>
      <c r="B284" s="13" t="s">
        <v>1958</v>
      </c>
      <c r="C284" s="13" t="s">
        <v>1959</v>
      </c>
      <c r="D284" s="13" t="n">
        <v>2024</v>
      </c>
      <c r="E284" s="50" t="n">
        <f aca="false">Schedules!G12</f>
        <v>1554685010336</v>
      </c>
      <c r="F284" s="50" t="n">
        <f aca="false">IS!G6</f>
        <v>1554685010336</v>
      </c>
      <c r="G284" s="101" t="n">
        <f aca="false">IF(COUNT(E284:F284)=2,E284-F284,"")</f>
        <v>0</v>
      </c>
      <c r="H284" s="102" t="n">
        <v>1</v>
      </c>
      <c r="I284" s="4" t="str">
        <f aca="false">IF(COUNT(E284:F284)&lt;2,"N/A",IF(ABS(G284)&lt;=H284,"OK","❌"))</f>
        <v>OK</v>
      </c>
      <c r="J284" s="102" t="s">
        <v>1932</v>
      </c>
      <c r="K284" s="4" t="str">
        <f aca="false">IF(I284=J284,"✔ sesuai","✖ TIDAK sesuai")</f>
        <v>✔ sesuai</v>
      </c>
      <c r="L284" s="103"/>
    </row>
    <row r="285" customFormat="false" ht="15" hidden="false" customHeight="false" outlineLevel="0" collapsed="false">
      <c r="A285" s="13" t="n">
        <v>279</v>
      </c>
      <c r="B285" s="13" t="s">
        <v>1958</v>
      </c>
      <c r="C285" s="13" t="s">
        <v>1960</v>
      </c>
      <c r="D285" s="13" t="n">
        <v>2024</v>
      </c>
      <c r="E285" s="50" t="n">
        <f aca="false">Schedules!G309</f>
        <v>847547994844</v>
      </c>
      <c r="F285" s="50" t="n">
        <f aca="false">-IS!G7</f>
        <v>847547994844</v>
      </c>
      <c r="G285" s="101" t="n">
        <f aca="false">IF(COUNT(E285:F285)=2,E285-F285,"")</f>
        <v>0</v>
      </c>
      <c r="H285" s="102" t="n">
        <v>1</v>
      </c>
      <c r="I285" s="4" t="str">
        <f aca="false">IF(COUNT(E285:F285)&lt;2,"N/A",IF(ABS(G285)&lt;=H285,"OK","❌"))</f>
        <v>OK</v>
      </c>
      <c r="J285" s="102" t="s">
        <v>1932</v>
      </c>
      <c r="K285" s="4" t="str">
        <f aca="false">IF(I285=J285,"✔ sesuai","✖ TIDAK sesuai")</f>
        <v>✔ sesuai</v>
      </c>
      <c r="L285" s="103"/>
    </row>
    <row r="286" customFormat="false" ht="15" hidden="false" customHeight="false" outlineLevel="0" collapsed="false">
      <c r="A286" s="13" t="n">
        <v>280</v>
      </c>
      <c r="B286" s="13" t="s">
        <v>1958</v>
      </c>
      <c r="C286" s="13" t="s">
        <v>1961</v>
      </c>
      <c r="D286" s="13" t="n">
        <v>2024</v>
      </c>
      <c r="E286" s="50" t="n">
        <f aca="false">Schedules!G315</f>
        <v>31257567617</v>
      </c>
      <c r="F286" s="50" t="n">
        <f aca="false">-IS!G9</f>
        <v>31257567617</v>
      </c>
      <c r="G286" s="101" t="n">
        <f aca="false">IF(COUNT(E286:F286)=2,E286-F286,"")</f>
        <v>0</v>
      </c>
      <c r="H286" s="102" t="n">
        <v>1</v>
      </c>
      <c r="I286" s="4" t="str">
        <f aca="false">IF(COUNT(E286:F286)&lt;2,"N/A",IF(ABS(G286)&lt;=H286,"OK","❌"))</f>
        <v>OK</v>
      </c>
      <c r="J286" s="102" t="s">
        <v>1932</v>
      </c>
      <c r="K286" s="4" t="str">
        <f aca="false">IF(I286=J286,"✔ sesuai","✖ TIDAK sesuai")</f>
        <v>✔ sesuai</v>
      </c>
      <c r="L286" s="103"/>
    </row>
    <row r="287" customFormat="false" ht="15" hidden="false" customHeight="false" outlineLevel="0" collapsed="false">
      <c r="A287" s="13" t="n">
        <v>281</v>
      </c>
      <c r="B287" s="13" t="s">
        <v>1958</v>
      </c>
      <c r="C287" s="13" t="s">
        <v>1962</v>
      </c>
      <c r="D287" s="13" t="n">
        <v>2024</v>
      </c>
      <c r="E287" s="50" t="n">
        <f aca="false">Schedules!G338</f>
        <v>576812865380</v>
      </c>
      <c r="F287" s="50" t="n">
        <f aca="false">-IS!G10</f>
        <v>576812865380</v>
      </c>
      <c r="G287" s="101" t="n">
        <f aca="false">IF(COUNT(E287:F287)=2,E287-F287,"")</f>
        <v>0</v>
      </c>
      <c r="H287" s="102" t="n">
        <v>1</v>
      </c>
      <c r="I287" s="4" t="str">
        <f aca="false">IF(COUNT(E287:F287)&lt;2,"N/A",IF(ABS(G287)&lt;=H287,"OK","❌"))</f>
        <v>OK</v>
      </c>
      <c r="J287" s="102" t="s">
        <v>1932</v>
      </c>
      <c r="K287" s="4" t="str">
        <f aca="false">IF(I287=J287,"✔ sesuai","✖ TIDAK sesuai")</f>
        <v>✔ sesuai</v>
      </c>
      <c r="L287" s="103"/>
    </row>
    <row r="288" customFormat="false" ht="15" hidden="false" customHeight="false" outlineLevel="0" collapsed="false">
      <c r="A288" s="13" t="n">
        <v>282</v>
      </c>
      <c r="B288" s="13" t="s">
        <v>1958</v>
      </c>
      <c r="C288" s="13" t="s">
        <v>1963</v>
      </c>
      <c r="D288" s="13" t="n">
        <v>2024</v>
      </c>
      <c r="E288" s="50" t="n">
        <f aca="false">Schedules!G115</f>
        <v>47021949525</v>
      </c>
      <c r="F288" s="50" t="n">
        <f aca="false">BS!G12</f>
        <v>47021949525</v>
      </c>
      <c r="G288" s="101" t="n">
        <f aca="false">IF(COUNT(E288:F288)=2,E288-F288,"")</f>
        <v>0</v>
      </c>
      <c r="H288" s="102" t="n">
        <v>1</v>
      </c>
      <c r="I288" s="4" t="str">
        <f aca="false">IF(COUNT(E288:F288)&lt;2,"N/A",IF(ABS(G288)&lt;=H288,"OK","❌"))</f>
        <v>OK</v>
      </c>
      <c r="J288" s="102" t="s">
        <v>1932</v>
      </c>
      <c r="K288" s="4" t="str">
        <f aca="false">IF(I288=J288,"✔ sesuai","✖ TIDAK sesuai")</f>
        <v>✔ sesuai</v>
      </c>
      <c r="L288" s="103"/>
    </row>
    <row r="289" customFormat="false" ht="15" hidden="false" customHeight="false" outlineLevel="0" collapsed="false">
      <c r="A289" s="13" t="n">
        <v>283</v>
      </c>
      <c r="B289" s="13" t="s">
        <v>1958</v>
      </c>
      <c r="C289" s="13" t="s">
        <v>1964</v>
      </c>
      <c r="D289" s="13" t="n">
        <v>2024</v>
      </c>
      <c r="E289" s="50" t="n">
        <f aca="false">Schedules!G96</f>
        <v>144714255906</v>
      </c>
      <c r="F289" s="50" t="n">
        <f aca="false">(BS!G9+BS!G8)</f>
        <v>144714255906</v>
      </c>
      <c r="G289" s="101" t="n">
        <f aca="false">IF(COUNT(E289:F289)=2,E289-F289,"")</f>
        <v>0</v>
      </c>
      <c r="H289" s="102" t="n">
        <v>1</v>
      </c>
      <c r="I289" s="4" t="str">
        <f aca="false">IF(COUNT(E289:F289)&lt;2,"N/A",IF(ABS(G289)&lt;=H289,"OK","❌"))</f>
        <v>OK</v>
      </c>
      <c r="J289" s="102" t="s">
        <v>1932</v>
      </c>
      <c r="K289" s="4" t="str">
        <f aca="false">IF(I289=J289,"✔ sesuai","✖ TIDAK sesuai")</f>
        <v>✔ sesuai</v>
      </c>
      <c r="L289" s="103"/>
    </row>
    <row r="290" customFormat="false" ht="15" hidden="false" customHeight="false" outlineLevel="0" collapsed="false">
      <c r="A290" s="13" t="n">
        <v>284</v>
      </c>
      <c r="B290" s="13" t="s">
        <v>1958</v>
      </c>
      <c r="C290" s="13" t="s">
        <v>1965</v>
      </c>
      <c r="D290" s="13" t="n">
        <v>2024</v>
      </c>
      <c r="E290" s="50" t="n">
        <f aca="false">Schedules!G155</f>
        <v>30881579952</v>
      </c>
      <c r="F290" s="50" t="n">
        <f aca="false">(BS!G30+BS!G29)</f>
        <v>30881579952</v>
      </c>
      <c r="G290" s="101" t="n">
        <f aca="false">IF(COUNT(E290:F290)=2,E290-F290,"")</f>
        <v>0</v>
      </c>
      <c r="H290" s="102" t="n">
        <v>1</v>
      </c>
      <c r="I290" s="4" t="str">
        <f aca="false">IF(COUNT(E290:F290)&lt;2,"N/A",IF(ABS(G290)&lt;=H290,"OK","❌"))</f>
        <v>OK</v>
      </c>
      <c r="J290" s="102" t="s">
        <v>1932</v>
      </c>
      <c r="K290" s="4" t="str">
        <f aca="false">IF(I290=J290,"✔ sesuai","✖ TIDAK sesuai")</f>
        <v>✔ sesuai</v>
      </c>
      <c r="L290" s="103"/>
    </row>
    <row r="291" customFormat="false" ht="15" hidden="false" customHeight="false" outlineLevel="0" collapsed="false">
      <c r="A291" s="13" t="n">
        <v>285</v>
      </c>
      <c r="B291" s="13" t="s">
        <v>1958</v>
      </c>
      <c r="C291" s="13" t="s">
        <v>1966</v>
      </c>
      <c r="D291" s="13" t="n">
        <v>2024</v>
      </c>
      <c r="E291" s="50" t="n">
        <f aca="false">Schedules!G141</f>
        <v>73032171888</v>
      </c>
      <c r="F291" s="50" t="n">
        <f aca="false">(BS!G37+BS!G43)</f>
        <v>73032171888</v>
      </c>
      <c r="G291" s="101" t="n">
        <f aca="false">IF(COUNT(E291:F291)=2,E291-F291,"")</f>
        <v>0</v>
      </c>
      <c r="H291" s="102" t="n">
        <v>1</v>
      </c>
      <c r="I291" s="4" t="str">
        <f aca="false">IF(COUNT(E291:F291)&lt;2,"N/A",IF(ABS(G291)&lt;=H291,"OK","❌"))</f>
        <v>OK</v>
      </c>
      <c r="J291" s="102" t="s">
        <v>1932</v>
      </c>
      <c r="K291" s="4" t="str">
        <f aca="false">IF(I291=J291,"✔ sesuai","✖ TIDAK sesuai")</f>
        <v>✔ sesuai</v>
      </c>
      <c r="L291" s="103"/>
    </row>
    <row r="292" customFormat="false" ht="15" hidden="false" customHeight="false" outlineLevel="0" collapsed="false">
      <c r="A292" s="13" t="n">
        <v>286</v>
      </c>
      <c r="B292" s="13" t="s">
        <v>1958</v>
      </c>
      <c r="C292" s="13" t="s">
        <v>2003</v>
      </c>
      <c r="D292" s="13" t="n">
        <v>2024</v>
      </c>
      <c r="E292" s="50" t="n">
        <f aca="false">Schedules!G146</f>
        <v>23968116240</v>
      </c>
      <c r="F292" s="50" t="n">
        <f aca="false">-CF!G23</f>
        <v>23968116240</v>
      </c>
      <c r="G292" s="101" t="n">
        <f aca="false">IF(COUNT(E292:F292)=2,E292-F292,"")</f>
        <v>0</v>
      </c>
      <c r="H292" s="102" t="n">
        <v>1</v>
      </c>
      <c r="I292" s="4" t="str">
        <f aca="false">IF(COUNT(E292:F292)&lt;2,"N/A",IF(ABS(G292)&lt;=H292,"OK","❌"))</f>
        <v>OK</v>
      </c>
      <c r="J292" s="102" t="s">
        <v>1932</v>
      </c>
      <c r="K292" s="4" t="str">
        <f aca="false">IF(I292=J292,"✔ sesuai","✖ TIDAK sesuai")</f>
        <v>✔ sesuai</v>
      </c>
      <c r="L292" s="103"/>
    </row>
    <row r="293" customFormat="false" ht="15" hidden="false" customHeight="false" outlineLevel="0" collapsed="false">
      <c r="A293" s="13" t="n">
        <v>287</v>
      </c>
      <c r="B293" s="13" t="s">
        <v>1958</v>
      </c>
      <c r="C293" s="13" t="s">
        <v>1967</v>
      </c>
      <c r="D293" s="13" t="n">
        <v>2024</v>
      </c>
      <c r="E293" s="50" t="n">
        <f aca="false">Schedules!G242</f>
        <v>440600262935</v>
      </c>
      <c r="F293" s="50" t="n">
        <f aca="false">BS!G28</f>
        <v>440600262935</v>
      </c>
      <c r="G293" s="101" t="n">
        <f aca="false">IF(COUNT(E293:F293)=2,E293-F293,"")</f>
        <v>0</v>
      </c>
      <c r="H293" s="102" t="n">
        <v>1</v>
      </c>
      <c r="I293" s="4" t="str">
        <f aca="false">IF(COUNT(E293:F293)&lt;2,"N/A",IF(ABS(G293)&lt;=H293,"OK","❌"))</f>
        <v>OK</v>
      </c>
      <c r="J293" s="102" t="s">
        <v>1932</v>
      </c>
      <c r="K293" s="4" t="str">
        <f aca="false">IF(I293=J293,"✔ sesuai","✖ TIDAK sesuai")</f>
        <v>✔ sesuai</v>
      </c>
      <c r="L293" s="103"/>
    </row>
    <row r="294" customFormat="false" ht="15" hidden="false" customHeight="false" outlineLevel="0" collapsed="false">
      <c r="A294" s="13" t="n">
        <v>288</v>
      </c>
      <c r="B294" s="13" t="s">
        <v>1958</v>
      </c>
      <c r="C294" s="13" t="s">
        <v>1968</v>
      </c>
      <c r="D294" s="13" t="n">
        <v>2024</v>
      </c>
      <c r="E294" s="50" t="n">
        <f aca="false">Schedules!G253</f>
        <v>650296024335</v>
      </c>
      <c r="F294" s="50" t="n">
        <f aca="false">(BS!G36+BS!G42)</f>
        <v>650296024335</v>
      </c>
      <c r="G294" s="101" t="n">
        <f aca="false">IF(COUNT(E294:F294)=2,E294-F294,"")</f>
        <v>0</v>
      </c>
      <c r="H294" s="102" t="n">
        <v>1</v>
      </c>
      <c r="I294" s="4" t="str">
        <f aca="false">IF(COUNT(E294:F294)&lt;2,"N/A",IF(ABS(G294)&lt;=H294,"OK","❌"))</f>
        <v>OK</v>
      </c>
      <c r="J294" s="102" t="s">
        <v>1932</v>
      </c>
      <c r="K294" s="4" t="str">
        <f aca="false">IF(I294=J294,"✔ sesuai","✖ TIDAK sesuai")</f>
        <v>✔ sesuai</v>
      </c>
      <c r="L294" s="103"/>
    </row>
    <row r="295" customFormat="false" ht="15" hidden="false" customHeight="false" outlineLevel="0" collapsed="false">
      <c r="A295" s="13" t="n">
        <v>289</v>
      </c>
      <c r="B295" s="13" t="s">
        <v>1958</v>
      </c>
      <c r="C295" s="13" t="s">
        <v>1969</v>
      </c>
      <c r="D295" s="13" t="n">
        <v>2024</v>
      </c>
      <c r="E295" s="50" t="n">
        <f aca="false">Schedules!G175</f>
        <v>19697947242</v>
      </c>
      <c r="F295" s="50" t="n">
        <f aca="false">-IS!G21</f>
        <v>19697947242</v>
      </c>
      <c r="G295" s="101" t="n">
        <f aca="false">IF(COUNT(E295:F295)=2,E295-F295,"")</f>
        <v>0</v>
      </c>
      <c r="H295" s="102" t="n">
        <v>1</v>
      </c>
      <c r="I295" s="4" t="str">
        <f aca="false">IF(COUNT(E295:F295)&lt;2,"N/A",IF(ABS(G295)&lt;=H295,"OK","❌"))</f>
        <v>OK</v>
      </c>
      <c r="J295" s="102" t="s">
        <v>1932</v>
      </c>
      <c r="K295" s="4" t="str">
        <f aca="false">IF(I295=J295,"✔ sesuai","✖ TIDAK sesuai")</f>
        <v>✔ sesuai</v>
      </c>
      <c r="L295" s="103"/>
    </row>
    <row r="296" customFormat="false" ht="15" hidden="false" customHeight="false" outlineLevel="0" collapsed="false">
      <c r="A296" s="13" t="n">
        <v>290</v>
      </c>
      <c r="B296" s="13" t="s">
        <v>1958</v>
      </c>
      <c r="C296" s="13" t="s">
        <v>1970</v>
      </c>
      <c r="D296" s="13" t="n">
        <v>2024</v>
      </c>
      <c r="E296" s="50" t="n">
        <f aca="false">Schedules!G274</f>
        <v>29627155160</v>
      </c>
      <c r="F296" s="50" t="n">
        <f aca="false">BS!G41</f>
        <v>29627155160</v>
      </c>
      <c r="G296" s="101" t="n">
        <f aca="false">IF(COUNT(E296:F296)=2,E296-F296,"")</f>
        <v>0</v>
      </c>
      <c r="H296" s="102" t="n">
        <v>1</v>
      </c>
      <c r="I296" s="4" t="str">
        <f aca="false">IF(COUNT(E296:F296)&lt;2,"N/A",IF(ABS(G296)&lt;=H296,"OK","❌"))</f>
        <v>OK</v>
      </c>
      <c r="J296" s="102" t="s">
        <v>1932</v>
      </c>
      <c r="K296" s="4" t="str">
        <f aca="false">IF(I296=J296,"✔ sesuai","✖ TIDAK sesuai")</f>
        <v>✔ sesuai</v>
      </c>
      <c r="L296" s="103"/>
    </row>
    <row r="297" customFormat="false" ht="15" hidden="false" customHeight="false" outlineLevel="0" collapsed="false">
      <c r="A297" s="13" t="n">
        <v>291</v>
      </c>
      <c r="B297" s="13" t="s">
        <v>1958</v>
      </c>
      <c r="C297" s="13" t="s">
        <v>1971</v>
      </c>
      <c r="D297" s="13" t="n">
        <v>2024</v>
      </c>
      <c r="E297" s="50" t="n">
        <f aca="false">Schedules!G68</f>
        <v>1934924754148</v>
      </c>
      <c r="F297" s="50" t="n">
        <f aca="false">BS!G19</f>
        <v>1934924754148</v>
      </c>
      <c r="G297" s="101" t="n">
        <f aca="false">IF(COUNT(E297:F297)=2,E297-F297,"")</f>
        <v>0</v>
      </c>
      <c r="H297" s="102" t="n">
        <v>1</v>
      </c>
      <c r="I297" s="4" t="str">
        <f aca="false">IF(COUNT(E297:F297)&lt;2,"N/A",IF(ABS(G297)&lt;=H297,"OK","❌"))</f>
        <v>OK</v>
      </c>
      <c r="J297" s="102" t="s">
        <v>1932</v>
      </c>
      <c r="K297" s="4" t="str">
        <f aca="false">IF(I297=J297,"✔ sesuai","✖ TIDAK sesuai")</f>
        <v>✔ sesuai</v>
      </c>
      <c r="L297" s="103"/>
    </row>
    <row r="298" customFormat="false" ht="15" hidden="false" customHeight="false" outlineLevel="0" collapsed="false">
      <c r="A298" s="13" t="n">
        <v>292</v>
      </c>
      <c r="B298" s="13" t="s">
        <v>1958</v>
      </c>
      <c r="C298" s="13" t="s">
        <v>1972</v>
      </c>
      <c r="D298" s="13" t="n">
        <v>2024</v>
      </c>
      <c r="E298" s="50" t="n">
        <f aca="false">Schedules!G69</f>
        <v>94506359437</v>
      </c>
      <c r="F298" s="50" t="n">
        <f aca="false">BS!G20</f>
        <v>94506359437</v>
      </c>
      <c r="G298" s="101" t="n">
        <f aca="false">IF(COUNT(E298:F298)=2,E298-F298,"")</f>
        <v>0</v>
      </c>
      <c r="H298" s="102" t="n">
        <v>1</v>
      </c>
      <c r="I298" s="4" t="str">
        <f aca="false">IF(COUNT(E298:F298)&lt;2,"N/A",IF(ABS(G298)&lt;=H298,"OK","❌"))</f>
        <v>OK</v>
      </c>
      <c r="J298" s="102" t="s">
        <v>1932</v>
      </c>
      <c r="K298" s="4" t="str">
        <f aca="false">IF(I298=J298,"✔ sesuai","✖ TIDAK sesuai")</f>
        <v>✔ sesuai</v>
      </c>
      <c r="L298" s="103"/>
    </row>
    <row r="299" customFormat="false" ht="15" hidden="false" customHeight="false" outlineLevel="0" collapsed="false">
      <c r="A299" s="13" t="n">
        <v>293</v>
      </c>
      <c r="B299" s="13" t="s">
        <v>1973</v>
      </c>
      <c r="C299" s="13" t="s">
        <v>1974</v>
      </c>
      <c r="D299" s="13" t="n">
        <v>2024</v>
      </c>
      <c r="E299" s="50" t="n">
        <f aca="false">Schedules!G15+Schedules!G16</f>
        <v>95085231562</v>
      </c>
      <c r="F299" s="50" t="n">
        <f aca="false">Schedules!G14</f>
        <v>95085231562</v>
      </c>
      <c r="G299" s="101" t="n">
        <f aca="false">IF(COUNT(E299:F299)=2,E299-F299,"")</f>
        <v>0</v>
      </c>
      <c r="H299" s="102" t="n">
        <v>1</v>
      </c>
      <c r="I299" s="4" t="str">
        <f aca="false">IF(COUNT(E299:F299)&lt;2,"N/A",IF(ABS(G299)&lt;=H299,"OK","❌"))</f>
        <v>OK</v>
      </c>
      <c r="J299" s="102" t="s">
        <v>1932</v>
      </c>
      <c r="K299" s="4" t="str">
        <f aca="false">IF(I299=J299,"✔ sesuai","✖ TIDAK sesuai")</f>
        <v>✔ sesuai</v>
      </c>
      <c r="L299" s="103"/>
    </row>
    <row r="300" customFormat="false" ht="15" hidden="false" customHeight="false" outlineLevel="0" collapsed="false">
      <c r="A300" s="13" t="n">
        <v>294</v>
      </c>
      <c r="B300" s="13" t="s">
        <v>1973</v>
      </c>
      <c r="C300" s="13" t="s">
        <v>1975</v>
      </c>
      <c r="D300" s="13" t="n">
        <v>2024</v>
      </c>
      <c r="E300" s="50" t="n">
        <f aca="false">Schedules!G40</f>
        <v>2558504633140</v>
      </c>
      <c r="F300" s="50" t="n">
        <f aca="false">Schedules!G39</f>
        <v>2558504633140</v>
      </c>
      <c r="G300" s="101" t="n">
        <f aca="false">IF(COUNT(E300:F300)=2,E300-F300,"")</f>
        <v>0</v>
      </c>
      <c r="H300" s="102" t="n">
        <v>1</v>
      </c>
      <c r="I300" s="4" t="str">
        <f aca="false">IF(COUNT(E300:F300)&lt;2,"N/A",IF(ABS(G300)&lt;=H300,"OK","❌"))</f>
        <v>OK</v>
      </c>
      <c r="J300" s="102" t="s">
        <v>1932</v>
      </c>
      <c r="K300" s="4" t="str">
        <f aca="false">IF(I300=J300,"✔ sesuai","✖ TIDAK sesuai")</f>
        <v>✔ sesuai</v>
      </c>
      <c r="L300" s="103"/>
    </row>
    <row r="301" customFormat="false" ht="15" hidden="false" customHeight="false" outlineLevel="0" collapsed="false">
      <c r="A301" s="13" t="n">
        <v>295</v>
      </c>
      <c r="B301" s="13" t="s">
        <v>1973</v>
      </c>
      <c r="C301" s="13" t="s">
        <v>1976</v>
      </c>
      <c r="D301" s="13" t="n">
        <v>2024</v>
      </c>
      <c r="E301" s="50" t="n">
        <f aca="false">Schedules!G49</f>
        <v>623579878992</v>
      </c>
      <c r="F301" s="50" t="n">
        <f aca="false">Schedules!G48</f>
        <v>623579878992</v>
      </c>
      <c r="G301" s="101" t="n">
        <f aca="false">IF(COUNT(E301:F301)=2,E301-F301,"")</f>
        <v>0</v>
      </c>
      <c r="H301" s="102" t="n">
        <v>1</v>
      </c>
      <c r="I301" s="4" t="str">
        <f aca="false">IF(COUNT(E301:F301)&lt;2,"N/A",IF(ABS(G301)&lt;=H301,"OK","❌"))</f>
        <v>OK</v>
      </c>
      <c r="J301" s="102" t="s">
        <v>1932</v>
      </c>
      <c r="K301" s="4" t="str">
        <f aca="false">IF(I301=J301,"✔ sesuai","✖ TIDAK sesuai")</f>
        <v>✔ sesuai</v>
      </c>
      <c r="L301" s="103"/>
    </row>
    <row r="302" customFormat="false" ht="15" hidden="false" customHeight="false" outlineLevel="0" collapsed="false">
      <c r="A302" s="13" t="n">
        <v>296</v>
      </c>
      <c r="B302" s="13" t="s">
        <v>1973</v>
      </c>
      <c r="C302" s="13" t="s">
        <v>1977</v>
      </c>
      <c r="D302" s="13" t="n">
        <v>2024</v>
      </c>
      <c r="E302" s="50" t="n">
        <f aca="false">Schedules!G58</f>
        <v>154084916333</v>
      </c>
      <c r="F302" s="50" t="n">
        <f aca="false">Schedules!G57</f>
        <v>154084916333</v>
      </c>
      <c r="G302" s="101" t="n">
        <f aca="false">IF(COUNT(E302:F302)=2,E302-F302,"")</f>
        <v>0</v>
      </c>
      <c r="H302" s="102" t="n">
        <v>1</v>
      </c>
      <c r="I302" s="4" t="str">
        <f aca="false">IF(COUNT(E302:F302)&lt;2,"N/A",IF(ABS(G302)&lt;=H302,"OK","❌"))</f>
        <v>OK</v>
      </c>
      <c r="J302" s="102" t="s">
        <v>1932</v>
      </c>
      <c r="K302" s="4" t="str">
        <f aca="false">IF(I302=J302,"✔ sesuai","✖ TIDAK sesuai")</f>
        <v>✔ sesuai</v>
      </c>
      <c r="L302" s="103"/>
    </row>
    <row r="303" customFormat="false" ht="15" hidden="false" customHeight="false" outlineLevel="0" collapsed="false">
      <c r="A303" s="13" t="n">
        <v>297</v>
      </c>
      <c r="B303" s="13" t="s">
        <v>1973</v>
      </c>
      <c r="C303" s="13" t="s">
        <v>1978</v>
      </c>
      <c r="D303" s="13" t="n">
        <v>2024</v>
      </c>
      <c r="E303" s="50" t="n">
        <f aca="false">Schedules!G67</f>
        <v>59578556896</v>
      </c>
      <c r="F303" s="50" t="n">
        <f aca="false">Schedules!G66</f>
        <v>59578556896</v>
      </c>
      <c r="G303" s="101" t="n">
        <f aca="false">IF(COUNT(E303:F303)=2,E303-F303,"")</f>
        <v>0</v>
      </c>
      <c r="H303" s="102" t="n">
        <v>1</v>
      </c>
      <c r="I303" s="4" t="str">
        <f aca="false">IF(COUNT(E303:F303)&lt;2,"N/A",IF(ABS(G303)&lt;=H303,"OK","❌"))</f>
        <v>OK</v>
      </c>
      <c r="J303" s="102" t="s">
        <v>1932</v>
      </c>
      <c r="K303" s="4" t="str">
        <f aca="false">IF(I303=J303,"✔ sesuai","✖ TIDAK sesuai")</f>
        <v>✔ sesuai</v>
      </c>
      <c r="L303" s="103"/>
    </row>
    <row r="304" customFormat="false" ht="15" hidden="false" customHeight="false" outlineLevel="0" collapsed="false">
      <c r="A304" s="13" t="n">
        <v>298</v>
      </c>
      <c r="B304" s="13" t="s">
        <v>1958</v>
      </c>
      <c r="C304" s="13" t="s">
        <v>1979</v>
      </c>
      <c r="D304" s="13" t="n">
        <v>2024</v>
      </c>
      <c r="E304" s="50" t="n">
        <f aca="false">Schedules!G78</f>
        <v>434256398708</v>
      </c>
      <c r="F304" s="50" t="n">
        <f aca="false">BS!G56</f>
        <v>434256398708</v>
      </c>
      <c r="G304" s="101" t="n">
        <f aca="false">IF(COUNT(E304:F304)=2,E304-F304,"")</f>
        <v>0</v>
      </c>
      <c r="H304" s="102" t="n">
        <v>10</v>
      </c>
      <c r="I304" s="4" t="str">
        <f aca="false">IF(COUNT(E304:F304)&lt;2,"N/A",IF(ABS(G304)&lt;=H304,"OK","❌"))</f>
        <v>OK</v>
      </c>
      <c r="J304" s="102" t="s">
        <v>1932</v>
      </c>
      <c r="K304" s="4" t="str">
        <f aca="false">IF(I304=J304,"✔ sesuai","✖ TIDAK sesuai")</f>
        <v>✔ sesuai</v>
      </c>
      <c r="L304" s="103"/>
    </row>
    <row r="305" customFormat="false" ht="15" hidden="false" customHeight="false" outlineLevel="0" collapsed="false">
      <c r="A305" s="13" t="n">
        <v>299</v>
      </c>
      <c r="B305" s="13" t="s">
        <v>1958</v>
      </c>
      <c r="C305" s="13" t="s">
        <v>1980</v>
      </c>
      <c r="D305" s="13" t="n">
        <v>2024</v>
      </c>
      <c r="E305" s="50" t="n">
        <f aca="false">Schedules!G75</f>
        <v>6952268943</v>
      </c>
      <c r="F305" s="50" t="n">
        <f aca="false">IS!G34</f>
        <v>6952268943</v>
      </c>
      <c r="G305" s="101" t="n">
        <f aca="false">IF(COUNT(E305:F305)=2,E305-F305,"")</f>
        <v>0</v>
      </c>
      <c r="H305" s="102" t="n">
        <v>10</v>
      </c>
      <c r="I305" s="4" t="str">
        <f aca="false">IF(COUNT(E305:F305)&lt;2,"N/A",IF(ABS(G305)&lt;=H305,"OK","❌"))</f>
        <v>OK</v>
      </c>
      <c r="J305" s="102" t="s">
        <v>1932</v>
      </c>
      <c r="K305" s="4" t="str">
        <f aca="false">IF(I305=J305,"✔ sesuai","✖ TIDAK sesuai")</f>
        <v>✔ sesuai</v>
      </c>
      <c r="L305" s="103" t="s">
        <v>1981</v>
      </c>
    </row>
    <row r="306" customFormat="false" ht="15" hidden="false" customHeight="false" outlineLevel="0" collapsed="false">
      <c r="A306" s="13" t="n">
        <v>300</v>
      </c>
      <c r="B306" s="13" t="s">
        <v>1973</v>
      </c>
      <c r="C306" s="13" t="s">
        <v>1982</v>
      </c>
      <c r="D306" s="13" t="n">
        <v>2024</v>
      </c>
      <c r="E306" s="50" t="n">
        <f aca="false">Schedules!G79</f>
        <v>434256398708</v>
      </c>
      <c r="F306" s="50" t="n">
        <f aca="false">Schedules!G78</f>
        <v>434256398708</v>
      </c>
      <c r="G306" s="101" t="n">
        <f aca="false">IF(COUNT(E306:F306)=2,E306-F306,"")</f>
        <v>0</v>
      </c>
      <c r="H306" s="102" t="n">
        <v>10</v>
      </c>
      <c r="I306" s="4" t="str">
        <f aca="false">IF(COUNT(E306:F306)&lt;2,"N/A",IF(ABS(G306)&lt;=H306,"OK","❌"))</f>
        <v>OK</v>
      </c>
      <c r="J306" s="102" t="s">
        <v>1932</v>
      </c>
      <c r="K306" s="4" t="str">
        <f aca="false">IF(I306=J306,"✔ sesuai","✖ TIDAK sesuai")</f>
        <v>✔ sesuai</v>
      </c>
      <c r="L306" s="103"/>
    </row>
    <row r="307" customFormat="false" ht="15" hidden="false" customHeight="false" outlineLevel="0" collapsed="false">
      <c r="A307" s="13" t="n">
        <v>301</v>
      </c>
      <c r="B307" s="13" t="s">
        <v>1973</v>
      </c>
      <c r="C307" s="13" t="s">
        <v>1983</v>
      </c>
      <c r="D307" s="13" t="n">
        <v>2024</v>
      </c>
      <c r="E307" s="50" t="n">
        <f aca="false">Schedules!G80</f>
        <v>6952268943</v>
      </c>
      <c r="F307" s="50" t="n">
        <f aca="false">Schedules!G75</f>
        <v>6952268943</v>
      </c>
      <c r="G307" s="101" t="n">
        <f aca="false">IF(COUNT(E307:F307)=2,E307-F307,"")</f>
        <v>0</v>
      </c>
      <c r="H307" s="102" t="n">
        <v>10</v>
      </c>
      <c r="I307" s="4" t="str">
        <f aca="false">IF(COUNT(E307:F307)&lt;2,"N/A",IF(ABS(G307)&lt;=H307,"OK","❌"))</f>
        <v>OK</v>
      </c>
      <c r="J307" s="102" t="s">
        <v>1932</v>
      </c>
      <c r="K307" s="4" t="str">
        <f aca="false">IF(I307=J307,"✔ sesuai","✖ TIDAK sesuai")</f>
        <v>✔ sesuai</v>
      </c>
      <c r="L307" s="103"/>
    </row>
    <row r="308" customFormat="false" ht="15" hidden="false" customHeight="false" outlineLevel="0" collapsed="false">
      <c r="A308" s="13" t="n">
        <v>302</v>
      </c>
      <c r="B308" s="13" t="s">
        <v>1973</v>
      </c>
      <c r="C308" s="13" t="s">
        <v>2004</v>
      </c>
      <c r="D308" s="13" t="n">
        <v>2024</v>
      </c>
      <c r="E308" s="50" t="n">
        <f aca="false">Schedules!G93</f>
        <v>148982103520</v>
      </c>
      <c r="F308" s="50" t="n">
        <f aca="false">Schedules!G90</f>
        <v>148982103520</v>
      </c>
      <c r="G308" s="101" t="n">
        <f aca="false">IF(COUNT(E308:F308)=2,E308-F308,"")</f>
        <v>0</v>
      </c>
      <c r="H308" s="102" t="n">
        <v>1</v>
      </c>
      <c r="I308" s="4" t="str">
        <f aca="false">IF(COUNT(E308:F308)&lt;2,"N/A",IF(ABS(G308)&lt;=H308,"OK","❌"))</f>
        <v>OK</v>
      </c>
      <c r="J308" s="102" t="s">
        <v>1932</v>
      </c>
      <c r="K308" s="4" t="str">
        <f aca="false">IF(I308=J308,"✔ sesuai","✖ TIDAK sesuai")</f>
        <v>✔ sesuai</v>
      </c>
      <c r="L308" s="103"/>
    </row>
    <row r="309" customFormat="false" ht="15" hidden="false" customHeight="false" outlineLevel="0" collapsed="false">
      <c r="A309" s="13" t="n">
        <v>303</v>
      </c>
      <c r="B309" s="13" t="s">
        <v>1973</v>
      </c>
      <c r="C309" s="13" t="s">
        <v>1984</v>
      </c>
      <c r="D309" s="13" t="n">
        <v>2024</v>
      </c>
      <c r="E309" s="50" t="n">
        <f aca="false">Schedules!G116</f>
        <v>47021949525</v>
      </c>
      <c r="F309" s="50" t="n">
        <f aca="false">Schedules!G115</f>
        <v>47021949525</v>
      </c>
      <c r="G309" s="101" t="n">
        <f aca="false">IF(COUNT(E309:F309)=2,E309-F309,"")</f>
        <v>0</v>
      </c>
      <c r="H309" s="102" t="n">
        <v>1</v>
      </c>
      <c r="I309" s="4" t="str">
        <f aca="false">IF(COUNT(E309:F309)&lt;2,"N/A",IF(ABS(G309)&lt;=H309,"OK","❌"))</f>
        <v>OK</v>
      </c>
      <c r="J309" s="102" t="s">
        <v>1932</v>
      </c>
      <c r="K309" s="4" t="str">
        <f aca="false">IF(I309=J309,"✔ sesuai","✖ TIDAK sesuai")</f>
        <v>✔ sesuai</v>
      </c>
      <c r="L309" s="103"/>
    </row>
    <row r="310" customFormat="false" ht="15" hidden="false" customHeight="false" outlineLevel="0" collapsed="false">
      <c r="A310" s="13" t="n">
        <v>304</v>
      </c>
      <c r="B310" s="13" t="s">
        <v>1973</v>
      </c>
      <c r="C310" s="13" t="s">
        <v>1985</v>
      </c>
      <c r="D310" s="13" t="n">
        <v>2024</v>
      </c>
      <c r="E310" s="50" t="n">
        <f aca="false">Schedules!G142</f>
        <v>73032171888</v>
      </c>
      <c r="F310" s="50" t="n">
        <f aca="false">Schedules!G141</f>
        <v>73032171888</v>
      </c>
      <c r="G310" s="101" t="n">
        <f aca="false">IF(COUNT(E310:F310)=2,E310-F310,"")</f>
        <v>0</v>
      </c>
      <c r="H310" s="102" t="n">
        <v>1</v>
      </c>
      <c r="I310" s="4" t="str">
        <f aca="false">IF(COUNT(E310:F310)&lt;2,"N/A",IF(ABS(G310)&lt;=H310,"OK","❌"))</f>
        <v>OK</v>
      </c>
      <c r="J310" s="102" t="s">
        <v>1932</v>
      </c>
      <c r="K310" s="4" t="str">
        <f aca="false">IF(I310=J310,"✔ sesuai","✖ TIDAK sesuai")</f>
        <v>✔ sesuai</v>
      </c>
      <c r="L310" s="103"/>
    </row>
    <row r="311" customFormat="false" ht="15" hidden="false" customHeight="false" outlineLevel="0" collapsed="false">
      <c r="A311" s="13" t="n">
        <v>305</v>
      </c>
      <c r="B311" s="13" t="s">
        <v>1973</v>
      </c>
      <c r="C311" s="13" t="s">
        <v>1986</v>
      </c>
      <c r="D311" s="13" t="n">
        <v>2024</v>
      </c>
      <c r="E311" s="50" t="n">
        <f aca="false">Schedules!G147</f>
        <v>23968116240</v>
      </c>
      <c r="F311" s="50" t="n">
        <f aca="false">Schedules!G146</f>
        <v>23968116240</v>
      </c>
      <c r="G311" s="101" t="n">
        <f aca="false">IF(COUNT(E311:F311)=2,E311-F311,"")</f>
        <v>0</v>
      </c>
      <c r="H311" s="102" t="n">
        <v>1</v>
      </c>
      <c r="I311" s="4" t="str">
        <f aca="false">IF(COUNT(E311:F311)&lt;2,"N/A",IF(ABS(G311)&lt;=H311,"OK","❌"))</f>
        <v>OK</v>
      </c>
      <c r="J311" s="102" t="s">
        <v>1932</v>
      </c>
      <c r="K311" s="4" t="str">
        <f aca="false">IF(I311=J311,"✔ sesuai","✖ TIDAK sesuai")</f>
        <v>✔ sesuai</v>
      </c>
      <c r="L311" s="103"/>
    </row>
    <row r="312" customFormat="false" ht="15" hidden="false" customHeight="false" outlineLevel="0" collapsed="false">
      <c r="A312" s="13" t="n">
        <v>306</v>
      </c>
      <c r="B312" s="13" t="s">
        <v>1973</v>
      </c>
      <c r="C312" s="13" t="s">
        <v>1987</v>
      </c>
      <c r="D312" s="13" t="n">
        <v>2024</v>
      </c>
      <c r="E312" s="50" t="n">
        <f aca="false">Schedules!G157</f>
        <v>30881579952</v>
      </c>
      <c r="F312" s="50" t="n">
        <f aca="false">Schedules!G155</f>
        <v>30881579952</v>
      </c>
      <c r="G312" s="101" t="n">
        <f aca="false">IF(COUNT(E312:F312)=2,E312-F312,"")</f>
        <v>0</v>
      </c>
      <c r="H312" s="102" t="n">
        <v>1</v>
      </c>
      <c r="I312" s="4" t="str">
        <f aca="false">IF(COUNT(E312:F312)&lt;2,"N/A",IF(ABS(G312)&lt;=H312,"OK","❌"))</f>
        <v>OK</v>
      </c>
      <c r="J312" s="102" t="s">
        <v>1932</v>
      </c>
      <c r="K312" s="4" t="str">
        <f aca="false">IF(I312=J312,"✔ sesuai","✖ TIDAK sesuai")</f>
        <v>✔ sesuai</v>
      </c>
      <c r="L312" s="103"/>
    </row>
    <row r="313" customFormat="false" ht="15" hidden="false" customHeight="false" outlineLevel="0" collapsed="false">
      <c r="A313" s="13" t="n">
        <v>307</v>
      </c>
      <c r="B313" s="13" t="s">
        <v>1973</v>
      </c>
      <c r="C313" s="13" t="s">
        <v>2005</v>
      </c>
      <c r="D313" s="13" t="n">
        <v>2024</v>
      </c>
      <c r="E313" s="50" t="n">
        <f aca="false">Schedules!G164</f>
        <v>30881579952</v>
      </c>
      <c r="F313" s="50" t="n">
        <f aca="false">Schedules!G163</f>
        <v>30881579952</v>
      </c>
      <c r="G313" s="101" t="n">
        <f aca="false">IF(COUNT(E313:F313)=2,E313-F313,"")</f>
        <v>0</v>
      </c>
      <c r="H313" s="102" t="n">
        <v>1</v>
      </c>
      <c r="I313" s="4" t="str">
        <f aca="false">IF(COUNT(E313:F313)&lt;2,"N/A",IF(ABS(G313)&lt;=H313,"OK","❌"))</f>
        <v>OK</v>
      </c>
      <c r="J313" s="102" t="s">
        <v>1932</v>
      </c>
      <c r="K313" s="4" t="str">
        <f aca="false">IF(I313=J313,"✔ sesuai","✖ TIDAK sesuai")</f>
        <v>✔ sesuai</v>
      </c>
      <c r="L313" s="103"/>
    </row>
    <row r="314" customFormat="false" ht="15" hidden="false" customHeight="false" outlineLevel="0" collapsed="false">
      <c r="A314" s="13" t="n">
        <v>308</v>
      </c>
      <c r="B314" s="13" t="s">
        <v>1973</v>
      </c>
      <c r="C314" s="13" t="s">
        <v>2006</v>
      </c>
      <c r="D314" s="13" t="n">
        <v>2024</v>
      </c>
      <c r="E314" s="50" t="n">
        <f aca="false">Schedules!G169</f>
        <v>14708865083</v>
      </c>
      <c r="F314" s="50" t="n">
        <f aca="false">Schedules!G168</f>
        <v>14708865083</v>
      </c>
      <c r="G314" s="101" t="n">
        <f aca="false">IF(COUNT(E314:F314)=2,E314-F314,"")</f>
        <v>0</v>
      </c>
      <c r="H314" s="102" t="n">
        <v>1</v>
      </c>
      <c r="I314" s="4" t="str">
        <f aca="false">IF(COUNT(E314:F314)&lt;2,"N/A",IF(ABS(G314)&lt;=H314,"OK","❌"))</f>
        <v>OK</v>
      </c>
      <c r="J314" s="102" t="s">
        <v>1932</v>
      </c>
      <c r="K314" s="4" t="str">
        <f aca="false">IF(I314=J314,"✔ sesuai","✖ TIDAK sesuai")</f>
        <v>✔ sesuai</v>
      </c>
      <c r="L314" s="103"/>
    </row>
    <row r="315" customFormat="false" ht="15" hidden="false" customHeight="false" outlineLevel="0" collapsed="false">
      <c r="A315" s="13" t="n">
        <v>309</v>
      </c>
      <c r="B315" s="13" t="s">
        <v>1973</v>
      </c>
      <c r="C315" s="13" t="s">
        <v>1988</v>
      </c>
      <c r="D315" s="13" t="n">
        <v>2024</v>
      </c>
      <c r="E315" s="50" t="n">
        <f aca="false">Schedules!G177</f>
        <v>19697947242</v>
      </c>
      <c r="F315" s="50" t="n">
        <f aca="false">Schedules!G175</f>
        <v>19697947242</v>
      </c>
      <c r="G315" s="101" t="n">
        <f aca="false">IF(COUNT(E315:F315)=2,E315-F315,"")</f>
        <v>0</v>
      </c>
      <c r="H315" s="102" t="n">
        <v>1</v>
      </c>
      <c r="I315" s="4" t="str">
        <f aca="false">IF(COUNT(E315:F315)&lt;2,"N/A",IF(ABS(G315)&lt;=H315,"OK","❌"))</f>
        <v>OK</v>
      </c>
      <c r="J315" s="102" t="s">
        <v>1932</v>
      </c>
      <c r="K315" s="4" t="str">
        <f aca="false">IF(I315=J315,"✔ sesuai","✖ TIDAK sesuai")</f>
        <v>✔ sesuai</v>
      </c>
      <c r="L315" s="103"/>
    </row>
    <row r="316" customFormat="false" ht="15" hidden="false" customHeight="false" outlineLevel="0" collapsed="false">
      <c r="A316" s="13" t="n">
        <v>310</v>
      </c>
      <c r="B316" s="13" t="s">
        <v>1973</v>
      </c>
      <c r="C316" s="13" t="s">
        <v>1989</v>
      </c>
      <c r="D316" s="13" t="n">
        <v>2024</v>
      </c>
      <c r="E316" s="50" t="n">
        <f aca="false">Schedules!G244</f>
        <v>440600262935</v>
      </c>
      <c r="F316" s="50" t="n">
        <f aca="false">Schedules!G242</f>
        <v>440600262935</v>
      </c>
      <c r="G316" s="101" t="n">
        <f aca="false">IF(COUNT(E316:F316)=2,E316-F316,"")</f>
        <v>0</v>
      </c>
      <c r="H316" s="102" t="n">
        <v>1</v>
      </c>
      <c r="I316" s="4" t="str">
        <f aca="false">IF(COUNT(E316:F316)&lt;2,"N/A",IF(ABS(G316)&lt;=H316,"OK","❌"))</f>
        <v>OK</v>
      </c>
      <c r="J316" s="102" t="s">
        <v>1932</v>
      </c>
      <c r="K316" s="4" t="str">
        <f aca="false">IF(I316=J316,"✔ sesuai","✖ TIDAK sesuai")</f>
        <v>✔ sesuai</v>
      </c>
      <c r="L316" s="103"/>
    </row>
    <row r="317" customFormat="false" ht="15" hidden="false" customHeight="false" outlineLevel="0" collapsed="false">
      <c r="A317" s="13" t="n">
        <v>311</v>
      </c>
      <c r="B317" s="13" t="s">
        <v>1973</v>
      </c>
      <c r="C317" s="13" t="s">
        <v>1990</v>
      </c>
      <c r="D317" s="13" t="n">
        <v>2024</v>
      </c>
      <c r="E317" s="50" t="n">
        <f aca="false">Schedules!G250</f>
        <v>654333591890</v>
      </c>
      <c r="F317" s="50" t="n">
        <f aca="false">Schedules!G248</f>
        <v>654333591890</v>
      </c>
      <c r="G317" s="101" t="n">
        <f aca="false">IF(COUNT(E317:F317)=2,E317-F317,"")</f>
        <v>0</v>
      </c>
      <c r="H317" s="102" t="n">
        <v>1</v>
      </c>
      <c r="I317" s="4" t="str">
        <f aca="false">IF(COUNT(E317:F317)&lt;2,"N/A",IF(ABS(G317)&lt;=H317,"OK","❌"))</f>
        <v>OK</v>
      </c>
      <c r="J317" s="102" t="s">
        <v>1932</v>
      </c>
      <c r="K317" s="4" t="str">
        <f aca="false">IF(I317=J317,"✔ sesuai","✖ TIDAK sesuai")</f>
        <v>✔ sesuai</v>
      </c>
      <c r="L317" s="103"/>
    </row>
    <row r="318" customFormat="false" ht="15" hidden="false" customHeight="false" outlineLevel="0" collapsed="false">
      <c r="A318" s="13" t="n">
        <v>312</v>
      </c>
      <c r="B318" s="13" t="s">
        <v>1973</v>
      </c>
      <c r="C318" s="13" t="s">
        <v>1992</v>
      </c>
      <c r="D318" s="13" t="n">
        <v>2024</v>
      </c>
      <c r="E318" s="50" t="n">
        <f aca="false">Schedules!G299</f>
        <v>1653463874571</v>
      </c>
      <c r="F318" s="50" t="n">
        <f aca="false">Schedules!G298</f>
        <v>1653463874571</v>
      </c>
      <c r="G318" s="101" t="n">
        <f aca="false">IF(COUNT(E318:F318)=2,E318-F318,"")</f>
        <v>0</v>
      </c>
      <c r="H318" s="102" t="n">
        <v>1</v>
      </c>
      <c r="I318" s="4" t="str">
        <f aca="false">IF(COUNT(E318:F318)&lt;2,"N/A",IF(ABS(G318)&lt;=H318,"OK","❌"))</f>
        <v>OK</v>
      </c>
      <c r="J318" s="102" t="s">
        <v>1932</v>
      </c>
      <c r="K318" s="4" t="str">
        <f aca="false">IF(I318=J318,"✔ sesuai","✖ TIDAK sesuai")</f>
        <v>✔ sesuai</v>
      </c>
      <c r="L318" s="103"/>
    </row>
    <row r="319" customFormat="false" ht="15" hidden="false" customHeight="false" outlineLevel="0" collapsed="false">
      <c r="A319" s="13" t="n">
        <v>313</v>
      </c>
      <c r="B319" s="13" t="s">
        <v>1973</v>
      </c>
      <c r="C319" s="13" t="s">
        <v>1993</v>
      </c>
      <c r="D319" s="13" t="n">
        <v>2024</v>
      </c>
      <c r="E319" s="50" t="n">
        <f aca="false">Schedules!G310</f>
        <v>847547994844</v>
      </c>
      <c r="F319" s="50" t="n">
        <f aca="false">Schedules!G309</f>
        <v>847547994844</v>
      </c>
      <c r="G319" s="101" t="n">
        <f aca="false">IF(COUNT(E319:F319)=2,E319-F319,"")</f>
        <v>0</v>
      </c>
      <c r="H319" s="102" t="n">
        <v>1</v>
      </c>
      <c r="I319" s="4" t="str">
        <f aca="false">IF(COUNT(E319:F319)&lt;2,"N/A",IF(ABS(G319)&lt;=H319,"OK","❌"))</f>
        <v>OK</v>
      </c>
      <c r="J319" s="102" t="s">
        <v>1932</v>
      </c>
      <c r="K319" s="4" t="str">
        <f aca="false">IF(I319=J319,"✔ sesuai","✖ TIDAK sesuai")</f>
        <v>✔ sesuai</v>
      </c>
      <c r="L319" s="103"/>
    </row>
    <row r="320" customFormat="false" ht="15" hidden="false" customHeight="false" outlineLevel="0" collapsed="false">
      <c r="A320" s="13" t="n">
        <v>314</v>
      </c>
      <c r="B320" s="13" t="s">
        <v>1973</v>
      </c>
      <c r="C320" s="13" t="s">
        <v>1994</v>
      </c>
      <c r="D320" s="13" t="n">
        <v>2024</v>
      </c>
      <c r="E320" s="50" t="n">
        <f aca="false">Schedules!G316</f>
        <v>31257567617</v>
      </c>
      <c r="F320" s="50" t="n">
        <f aca="false">Schedules!G315</f>
        <v>31257567617</v>
      </c>
      <c r="G320" s="101" t="n">
        <f aca="false">IF(COUNT(E320:F320)=2,E320-F320,"")</f>
        <v>0</v>
      </c>
      <c r="H320" s="102" t="n">
        <v>1</v>
      </c>
      <c r="I320" s="4" t="str">
        <f aca="false">IF(COUNT(E320:F320)&lt;2,"N/A",IF(ABS(G320)&lt;=H320,"OK","❌"))</f>
        <v>OK</v>
      </c>
      <c r="J320" s="102" t="s">
        <v>1932</v>
      </c>
      <c r="K320" s="4" t="str">
        <f aca="false">IF(I320=J320,"✔ sesuai","✖ TIDAK sesuai")</f>
        <v>✔ sesuai</v>
      </c>
      <c r="L320" s="103"/>
    </row>
    <row r="321" customFormat="false" ht="15" hidden="false" customHeight="false" outlineLevel="0" collapsed="false">
      <c r="A321" s="13" t="n">
        <v>315</v>
      </c>
      <c r="B321" s="13" t="s">
        <v>1973</v>
      </c>
      <c r="C321" s="13" t="s">
        <v>1995</v>
      </c>
      <c r="D321" s="13" t="n">
        <v>2024</v>
      </c>
      <c r="E321" s="50" t="n">
        <f aca="false">Schedules!G339</f>
        <v>576812865380</v>
      </c>
      <c r="F321" s="50" t="n">
        <f aca="false">Schedules!G338</f>
        <v>576812865380</v>
      </c>
      <c r="G321" s="101" t="n">
        <f aca="false">IF(COUNT(E321:F321)=2,E321-F321,"")</f>
        <v>0</v>
      </c>
      <c r="H321" s="102" t="n">
        <v>1</v>
      </c>
      <c r="I321" s="4" t="str">
        <f aca="false">IF(COUNT(E321:F321)&lt;2,"N/A",IF(ABS(G321)&lt;=H321,"OK","❌"))</f>
        <v>OK</v>
      </c>
      <c r="J321" s="102" t="s">
        <v>1932</v>
      </c>
      <c r="K321" s="4" t="str">
        <f aca="false">IF(I321=J321,"✔ sesuai","✖ TIDAK sesuai")</f>
        <v>✔ sesuai</v>
      </c>
      <c r="L321" s="103"/>
    </row>
    <row r="322" customFormat="false" ht="15" hidden="false" customHeight="false" outlineLevel="0" collapsed="false">
      <c r="A322" s="13" t="n">
        <v>316</v>
      </c>
      <c r="B322" s="13" t="s">
        <v>2000</v>
      </c>
      <c r="C322" s="13" t="s">
        <v>2001</v>
      </c>
      <c r="D322" s="13" t="n">
        <v>2024</v>
      </c>
      <c r="E322" s="70" t="n">
        <f aca="false">IS!G37</f>
        <v>1.4</v>
      </c>
      <c r="F322" s="70" t="n">
        <f aca="false">ROUND(IS!G33/8603416176,2)</f>
        <v>1.39</v>
      </c>
      <c r="G322" s="104" t="n">
        <f aca="false">IF(COUNT(E322:F322)=2,E322-F322,"")</f>
        <v>0.01</v>
      </c>
      <c r="H322" s="102" t="n">
        <v>0.05</v>
      </c>
      <c r="I322" s="4" t="str">
        <f aca="false">IF(COUNT(E322:F322)&lt;2,"N/A",IF(ABS(G322)&lt;=H322,"OK","❌"))</f>
        <v>OK</v>
      </c>
      <c r="J322" s="102" t="s">
        <v>1932</v>
      </c>
      <c r="K322" s="4" t="str">
        <f aca="false">IF(I322=J322,"✔ sesuai","✖ TIDAK sesuai")</f>
        <v>✔ sesuai</v>
      </c>
      <c r="L322" s="103"/>
    </row>
    <row r="323" customFormat="false" ht="15" hidden="false" customHeight="false" outlineLevel="0" collapsed="false">
      <c r="A323" s="13" t="n">
        <v>317</v>
      </c>
      <c r="B323" s="13" t="s">
        <v>1930</v>
      </c>
      <c r="C323" s="13" t="s">
        <v>1931</v>
      </c>
      <c r="D323" s="13" t="n">
        <v>2025</v>
      </c>
      <c r="E323" s="50" t="n">
        <f aca="false">IS!H8</f>
        <v>744492466110</v>
      </c>
      <c r="F323" s="50" t="n">
        <f aca="false">IS!H39</f>
        <v>744492466110</v>
      </c>
      <c r="G323" s="101" t="n">
        <f aca="false">IF(COUNT(E323:F323)=2,E323-F323,"")</f>
        <v>0</v>
      </c>
      <c r="H323" s="102" t="n">
        <v>1</v>
      </c>
      <c r="I323" s="4" t="str">
        <f aca="false">IF(COUNT(E323:F323)&lt;2,"N/A",IF(ABS(G323)&lt;=H323,"OK","❌"))</f>
        <v>OK</v>
      </c>
      <c r="J323" s="102" t="s">
        <v>1932</v>
      </c>
      <c r="K323" s="4" t="str">
        <f aca="false">IF(I323=J323,"✔ sesuai","✖ TIDAK sesuai")</f>
        <v>✔ sesuai</v>
      </c>
      <c r="L323" s="103"/>
    </row>
    <row r="324" customFormat="false" ht="15" hidden="false" customHeight="false" outlineLevel="0" collapsed="false">
      <c r="A324" s="13" t="n">
        <v>318</v>
      </c>
      <c r="B324" s="13" t="s">
        <v>1930</v>
      </c>
      <c r="C324" s="13" t="s">
        <v>1933</v>
      </c>
      <c r="D324" s="13" t="n">
        <v>2025</v>
      </c>
      <c r="E324" s="50" t="n">
        <f aca="false">IS!H11</f>
        <v>-628562924995</v>
      </c>
      <c r="F324" s="50" t="n">
        <f aca="false">IS!H40</f>
        <v>-628562924995</v>
      </c>
      <c r="G324" s="101" t="n">
        <f aca="false">IF(COUNT(E324:F324)=2,E324-F324,"")</f>
        <v>0</v>
      </c>
      <c r="H324" s="102" t="n">
        <v>1</v>
      </c>
      <c r="I324" s="4" t="str">
        <f aca="false">IF(COUNT(E324:F324)&lt;2,"N/A",IF(ABS(G324)&lt;=H324,"OK","❌"))</f>
        <v>OK</v>
      </c>
      <c r="J324" s="102" t="s">
        <v>1932</v>
      </c>
      <c r="K324" s="4" t="str">
        <f aca="false">IF(I324=J324,"✔ sesuai","✖ TIDAK sesuai")</f>
        <v>✔ sesuai</v>
      </c>
      <c r="L324" s="103"/>
    </row>
    <row r="325" customFormat="false" ht="15" hidden="false" customHeight="false" outlineLevel="0" collapsed="false">
      <c r="A325" s="13" t="n">
        <v>319</v>
      </c>
      <c r="B325" s="13" t="s">
        <v>1930</v>
      </c>
      <c r="C325" s="13" t="s">
        <v>1934</v>
      </c>
      <c r="D325" s="13" t="n">
        <v>2025</v>
      </c>
      <c r="E325" s="50" t="n">
        <f aca="false">IS!H17</f>
        <v>45282649553</v>
      </c>
      <c r="F325" s="50" t="n">
        <f aca="false">IS!H41</f>
        <v>45282649553</v>
      </c>
      <c r="G325" s="101" t="n">
        <f aca="false">IF(COUNT(E325:F325)=2,E325-F325,"")</f>
        <v>0</v>
      </c>
      <c r="H325" s="102" t="n">
        <v>1</v>
      </c>
      <c r="I325" s="4" t="str">
        <f aca="false">IF(COUNT(E325:F325)&lt;2,"N/A",IF(ABS(G325)&lt;=H325,"OK","❌"))</f>
        <v>OK</v>
      </c>
      <c r="J325" s="102" t="s">
        <v>1932</v>
      </c>
      <c r="K325" s="4" t="str">
        <f aca="false">IF(I325=J325,"✔ sesuai","✖ TIDAK sesuai")</f>
        <v>✔ sesuai</v>
      </c>
      <c r="L325" s="103"/>
    </row>
    <row r="326" customFormat="false" ht="15" hidden="false" customHeight="false" outlineLevel="0" collapsed="false">
      <c r="A326" s="13" t="n">
        <v>320</v>
      </c>
      <c r="B326" s="13" t="s">
        <v>1930</v>
      </c>
      <c r="C326" s="13" t="s">
        <v>1935</v>
      </c>
      <c r="D326" s="13" t="n">
        <v>2025</v>
      </c>
      <c r="E326" s="50" t="n">
        <f aca="false">IS!H21</f>
        <v>-15609507020</v>
      </c>
      <c r="F326" s="50" t="n">
        <f aca="false">IS!H42</f>
        <v>-15609507020</v>
      </c>
      <c r="G326" s="101" t="n">
        <f aca="false">IF(COUNT(E326:F326)=2,E326-F326,"")</f>
        <v>0</v>
      </c>
      <c r="H326" s="102" t="n">
        <v>1</v>
      </c>
      <c r="I326" s="4" t="str">
        <f aca="false">IF(COUNT(E326:F326)&lt;2,"N/A",IF(ABS(G326)&lt;=H326,"OK","❌"))</f>
        <v>OK</v>
      </c>
      <c r="J326" s="102" t="s">
        <v>1932</v>
      </c>
      <c r="K326" s="4" t="str">
        <f aca="false">IF(I326=J326,"✔ sesuai","✖ TIDAK sesuai")</f>
        <v>✔ sesuai</v>
      </c>
      <c r="L326" s="103"/>
    </row>
    <row r="327" customFormat="false" ht="15" hidden="false" customHeight="false" outlineLevel="0" collapsed="false">
      <c r="A327" s="13" t="n">
        <v>321</v>
      </c>
      <c r="B327" s="13" t="s">
        <v>1930</v>
      </c>
      <c r="C327" s="13" t="s">
        <v>1936</v>
      </c>
      <c r="D327" s="13" t="n">
        <v>2025</v>
      </c>
      <c r="E327" s="50" t="n">
        <f aca="false">IS!H22</f>
        <v>29673142533</v>
      </c>
      <c r="F327" s="50" t="n">
        <f aca="false">IS!H43</f>
        <v>29673142533</v>
      </c>
      <c r="G327" s="101" t="n">
        <f aca="false">IF(COUNT(E327:F327)=2,E327-F327,"")</f>
        <v>0</v>
      </c>
      <c r="H327" s="102" t="n">
        <v>1</v>
      </c>
      <c r="I327" s="4" t="str">
        <f aca="false">IF(COUNT(E327:F327)&lt;2,"N/A",IF(ABS(G327)&lt;=H327,"OK","❌"))</f>
        <v>OK</v>
      </c>
      <c r="J327" s="102" t="s">
        <v>1932</v>
      </c>
      <c r="K327" s="4" t="str">
        <f aca="false">IF(I327=J327,"✔ sesuai","✖ TIDAK sesuai")</f>
        <v>✔ sesuai</v>
      </c>
      <c r="L327" s="103"/>
    </row>
    <row r="328" customFormat="false" ht="15" hidden="false" customHeight="false" outlineLevel="0" collapsed="false">
      <c r="A328" s="13" t="n">
        <v>322</v>
      </c>
      <c r="B328" s="13" t="s">
        <v>1930</v>
      </c>
      <c r="C328" s="13" t="s">
        <v>1937</v>
      </c>
      <c r="D328" s="13" t="n">
        <v>2025</v>
      </c>
      <c r="E328" s="50" t="n">
        <f aca="false">IS!H30</f>
        <v>233138577908</v>
      </c>
      <c r="F328" s="50" t="n">
        <f aca="false">IS!H44</f>
        <v>233138577908</v>
      </c>
      <c r="G328" s="101" t="n">
        <f aca="false">IF(COUNT(E328:F328)=2,E328-F328,"")</f>
        <v>0</v>
      </c>
      <c r="H328" s="102" t="n">
        <v>1</v>
      </c>
      <c r="I328" s="4" t="str">
        <f aca="false">IF(COUNT(E328:F328)&lt;2,"N/A",IF(ABS(G328)&lt;=H328,"OK","❌"))</f>
        <v>OK</v>
      </c>
      <c r="J328" s="102" t="s">
        <v>1932</v>
      </c>
      <c r="K328" s="4" t="str">
        <f aca="false">IF(I328=J328,"✔ sesuai","✖ TIDAK sesuai")</f>
        <v>✔ sesuai</v>
      </c>
      <c r="L328" s="103"/>
    </row>
    <row r="329" customFormat="false" ht="15" hidden="false" customHeight="false" outlineLevel="0" collapsed="false">
      <c r="A329" s="13" t="n">
        <v>323</v>
      </c>
      <c r="B329" s="13" t="s">
        <v>1930</v>
      </c>
      <c r="C329" s="13" t="s">
        <v>1938</v>
      </c>
      <c r="D329" s="13" t="n">
        <v>2025</v>
      </c>
      <c r="E329" s="50" t="n">
        <f aca="false">IS!H31</f>
        <v>262811720441</v>
      </c>
      <c r="F329" s="50" t="n">
        <f aca="false">IS!H45</f>
        <v>262811720441</v>
      </c>
      <c r="G329" s="101" t="n">
        <f aca="false">IF(COUNT(E329:F329)=2,E329-F329,"")</f>
        <v>0</v>
      </c>
      <c r="H329" s="102" t="n">
        <v>1</v>
      </c>
      <c r="I329" s="4" t="str">
        <f aca="false">IF(COUNT(E329:F329)&lt;2,"N/A",IF(ABS(G329)&lt;=H329,"OK","❌"))</f>
        <v>OK</v>
      </c>
      <c r="J329" s="102" t="s">
        <v>1932</v>
      </c>
      <c r="K329" s="4" t="str">
        <f aca="false">IF(I329=J329,"✔ sesuai","✖ TIDAK sesuai")</f>
        <v>✔ sesuai</v>
      </c>
      <c r="L329" s="103"/>
    </row>
    <row r="330" customFormat="false" ht="15" hidden="false" customHeight="false" outlineLevel="0" collapsed="false">
      <c r="A330" s="13" t="n">
        <v>324</v>
      </c>
      <c r="B330" s="13" t="s">
        <v>1930</v>
      </c>
      <c r="C330" s="13" t="s">
        <v>1938</v>
      </c>
      <c r="D330" s="13" t="n">
        <v>2025</v>
      </c>
      <c r="E330" s="50" t="n">
        <f aca="false">IS!H31</f>
        <v>262811720441</v>
      </c>
      <c r="F330" s="50" t="n">
        <f aca="false">IS!H46</f>
        <v>262811720441</v>
      </c>
      <c r="G330" s="101" t="n">
        <f aca="false">IF(COUNT(E330:F330)=2,E330-F330,"")</f>
        <v>0</v>
      </c>
      <c r="H330" s="102" t="n">
        <v>1</v>
      </c>
      <c r="I330" s="4" t="str">
        <f aca="false">IF(COUNT(E330:F330)&lt;2,"N/A",IF(ABS(G330)&lt;=H330,"OK","❌"))</f>
        <v>OK</v>
      </c>
      <c r="J330" s="102" t="s">
        <v>1932</v>
      </c>
      <c r="K330" s="4" t="str">
        <f aca="false">IF(I330=J330,"✔ sesuai","✖ TIDAK sesuai")</f>
        <v>✔ sesuai</v>
      </c>
      <c r="L330" s="103"/>
    </row>
    <row r="331" customFormat="false" ht="15" hidden="false" customHeight="false" outlineLevel="0" collapsed="false">
      <c r="A331" s="13" t="n">
        <v>325</v>
      </c>
      <c r="B331" s="13" t="s">
        <v>1930</v>
      </c>
      <c r="C331" s="13" t="s">
        <v>1939</v>
      </c>
      <c r="D331" s="13" t="n">
        <v>2025</v>
      </c>
      <c r="E331" s="50" t="n">
        <f aca="false">BS!H15</f>
        <v>1210239116384</v>
      </c>
      <c r="F331" s="50" t="n">
        <f aca="false">BS!H60</f>
        <v>1210239116384</v>
      </c>
      <c r="G331" s="101" t="n">
        <f aca="false">IF(COUNT(E331:F331)=2,E331-F331,"")</f>
        <v>0</v>
      </c>
      <c r="H331" s="102" t="n">
        <v>1</v>
      </c>
      <c r="I331" s="4" t="str">
        <f aca="false">IF(COUNT(E331:F331)&lt;2,"N/A",IF(ABS(G331)&lt;=H331,"OK","❌"))</f>
        <v>OK</v>
      </c>
      <c r="J331" s="102" t="s">
        <v>1932</v>
      </c>
      <c r="K331" s="4" t="str">
        <f aca="false">IF(I331=J331,"✔ sesuai","✖ TIDAK sesuai")</f>
        <v>✔ sesuai</v>
      </c>
      <c r="L331" s="103"/>
    </row>
    <row r="332" customFormat="false" ht="15" hidden="false" customHeight="false" outlineLevel="0" collapsed="false">
      <c r="A332" s="13" t="n">
        <v>326</v>
      </c>
      <c r="B332" s="13" t="s">
        <v>1930</v>
      </c>
      <c r="C332" s="13" t="s">
        <v>1940</v>
      </c>
      <c r="D332" s="13" t="n">
        <v>2025</v>
      </c>
      <c r="E332" s="50" t="n">
        <f aca="false">BS!H25</f>
        <v>2806190318759</v>
      </c>
      <c r="F332" s="50" t="n">
        <f aca="false">BS!H61</f>
        <v>2806190318759</v>
      </c>
      <c r="G332" s="101" t="n">
        <f aca="false">IF(COUNT(E332:F332)=2,E332-F332,"")</f>
        <v>0</v>
      </c>
      <c r="H332" s="102" t="n">
        <v>1</v>
      </c>
      <c r="I332" s="4" t="str">
        <f aca="false">IF(COUNT(E332:F332)&lt;2,"N/A",IF(ABS(G332)&lt;=H332,"OK","❌"))</f>
        <v>OK</v>
      </c>
      <c r="J332" s="102" t="s">
        <v>1932</v>
      </c>
      <c r="K332" s="4" t="str">
        <f aca="false">IF(I332=J332,"✔ sesuai","✖ TIDAK sesuai")</f>
        <v>✔ sesuai</v>
      </c>
      <c r="L332" s="103"/>
    </row>
    <row r="333" customFormat="false" ht="15" hidden="false" customHeight="false" outlineLevel="0" collapsed="false">
      <c r="A333" s="13" t="n">
        <v>327</v>
      </c>
      <c r="B333" s="13" t="s">
        <v>1930</v>
      </c>
      <c r="C333" s="13" t="s">
        <v>1941</v>
      </c>
      <c r="D333" s="13" t="n">
        <v>2025</v>
      </c>
      <c r="E333" s="50" t="n">
        <f aca="false">BS!H26</f>
        <v>4016429435143</v>
      </c>
      <c r="F333" s="50" t="n">
        <f aca="false">BS!H62</f>
        <v>4016429435143</v>
      </c>
      <c r="G333" s="101" t="n">
        <f aca="false">IF(COUNT(E333:F333)=2,E333-F333,"")</f>
        <v>0</v>
      </c>
      <c r="H333" s="102" t="n">
        <v>1</v>
      </c>
      <c r="I333" s="4" t="str">
        <f aca="false">IF(COUNT(E333:F333)&lt;2,"N/A",IF(ABS(G333)&lt;=H333,"OK","❌"))</f>
        <v>OK</v>
      </c>
      <c r="J333" s="102" t="s">
        <v>1932</v>
      </c>
      <c r="K333" s="4" t="str">
        <f aca="false">IF(I333=J333,"✔ sesuai","✖ TIDAK sesuai")</f>
        <v>✔ sesuai</v>
      </c>
      <c r="L333" s="103"/>
    </row>
    <row r="334" customFormat="false" ht="15" hidden="false" customHeight="false" outlineLevel="0" collapsed="false">
      <c r="A334" s="13" t="n">
        <v>328</v>
      </c>
      <c r="B334" s="13" t="s">
        <v>1930</v>
      </c>
      <c r="C334" s="13" t="s">
        <v>1942</v>
      </c>
      <c r="D334" s="13" t="n">
        <v>2025</v>
      </c>
      <c r="E334" s="50" t="n">
        <f aca="false">BS!H38</f>
        <v>746084870999</v>
      </c>
      <c r="F334" s="50" t="n">
        <f aca="false">BS!H63</f>
        <v>746084870999</v>
      </c>
      <c r="G334" s="101" t="n">
        <f aca="false">IF(COUNT(E334:F334)=2,E334-F334,"")</f>
        <v>0</v>
      </c>
      <c r="H334" s="102" t="n">
        <v>1</v>
      </c>
      <c r="I334" s="4" t="str">
        <f aca="false">IF(COUNT(E334:F334)&lt;2,"N/A",IF(ABS(G334)&lt;=H334,"OK","❌"))</f>
        <v>OK</v>
      </c>
      <c r="J334" s="102" t="s">
        <v>1932</v>
      </c>
      <c r="K334" s="4" t="str">
        <f aca="false">IF(I334=J334,"✔ sesuai","✖ TIDAK sesuai")</f>
        <v>✔ sesuai</v>
      </c>
      <c r="L334" s="103"/>
    </row>
    <row r="335" customFormat="false" ht="15" hidden="false" customHeight="false" outlineLevel="0" collapsed="false">
      <c r="A335" s="13" t="n">
        <v>329</v>
      </c>
      <c r="B335" s="13" t="s">
        <v>1930</v>
      </c>
      <c r="C335" s="13" t="s">
        <v>1943</v>
      </c>
      <c r="D335" s="13" t="n">
        <v>2025</v>
      </c>
      <c r="E335" s="50" t="n">
        <f aca="false">BS!H44</f>
        <v>875837547633</v>
      </c>
      <c r="F335" s="50" t="n">
        <f aca="false">BS!H64</f>
        <v>875837547633</v>
      </c>
      <c r="G335" s="101" t="n">
        <f aca="false">IF(COUNT(E335:F335)=2,E335-F335,"")</f>
        <v>0</v>
      </c>
      <c r="H335" s="102" t="n">
        <v>1</v>
      </c>
      <c r="I335" s="4" t="str">
        <f aca="false">IF(COUNT(E335:F335)&lt;2,"N/A",IF(ABS(G335)&lt;=H335,"OK","❌"))</f>
        <v>OK</v>
      </c>
      <c r="J335" s="102" t="s">
        <v>1932</v>
      </c>
      <c r="K335" s="4" t="str">
        <f aca="false">IF(I335=J335,"✔ sesuai","✖ TIDAK sesuai")</f>
        <v>✔ sesuai</v>
      </c>
      <c r="L335" s="103"/>
    </row>
    <row r="336" customFormat="false" ht="15" hidden="false" customHeight="false" outlineLevel="0" collapsed="false">
      <c r="A336" s="13" t="n">
        <v>330</v>
      </c>
      <c r="B336" s="13" t="s">
        <v>1930</v>
      </c>
      <c r="C336" s="13" t="s">
        <v>1944</v>
      </c>
      <c r="D336" s="13" t="n">
        <v>2025</v>
      </c>
      <c r="E336" s="50" t="n">
        <f aca="false">BS!H45</f>
        <v>1621922418632</v>
      </c>
      <c r="F336" s="50" t="n">
        <f aca="false">BS!H65</f>
        <v>1621922418632</v>
      </c>
      <c r="G336" s="101" t="n">
        <f aca="false">IF(COUNT(E336:F336)=2,E336-F336,"")</f>
        <v>0</v>
      </c>
      <c r="H336" s="102" t="n">
        <v>1</v>
      </c>
      <c r="I336" s="4" t="str">
        <f aca="false">IF(COUNT(E336:F336)&lt;2,"N/A",IF(ABS(G336)&lt;=H336,"OK","❌"))</f>
        <v>OK</v>
      </c>
      <c r="J336" s="102" t="s">
        <v>1932</v>
      </c>
      <c r="K336" s="4" t="str">
        <f aca="false">IF(I336=J336,"✔ sesuai","✖ TIDAK sesuai")</f>
        <v>✔ sesuai</v>
      </c>
      <c r="L336" s="103"/>
    </row>
    <row r="337" customFormat="false" ht="15" hidden="false" customHeight="false" outlineLevel="0" collapsed="false">
      <c r="A337" s="13" t="n">
        <v>331</v>
      </c>
      <c r="B337" s="13" t="s">
        <v>1930</v>
      </c>
      <c r="C337" s="13" t="s">
        <v>1945</v>
      </c>
      <c r="D337" s="13" t="n">
        <v>2025</v>
      </c>
      <c r="E337" s="50" t="n">
        <f aca="false">BS!H55</f>
        <v>1949914193558</v>
      </c>
      <c r="F337" s="50" t="n">
        <f aca="false">BS!H66</f>
        <v>1949914193558</v>
      </c>
      <c r="G337" s="101" t="n">
        <f aca="false">IF(COUNT(E337:F337)=2,E337-F337,"")</f>
        <v>0</v>
      </c>
      <c r="H337" s="102" t="n">
        <v>1</v>
      </c>
      <c r="I337" s="4" t="str">
        <f aca="false">IF(COUNT(E337:F337)&lt;2,"N/A",IF(ABS(G337)&lt;=H337,"OK","❌"))</f>
        <v>OK</v>
      </c>
      <c r="J337" s="102" t="s">
        <v>1932</v>
      </c>
      <c r="K337" s="4" t="str">
        <f aca="false">IF(I337=J337,"✔ sesuai","✖ TIDAK sesuai")</f>
        <v>✔ sesuai</v>
      </c>
      <c r="L337" s="103"/>
    </row>
    <row r="338" customFormat="false" ht="15" hidden="false" customHeight="false" outlineLevel="0" collapsed="false">
      <c r="A338" s="13" t="n">
        <v>332</v>
      </c>
      <c r="B338" s="13" t="s">
        <v>1930</v>
      </c>
      <c r="C338" s="13" t="s">
        <v>1946</v>
      </c>
      <c r="D338" s="13" t="n">
        <v>2025</v>
      </c>
      <c r="E338" s="50" t="n">
        <f aca="false">BS!H57</f>
        <v>2394507016511</v>
      </c>
      <c r="F338" s="50" t="n">
        <f aca="false">BS!H67</f>
        <v>2394507016511</v>
      </c>
      <c r="G338" s="101" t="n">
        <f aca="false">IF(COUNT(E338:F338)=2,E338-F338,"")</f>
        <v>0</v>
      </c>
      <c r="H338" s="102" t="n">
        <v>1</v>
      </c>
      <c r="I338" s="4" t="str">
        <f aca="false">IF(COUNT(E338:F338)&lt;2,"N/A",IF(ABS(G338)&lt;=H338,"OK","❌"))</f>
        <v>OK</v>
      </c>
      <c r="J338" s="102" t="s">
        <v>1932</v>
      </c>
      <c r="K338" s="4" t="str">
        <f aca="false">IF(I338=J338,"✔ sesuai","✖ TIDAK sesuai")</f>
        <v>✔ sesuai</v>
      </c>
      <c r="L338" s="103"/>
    </row>
    <row r="339" customFormat="false" ht="15" hidden="false" customHeight="false" outlineLevel="0" collapsed="false">
      <c r="A339" s="13" t="n">
        <v>333</v>
      </c>
      <c r="B339" s="13" t="s">
        <v>1930</v>
      </c>
      <c r="C339" s="13" t="s">
        <v>1947</v>
      </c>
      <c r="D339" s="13" t="n">
        <v>2025</v>
      </c>
      <c r="E339" s="50" t="n">
        <f aca="false">BS!H58</f>
        <v>4016429435143</v>
      </c>
      <c r="F339" s="50" t="n">
        <f aca="false">BS!H68</f>
        <v>4016429435143</v>
      </c>
      <c r="G339" s="101" t="n">
        <f aca="false">IF(COUNT(E339:F339)=2,E339-F339,"")</f>
        <v>0</v>
      </c>
      <c r="H339" s="102" t="n">
        <v>1</v>
      </c>
      <c r="I339" s="4" t="str">
        <f aca="false">IF(COUNT(E339:F339)&lt;2,"N/A",IF(ABS(G339)&lt;=H339,"OK","❌"))</f>
        <v>OK</v>
      </c>
      <c r="J339" s="102" t="s">
        <v>1932</v>
      </c>
      <c r="K339" s="4" t="str">
        <f aca="false">IF(I339=J339,"✔ sesuai","✖ TIDAK sesuai")</f>
        <v>✔ sesuai</v>
      </c>
      <c r="L339" s="103"/>
    </row>
    <row r="340" customFormat="false" ht="15" hidden="false" customHeight="false" outlineLevel="0" collapsed="false">
      <c r="A340" s="13" t="n">
        <v>334</v>
      </c>
      <c r="B340" s="13" t="s">
        <v>1930</v>
      </c>
      <c r="C340" s="13" t="s">
        <v>1948</v>
      </c>
      <c r="D340" s="13" t="n">
        <v>2025</v>
      </c>
      <c r="E340" s="50" t="n">
        <f aca="false">CF!H13</f>
        <v>250621859694</v>
      </c>
      <c r="F340" s="50" t="n">
        <f aca="false">CF!H42</f>
        <v>250621859694</v>
      </c>
      <c r="G340" s="101" t="n">
        <f aca="false">IF(COUNT(E340:F340)=2,E340-F340,"")</f>
        <v>0</v>
      </c>
      <c r="H340" s="102" t="n">
        <v>1</v>
      </c>
      <c r="I340" s="4" t="str">
        <f aca="false">IF(COUNT(E340:F340)&lt;2,"N/A",IF(ABS(G340)&lt;=H340,"OK","❌"))</f>
        <v>OK</v>
      </c>
      <c r="J340" s="102" t="s">
        <v>1932</v>
      </c>
      <c r="K340" s="4" t="str">
        <f aca="false">IF(I340=J340,"✔ sesuai","✖ TIDAK sesuai")</f>
        <v>✔ sesuai</v>
      </c>
      <c r="L340" s="103"/>
    </row>
    <row r="341" customFormat="false" ht="15" hidden="false" customHeight="false" outlineLevel="0" collapsed="false">
      <c r="A341" s="13" t="n">
        <v>335</v>
      </c>
      <c r="B341" s="13" t="s">
        <v>1930</v>
      </c>
      <c r="C341" s="13" t="s">
        <v>1949</v>
      </c>
      <c r="D341" s="13" t="n">
        <v>2025</v>
      </c>
      <c r="E341" s="50" t="n">
        <f aca="false">CF!H21</f>
        <v>-217412095335</v>
      </c>
      <c r="F341" s="50" t="n">
        <f aca="false">CF!H43</f>
        <v>-217412095335</v>
      </c>
      <c r="G341" s="101" t="n">
        <f aca="false">IF(COUNT(E341:F341)=2,E341-F341,"")</f>
        <v>0</v>
      </c>
      <c r="H341" s="102" t="n">
        <v>1</v>
      </c>
      <c r="I341" s="4" t="str">
        <f aca="false">IF(COUNT(E341:F341)&lt;2,"N/A",IF(ABS(G341)&lt;=H341,"OK","❌"))</f>
        <v>OK</v>
      </c>
      <c r="J341" s="102" t="s">
        <v>1932</v>
      </c>
      <c r="K341" s="4" t="str">
        <f aca="false">IF(I341=J341,"✔ sesuai","✖ TIDAK sesuai")</f>
        <v>✔ sesuai</v>
      </c>
      <c r="L341" s="103"/>
    </row>
    <row r="342" customFormat="false" ht="15" hidden="false" customHeight="false" outlineLevel="0" collapsed="false">
      <c r="A342" s="13" t="n">
        <v>336</v>
      </c>
      <c r="B342" s="13" t="s">
        <v>1930</v>
      </c>
      <c r="C342" s="13" t="s">
        <v>1950</v>
      </c>
      <c r="D342" s="13" t="n">
        <v>2025</v>
      </c>
      <c r="E342" s="50" t="n">
        <f aca="false">CF!H31</f>
        <v>10042921475</v>
      </c>
      <c r="F342" s="50" t="n">
        <f aca="false">CF!H44</f>
        <v>10042921475</v>
      </c>
      <c r="G342" s="101" t="n">
        <f aca="false">IF(COUNT(E342:F342)=2,E342-F342,"")</f>
        <v>0</v>
      </c>
      <c r="H342" s="102" t="n">
        <v>1</v>
      </c>
      <c r="I342" s="4" t="str">
        <f aca="false">IF(COUNT(E342:F342)&lt;2,"N/A",IF(ABS(G342)&lt;=H342,"OK","❌"))</f>
        <v>OK</v>
      </c>
      <c r="J342" s="102" t="s">
        <v>1932</v>
      </c>
      <c r="K342" s="4" t="str">
        <f aca="false">IF(I342=J342,"✔ sesuai","✖ TIDAK sesuai")</f>
        <v>✔ sesuai</v>
      </c>
      <c r="L342" s="103"/>
    </row>
    <row r="343" customFormat="false" ht="15" hidden="false" customHeight="false" outlineLevel="0" collapsed="false">
      <c r="A343" s="13" t="n">
        <v>337</v>
      </c>
      <c r="B343" s="13" t="s">
        <v>1930</v>
      </c>
      <c r="C343" s="13" t="s">
        <v>1951</v>
      </c>
      <c r="D343" s="13" t="n">
        <v>2025</v>
      </c>
      <c r="E343" s="50" t="n">
        <f aca="false">CF!H32</f>
        <v>43252685834</v>
      </c>
      <c r="F343" s="50" t="n">
        <f aca="false">CF!H45</f>
        <v>43252685834</v>
      </c>
      <c r="G343" s="101" t="n">
        <f aca="false">IF(COUNT(E343:F343)=2,E343-F343,"")</f>
        <v>0</v>
      </c>
      <c r="H343" s="102" t="n">
        <v>1</v>
      </c>
      <c r="I343" s="4" t="str">
        <f aca="false">IF(COUNT(E343:F343)&lt;2,"N/A",IF(ABS(G343)&lt;=H343,"OK","❌"))</f>
        <v>OK</v>
      </c>
      <c r="J343" s="102" t="s">
        <v>1932</v>
      </c>
      <c r="K343" s="4" t="str">
        <f aca="false">IF(I343=J343,"✔ sesuai","✖ TIDAK sesuai")</f>
        <v>✔ sesuai</v>
      </c>
      <c r="L343" s="103"/>
    </row>
    <row r="344" customFormat="false" ht="15" hidden="false" customHeight="false" outlineLevel="0" collapsed="false">
      <c r="A344" s="13" t="n">
        <v>338</v>
      </c>
      <c r="B344" s="13" t="s">
        <v>1930</v>
      </c>
      <c r="C344" s="13" t="s">
        <v>1952</v>
      </c>
      <c r="D344" s="13" t="n">
        <v>2025</v>
      </c>
      <c r="E344" s="50" t="n">
        <f aca="false">CF!H35</f>
        <v>826584741908</v>
      </c>
      <c r="F344" s="50" t="n">
        <f aca="false">CF!H46</f>
        <v>826584741908</v>
      </c>
      <c r="G344" s="101" t="n">
        <f aca="false">IF(COUNT(E344:F344)=2,E344-F344,"")</f>
        <v>0</v>
      </c>
      <c r="H344" s="102" t="n">
        <v>1</v>
      </c>
      <c r="I344" s="4" t="str">
        <f aca="false">IF(COUNT(E344:F344)&lt;2,"N/A",IF(ABS(G344)&lt;=H344,"OK","❌"))</f>
        <v>OK</v>
      </c>
      <c r="J344" s="102" t="s">
        <v>1932</v>
      </c>
      <c r="K344" s="4" t="str">
        <f aca="false">IF(I344=J344,"✔ sesuai","✖ TIDAK sesuai")</f>
        <v>✔ sesuai</v>
      </c>
      <c r="L344" s="103"/>
    </row>
    <row r="345" customFormat="false" ht="15" hidden="false" customHeight="false" outlineLevel="0" collapsed="false">
      <c r="A345" s="13" t="n">
        <v>339</v>
      </c>
      <c r="B345" s="13" t="s">
        <v>1953</v>
      </c>
      <c r="C345" s="13" t="s">
        <v>1954</v>
      </c>
      <c r="D345" s="13" t="n">
        <v>2025</v>
      </c>
      <c r="E345" s="50" t="n">
        <f aca="false">BS!H26</f>
        <v>4016429435143</v>
      </c>
      <c r="F345" s="50" t="n">
        <f aca="false">BS!H58</f>
        <v>4016429435143</v>
      </c>
      <c r="G345" s="101" t="n">
        <f aca="false">IF(COUNT(E345:F345)=2,E345-F345,"")</f>
        <v>0</v>
      </c>
      <c r="H345" s="102" t="n">
        <v>1</v>
      </c>
      <c r="I345" s="4" t="str">
        <f aca="false">IF(COUNT(E345:F345)&lt;2,"N/A",IF(ABS(G345)&lt;=H345,"OK","❌"))</f>
        <v>OK</v>
      </c>
      <c r="J345" s="102" t="s">
        <v>1932</v>
      </c>
      <c r="K345" s="4" t="str">
        <f aca="false">IF(I345=J345,"✔ sesuai","✖ TIDAK sesuai")</f>
        <v>✔ sesuai</v>
      </c>
      <c r="L345" s="103"/>
    </row>
    <row r="346" customFormat="false" ht="15" hidden="false" customHeight="false" outlineLevel="0" collapsed="false">
      <c r="A346" s="13" t="n">
        <v>340</v>
      </c>
      <c r="B346" s="13" t="s">
        <v>1953</v>
      </c>
      <c r="C346" s="13" t="s">
        <v>1955</v>
      </c>
      <c r="D346" s="13" t="n">
        <v>2025</v>
      </c>
      <c r="E346" s="50" t="n">
        <f aca="false">IS!H22</f>
        <v>29673142533</v>
      </c>
      <c r="F346" s="50" t="n">
        <f aca="false">IS!H33+IS!H34</f>
        <v>29673142533</v>
      </c>
      <c r="G346" s="101" t="n">
        <f aca="false">IF(COUNT(E346:F346)=2,E346-F346,"")</f>
        <v>0</v>
      </c>
      <c r="H346" s="102" t="n">
        <v>1</v>
      </c>
      <c r="I346" s="4" t="str">
        <f aca="false">IF(COUNT(E346:F346)&lt;2,"N/A",IF(ABS(G346)&lt;=H346,"OK","❌"))</f>
        <v>OK</v>
      </c>
      <c r="J346" s="102" t="s">
        <v>1932</v>
      </c>
      <c r="K346" s="4" t="str">
        <f aca="false">IF(I346=J346,"✔ sesuai","✖ TIDAK sesuai")</f>
        <v>✔ sesuai</v>
      </c>
      <c r="L346" s="103"/>
    </row>
    <row r="347" customFormat="false" ht="15" hidden="false" customHeight="false" outlineLevel="0" collapsed="false">
      <c r="A347" s="13" t="n">
        <v>341</v>
      </c>
      <c r="B347" s="13" t="s">
        <v>1953</v>
      </c>
      <c r="C347" s="13" t="s">
        <v>1956</v>
      </c>
      <c r="D347" s="13" t="n">
        <v>2025</v>
      </c>
      <c r="E347" s="50" t="n">
        <f aca="false">IS!H31</f>
        <v>262811720441</v>
      </c>
      <c r="F347" s="50" t="n">
        <f aca="false">IS!H35+IS!H36</f>
        <v>262811720441</v>
      </c>
      <c r="G347" s="101" t="n">
        <f aca="false">IF(COUNT(E347:F347)=2,E347-F347,"")</f>
        <v>0</v>
      </c>
      <c r="H347" s="102" t="n">
        <v>1</v>
      </c>
      <c r="I347" s="4" t="str">
        <f aca="false">IF(COUNT(E347:F347)&lt;2,"N/A",IF(ABS(G347)&lt;=H347,"OK","❌"))</f>
        <v>OK</v>
      </c>
      <c r="J347" s="102" t="s">
        <v>1932</v>
      </c>
      <c r="K347" s="4" t="str">
        <f aca="false">IF(I347=J347,"✔ sesuai","✖ TIDAK sesuai")</f>
        <v>✔ sesuai</v>
      </c>
      <c r="L347" s="103"/>
    </row>
    <row r="348" customFormat="false" ht="15" hidden="false" customHeight="false" outlineLevel="0" collapsed="false">
      <c r="A348" s="13" t="n">
        <v>342</v>
      </c>
      <c r="B348" s="13" t="s">
        <v>1953</v>
      </c>
      <c r="C348" s="13" t="s">
        <v>1957</v>
      </c>
      <c r="D348" s="13" t="n">
        <v>2025</v>
      </c>
      <c r="E348" s="50" t="n">
        <f aca="false">CF!H35</f>
        <v>826584741908</v>
      </c>
      <c r="F348" s="50" t="n">
        <f aca="false">BS!H6</f>
        <v>826584741908</v>
      </c>
      <c r="G348" s="101" t="n">
        <f aca="false">IF(COUNT(E348:F348)=2,E348-F348,"")</f>
        <v>0</v>
      </c>
      <c r="H348" s="102" t="n">
        <v>1</v>
      </c>
      <c r="I348" s="4" t="str">
        <f aca="false">IF(COUNT(E348:F348)&lt;2,"N/A",IF(ABS(G348)&lt;=H348,"OK","❌"))</f>
        <v>OK</v>
      </c>
      <c r="J348" s="102" t="s">
        <v>1932</v>
      </c>
      <c r="K348" s="4" t="str">
        <f aca="false">IF(I348=J348,"✔ sesuai","✖ TIDAK sesuai")</f>
        <v>✔ sesuai</v>
      </c>
      <c r="L348" s="103"/>
    </row>
    <row r="349" customFormat="false" ht="15" hidden="false" customHeight="false" outlineLevel="0" collapsed="false">
      <c r="A349" s="13" t="n">
        <v>343</v>
      </c>
      <c r="B349" s="13" t="s">
        <v>1996</v>
      </c>
      <c r="C349" s="13" t="s">
        <v>1997</v>
      </c>
      <c r="D349" s="13" t="n">
        <v>2025</v>
      </c>
      <c r="E349" s="50" t="n">
        <f aca="false">CF!H34</f>
        <v>783332056074</v>
      </c>
      <c r="F349" s="50" t="n">
        <f aca="false">BS!G6</f>
        <v>783332056074</v>
      </c>
      <c r="G349" s="101" t="n">
        <f aca="false">IF(COUNT(E349:F349)=2,E349-F349,"")</f>
        <v>0</v>
      </c>
      <c r="H349" s="102" t="n">
        <v>1</v>
      </c>
      <c r="I349" s="4" t="str">
        <f aca="false">IF(COUNT(E349:F349)&lt;2,"N/A",IF(ABS(G349)&lt;=H349,"OK","❌"))</f>
        <v>OK</v>
      </c>
      <c r="J349" s="102" t="s">
        <v>1932</v>
      </c>
      <c r="K349" s="4" t="str">
        <f aca="false">IF(I349=J349,"✔ sesuai","✖ TIDAK sesuai")</f>
        <v>✔ sesuai</v>
      </c>
      <c r="L349" s="103"/>
    </row>
    <row r="350" customFormat="false" ht="15" hidden="false" customHeight="false" outlineLevel="0" collapsed="false">
      <c r="A350" s="13" t="n">
        <v>344</v>
      </c>
      <c r="B350" s="13" t="s">
        <v>1958</v>
      </c>
      <c r="C350" s="13" t="s">
        <v>1959</v>
      </c>
      <c r="D350" s="13" t="n">
        <v>2025</v>
      </c>
      <c r="E350" s="50" t="n">
        <f aca="false">Schedules!H12</f>
        <v>1614340771512</v>
      </c>
      <c r="F350" s="50" t="n">
        <f aca="false">IS!H6</f>
        <v>1614340771512</v>
      </c>
      <c r="G350" s="101" t="n">
        <f aca="false">IF(COUNT(E350:F350)=2,E350-F350,"")</f>
        <v>0</v>
      </c>
      <c r="H350" s="102" t="n">
        <v>1</v>
      </c>
      <c r="I350" s="4" t="str">
        <f aca="false">IF(COUNT(E350:F350)&lt;2,"N/A",IF(ABS(G350)&lt;=H350,"OK","❌"))</f>
        <v>OK</v>
      </c>
      <c r="J350" s="102" t="s">
        <v>1932</v>
      </c>
      <c r="K350" s="4" t="str">
        <f aca="false">IF(I350=J350,"✔ sesuai","✖ TIDAK sesuai")</f>
        <v>✔ sesuai</v>
      </c>
      <c r="L350" s="103"/>
    </row>
    <row r="351" customFormat="false" ht="15" hidden="false" customHeight="false" outlineLevel="0" collapsed="false">
      <c r="A351" s="13" t="n">
        <v>345</v>
      </c>
      <c r="B351" s="13" t="s">
        <v>1958</v>
      </c>
      <c r="C351" s="13" t="s">
        <v>1960</v>
      </c>
      <c r="D351" s="13" t="n">
        <v>2025</v>
      </c>
      <c r="E351" s="50" t="n">
        <f aca="false">Schedules!H309</f>
        <v>869848305402</v>
      </c>
      <c r="F351" s="50" t="n">
        <f aca="false">-IS!H7</f>
        <v>869848305402</v>
      </c>
      <c r="G351" s="101" t="n">
        <f aca="false">IF(COUNT(E351:F351)=2,E351-F351,"")</f>
        <v>0</v>
      </c>
      <c r="H351" s="102" t="n">
        <v>1</v>
      </c>
      <c r="I351" s="4" t="str">
        <f aca="false">IF(COUNT(E351:F351)&lt;2,"N/A",IF(ABS(G351)&lt;=H351,"OK","❌"))</f>
        <v>OK</v>
      </c>
      <c r="J351" s="102" t="s">
        <v>1932</v>
      </c>
      <c r="K351" s="4" t="str">
        <f aca="false">IF(I351=J351,"✔ sesuai","✖ TIDAK sesuai")</f>
        <v>✔ sesuai</v>
      </c>
      <c r="L351" s="103"/>
    </row>
    <row r="352" customFormat="false" ht="15" hidden="false" customHeight="false" outlineLevel="0" collapsed="false">
      <c r="A352" s="13" t="n">
        <v>346</v>
      </c>
      <c r="B352" s="13" t="s">
        <v>1958</v>
      </c>
      <c r="C352" s="13" t="s">
        <v>1961</v>
      </c>
      <c r="D352" s="13" t="n">
        <v>2025</v>
      </c>
      <c r="E352" s="50" t="n">
        <f aca="false">Schedules!H315</f>
        <v>35009680673</v>
      </c>
      <c r="F352" s="50" t="n">
        <f aca="false">-IS!H9</f>
        <v>35009680673</v>
      </c>
      <c r="G352" s="101" t="n">
        <f aca="false">IF(COUNT(E352:F352)=2,E352-F352,"")</f>
        <v>0</v>
      </c>
      <c r="H352" s="102" t="n">
        <v>1</v>
      </c>
      <c r="I352" s="4" t="str">
        <f aca="false">IF(COUNT(E352:F352)&lt;2,"N/A",IF(ABS(G352)&lt;=H352,"OK","❌"))</f>
        <v>OK</v>
      </c>
      <c r="J352" s="102" t="s">
        <v>1932</v>
      </c>
      <c r="K352" s="4" t="str">
        <f aca="false">IF(I352=J352,"✔ sesuai","✖ TIDAK sesuai")</f>
        <v>✔ sesuai</v>
      </c>
      <c r="L352" s="103"/>
    </row>
    <row r="353" customFormat="false" ht="15" hidden="false" customHeight="false" outlineLevel="0" collapsed="false">
      <c r="A353" s="13" t="n">
        <v>347</v>
      </c>
      <c r="B353" s="13" t="s">
        <v>1958</v>
      </c>
      <c r="C353" s="13" t="s">
        <v>1962</v>
      </c>
      <c r="D353" s="13" t="n">
        <v>2025</v>
      </c>
      <c r="E353" s="50" t="n">
        <f aca="false">Schedules!H338</f>
        <v>593553244322</v>
      </c>
      <c r="F353" s="50" t="n">
        <f aca="false">-IS!H10</f>
        <v>593553244322</v>
      </c>
      <c r="G353" s="101" t="n">
        <f aca="false">IF(COUNT(E353:F353)=2,E353-F353,"")</f>
        <v>0</v>
      </c>
      <c r="H353" s="102" t="n">
        <v>1</v>
      </c>
      <c r="I353" s="4" t="str">
        <f aca="false">IF(COUNT(E353:F353)&lt;2,"N/A",IF(ABS(G353)&lt;=H353,"OK","❌"))</f>
        <v>OK</v>
      </c>
      <c r="J353" s="102" t="s">
        <v>1932</v>
      </c>
      <c r="K353" s="4" t="str">
        <f aca="false">IF(I353=J353,"✔ sesuai","✖ TIDAK sesuai")</f>
        <v>✔ sesuai</v>
      </c>
      <c r="L353" s="103"/>
    </row>
    <row r="354" customFormat="false" ht="15" hidden="false" customHeight="false" outlineLevel="0" collapsed="false">
      <c r="A354" s="13" t="n">
        <v>348</v>
      </c>
      <c r="B354" s="13" t="s">
        <v>1958</v>
      </c>
      <c r="C354" s="13" t="s">
        <v>1963</v>
      </c>
      <c r="D354" s="13" t="n">
        <v>2025</v>
      </c>
      <c r="E354" s="50" t="n">
        <f aca="false">Schedules!H115</f>
        <v>51620217662</v>
      </c>
      <c r="F354" s="50" t="n">
        <f aca="false">BS!H12</f>
        <v>51620217662</v>
      </c>
      <c r="G354" s="101" t="n">
        <f aca="false">IF(COUNT(E354:F354)=2,E354-F354,"")</f>
        <v>0</v>
      </c>
      <c r="H354" s="102" t="n">
        <v>1</v>
      </c>
      <c r="I354" s="4" t="str">
        <f aca="false">IF(COUNT(E354:F354)&lt;2,"N/A",IF(ABS(G354)&lt;=H354,"OK","❌"))</f>
        <v>OK</v>
      </c>
      <c r="J354" s="102" t="s">
        <v>1932</v>
      </c>
      <c r="K354" s="4" t="str">
        <f aca="false">IF(I354=J354,"✔ sesuai","✖ TIDAK sesuai")</f>
        <v>✔ sesuai</v>
      </c>
      <c r="L354" s="103"/>
    </row>
    <row r="355" customFormat="false" ht="15" hidden="false" customHeight="false" outlineLevel="0" collapsed="false">
      <c r="A355" s="13" t="n">
        <v>349</v>
      </c>
      <c r="B355" s="13" t="s">
        <v>1958</v>
      </c>
      <c r="C355" s="13" t="s">
        <v>1964</v>
      </c>
      <c r="D355" s="13" t="n">
        <v>2025</v>
      </c>
      <c r="E355" s="50" t="n">
        <f aca="false">Schedules!H96</f>
        <v>161939911962</v>
      </c>
      <c r="F355" s="50" t="n">
        <f aca="false">(BS!H9+BS!H8)</f>
        <v>161939911962</v>
      </c>
      <c r="G355" s="101" t="n">
        <f aca="false">IF(COUNT(E355:F355)=2,E355-F355,"")</f>
        <v>0</v>
      </c>
      <c r="H355" s="102" t="n">
        <v>1</v>
      </c>
      <c r="I355" s="4" t="str">
        <f aca="false">IF(COUNT(E355:F355)&lt;2,"N/A",IF(ABS(G355)&lt;=H355,"OK","❌"))</f>
        <v>OK</v>
      </c>
      <c r="J355" s="102" t="s">
        <v>1932</v>
      </c>
      <c r="K355" s="4" t="str">
        <f aca="false">IF(I355=J355,"✔ sesuai","✖ TIDAK sesuai")</f>
        <v>✔ sesuai</v>
      </c>
      <c r="L355" s="103"/>
    </row>
    <row r="356" customFormat="false" ht="15" hidden="false" customHeight="false" outlineLevel="0" collapsed="false">
      <c r="A356" s="13" t="n">
        <v>350</v>
      </c>
      <c r="B356" s="13" t="s">
        <v>1958</v>
      </c>
      <c r="C356" s="13" t="s">
        <v>1965</v>
      </c>
      <c r="D356" s="13" t="n">
        <v>2025</v>
      </c>
      <c r="E356" s="50" t="n">
        <f aca="false">Schedules!H155</f>
        <v>81660213509</v>
      </c>
      <c r="F356" s="50" t="n">
        <f aca="false">(BS!H30+BS!H29)</f>
        <v>81660213509</v>
      </c>
      <c r="G356" s="101" t="n">
        <f aca="false">IF(COUNT(E356:F356)=2,E356-F356,"")</f>
        <v>0</v>
      </c>
      <c r="H356" s="102" t="n">
        <v>1</v>
      </c>
      <c r="I356" s="4" t="str">
        <f aca="false">IF(COUNT(E356:F356)&lt;2,"N/A",IF(ABS(G356)&lt;=H356,"OK","❌"))</f>
        <v>OK</v>
      </c>
      <c r="J356" s="102" t="s">
        <v>1932</v>
      </c>
      <c r="K356" s="4" t="str">
        <f aca="false">IF(I356=J356,"✔ sesuai","✖ TIDAK sesuai")</f>
        <v>✔ sesuai</v>
      </c>
      <c r="L356" s="103"/>
    </row>
    <row r="357" customFormat="false" ht="15" hidden="false" customHeight="false" outlineLevel="0" collapsed="false">
      <c r="A357" s="13" t="n">
        <v>351</v>
      </c>
      <c r="B357" s="13" t="s">
        <v>1958</v>
      </c>
      <c r="C357" s="13" t="s">
        <v>1966</v>
      </c>
      <c r="D357" s="13" t="n">
        <v>2025</v>
      </c>
      <c r="E357" s="50" t="n">
        <f aca="false">Schedules!H141</f>
        <v>140147298469</v>
      </c>
      <c r="F357" s="50" t="n">
        <f aca="false">(BS!H37+BS!H43)</f>
        <v>140147298469</v>
      </c>
      <c r="G357" s="101" t="n">
        <f aca="false">IF(COUNT(E357:F357)=2,E357-F357,"")</f>
        <v>0</v>
      </c>
      <c r="H357" s="102" t="n">
        <v>1</v>
      </c>
      <c r="I357" s="4" t="str">
        <f aca="false">IF(COUNT(E357:F357)&lt;2,"N/A",IF(ABS(G357)&lt;=H357,"OK","❌"))</f>
        <v>OK</v>
      </c>
      <c r="J357" s="102" t="s">
        <v>1932</v>
      </c>
      <c r="K357" s="4" t="str">
        <f aca="false">IF(I357=J357,"✔ sesuai","✖ TIDAK sesuai")</f>
        <v>✔ sesuai</v>
      </c>
      <c r="L357" s="103"/>
    </row>
    <row r="358" customFormat="false" ht="15" hidden="false" customHeight="false" outlineLevel="0" collapsed="false">
      <c r="A358" s="13" t="n">
        <v>352</v>
      </c>
      <c r="B358" s="13" t="s">
        <v>1958</v>
      </c>
      <c r="C358" s="13" t="s">
        <v>2003</v>
      </c>
      <c r="D358" s="13" t="n">
        <v>2025</v>
      </c>
      <c r="E358" s="50" t="n">
        <f aca="false">Schedules!H146</f>
        <v>98699072459</v>
      </c>
      <c r="F358" s="50" t="n">
        <f aca="false">-CF!H23</f>
        <v>98699072459</v>
      </c>
      <c r="G358" s="101" t="n">
        <f aca="false">IF(COUNT(E358:F358)=2,E358-F358,"")</f>
        <v>0</v>
      </c>
      <c r="H358" s="102" t="n">
        <v>1</v>
      </c>
      <c r="I358" s="4" t="str">
        <f aca="false">IF(COUNT(E358:F358)&lt;2,"N/A",IF(ABS(G358)&lt;=H358,"OK","❌"))</f>
        <v>OK</v>
      </c>
      <c r="J358" s="102" t="s">
        <v>1932</v>
      </c>
      <c r="K358" s="4" t="str">
        <f aca="false">IF(I358=J358,"✔ sesuai","✖ TIDAK sesuai")</f>
        <v>✔ sesuai</v>
      </c>
      <c r="L358" s="103"/>
    </row>
    <row r="359" customFormat="false" ht="15" hidden="false" customHeight="false" outlineLevel="0" collapsed="false">
      <c r="A359" s="13" t="n">
        <v>353</v>
      </c>
      <c r="B359" s="13" t="s">
        <v>1958</v>
      </c>
      <c r="C359" s="13" t="s">
        <v>1967</v>
      </c>
      <c r="D359" s="13" t="n">
        <v>2025</v>
      </c>
      <c r="E359" s="50" t="n">
        <f aca="false">Schedules!H242</f>
        <v>445816762935</v>
      </c>
      <c r="F359" s="50" t="n">
        <f aca="false">BS!H28</f>
        <v>445816762935</v>
      </c>
      <c r="G359" s="101" t="n">
        <f aca="false">IF(COUNT(E359:F359)=2,E359-F359,"")</f>
        <v>0</v>
      </c>
      <c r="H359" s="102" t="n">
        <v>1</v>
      </c>
      <c r="I359" s="4" t="str">
        <f aca="false">IF(COUNT(E359:F359)&lt;2,"N/A",IF(ABS(G359)&lt;=H359,"OK","❌"))</f>
        <v>OK</v>
      </c>
      <c r="J359" s="102" t="s">
        <v>1932</v>
      </c>
      <c r="K359" s="4" t="str">
        <f aca="false">IF(I359=J359,"✔ sesuai","✖ TIDAK sesuai")</f>
        <v>✔ sesuai</v>
      </c>
      <c r="L359" s="103"/>
    </row>
    <row r="360" customFormat="false" ht="15" hidden="false" customHeight="false" outlineLevel="0" collapsed="false">
      <c r="A360" s="13" t="n">
        <v>354</v>
      </c>
      <c r="B360" s="13" t="s">
        <v>1958</v>
      </c>
      <c r="C360" s="13" t="s">
        <v>1968</v>
      </c>
      <c r="D360" s="13" t="n">
        <v>2025</v>
      </c>
      <c r="E360" s="50" t="n">
        <f aca="false">Schedules!H253</f>
        <v>769823303811</v>
      </c>
      <c r="F360" s="50" t="n">
        <f aca="false">(BS!H36+BS!H42)</f>
        <v>769823303811</v>
      </c>
      <c r="G360" s="101" t="n">
        <f aca="false">IF(COUNT(E360:F360)=2,E360-F360,"")</f>
        <v>0</v>
      </c>
      <c r="H360" s="102" t="n">
        <v>1</v>
      </c>
      <c r="I360" s="4" t="str">
        <f aca="false">IF(COUNT(E360:F360)&lt;2,"N/A",IF(ABS(G360)&lt;=H360,"OK","❌"))</f>
        <v>OK</v>
      </c>
      <c r="J360" s="102" t="s">
        <v>1932</v>
      </c>
      <c r="K360" s="4" t="str">
        <f aca="false">IF(I360=J360,"✔ sesuai","✖ TIDAK sesuai")</f>
        <v>✔ sesuai</v>
      </c>
      <c r="L360" s="103"/>
    </row>
    <row r="361" customFormat="false" ht="15" hidden="false" customHeight="false" outlineLevel="0" collapsed="false">
      <c r="A361" s="13" t="n">
        <v>355</v>
      </c>
      <c r="B361" s="13" t="s">
        <v>1958</v>
      </c>
      <c r="C361" s="13" t="s">
        <v>1969</v>
      </c>
      <c r="D361" s="13" t="n">
        <v>2025</v>
      </c>
      <c r="E361" s="50" t="n">
        <f aca="false">Schedules!H175</f>
        <v>15609507020</v>
      </c>
      <c r="F361" s="50" t="n">
        <f aca="false">-IS!H21</f>
        <v>15609507020</v>
      </c>
      <c r="G361" s="101" t="n">
        <f aca="false">IF(COUNT(E361:F361)=2,E361-F361,"")</f>
        <v>0</v>
      </c>
      <c r="H361" s="102" t="n">
        <v>1</v>
      </c>
      <c r="I361" s="4" t="str">
        <f aca="false">IF(COUNT(E361:F361)&lt;2,"N/A",IF(ABS(G361)&lt;=H361,"OK","❌"))</f>
        <v>OK</v>
      </c>
      <c r="J361" s="102" t="s">
        <v>1932</v>
      </c>
      <c r="K361" s="4" t="str">
        <f aca="false">IF(I361=J361,"✔ sesuai","✖ TIDAK sesuai")</f>
        <v>✔ sesuai</v>
      </c>
      <c r="L361" s="103"/>
    </row>
    <row r="362" customFormat="false" ht="15" hidden="false" customHeight="false" outlineLevel="0" collapsed="false">
      <c r="A362" s="13" t="n">
        <v>356</v>
      </c>
      <c r="B362" s="13" t="s">
        <v>1958</v>
      </c>
      <c r="C362" s="13" t="s">
        <v>1970</v>
      </c>
      <c r="D362" s="13" t="n">
        <v>2025</v>
      </c>
      <c r="E362" s="50" t="n">
        <f aca="false">Schedules!H274</f>
        <v>34552286808</v>
      </c>
      <c r="F362" s="50" t="n">
        <f aca="false">BS!H41</f>
        <v>34552286808</v>
      </c>
      <c r="G362" s="101" t="n">
        <f aca="false">IF(COUNT(E362:F362)=2,E362-F362,"")</f>
        <v>0</v>
      </c>
      <c r="H362" s="102" t="n">
        <v>1</v>
      </c>
      <c r="I362" s="4" t="str">
        <f aca="false">IF(COUNT(E362:F362)&lt;2,"N/A",IF(ABS(G362)&lt;=H362,"OK","❌"))</f>
        <v>OK</v>
      </c>
      <c r="J362" s="102" t="s">
        <v>1932</v>
      </c>
      <c r="K362" s="4" t="str">
        <f aca="false">IF(I362=J362,"✔ sesuai","✖ TIDAK sesuai")</f>
        <v>✔ sesuai</v>
      </c>
      <c r="L362" s="103"/>
    </row>
    <row r="363" customFormat="false" ht="15" hidden="false" customHeight="false" outlineLevel="0" collapsed="false">
      <c r="A363" s="13" t="n">
        <v>357</v>
      </c>
      <c r="B363" s="13" t="s">
        <v>1958</v>
      </c>
      <c r="C363" s="13" t="s">
        <v>1971</v>
      </c>
      <c r="D363" s="13" t="n">
        <v>2025</v>
      </c>
      <c r="E363" s="50" t="n">
        <f aca="false">Schedules!H68</f>
        <v>2363899139020</v>
      </c>
      <c r="F363" s="50" t="n">
        <f aca="false">BS!H19</f>
        <v>2363899139020</v>
      </c>
      <c r="G363" s="101" t="n">
        <f aca="false">IF(COUNT(E363:F363)=2,E363-F363,"")</f>
        <v>0</v>
      </c>
      <c r="H363" s="102" t="n">
        <v>1</v>
      </c>
      <c r="I363" s="4" t="str">
        <f aca="false">IF(COUNT(E363:F363)&lt;2,"N/A",IF(ABS(G363)&lt;=H363,"OK","❌"))</f>
        <v>OK</v>
      </c>
      <c r="J363" s="102" t="s">
        <v>1932</v>
      </c>
      <c r="K363" s="4" t="str">
        <f aca="false">IF(I363=J363,"✔ sesuai","✖ TIDAK sesuai")</f>
        <v>✔ sesuai</v>
      </c>
      <c r="L363" s="103"/>
    </row>
    <row r="364" customFormat="false" ht="15" hidden="false" customHeight="false" outlineLevel="0" collapsed="false">
      <c r="A364" s="13" t="n">
        <v>358</v>
      </c>
      <c r="B364" s="13" t="s">
        <v>1958</v>
      </c>
      <c r="C364" s="13" t="s">
        <v>1972</v>
      </c>
      <c r="D364" s="13" t="n">
        <v>2025</v>
      </c>
      <c r="E364" s="50" t="n">
        <f aca="false">Schedules!H69</f>
        <v>147651907371</v>
      </c>
      <c r="F364" s="50" t="n">
        <f aca="false">BS!H20</f>
        <v>147651907371</v>
      </c>
      <c r="G364" s="101" t="n">
        <f aca="false">IF(COUNT(E364:F364)=2,E364-F364,"")</f>
        <v>0</v>
      </c>
      <c r="H364" s="102" t="n">
        <v>1</v>
      </c>
      <c r="I364" s="4" t="str">
        <f aca="false">IF(COUNT(E364:F364)&lt;2,"N/A",IF(ABS(G364)&lt;=H364,"OK","❌"))</f>
        <v>OK</v>
      </c>
      <c r="J364" s="102" t="s">
        <v>1932</v>
      </c>
      <c r="K364" s="4" t="str">
        <f aca="false">IF(I364=J364,"✔ sesuai","✖ TIDAK sesuai")</f>
        <v>✔ sesuai</v>
      </c>
      <c r="L364" s="103"/>
    </row>
    <row r="365" customFormat="false" ht="15" hidden="false" customHeight="false" outlineLevel="0" collapsed="false">
      <c r="A365" s="13" t="n">
        <v>359</v>
      </c>
      <c r="B365" s="13" t="s">
        <v>1973</v>
      </c>
      <c r="C365" s="13" t="s">
        <v>1974</v>
      </c>
      <c r="D365" s="13" t="n">
        <v>2025</v>
      </c>
      <c r="E365" s="50" t="n">
        <f aca="false">Schedules!H15+Schedules!H16</f>
        <v>81224259340</v>
      </c>
      <c r="F365" s="50" t="n">
        <f aca="false">Schedules!H14</f>
        <v>81224259340</v>
      </c>
      <c r="G365" s="101" t="n">
        <f aca="false">IF(COUNT(E365:F365)=2,E365-F365,"")</f>
        <v>0</v>
      </c>
      <c r="H365" s="102" t="n">
        <v>1</v>
      </c>
      <c r="I365" s="4" t="str">
        <f aca="false">IF(COUNT(E365:F365)&lt;2,"N/A",IF(ABS(G365)&lt;=H365,"OK","❌"))</f>
        <v>OK</v>
      </c>
      <c r="J365" s="102" t="s">
        <v>1932</v>
      </c>
      <c r="K365" s="4" t="str">
        <f aca="false">IF(I365=J365,"✔ sesuai","✖ TIDAK sesuai")</f>
        <v>✔ sesuai</v>
      </c>
      <c r="L365" s="103"/>
    </row>
    <row r="366" customFormat="false" ht="15" hidden="false" customHeight="false" outlineLevel="0" collapsed="false">
      <c r="A366" s="13" t="n">
        <v>360</v>
      </c>
      <c r="B366" s="13" t="s">
        <v>1973</v>
      </c>
      <c r="C366" s="13" t="s">
        <v>1975</v>
      </c>
      <c r="D366" s="13" t="n">
        <v>2025</v>
      </c>
      <c r="E366" s="50" t="n">
        <f aca="false">Schedules!H40</f>
        <v>3048742172857</v>
      </c>
      <c r="F366" s="50" t="n">
        <f aca="false">Schedules!H39</f>
        <v>3048742172857</v>
      </c>
      <c r="G366" s="101" t="n">
        <f aca="false">IF(COUNT(E366:F366)=2,E366-F366,"")</f>
        <v>0</v>
      </c>
      <c r="H366" s="102" t="n">
        <v>1</v>
      </c>
      <c r="I366" s="4" t="str">
        <f aca="false">IF(COUNT(E366:F366)&lt;2,"N/A",IF(ABS(G366)&lt;=H366,"OK","❌"))</f>
        <v>OK</v>
      </c>
      <c r="J366" s="102" t="s">
        <v>1932</v>
      </c>
      <c r="K366" s="4" t="str">
        <f aca="false">IF(I366=J366,"✔ sesuai","✖ TIDAK sesuai")</f>
        <v>✔ sesuai</v>
      </c>
      <c r="L366" s="103"/>
    </row>
    <row r="367" customFormat="false" ht="15" hidden="false" customHeight="false" outlineLevel="0" collapsed="false">
      <c r="A367" s="13" t="n">
        <v>361</v>
      </c>
      <c r="B367" s="13" t="s">
        <v>1973</v>
      </c>
      <c r="C367" s="13" t="s">
        <v>1976</v>
      </c>
      <c r="D367" s="13" t="n">
        <v>2025</v>
      </c>
      <c r="E367" s="50" t="n">
        <f aca="false">Schedules!H49</f>
        <v>684843033837</v>
      </c>
      <c r="F367" s="50" t="n">
        <f aca="false">Schedules!H48</f>
        <v>684843033837</v>
      </c>
      <c r="G367" s="101" t="n">
        <f aca="false">IF(COUNT(E367:F367)=2,E367-F367,"")</f>
        <v>0</v>
      </c>
      <c r="H367" s="102" t="n">
        <v>1</v>
      </c>
      <c r="I367" s="4" t="str">
        <f aca="false">IF(COUNT(E367:F367)&lt;2,"N/A",IF(ABS(G367)&lt;=H367,"OK","❌"))</f>
        <v>OK</v>
      </c>
      <c r="J367" s="102" t="s">
        <v>1932</v>
      </c>
      <c r="K367" s="4" t="str">
        <f aca="false">IF(I367=J367,"✔ sesuai","✖ TIDAK sesuai")</f>
        <v>✔ sesuai</v>
      </c>
      <c r="L367" s="103"/>
    </row>
    <row r="368" customFormat="false" ht="15" hidden="false" customHeight="false" outlineLevel="0" collapsed="false">
      <c r="A368" s="13" t="n">
        <v>362</v>
      </c>
      <c r="B368" s="13" t="s">
        <v>1973</v>
      </c>
      <c r="C368" s="13" t="s">
        <v>1977</v>
      </c>
      <c r="D368" s="13" t="n">
        <v>2025</v>
      </c>
      <c r="E368" s="50" t="n">
        <f aca="false">Schedules!H58</f>
        <v>227315255988</v>
      </c>
      <c r="F368" s="50" t="n">
        <f aca="false">Schedules!H57</f>
        <v>227315255988</v>
      </c>
      <c r="G368" s="101" t="n">
        <f aca="false">IF(COUNT(E368:F368)=2,E368-F368,"")</f>
        <v>0</v>
      </c>
      <c r="H368" s="102" t="n">
        <v>1</v>
      </c>
      <c r="I368" s="4" t="str">
        <f aca="false">IF(COUNT(E368:F368)&lt;2,"N/A",IF(ABS(G368)&lt;=H368,"OK","❌"))</f>
        <v>OK</v>
      </c>
      <c r="J368" s="102" t="s">
        <v>1932</v>
      </c>
      <c r="K368" s="4" t="str">
        <f aca="false">IF(I368=J368,"✔ sesuai","✖ TIDAK sesuai")</f>
        <v>✔ sesuai</v>
      </c>
      <c r="L368" s="103"/>
    </row>
    <row r="369" customFormat="false" ht="15" hidden="false" customHeight="false" outlineLevel="0" collapsed="false">
      <c r="A369" s="13" t="n">
        <v>363</v>
      </c>
      <c r="B369" s="13" t="s">
        <v>1973</v>
      </c>
      <c r="C369" s="13" t="s">
        <v>1978</v>
      </c>
      <c r="D369" s="13" t="n">
        <v>2025</v>
      </c>
      <c r="E369" s="50" t="n">
        <f aca="false">Schedules!H67</f>
        <v>79663348617</v>
      </c>
      <c r="F369" s="50" t="n">
        <f aca="false">Schedules!H66</f>
        <v>79663348617</v>
      </c>
      <c r="G369" s="101" t="n">
        <f aca="false">IF(COUNT(E369:F369)=2,E369-F369,"")</f>
        <v>0</v>
      </c>
      <c r="H369" s="102" t="n">
        <v>1</v>
      </c>
      <c r="I369" s="4" t="str">
        <f aca="false">IF(COUNT(E369:F369)&lt;2,"N/A",IF(ABS(G369)&lt;=H369,"OK","❌"))</f>
        <v>OK</v>
      </c>
      <c r="J369" s="102" t="s">
        <v>1932</v>
      </c>
      <c r="K369" s="4" t="str">
        <f aca="false">IF(I369=J369,"✔ sesuai","✖ TIDAK sesuai")</f>
        <v>✔ sesuai</v>
      </c>
      <c r="L369" s="103"/>
    </row>
    <row r="370" customFormat="false" ht="15" hidden="false" customHeight="false" outlineLevel="0" collapsed="false">
      <c r="A370" s="13" t="n">
        <v>364</v>
      </c>
      <c r="B370" s="13" t="s">
        <v>1958</v>
      </c>
      <c r="C370" s="13" t="s">
        <v>1979</v>
      </c>
      <c r="D370" s="13" t="n">
        <v>2025</v>
      </c>
      <c r="E370" s="50" t="n">
        <f aca="false">Schedules!H78</f>
        <v>444592822953</v>
      </c>
      <c r="F370" s="50" t="n">
        <f aca="false">BS!H56</f>
        <v>444592822953</v>
      </c>
      <c r="G370" s="101" t="n">
        <f aca="false">IF(COUNT(E370:F370)=2,E370-F370,"")</f>
        <v>0</v>
      </c>
      <c r="H370" s="102" t="n">
        <v>10</v>
      </c>
      <c r="I370" s="4" t="str">
        <f aca="false">IF(COUNT(E370:F370)&lt;2,"N/A",IF(ABS(G370)&lt;=H370,"OK","❌"))</f>
        <v>OK</v>
      </c>
      <c r="J370" s="102" t="s">
        <v>1932</v>
      </c>
      <c r="K370" s="4" t="str">
        <f aca="false">IF(I370=J370,"✔ sesuai","✖ TIDAK sesuai")</f>
        <v>✔ sesuai</v>
      </c>
      <c r="L370" s="103"/>
    </row>
    <row r="371" customFormat="false" ht="15" hidden="false" customHeight="false" outlineLevel="0" collapsed="false">
      <c r="A371" s="13" t="n">
        <v>365</v>
      </c>
      <c r="B371" s="13" t="s">
        <v>1958</v>
      </c>
      <c r="C371" s="13" t="s">
        <v>1980</v>
      </c>
      <c r="D371" s="13" t="n">
        <v>2025</v>
      </c>
      <c r="E371" s="50" t="n">
        <f aca="false">Schedules!H75</f>
        <v>17254181215</v>
      </c>
      <c r="F371" s="50" t="n">
        <f aca="false">IS!H34</f>
        <v>17254181212</v>
      </c>
      <c r="G371" s="101" t="n">
        <f aca="false">IF(COUNT(E371:F371)=2,E371-F371,"")</f>
        <v>3</v>
      </c>
      <c r="H371" s="102" t="n">
        <v>10</v>
      </c>
      <c r="I371" s="4" t="str">
        <f aca="false">IF(COUNT(E371:F371)&lt;2,"N/A",IF(ABS(G371)&lt;=H371,"OK","❌"))</f>
        <v>OK</v>
      </c>
      <c r="J371" s="102" t="s">
        <v>1932</v>
      </c>
      <c r="K371" s="4" t="str">
        <f aca="false">IF(I371=J371,"✔ sesuai","✖ TIDAK sesuai")</f>
        <v>✔ sesuai</v>
      </c>
      <c r="L371" s="103" t="s">
        <v>1981</v>
      </c>
    </row>
    <row r="372" customFormat="false" ht="15" hidden="false" customHeight="false" outlineLevel="0" collapsed="false">
      <c r="A372" s="13" t="n">
        <v>366</v>
      </c>
      <c r="B372" s="13" t="s">
        <v>1973</v>
      </c>
      <c r="C372" s="13" t="s">
        <v>1982</v>
      </c>
      <c r="D372" s="13" t="n">
        <v>2025</v>
      </c>
      <c r="E372" s="50" t="n">
        <f aca="false">Schedules!H79</f>
        <v>444592822956</v>
      </c>
      <c r="F372" s="50" t="n">
        <f aca="false">Schedules!H78</f>
        <v>444592822953</v>
      </c>
      <c r="G372" s="101" t="n">
        <f aca="false">IF(COUNT(E372:F372)=2,E372-F372,"")</f>
        <v>3</v>
      </c>
      <c r="H372" s="102" t="n">
        <v>10</v>
      </c>
      <c r="I372" s="4" t="str">
        <f aca="false">IF(COUNT(E372:F372)&lt;2,"N/A",IF(ABS(G372)&lt;=H372,"OK","❌"))</f>
        <v>OK</v>
      </c>
      <c r="J372" s="102" t="s">
        <v>1932</v>
      </c>
      <c r="K372" s="4" t="str">
        <f aca="false">IF(I372=J372,"✔ sesuai","✖ TIDAK sesuai")</f>
        <v>✔ sesuai</v>
      </c>
      <c r="L372" s="103"/>
    </row>
    <row r="373" customFormat="false" ht="15" hidden="false" customHeight="false" outlineLevel="0" collapsed="false">
      <c r="A373" s="13" t="n">
        <v>367</v>
      </c>
      <c r="B373" s="13" t="s">
        <v>1973</v>
      </c>
      <c r="C373" s="13" t="s">
        <v>1983</v>
      </c>
      <c r="D373" s="13" t="n">
        <v>2025</v>
      </c>
      <c r="E373" s="50" t="n">
        <f aca="false">Schedules!H80</f>
        <v>17795733673</v>
      </c>
      <c r="F373" s="50" t="n">
        <f aca="false">Schedules!H75</f>
        <v>17254181215</v>
      </c>
      <c r="G373" s="101" t="n">
        <f aca="false">IF(COUNT(E373:F373)=2,E373-F373,"")</f>
        <v>541552458</v>
      </c>
      <c r="H373" s="102" t="n">
        <v>10</v>
      </c>
      <c r="I373" s="4" t="str">
        <f aca="false">IF(COUNT(E373:F373)&lt;2,"N/A",IF(ABS(G373)&lt;=H373,"OK","❌"))</f>
        <v>❌</v>
      </c>
      <c r="J373" s="102" t="s">
        <v>1998</v>
      </c>
      <c r="K373" s="4" t="str">
        <f aca="false">IF(I373=J373,"✔ sesuai","✖ TIDAK sesuai")</f>
        <v>✔ sesuai</v>
      </c>
      <c r="L373" s="103" t="s">
        <v>2007</v>
      </c>
    </row>
    <row r="374" customFormat="false" ht="15" hidden="false" customHeight="false" outlineLevel="0" collapsed="false">
      <c r="A374" s="13" t="n">
        <v>368</v>
      </c>
      <c r="B374" s="13" t="s">
        <v>1973</v>
      </c>
      <c r="C374" s="13" t="s">
        <v>2004</v>
      </c>
      <c r="D374" s="13" t="n">
        <v>2025</v>
      </c>
      <c r="E374" s="50" t="n">
        <f aca="false">Schedules!H93</f>
        <v>169519891925</v>
      </c>
      <c r="F374" s="50" t="n">
        <f aca="false">Schedules!H90</f>
        <v>169519891925</v>
      </c>
      <c r="G374" s="101" t="n">
        <f aca="false">IF(COUNT(E374:F374)=2,E374-F374,"")</f>
        <v>0</v>
      </c>
      <c r="H374" s="102" t="n">
        <v>1</v>
      </c>
      <c r="I374" s="4" t="str">
        <f aca="false">IF(COUNT(E374:F374)&lt;2,"N/A",IF(ABS(G374)&lt;=H374,"OK","❌"))</f>
        <v>OK</v>
      </c>
      <c r="J374" s="102" t="s">
        <v>1932</v>
      </c>
      <c r="K374" s="4" t="str">
        <f aca="false">IF(I374=J374,"✔ sesuai","✖ TIDAK sesuai")</f>
        <v>✔ sesuai</v>
      </c>
      <c r="L374" s="103"/>
    </row>
    <row r="375" customFormat="false" ht="15" hidden="false" customHeight="false" outlineLevel="0" collapsed="false">
      <c r="A375" s="13" t="n">
        <v>369</v>
      </c>
      <c r="B375" s="13" t="s">
        <v>1973</v>
      </c>
      <c r="C375" s="13" t="s">
        <v>1984</v>
      </c>
      <c r="D375" s="13" t="n">
        <v>2025</v>
      </c>
      <c r="E375" s="50" t="n">
        <f aca="false">Schedules!H116</f>
        <v>51620217662</v>
      </c>
      <c r="F375" s="50" t="n">
        <f aca="false">Schedules!H115</f>
        <v>51620217662</v>
      </c>
      <c r="G375" s="101" t="n">
        <f aca="false">IF(COUNT(E375:F375)=2,E375-F375,"")</f>
        <v>0</v>
      </c>
      <c r="H375" s="102" t="n">
        <v>1</v>
      </c>
      <c r="I375" s="4" t="str">
        <f aca="false">IF(COUNT(E375:F375)&lt;2,"N/A",IF(ABS(G375)&lt;=H375,"OK","❌"))</f>
        <v>OK</v>
      </c>
      <c r="J375" s="102" t="s">
        <v>1932</v>
      </c>
      <c r="K375" s="4" t="str">
        <f aca="false">IF(I375=J375,"✔ sesuai","✖ TIDAK sesuai")</f>
        <v>✔ sesuai</v>
      </c>
      <c r="L375" s="103"/>
    </row>
    <row r="376" customFormat="false" ht="15" hidden="false" customHeight="false" outlineLevel="0" collapsed="false">
      <c r="A376" s="13" t="n">
        <v>370</v>
      </c>
      <c r="B376" s="13" t="s">
        <v>1973</v>
      </c>
      <c r="C376" s="13" t="s">
        <v>1985</v>
      </c>
      <c r="D376" s="13" t="n">
        <v>2025</v>
      </c>
      <c r="E376" s="50" t="n">
        <f aca="false">Schedules!H142</f>
        <v>140147298469</v>
      </c>
      <c r="F376" s="50" t="n">
        <f aca="false">Schedules!H141</f>
        <v>140147298469</v>
      </c>
      <c r="G376" s="101" t="n">
        <f aca="false">IF(COUNT(E376:F376)=2,E376-F376,"")</f>
        <v>0</v>
      </c>
      <c r="H376" s="102" t="n">
        <v>1</v>
      </c>
      <c r="I376" s="4" t="str">
        <f aca="false">IF(COUNT(E376:F376)&lt;2,"N/A",IF(ABS(G376)&lt;=H376,"OK","❌"))</f>
        <v>OK</v>
      </c>
      <c r="J376" s="102" t="s">
        <v>1932</v>
      </c>
      <c r="K376" s="4" t="str">
        <f aca="false">IF(I376=J376,"✔ sesuai","✖ TIDAK sesuai")</f>
        <v>✔ sesuai</v>
      </c>
      <c r="L376" s="103"/>
    </row>
    <row r="377" customFormat="false" ht="15" hidden="false" customHeight="false" outlineLevel="0" collapsed="false">
      <c r="A377" s="13" t="n">
        <v>371</v>
      </c>
      <c r="B377" s="13" t="s">
        <v>1973</v>
      </c>
      <c r="C377" s="13" t="s">
        <v>1986</v>
      </c>
      <c r="D377" s="13" t="n">
        <v>2025</v>
      </c>
      <c r="E377" s="50" t="n">
        <f aca="false">Schedules!H147</f>
        <v>98699072459</v>
      </c>
      <c r="F377" s="50" t="n">
        <f aca="false">Schedules!H146</f>
        <v>98699072459</v>
      </c>
      <c r="G377" s="101" t="n">
        <f aca="false">IF(COUNT(E377:F377)=2,E377-F377,"")</f>
        <v>0</v>
      </c>
      <c r="H377" s="102" t="n">
        <v>1</v>
      </c>
      <c r="I377" s="4" t="str">
        <f aca="false">IF(COUNT(E377:F377)&lt;2,"N/A",IF(ABS(G377)&lt;=H377,"OK","❌"))</f>
        <v>OK</v>
      </c>
      <c r="J377" s="102" t="s">
        <v>1932</v>
      </c>
      <c r="K377" s="4" t="str">
        <f aca="false">IF(I377=J377,"✔ sesuai","✖ TIDAK sesuai")</f>
        <v>✔ sesuai</v>
      </c>
      <c r="L377" s="103"/>
    </row>
    <row r="378" customFormat="false" ht="15" hidden="false" customHeight="false" outlineLevel="0" collapsed="false">
      <c r="A378" s="13" t="n">
        <v>372</v>
      </c>
      <c r="B378" s="13" t="s">
        <v>1973</v>
      </c>
      <c r="C378" s="13" t="s">
        <v>1987</v>
      </c>
      <c r="D378" s="13" t="n">
        <v>2025</v>
      </c>
      <c r="E378" s="50" t="n">
        <f aca="false">Schedules!H157</f>
        <v>81660213509</v>
      </c>
      <c r="F378" s="50" t="n">
        <f aca="false">Schedules!H155</f>
        <v>81660213509</v>
      </c>
      <c r="G378" s="101" t="n">
        <f aca="false">IF(COUNT(E378:F378)=2,E378-F378,"")</f>
        <v>0</v>
      </c>
      <c r="H378" s="102" t="n">
        <v>1</v>
      </c>
      <c r="I378" s="4" t="str">
        <f aca="false">IF(COUNT(E378:F378)&lt;2,"N/A",IF(ABS(G378)&lt;=H378,"OK","❌"))</f>
        <v>OK</v>
      </c>
      <c r="J378" s="102" t="s">
        <v>1932</v>
      </c>
      <c r="K378" s="4" t="str">
        <f aca="false">IF(I378=J378,"✔ sesuai","✖ TIDAK sesuai")</f>
        <v>✔ sesuai</v>
      </c>
      <c r="L378" s="103"/>
    </row>
    <row r="379" customFormat="false" ht="15" hidden="false" customHeight="false" outlineLevel="0" collapsed="false">
      <c r="A379" s="13" t="n">
        <v>373</v>
      </c>
      <c r="B379" s="13" t="s">
        <v>1973</v>
      </c>
      <c r="C379" s="13" t="s">
        <v>2005</v>
      </c>
      <c r="D379" s="13" t="n">
        <v>2025</v>
      </c>
      <c r="E379" s="50" t="n">
        <f aca="false">Schedules!H164</f>
        <v>81660213509</v>
      </c>
      <c r="F379" s="50" t="n">
        <f aca="false">Schedules!H163</f>
        <v>81660213509</v>
      </c>
      <c r="G379" s="101" t="n">
        <f aca="false">IF(COUNT(E379:F379)=2,E379-F379,"")</f>
        <v>0</v>
      </c>
      <c r="H379" s="102" t="n">
        <v>1</v>
      </c>
      <c r="I379" s="4" t="str">
        <f aca="false">IF(COUNT(E379:F379)&lt;2,"N/A",IF(ABS(G379)&lt;=H379,"OK","❌"))</f>
        <v>OK</v>
      </c>
      <c r="J379" s="102" t="s">
        <v>1932</v>
      </c>
      <c r="K379" s="4" t="str">
        <f aca="false">IF(I379=J379,"✔ sesuai","✖ TIDAK sesuai")</f>
        <v>✔ sesuai</v>
      </c>
      <c r="L379" s="103"/>
    </row>
    <row r="380" customFormat="false" ht="15" hidden="false" customHeight="false" outlineLevel="0" collapsed="false">
      <c r="A380" s="13" t="n">
        <v>374</v>
      </c>
      <c r="B380" s="13" t="s">
        <v>1973</v>
      </c>
      <c r="C380" s="13" t="s">
        <v>2006</v>
      </c>
      <c r="D380" s="13" t="n">
        <v>2025</v>
      </c>
      <c r="E380" s="50" t="n">
        <f aca="false">Schedules!H169</f>
        <v>23743315736</v>
      </c>
      <c r="F380" s="50" t="n">
        <f aca="false">Schedules!H168</f>
        <v>23743315736</v>
      </c>
      <c r="G380" s="101" t="n">
        <f aca="false">IF(COUNT(E380:F380)=2,E380-F380,"")</f>
        <v>0</v>
      </c>
      <c r="H380" s="102" t="n">
        <v>1</v>
      </c>
      <c r="I380" s="4" t="str">
        <f aca="false">IF(COUNT(E380:F380)&lt;2,"N/A",IF(ABS(G380)&lt;=H380,"OK","❌"))</f>
        <v>OK</v>
      </c>
      <c r="J380" s="102" t="s">
        <v>1932</v>
      </c>
      <c r="K380" s="4" t="str">
        <f aca="false">IF(I380=J380,"✔ sesuai","✖ TIDAK sesuai")</f>
        <v>✔ sesuai</v>
      </c>
      <c r="L380" s="103"/>
    </row>
    <row r="381" customFormat="false" ht="15" hidden="false" customHeight="false" outlineLevel="0" collapsed="false">
      <c r="A381" s="13" t="n">
        <v>375</v>
      </c>
      <c r="B381" s="13" t="s">
        <v>1973</v>
      </c>
      <c r="C381" s="13" t="s">
        <v>1988</v>
      </c>
      <c r="D381" s="13" t="n">
        <v>2025</v>
      </c>
      <c r="E381" s="50" t="n">
        <f aca="false">Schedules!H177</f>
        <v>15609507020</v>
      </c>
      <c r="F381" s="50" t="n">
        <f aca="false">Schedules!H175</f>
        <v>15609507020</v>
      </c>
      <c r="G381" s="101" t="n">
        <f aca="false">IF(COUNT(E381:F381)=2,E381-F381,"")</f>
        <v>0</v>
      </c>
      <c r="H381" s="102" t="n">
        <v>1</v>
      </c>
      <c r="I381" s="4" t="str">
        <f aca="false">IF(COUNT(E381:F381)&lt;2,"N/A",IF(ABS(G381)&lt;=H381,"OK","❌"))</f>
        <v>OK</v>
      </c>
      <c r="J381" s="102" t="s">
        <v>1932</v>
      </c>
      <c r="K381" s="4" t="str">
        <f aca="false">IF(I381=J381,"✔ sesuai","✖ TIDAK sesuai")</f>
        <v>✔ sesuai</v>
      </c>
      <c r="L381" s="103"/>
    </row>
    <row r="382" customFormat="false" ht="15" hidden="false" customHeight="false" outlineLevel="0" collapsed="false">
      <c r="A382" s="13" t="n">
        <v>376</v>
      </c>
      <c r="B382" s="13" t="s">
        <v>1973</v>
      </c>
      <c r="C382" s="13" t="s">
        <v>1989</v>
      </c>
      <c r="D382" s="13" t="n">
        <v>2025</v>
      </c>
      <c r="E382" s="50" t="n">
        <f aca="false">Schedules!H244</f>
        <v>445816762935</v>
      </c>
      <c r="F382" s="50" t="n">
        <f aca="false">Schedules!H242</f>
        <v>445816762935</v>
      </c>
      <c r="G382" s="101" t="n">
        <f aca="false">IF(COUNT(E382:F382)=2,E382-F382,"")</f>
        <v>0</v>
      </c>
      <c r="H382" s="102" t="n">
        <v>1</v>
      </c>
      <c r="I382" s="4" t="str">
        <f aca="false">IF(COUNT(E382:F382)&lt;2,"N/A",IF(ABS(G382)&lt;=H382,"OK","❌"))</f>
        <v>OK</v>
      </c>
      <c r="J382" s="102" t="s">
        <v>1932</v>
      </c>
      <c r="K382" s="4" t="str">
        <f aca="false">IF(I382=J382,"✔ sesuai","✖ TIDAK sesuai")</f>
        <v>✔ sesuai</v>
      </c>
      <c r="L382" s="103"/>
    </row>
    <row r="383" customFormat="false" ht="15" hidden="false" customHeight="false" outlineLevel="0" collapsed="false">
      <c r="A383" s="13" t="n">
        <v>377</v>
      </c>
      <c r="B383" s="13" t="s">
        <v>1973</v>
      </c>
      <c r="C383" s="13" t="s">
        <v>1990</v>
      </c>
      <c r="D383" s="13" t="n">
        <v>2025</v>
      </c>
      <c r="E383" s="50" t="n">
        <f aca="false">Schedules!H250</f>
        <v>773807938314</v>
      </c>
      <c r="F383" s="50" t="n">
        <f aca="false">Schedules!H248</f>
        <v>773807938314</v>
      </c>
      <c r="G383" s="101" t="n">
        <f aca="false">IF(COUNT(E383:F383)=2,E383-F383,"")</f>
        <v>0</v>
      </c>
      <c r="H383" s="102" t="n">
        <v>1</v>
      </c>
      <c r="I383" s="4" t="str">
        <f aca="false">IF(COUNT(E383:F383)&lt;2,"N/A",IF(ABS(G383)&lt;=H383,"OK","❌"))</f>
        <v>OK</v>
      </c>
      <c r="J383" s="102" t="s">
        <v>1932</v>
      </c>
      <c r="K383" s="4" t="str">
        <f aca="false">IF(I383=J383,"✔ sesuai","✖ TIDAK sesuai")</f>
        <v>✔ sesuai</v>
      </c>
      <c r="L383" s="103"/>
    </row>
    <row r="384" customFormat="false" ht="15" hidden="false" customHeight="false" outlineLevel="0" collapsed="false">
      <c r="A384" s="13" t="n">
        <v>378</v>
      </c>
      <c r="B384" s="13" t="s">
        <v>1973</v>
      </c>
      <c r="C384" s="13" t="s">
        <v>1992</v>
      </c>
      <c r="D384" s="13" t="n">
        <v>2025</v>
      </c>
      <c r="E384" s="50" t="n">
        <f aca="false">Schedules!H299</f>
        <v>1723351622445</v>
      </c>
      <c r="F384" s="50" t="n">
        <f aca="false">Schedules!H298</f>
        <v>1723351622445</v>
      </c>
      <c r="G384" s="101" t="n">
        <f aca="false">IF(COUNT(E384:F384)=2,E384-F384,"")</f>
        <v>0</v>
      </c>
      <c r="H384" s="102" t="n">
        <v>1</v>
      </c>
      <c r="I384" s="4" t="str">
        <f aca="false">IF(COUNT(E384:F384)&lt;2,"N/A",IF(ABS(G384)&lt;=H384,"OK","❌"))</f>
        <v>OK</v>
      </c>
      <c r="J384" s="102" t="s">
        <v>1932</v>
      </c>
      <c r="K384" s="4" t="str">
        <f aca="false">IF(I384=J384,"✔ sesuai","✖ TIDAK sesuai")</f>
        <v>✔ sesuai</v>
      </c>
      <c r="L384" s="103"/>
    </row>
    <row r="385" customFormat="false" ht="15" hidden="false" customHeight="false" outlineLevel="0" collapsed="false">
      <c r="A385" s="13" t="n">
        <v>379</v>
      </c>
      <c r="B385" s="13" t="s">
        <v>1973</v>
      </c>
      <c r="C385" s="13" t="s">
        <v>1993</v>
      </c>
      <c r="D385" s="13" t="n">
        <v>2025</v>
      </c>
      <c r="E385" s="50" t="n">
        <f aca="false">Schedules!H310</f>
        <v>869848305402</v>
      </c>
      <c r="F385" s="50" t="n">
        <f aca="false">Schedules!H309</f>
        <v>869848305402</v>
      </c>
      <c r="G385" s="101" t="n">
        <f aca="false">IF(COUNT(E385:F385)=2,E385-F385,"")</f>
        <v>0</v>
      </c>
      <c r="H385" s="102" t="n">
        <v>1</v>
      </c>
      <c r="I385" s="4" t="str">
        <f aca="false">IF(COUNT(E385:F385)&lt;2,"N/A",IF(ABS(G385)&lt;=H385,"OK","❌"))</f>
        <v>OK</v>
      </c>
      <c r="J385" s="102" t="s">
        <v>1932</v>
      </c>
      <c r="K385" s="4" t="str">
        <f aca="false">IF(I385=J385,"✔ sesuai","✖ TIDAK sesuai")</f>
        <v>✔ sesuai</v>
      </c>
      <c r="L385" s="103"/>
    </row>
    <row r="386" customFormat="false" ht="15" hidden="false" customHeight="false" outlineLevel="0" collapsed="false">
      <c r="A386" s="13" t="n">
        <v>380</v>
      </c>
      <c r="B386" s="13" t="s">
        <v>1973</v>
      </c>
      <c r="C386" s="13" t="s">
        <v>1994</v>
      </c>
      <c r="D386" s="13" t="n">
        <v>2025</v>
      </c>
      <c r="E386" s="50" t="n">
        <f aca="false">Schedules!H316</f>
        <v>35009680673</v>
      </c>
      <c r="F386" s="50" t="n">
        <f aca="false">Schedules!H315</f>
        <v>35009680673</v>
      </c>
      <c r="G386" s="101" t="n">
        <f aca="false">IF(COUNT(E386:F386)=2,E386-F386,"")</f>
        <v>0</v>
      </c>
      <c r="H386" s="102" t="n">
        <v>1</v>
      </c>
      <c r="I386" s="4" t="str">
        <f aca="false">IF(COUNT(E386:F386)&lt;2,"N/A",IF(ABS(G386)&lt;=H386,"OK","❌"))</f>
        <v>OK</v>
      </c>
      <c r="J386" s="102" t="s">
        <v>1932</v>
      </c>
      <c r="K386" s="4" t="str">
        <f aca="false">IF(I386=J386,"✔ sesuai","✖ TIDAK sesuai")</f>
        <v>✔ sesuai</v>
      </c>
      <c r="L386" s="103"/>
    </row>
    <row r="387" customFormat="false" ht="15" hidden="false" customHeight="false" outlineLevel="0" collapsed="false">
      <c r="A387" s="13" t="n">
        <v>381</v>
      </c>
      <c r="B387" s="13" t="s">
        <v>1973</v>
      </c>
      <c r="C387" s="13" t="s">
        <v>1995</v>
      </c>
      <c r="D387" s="13" t="n">
        <v>2025</v>
      </c>
      <c r="E387" s="50" t="n">
        <f aca="false">Schedules!H339</f>
        <v>593553244322</v>
      </c>
      <c r="F387" s="50" t="n">
        <f aca="false">Schedules!H338</f>
        <v>593553244322</v>
      </c>
      <c r="G387" s="101" t="n">
        <f aca="false">IF(COUNT(E387:F387)=2,E387-F387,"")</f>
        <v>0</v>
      </c>
      <c r="H387" s="102" t="n">
        <v>1</v>
      </c>
      <c r="I387" s="4" t="str">
        <f aca="false">IF(COUNT(E387:F387)&lt;2,"N/A",IF(ABS(G387)&lt;=H387,"OK","❌"))</f>
        <v>OK</v>
      </c>
      <c r="J387" s="102" t="s">
        <v>1932</v>
      </c>
      <c r="K387" s="4" t="str">
        <f aca="false">IF(I387=J387,"✔ sesuai","✖ TIDAK sesuai")</f>
        <v>✔ sesuai</v>
      </c>
      <c r="L387" s="103"/>
    </row>
    <row r="388" customFormat="false" ht="15" hidden="false" customHeight="false" outlineLevel="0" collapsed="false">
      <c r="A388" s="13" t="n">
        <v>382</v>
      </c>
      <c r="B388" s="13" t="s">
        <v>2000</v>
      </c>
      <c r="C388" s="13" t="s">
        <v>2001</v>
      </c>
      <c r="D388" s="13" t="n">
        <v>2025</v>
      </c>
      <c r="E388" s="70" t="n">
        <f aca="false">IS!H37</f>
        <v>1.4</v>
      </c>
      <c r="F388" s="70" t="n">
        <f aca="false">ROUND(IS!H33/8603416176,2)</f>
        <v>1.44</v>
      </c>
      <c r="G388" s="104" t="n">
        <f aca="false">IF(COUNT(E388:F388)=2,E388-F388,"")</f>
        <v>-0.04</v>
      </c>
      <c r="H388" s="102" t="n">
        <v>0.05</v>
      </c>
      <c r="I388" s="4" t="str">
        <f aca="false">IF(COUNT(E388:F388)&lt;2,"N/A",IF(ABS(G388)&lt;=H388,"OK","❌"))</f>
        <v>OK</v>
      </c>
      <c r="J388" s="102" t="s">
        <v>1932</v>
      </c>
      <c r="K388" s="4" t="str">
        <f aca="false">IF(I388=J388,"✔ sesuai","✖ TIDAK sesuai")</f>
        <v>✔ sesuai</v>
      </c>
      <c r="L388" s="103"/>
    </row>
    <row r="389" customFormat="false" ht="15" hidden="false" customHeight="false" outlineLevel="0" collapsed="false">
      <c r="A389" s="13" t="n">
        <v>383</v>
      </c>
      <c r="B389" s="13" t="s">
        <v>2008</v>
      </c>
      <c r="C389" s="13" t="s">
        <v>2009</v>
      </c>
      <c r="D389" s="13" t="n">
        <v>2021</v>
      </c>
      <c r="E389" s="61" t="n">
        <v>641524826591</v>
      </c>
      <c r="F389" s="61" t="n">
        <v>624986556241</v>
      </c>
      <c r="G389" s="101" t="n">
        <f aca="false">IF(COUNT(E389:F389)=2,E389-F389,"")</f>
        <v>16538270350</v>
      </c>
      <c r="H389" s="102" t="n">
        <v>1</v>
      </c>
      <c r="I389" s="4" t="str">
        <f aca="false">IF(COUNT(E389:F389)&lt;2,"N/A",IF(ABS(G389)&lt;=H389,"OK","N/A"))</f>
        <v>N/A</v>
      </c>
      <c r="J389" s="102" t="s">
        <v>2010</v>
      </c>
      <c r="K389" s="4" t="str">
        <f aca="false">IF(I389=J389,"✔ sesuai","✖ TIDAK sesuai")</f>
        <v>✔ sesuai</v>
      </c>
      <c r="L389" s="103" t="s">
        <v>2011</v>
      </c>
    </row>
    <row r="390" customFormat="false" ht="15" hidden="false" customHeight="false" outlineLevel="0" collapsed="false">
      <c r="A390" s="13" t="n">
        <v>384</v>
      </c>
      <c r="B390" s="13" t="s">
        <v>2008</v>
      </c>
      <c r="C390" s="13" t="s">
        <v>2009</v>
      </c>
      <c r="D390" s="13" t="n">
        <v>2022</v>
      </c>
      <c r="E390" s="61" t="n">
        <v>829761008475</v>
      </c>
      <c r="F390" s="61" t="n">
        <v>829761008475</v>
      </c>
      <c r="G390" s="101" t="n">
        <f aca="false">IF(COUNT(E390:F390)=2,E390-F390,"")</f>
        <v>0</v>
      </c>
      <c r="H390" s="102" t="n">
        <v>1</v>
      </c>
      <c r="I390" s="4" t="str">
        <f aca="false">IF(COUNT(E390:F390)&lt;2,"N/A",IF(ABS(G390)&lt;=H390,"OK","❌"))</f>
        <v>OK</v>
      </c>
      <c r="J390" s="102" t="s">
        <v>1932</v>
      </c>
      <c r="K390" s="4" t="str">
        <f aca="false">IF(I390=J390,"✔ sesuai","✖ TIDAK sesuai")</f>
        <v>✔ sesuai</v>
      </c>
      <c r="L390" s="103"/>
    </row>
    <row r="391" customFormat="false" ht="15" hidden="false" customHeight="false" outlineLevel="0" collapsed="false">
      <c r="A391" s="13" t="n">
        <v>385</v>
      </c>
      <c r="B391" s="13" t="s">
        <v>2008</v>
      </c>
      <c r="C391" s="13" t="s">
        <v>2009</v>
      </c>
      <c r="D391" s="13" t="n">
        <v>2023</v>
      </c>
      <c r="E391" s="61" t="n">
        <v>629277670892</v>
      </c>
      <c r="F391" s="61" t="n">
        <v>629277670892</v>
      </c>
      <c r="G391" s="101" t="n">
        <f aca="false">IF(COUNT(E391:F391)=2,E391-F391,"")</f>
        <v>0</v>
      </c>
      <c r="H391" s="102" t="n">
        <v>1</v>
      </c>
      <c r="I391" s="4" t="str">
        <f aca="false">IF(COUNT(E391:F391)&lt;2,"N/A",IF(ABS(G391)&lt;=H391,"OK","❌"))</f>
        <v>OK</v>
      </c>
      <c r="J391" s="102" t="s">
        <v>1932</v>
      </c>
      <c r="K391" s="4" t="str">
        <f aca="false">IF(I391=J391,"✔ sesuai","✖ TIDAK sesuai")</f>
        <v>✔ sesuai</v>
      </c>
      <c r="L391" s="103"/>
    </row>
    <row r="392" customFormat="false" ht="15" hidden="false" customHeight="false" outlineLevel="0" collapsed="false">
      <c r="A392" s="13" t="n">
        <v>386</v>
      </c>
      <c r="B392" s="13" t="s">
        <v>2008</v>
      </c>
      <c r="C392" s="13" t="s">
        <v>2009</v>
      </c>
      <c r="D392" s="13" t="n">
        <v>2024</v>
      </c>
      <c r="E392" s="61" t="n">
        <v>622058009425</v>
      </c>
      <c r="F392" s="61" t="n">
        <v>622058009425</v>
      </c>
      <c r="G392" s="101" t="n">
        <f aca="false">IF(COUNT(E392:F392)=2,E392-F392,"")</f>
        <v>0</v>
      </c>
      <c r="H392" s="102" t="n">
        <v>1</v>
      </c>
      <c r="I392" s="4" t="str">
        <f aca="false">IF(COUNT(E392:F392)&lt;2,"N/A",IF(ABS(G392)&lt;=H392,"OK","❌"))</f>
        <v>OK</v>
      </c>
      <c r="J392" s="102" t="s">
        <v>1932</v>
      </c>
      <c r="K392" s="4" t="str">
        <f aca="false">IF(I392=J392,"✔ sesuai","✖ TIDAK sesuai")</f>
        <v>✔ sesuai</v>
      </c>
      <c r="L392" s="103"/>
    </row>
    <row r="393" customFormat="false" ht="15" hidden="false" customHeight="false" outlineLevel="0" collapsed="false">
      <c r="A393" s="13" t="n">
        <v>387</v>
      </c>
      <c r="B393" s="13" t="s">
        <v>2008</v>
      </c>
      <c r="C393" s="13" t="s">
        <v>2009</v>
      </c>
      <c r="D393" s="13" t="n">
        <v>2025</v>
      </c>
      <c r="E393" s="61" t="n">
        <v>783332056074</v>
      </c>
      <c r="F393" s="61" t="n">
        <v>783332056074</v>
      </c>
      <c r="G393" s="101" t="n">
        <f aca="false">IF(COUNT(E393:F393)=2,E393-F393,"")</f>
        <v>0</v>
      </c>
      <c r="H393" s="102" t="n">
        <v>1</v>
      </c>
      <c r="I393" s="4" t="str">
        <f aca="false">IF(COUNT(E393:F393)&lt;2,"N/A",IF(ABS(G393)&lt;=H393,"OK","❌"))</f>
        <v>OK</v>
      </c>
      <c r="J393" s="102" t="s">
        <v>1932</v>
      </c>
      <c r="K393" s="4" t="str">
        <f aca="false">IF(I393=J393,"✔ sesuai","✖ TIDAK sesuai")</f>
        <v>✔ sesuai</v>
      </c>
      <c r="L393" s="103"/>
    </row>
    <row r="394" customFormat="false" ht="15" hidden="false" customHeight="false" outlineLevel="0" collapsed="false">
      <c r="A394" s="13" t="n">
        <v>388</v>
      </c>
      <c r="B394" s="13" t="s">
        <v>2008</v>
      </c>
      <c r="C394" s="13" t="s">
        <v>2012</v>
      </c>
      <c r="D394" s="13" t="n">
        <v>2020</v>
      </c>
      <c r="E394" s="61" t="n">
        <v>100254587466</v>
      </c>
      <c r="F394" s="61"/>
      <c r="G394" s="101" t="str">
        <f aca="false">IF(COUNT(E394:F394)=2,E394-F394,"")</f>
        <v/>
      </c>
      <c r="H394" s="102" t="n">
        <v>1</v>
      </c>
      <c r="I394" s="4" t="str">
        <f aca="false">IF(COUNT(E394:F394)&lt;2,"N/A",IF(ABS(G394)&lt;=H394,"OK","N/A"))</f>
        <v>N/A</v>
      </c>
      <c r="J394" s="102" t="s">
        <v>2010</v>
      </c>
      <c r="K394" s="4" t="str">
        <f aca="false">IF(I394=J394,"✔ sesuai","✖ TIDAK sesuai")</f>
        <v>✔ sesuai</v>
      </c>
      <c r="L394" s="103" t="s">
        <v>2013</v>
      </c>
    </row>
    <row r="395" customFormat="false" ht="15" hidden="false" customHeight="false" outlineLevel="0" collapsed="false">
      <c r="A395" s="13" t="n">
        <v>389</v>
      </c>
      <c r="B395" s="13" t="s">
        <v>2008</v>
      </c>
      <c r="C395" s="13" t="s">
        <v>2014</v>
      </c>
      <c r="D395" s="13" t="n">
        <v>2021</v>
      </c>
      <c r="E395" s="61" t="n">
        <v>641524826591</v>
      </c>
      <c r="F395" s="61" t="n">
        <v>641524826591</v>
      </c>
      <c r="G395" s="101" t="n">
        <f aca="false">IF(COUNT(E395:F395)=2,E395-F395,"")</f>
        <v>0</v>
      </c>
      <c r="H395" s="102" t="n">
        <v>1</v>
      </c>
      <c r="I395" s="4" t="str">
        <f aca="false">IF(COUNT(E395:F395)&lt;2,"N/A",IF(ABS(G395)&lt;=H395,"OK","❌"))</f>
        <v>OK</v>
      </c>
      <c r="J395" s="102" t="s">
        <v>1932</v>
      </c>
      <c r="K395" s="4" t="str">
        <f aca="false">IF(I395=J395,"✔ sesuai","✖ TIDAK sesuai")</f>
        <v>✔ sesuai</v>
      </c>
      <c r="L395" s="103" t="s">
        <v>2015</v>
      </c>
    </row>
    <row r="396" customFormat="false" ht="15" hidden="false" customHeight="false" outlineLevel="0" collapsed="false">
      <c r="A396" s="13" t="n">
        <v>390</v>
      </c>
      <c r="B396" s="13" t="s">
        <v>2008</v>
      </c>
      <c r="C396" s="13" t="s">
        <v>2016</v>
      </c>
      <c r="D396" s="13" t="n">
        <v>2020</v>
      </c>
      <c r="E396" s="61" t="n">
        <v>624986556241</v>
      </c>
      <c r="F396" s="61" t="n">
        <v>624986556241</v>
      </c>
      <c r="G396" s="101" t="n">
        <f aca="false">IF(COUNT(E396:F396)=2,E396-F396,"")</f>
        <v>0</v>
      </c>
      <c r="H396" s="102" t="n">
        <v>1</v>
      </c>
      <c r="I396" s="4" t="str">
        <f aca="false">IF(COUNT(E396:F396)&lt;2,"N/A",IF(ABS(G396)&lt;=H396,"OK","❌"))</f>
        <v>OK</v>
      </c>
      <c r="J396" s="102" t="s">
        <v>1932</v>
      </c>
      <c r="K396" s="4" t="str">
        <f aca="false">IF(I396=J396,"✔ sesuai","✖ TIDAK sesuai")</f>
        <v>✔ sesuai</v>
      </c>
      <c r="L396" s="103"/>
    </row>
    <row r="397" customFormat="false" ht="15" hidden="false" customHeight="false" outlineLevel="0" collapsed="false">
      <c r="A397" s="13" t="n">
        <v>391</v>
      </c>
      <c r="B397" s="13" t="s">
        <v>2008</v>
      </c>
      <c r="C397" s="13" t="s">
        <v>2017</v>
      </c>
      <c r="D397" s="13" t="n">
        <v>2020</v>
      </c>
      <c r="E397" s="61" t="n">
        <v>83741664950</v>
      </c>
      <c r="F397" s="61" t="n">
        <v>83741664950</v>
      </c>
      <c r="G397" s="101" t="n">
        <f aca="false">IF(COUNT(E397:F397)=2,E397-F397,"")</f>
        <v>0</v>
      </c>
      <c r="H397" s="102" t="n">
        <v>1</v>
      </c>
      <c r="I397" s="4" t="str">
        <f aca="false">IF(COUNT(E397:F397)&lt;2,"N/A",IF(ABS(G397)&lt;=H397,"OK","❌"))</f>
        <v>OK</v>
      </c>
      <c r="J397" s="102" t="s">
        <v>1932</v>
      </c>
      <c r="K397" s="4" t="str">
        <f aca="false">IF(I397=J397,"✔ sesuai","✖ TIDAK sesuai")</f>
        <v>✔ sesuai</v>
      </c>
      <c r="L397" s="103" t="s">
        <v>2018</v>
      </c>
    </row>
    <row r="398" customFormat="false" ht="15" hidden="false" customHeight="false" outlineLevel="0" collapsed="false">
      <c r="A398" s="13" t="n">
        <v>392</v>
      </c>
      <c r="B398" s="13" t="s">
        <v>2008</v>
      </c>
      <c r="C398" s="13" t="s">
        <v>2017</v>
      </c>
      <c r="D398" s="13" t="n">
        <v>2021</v>
      </c>
      <c r="E398" s="61" t="n">
        <v>242067057628</v>
      </c>
      <c r="F398" s="61" t="n">
        <v>242067057628</v>
      </c>
      <c r="G398" s="101" t="n">
        <f aca="false">IF(COUNT(E398:F398)=2,E398-F398,"")</f>
        <v>0</v>
      </c>
      <c r="H398" s="102" t="n">
        <v>1</v>
      </c>
      <c r="I398" s="4" t="str">
        <f aca="false">IF(COUNT(E398:F398)&lt;2,"N/A",IF(ABS(G398)&lt;=H398,"OK","❌"))</f>
        <v>OK</v>
      </c>
      <c r="J398" s="102" t="s">
        <v>1932</v>
      </c>
      <c r="K398" s="4" t="str">
        <f aca="false">IF(I398=J398,"✔ sesuai","✖ TIDAK sesuai")</f>
        <v>✔ sesuai</v>
      </c>
      <c r="L398" s="103" t="s">
        <v>2019</v>
      </c>
    </row>
    <row r="399" customFormat="false" ht="15" hidden="false" customHeight="false" outlineLevel="0" collapsed="false">
      <c r="A399" s="13" t="n">
        <v>393</v>
      </c>
      <c r="B399" s="13" t="s">
        <v>2008</v>
      </c>
      <c r="C399" s="13" t="s">
        <v>2017</v>
      </c>
      <c r="D399" s="13" t="n">
        <v>2022</v>
      </c>
      <c r="E399" s="61" t="n">
        <v>303294784801</v>
      </c>
      <c r="F399" s="61" t="n">
        <v>303294784801</v>
      </c>
      <c r="G399" s="101" t="n">
        <f aca="false">IF(COUNT(E399:F399)=2,E399-F399,"")</f>
        <v>0</v>
      </c>
      <c r="H399" s="102" t="n">
        <v>1</v>
      </c>
      <c r="I399" s="4" t="str">
        <f aca="false">IF(COUNT(E399:F399)&lt;2,"N/A",IF(ABS(G399)&lt;=H399,"OK","❌"))</f>
        <v>OK</v>
      </c>
      <c r="J399" s="102" t="s">
        <v>1932</v>
      </c>
      <c r="K399" s="4" t="str">
        <f aca="false">IF(I399=J399,"✔ sesuai","✖ TIDAK sesuai")</f>
        <v>✔ sesuai</v>
      </c>
      <c r="L399" s="103" t="s">
        <v>2020</v>
      </c>
    </row>
    <row r="400" customFormat="false" ht="15" hidden="false" customHeight="false" outlineLevel="0" collapsed="false">
      <c r="A400" s="13" t="n">
        <v>394</v>
      </c>
      <c r="B400" s="13" t="s">
        <v>2008</v>
      </c>
      <c r="C400" s="13" t="s">
        <v>2017</v>
      </c>
      <c r="D400" s="13" t="n">
        <v>2023</v>
      </c>
      <c r="E400" s="61" t="n">
        <v>297850794905</v>
      </c>
      <c r="F400" s="61" t="n">
        <v>297850794905</v>
      </c>
      <c r="G400" s="101" t="n">
        <f aca="false">IF(COUNT(E400:F400)=2,E400-F400,"")</f>
        <v>0</v>
      </c>
      <c r="H400" s="102" t="n">
        <v>1</v>
      </c>
      <c r="I400" s="4" t="str">
        <f aca="false">IF(COUNT(E400:F400)&lt;2,"N/A",IF(ABS(G400)&lt;=H400,"OK","❌"))</f>
        <v>OK</v>
      </c>
      <c r="J400" s="102" t="s">
        <v>1932</v>
      </c>
      <c r="K400" s="4" t="str">
        <f aca="false">IF(I400=J400,"✔ sesuai","✖ TIDAK sesuai")</f>
        <v>✔ sesuai</v>
      </c>
      <c r="L400" s="103" t="s">
        <v>2020</v>
      </c>
    </row>
    <row r="401" customFormat="false" ht="15" hidden="false" customHeight="false" outlineLevel="0" collapsed="false">
      <c r="A401" s="13" t="n">
        <v>395</v>
      </c>
      <c r="B401" s="13" t="s">
        <v>2008</v>
      </c>
      <c r="C401" s="13" t="s">
        <v>2017</v>
      </c>
      <c r="D401" s="13" t="n">
        <v>2021</v>
      </c>
      <c r="E401" s="61" t="n">
        <v>279538020236</v>
      </c>
      <c r="F401" s="61" t="n">
        <v>279538020236</v>
      </c>
      <c r="G401" s="101" t="n">
        <f aca="false">IF(COUNT(E401:F401)=2,E401-F401,"")</f>
        <v>0</v>
      </c>
      <c r="H401" s="102" t="n">
        <v>1</v>
      </c>
      <c r="I401" s="4" t="str">
        <f aca="false">IF(COUNT(E401:F401)&lt;2,"N/A",IF(ABS(G401)&lt;=H401,"OK","❌"))</f>
        <v>OK</v>
      </c>
      <c r="J401" s="102" t="s">
        <v>1932</v>
      </c>
      <c r="K401" s="4" t="str">
        <f aca="false">IF(I401=J401,"✔ sesuai","✖ TIDAK sesuai")</f>
        <v>✔ sesuai</v>
      </c>
      <c r="L401" s="103" t="s">
        <v>2021</v>
      </c>
    </row>
    <row r="402" customFormat="false" ht="15" hidden="false" customHeight="false" outlineLevel="0" collapsed="false">
      <c r="A402" s="13" t="n">
        <v>396</v>
      </c>
      <c r="B402" s="13" t="s">
        <v>2008</v>
      </c>
      <c r="C402" s="13" t="s">
        <v>2022</v>
      </c>
      <c r="D402" s="13" t="n">
        <v>2022</v>
      </c>
      <c r="E402" s="61" t="n">
        <v>83227727173</v>
      </c>
      <c r="F402" s="61" t="n">
        <v>83227727173</v>
      </c>
      <c r="G402" s="101" t="n">
        <f aca="false">IF(COUNT(E402:F402)=2,E402-F402,"")</f>
        <v>0</v>
      </c>
      <c r="H402" s="102" t="n">
        <v>1</v>
      </c>
      <c r="I402" s="4" t="str">
        <f aca="false">IF(COUNT(E402:F402)&lt;2,"N/A",IF(ABS(G402)&lt;=H402,"OK","❌"))</f>
        <v>OK</v>
      </c>
      <c r="J402" s="102" t="s">
        <v>1932</v>
      </c>
      <c r="K402" s="4" t="str">
        <f aca="false">IF(I402=J402,"✔ sesuai","✖ TIDAK sesuai")</f>
        <v>✔ sesuai</v>
      </c>
      <c r="L402" s="103"/>
    </row>
    <row r="403" customFormat="false" ht="15" hidden="false" customHeight="false" outlineLevel="0" collapsed="false">
      <c r="A403" s="13" t="n">
        <v>397</v>
      </c>
      <c r="B403" s="13" t="s">
        <v>2008</v>
      </c>
      <c r="C403" s="13" t="s">
        <v>2022</v>
      </c>
      <c r="D403" s="13" t="n">
        <v>2023</v>
      </c>
      <c r="E403" s="61" t="n">
        <v>7461134368</v>
      </c>
      <c r="F403" s="61" t="n">
        <v>7461134368</v>
      </c>
      <c r="G403" s="101" t="n">
        <f aca="false">IF(COUNT(E403:F403)=2,E403-F403,"")</f>
        <v>0</v>
      </c>
      <c r="H403" s="102" t="n">
        <v>1</v>
      </c>
      <c r="I403" s="4" t="str">
        <f aca="false">IF(COUNT(E403:F403)&lt;2,"N/A",IF(ABS(G403)&lt;=H403,"OK","❌"))</f>
        <v>OK</v>
      </c>
      <c r="J403" s="102" t="s">
        <v>1932</v>
      </c>
      <c r="K403" s="4" t="str">
        <f aca="false">IF(I403=J403,"✔ sesuai","✖ TIDAK sesuai")</f>
        <v>✔ sesuai</v>
      </c>
      <c r="L403" s="103"/>
    </row>
    <row r="404" customFormat="false" ht="15" hidden="false" customHeight="false" outlineLevel="0" collapsed="false">
      <c r="A404" s="13" t="n">
        <v>398</v>
      </c>
      <c r="B404" s="13" t="s">
        <v>2008</v>
      </c>
      <c r="C404" s="13" t="s">
        <v>2023</v>
      </c>
      <c r="D404" s="13" t="n">
        <v>2024</v>
      </c>
      <c r="E404" s="61" t="n">
        <v>297850794905</v>
      </c>
      <c r="F404" s="61" t="n">
        <v>297850794905</v>
      </c>
      <c r="G404" s="101" t="n">
        <f aca="false">IF(COUNT(E404:F404)=2,E404-F404,"")</f>
        <v>0</v>
      </c>
      <c r="H404" s="102" t="n">
        <v>1</v>
      </c>
      <c r="I404" s="4" t="str">
        <f aca="false">IF(COUNT(E404:F404)&lt;2,"N/A",IF(ABS(G404)&lt;=H404,"OK","❌"))</f>
        <v>OK</v>
      </c>
      <c r="J404" s="102" t="s">
        <v>1932</v>
      </c>
      <c r="K404" s="4" t="str">
        <f aca="false">IF(I404=J404,"✔ sesuai","✖ TIDAK sesuai")</f>
        <v>✔ sesuai</v>
      </c>
      <c r="L404" s="103" t="s">
        <v>2024</v>
      </c>
    </row>
    <row r="405" customFormat="false" ht="15" hidden="false" customHeight="false" outlineLevel="0" collapsed="false">
      <c r="A405" s="13" t="n">
        <v>399</v>
      </c>
      <c r="B405" s="13" t="s">
        <v>2008</v>
      </c>
      <c r="C405" s="13" t="s">
        <v>2025</v>
      </c>
      <c r="D405" s="13" t="n">
        <v>2024</v>
      </c>
      <c r="E405" s="61" t="n">
        <v>622058009425</v>
      </c>
      <c r="F405" s="61" t="n">
        <v>622058009425</v>
      </c>
      <c r="G405" s="101" t="n">
        <f aca="false">IF(COUNT(E405:F405)=2,E405-F405,"")</f>
        <v>0</v>
      </c>
      <c r="H405" s="102" t="n">
        <v>1</v>
      </c>
      <c r="I405" s="4" t="str">
        <f aca="false">IF(COUNT(E405:F405)&lt;2,"N/A",IF(ABS(G405)&lt;=H405,"OK","❌"))</f>
        <v>OK</v>
      </c>
      <c r="J405" s="102" t="s">
        <v>1932</v>
      </c>
      <c r="K405" s="4" t="str">
        <f aca="false">IF(I405=J405,"✔ sesuai","✖ TIDAK sesuai")</f>
        <v>✔ sesuai</v>
      </c>
      <c r="L405" s="103"/>
    </row>
    <row r="406" customFormat="false" ht="15" hidden="false" customHeight="false" outlineLevel="0" collapsed="false">
      <c r="A406" s="13" t="n">
        <v>400</v>
      </c>
      <c r="B406" s="13" t="s">
        <v>2008</v>
      </c>
      <c r="C406" s="13" t="s">
        <v>2026</v>
      </c>
      <c r="D406" s="13" t="n">
        <v>2024</v>
      </c>
      <c r="E406" s="61"/>
      <c r="F406" s="61" t="n">
        <v>1800035908452</v>
      </c>
      <c r="G406" s="101" t="str">
        <f aca="false">IF(COUNT(E406:F406)=2,E406-F406,"")</f>
        <v/>
      </c>
      <c r="H406" s="102" t="n">
        <v>1</v>
      </c>
      <c r="I406" s="4" t="str">
        <f aca="false">IF(COUNT(E406:F406)&lt;2,"N/A",IF(ABS(G406)&lt;=H406,"OK","N/A"))</f>
        <v>N/A</v>
      </c>
      <c r="J406" s="102" t="s">
        <v>2010</v>
      </c>
      <c r="K406" s="4" t="str">
        <f aca="false">IF(I406=J406,"✔ sesuai","✖ TIDAK sesuai")</f>
        <v>✔ sesuai</v>
      </c>
      <c r="L406" s="103" t="s">
        <v>2027</v>
      </c>
    </row>
    <row r="407" customFormat="false" ht="15" hidden="false" customHeight="false" outlineLevel="0" collapsed="false">
      <c r="A407" s="13" t="n">
        <v>401</v>
      </c>
      <c r="B407" s="13" t="s">
        <v>2008</v>
      </c>
      <c r="C407" s="13" t="s">
        <v>2028</v>
      </c>
      <c r="D407" s="13" t="n">
        <v>2021</v>
      </c>
      <c r="E407" s="61" t="n">
        <v>180041059951</v>
      </c>
      <c r="F407" s="61" t="n">
        <v>180041059951</v>
      </c>
      <c r="G407" s="101" t="n">
        <f aca="false">IF(COUNT(E407:F407)=2,E407-F407,"")</f>
        <v>0</v>
      </c>
      <c r="H407" s="102" t="n">
        <v>1</v>
      </c>
      <c r="I407" s="4" t="str">
        <f aca="false">IF(COUNT(E407:F407)&lt;2,"N/A",IF(ABS(G407)&lt;=H407,"OK","❌"))</f>
        <v>OK</v>
      </c>
      <c r="J407" s="102" t="s">
        <v>1932</v>
      </c>
      <c r="K407" s="4" t="str">
        <f aca="false">IF(I407=J407,"✔ sesuai","✖ TIDAK sesuai")</f>
        <v>✔ sesuai</v>
      </c>
      <c r="L407" s="103"/>
    </row>
    <row r="408" customFormat="false" ht="15" hidden="false" customHeight="false" outlineLevel="0" collapsed="false">
      <c r="A408" s="13" t="n">
        <v>402</v>
      </c>
      <c r="B408" s="13" t="s">
        <v>2008</v>
      </c>
      <c r="C408" s="13" t="s">
        <v>2029</v>
      </c>
      <c r="D408" s="13" t="n">
        <v>2021</v>
      </c>
      <c r="E408" s="61" t="n">
        <v>39284890428</v>
      </c>
      <c r="F408" s="61" t="n">
        <v>39284890428</v>
      </c>
      <c r="G408" s="101" t="n">
        <f aca="false">IF(COUNT(E408:F408)=2,E408-F408,"")</f>
        <v>0</v>
      </c>
      <c r="H408" s="102" t="n">
        <v>1</v>
      </c>
      <c r="I408" s="4" t="str">
        <f aca="false">IF(COUNT(E408:F408)&lt;2,"N/A",IF(ABS(G408)&lt;=H408,"OK","❌"))</f>
        <v>OK</v>
      </c>
      <c r="J408" s="102" t="s">
        <v>1932</v>
      </c>
      <c r="K408" s="4" t="str">
        <f aca="false">IF(I408=J408,"✔ sesuai","✖ TIDAK sesuai")</f>
        <v>✔ sesuai</v>
      </c>
      <c r="L408" s="103"/>
    </row>
    <row r="409" customFormat="false" ht="15" hidden="false" customHeight="false" outlineLevel="0" collapsed="false">
      <c r="A409" s="13" t="n">
        <v>403</v>
      </c>
      <c r="B409" s="13" t="s">
        <v>2008</v>
      </c>
      <c r="C409" s="13" t="s">
        <v>2030</v>
      </c>
      <c r="D409" s="13" t="n">
        <v>2021</v>
      </c>
      <c r="E409" s="61" t="n">
        <v>126065976714</v>
      </c>
      <c r="F409" s="61" t="n">
        <v>126065976714</v>
      </c>
      <c r="G409" s="101" t="n">
        <f aca="false">IF(COUNT(E409:F409)=2,E409-F409,"")</f>
        <v>0</v>
      </c>
      <c r="H409" s="102" t="n">
        <v>1</v>
      </c>
      <c r="I409" s="4" t="str">
        <f aca="false">IF(COUNT(E409:F409)&lt;2,"N/A",IF(ABS(G409)&lt;=H409,"OK","❌"))</f>
        <v>OK</v>
      </c>
      <c r="J409" s="102" t="s">
        <v>1932</v>
      </c>
      <c r="K409" s="4" t="str">
        <f aca="false">IF(I409=J409,"✔ sesuai","✖ TIDAK sesuai")</f>
        <v>✔ sesuai</v>
      </c>
      <c r="L409" s="103"/>
    </row>
    <row r="410" customFormat="false" ht="15" hidden="false" customHeight="false" outlineLevel="0" collapsed="false">
      <c r="A410" s="13" t="n">
        <v>404</v>
      </c>
      <c r="B410" s="13" t="s">
        <v>2008</v>
      </c>
      <c r="C410" s="13" t="s">
        <v>2031</v>
      </c>
      <c r="D410" s="13" t="n">
        <v>2021</v>
      </c>
      <c r="E410" s="61" t="n">
        <v>109441170213</v>
      </c>
      <c r="F410" s="61" t="n">
        <v>109441170213</v>
      </c>
      <c r="G410" s="101" t="n">
        <f aca="false">IF(COUNT(E410:F410)=2,E410-F410,"")</f>
        <v>0</v>
      </c>
      <c r="H410" s="102" t="n">
        <v>1</v>
      </c>
      <c r="I410" s="4" t="str">
        <f aca="false">IF(COUNT(E410:F410)&lt;2,"N/A",IF(ABS(G410)&lt;=H410,"OK","❌"))</f>
        <v>OK</v>
      </c>
      <c r="J410" s="102" t="s">
        <v>1932</v>
      </c>
      <c r="K410" s="4" t="str">
        <f aca="false">IF(I410=J410,"✔ sesuai","✖ TIDAK sesuai")</f>
        <v>✔ sesuai</v>
      </c>
      <c r="L410" s="103"/>
    </row>
    <row r="411" customFormat="false" ht="15" hidden="false" customHeight="false" outlineLevel="0" collapsed="false">
      <c r="A411" s="13" t="n">
        <v>405</v>
      </c>
      <c r="B411" s="13" t="s">
        <v>2008</v>
      </c>
      <c r="C411" s="13" t="s">
        <v>2030</v>
      </c>
      <c r="D411" s="13" t="n">
        <v>2020</v>
      </c>
      <c r="E411" s="61" t="n">
        <v>84032120398</v>
      </c>
      <c r="F411" s="61" t="n">
        <v>84032120398</v>
      </c>
      <c r="G411" s="101" t="n">
        <f aca="false">IF(COUNT(E411:F411)=2,E411-F411,"")</f>
        <v>0</v>
      </c>
      <c r="H411" s="102" t="n">
        <v>1</v>
      </c>
      <c r="I411" s="4" t="str">
        <f aca="false">IF(COUNT(E411:F411)&lt;2,"N/A",IF(ABS(G411)&lt;=H411,"OK","❌"))</f>
        <v>OK</v>
      </c>
      <c r="J411" s="102" t="s">
        <v>1932</v>
      </c>
      <c r="K411" s="4" t="str">
        <f aca="false">IF(I411=J411,"✔ sesuai","✖ TIDAK sesuai")</f>
        <v>✔ sesuai</v>
      </c>
      <c r="L411" s="103"/>
    </row>
    <row r="412" customFormat="false" ht="15" hidden="false" customHeight="false" outlineLevel="0" collapsed="false">
      <c r="A412" s="13" t="n">
        <v>406</v>
      </c>
      <c r="B412" s="13" t="s">
        <v>2008</v>
      </c>
      <c r="C412" s="13" t="s">
        <v>2031</v>
      </c>
      <c r="D412" s="13" t="n">
        <v>2020</v>
      </c>
      <c r="E412" s="61" t="n">
        <v>50644278885</v>
      </c>
      <c r="F412" s="61" t="n">
        <v>50644278885</v>
      </c>
      <c r="G412" s="101" t="n">
        <f aca="false">IF(COUNT(E412:F412)=2,E412-F412,"")</f>
        <v>0</v>
      </c>
      <c r="H412" s="102" t="n">
        <v>1</v>
      </c>
      <c r="I412" s="4" t="str">
        <f aca="false">IF(COUNT(E412:F412)&lt;2,"N/A",IF(ABS(G412)&lt;=H412,"OK","❌"))</f>
        <v>OK</v>
      </c>
      <c r="J412" s="102" t="s">
        <v>1932</v>
      </c>
      <c r="K412" s="4" t="str">
        <f aca="false">IF(I412=J412,"✔ sesuai","✖ TIDAK sesuai")</f>
        <v>✔ sesuai</v>
      </c>
      <c r="L412" s="103"/>
    </row>
    <row r="413" customFormat="false" ht="15" hidden="false" customHeight="false" outlineLevel="0" collapsed="false">
      <c r="A413" s="13" t="n">
        <v>407</v>
      </c>
      <c r="B413" s="13" t="s">
        <v>2008</v>
      </c>
      <c r="C413" s="13" t="s">
        <v>2032</v>
      </c>
      <c r="D413" s="13" t="n">
        <v>2021</v>
      </c>
      <c r="E413" s="61" t="n">
        <v>89402472707</v>
      </c>
      <c r="F413" s="61" t="n">
        <v>89402472707</v>
      </c>
      <c r="G413" s="101" t="n">
        <f aca="false">IF(COUNT(E413:F413)=2,E413-F413,"")</f>
        <v>0</v>
      </c>
      <c r="H413" s="102" t="n">
        <v>1</v>
      </c>
      <c r="I413" s="4" t="str">
        <f aca="false">IF(COUNT(E413:F413)&lt;2,"N/A",IF(ABS(G413)&lt;=H413,"OK","❌"))</f>
        <v>OK</v>
      </c>
      <c r="J413" s="102" t="s">
        <v>1932</v>
      </c>
      <c r="K413" s="4" t="str">
        <f aca="false">IF(I413=J413,"✔ sesuai","✖ TIDAK sesuai")</f>
        <v>✔ sesuai</v>
      </c>
      <c r="L413" s="103"/>
    </row>
    <row r="414" customFormat="false" ht="15" hidden="false" customHeight="false" outlineLevel="0" collapsed="false">
      <c r="A414" s="13" t="n">
        <v>408</v>
      </c>
      <c r="B414" s="13" t="s">
        <v>2008</v>
      </c>
      <c r="C414" s="13" t="s">
        <v>2033</v>
      </c>
      <c r="D414" s="13" t="n">
        <v>2021</v>
      </c>
      <c r="E414" s="61" t="n">
        <v>-70095886962</v>
      </c>
      <c r="F414" s="61" t="n">
        <v>-70095886962</v>
      </c>
      <c r="G414" s="101" t="n">
        <f aca="false">IF(COUNT(E414:F414)=2,E414-F414,"")</f>
        <v>0</v>
      </c>
      <c r="H414" s="102" t="n">
        <v>1</v>
      </c>
      <c r="I414" s="4" t="str">
        <f aca="false">IF(COUNT(E414:F414)&lt;2,"N/A",IF(ABS(G414)&lt;=H414,"OK","❌"))</f>
        <v>OK</v>
      </c>
      <c r="J414" s="102" t="s">
        <v>1932</v>
      </c>
      <c r="K414" s="4" t="str">
        <f aca="false">IF(I414=J414,"✔ sesuai","✖ TIDAK sesuai")</f>
        <v>✔ sesuai</v>
      </c>
      <c r="L414" s="103"/>
    </row>
    <row r="415" customFormat="false" ht="15" hidden="false" customHeight="false" outlineLevel="0" collapsed="false">
      <c r="A415" s="13" t="n">
        <v>409</v>
      </c>
      <c r="B415" s="13" t="s">
        <v>2034</v>
      </c>
      <c r="C415" s="13" t="s">
        <v>2035</v>
      </c>
      <c r="D415" s="13" t="n">
        <v>2025</v>
      </c>
      <c r="E415" s="61" t="n">
        <v>294306377080</v>
      </c>
      <c r="F415" s="61" t="n">
        <v>294346448080</v>
      </c>
      <c r="G415" s="101" t="n">
        <f aca="false">IF(COUNT(E415:F415)=2,E415-F415,"")</f>
        <v>-40071000</v>
      </c>
      <c r="H415" s="102" t="n">
        <v>1</v>
      </c>
      <c r="I415" s="4" t="str">
        <f aca="false">IF(COUNT(E415:F415)&lt;2,"N/A",IF(ABS(G415)&lt;=H415,"OK","❌"))</f>
        <v>❌</v>
      </c>
      <c r="J415" s="102" t="s">
        <v>1998</v>
      </c>
      <c r="K415" s="4" t="str">
        <f aca="false">IF(I415=J415,"✔ sesuai","✖ TIDAK sesuai")</f>
        <v>✔ sesuai</v>
      </c>
      <c r="L415" s="103" t="s">
        <v>2036</v>
      </c>
    </row>
    <row r="416" customFormat="false" ht="15" hidden="false" customHeight="false" outlineLevel="0" collapsed="false">
      <c r="A416" s="13" t="n">
        <v>410</v>
      </c>
      <c r="B416" s="13" t="s">
        <v>2034</v>
      </c>
      <c r="C416" s="13" t="s">
        <v>2037</v>
      </c>
      <c r="D416" s="13" t="n">
        <v>2025</v>
      </c>
      <c r="E416" s="61" t="n">
        <v>79318629998</v>
      </c>
      <c r="F416" s="61" t="n">
        <v>81224259340</v>
      </c>
      <c r="G416" s="101" t="n">
        <f aca="false">IF(COUNT(E416:F416)=2,E416-F416,"")</f>
        <v>-1905629342</v>
      </c>
      <c r="H416" s="102" t="n">
        <v>1</v>
      </c>
      <c r="I416" s="4" t="str">
        <f aca="false">IF(COUNT(E416:F416)&lt;2,"N/A",IF(ABS(G416)&lt;=H416,"OK","❌"))</f>
        <v>❌</v>
      </c>
      <c r="J416" s="102" t="s">
        <v>1998</v>
      </c>
      <c r="K416" s="4" t="str">
        <f aca="false">IF(I416=J416,"✔ sesuai","✖ TIDAK sesuai")</f>
        <v>✔ sesuai</v>
      </c>
      <c r="L416" s="103" t="s">
        <v>2038</v>
      </c>
    </row>
    <row r="417" customFormat="false" ht="15" hidden="false" customHeight="false" outlineLevel="0" collapsed="false">
      <c r="A417" s="13" t="n">
        <v>411</v>
      </c>
      <c r="B417" s="13" t="s">
        <v>2034</v>
      </c>
      <c r="C417" s="13" t="s">
        <v>2039</v>
      </c>
      <c r="D417" s="13" t="n">
        <v>2025</v>
      </c>
      <c r="E417" s="61" t="n">
        <v>3312132349</v>
      </c>
      <c r="F417" s="61" t="n">
        <v>3904546042</v>
      </c>
      <c r="G417" s="101" t="n">
        <f aca="false">IF(COUNT(E417:F417)=2,E417-F417,"")</f>
        <v>-592413693</v>
      </c>
      <c r="H417" s="102" t="n">
        <v>1</v>
      </c>
      <c r="I417" s="4" t="str">
        <f aca="false">IF(COUNT(E417:F417)&lt;2,"N/A",IF(ABS(G417)&lt;=H417,"OK","❌"))</f>
        <v>❌</v>
      </c>
      <c r="J417" s="102" t="s">
        <v>1998</v>
      </c>
      <c r="K417" s="4" t="str">
        <f aca="false">IF(I417=J417,"✔ sesuai","✖ TIDAK sesuai")</f>
        <v>✔ sesuai</v>
      </c>
      <c r="L417" s="103" t="s">
        <v>2040</v>
      </c>
    </row>
    <row r="418" customFormat="false" ht="15" hidden="false" customHeight="false" outlineLevel="0" collapsed="false">
      <c r="A418" s="13" t="n">
        <v>412</v>
      </c>
      <c r="B418" s="13" t="s">
        <v>2034</v>
      </c>
      <c r="C418" s="13" t="s">
        <v>2041</v>
      </c>
      <c r="D418" s="13" t="n">
        <v>2025</v>
      </c>
      <c r="E418" s="61" t="n">
        <v>95332699383</v>
      </c>
      <c r="F418" s="61" t="n">
        <v>95348139383</v>
      </c>
      <c r="G418" s="101" t="n">
        <f aca="false">IF(COUNT(E418:F418)=2,E418-F418,"")</f>
        <v>-15440000</v>
      </c>
      <c r="H418" s="102" t="n">
        <v>1</v>
      </c>
      <c r="I418" s="4" t="str">
        <f aca="false">IF(COUNT(E418:F418)&lt;2,"N/A",IF(ABS(G418)&lt;=H418,"OK","❌"))</f>
        <v>❌</v>
      </c>
      <c r="J418" s="102" t="s">
        <v>1998</v>
      </c>
      <c r="K418" s="4" t="str">
        <f aca="false">IF(I418=J418,"✔ sesuai","✖ TIDAK sesuai")</f>
        <v>✔ sesuai</v>
      </c>
      <c r="L418" s="103" t="s">
        <v>2042</v>
      </c>
    </row>
    <row r="419" customFormat="false" ht="15" hidden="false" customHeight="false" outlineLevel="0" collapsed="false">
      <c r="A419" s="13" t="n">
        <v>413</v>
      </c>
      <c r="B419" s="13" t="s">
        <v>2034</v>
      </c>
      <c r="C419" s="13" t="s">
        <v>2043</v>
      </c>
      <c r="D419" s="13" t="n">
        <v>2025</v>
      </c>
      <c r="E419" s="61" t="n">
        <v>684858473837</v>
      </c>
      <c r="F419" s="61" t="n">
        <v>684843033837</v>
      </c>
      <c r="G419" s="101" t="n">
        <f aca="false">IF(COUNT(E419:F419)=2,E419-F419,"")</f>
        <v>15440000</v>
      </c>
      <c r="H419" s="102" t="n">
        <v>1</v>
      </c>
      <c r="I419" s="4" t="str">
        <f aca="false">IF(COUNT(E419:F419)&lt;2,"N/A",IF(ABS(G419)&lt;=H419,"OK","❌"))</f>
        <v>❌</v>
      </c>
      <c r="J419" s="102" t="s">
        <v>1998</v>
      </c>
      <c r="K419" s="4" t="str">
        <f aca="false">IF(I419=J419,"✔ sesuai","✖ TIDAK sesuai")</f>
        <v>✔ sesuai</v>
      </c>
      <c r="L419" s="103" t="s">
        <v>2042</v>
      </c>
    </row>
    <row r="420" customFormat="false" ht="15" hidden="false" customHeight="false" outlineLevel="0" collapsed="false">
      <c r="A420" s="13" t="n">
        <v>414</v>
      </c>
      <c r="B420" s="13" t="s">
        <v>2034</v>
      </c>
      <c r="C420" s="13" t="s">
        <v>2044</v>
      </c>
      <c r="D420" s="13" t="n">
        <v>2025</v>
      </c>
      <c r="E420" s="61" t="n">
        <v>18252026590</v>
      </c>
      <c r="F420" s="61" t="n">
        <v>1281171305</v>
      </c>
      <c r="G420" s="101" t="n">
        <f aca="false">IF(COUNT(E420:F420)=2,E420-F420,"")</f>
        <v>16970855285</v>
      </c>
      <c r="H420" s="102" t="n">
        <v>1</v>
      </c>
      <c r="I420" s="4" t="str">
        <f aca="false">IF(COUNT(E420:F420)&lt;2,"N/A",IF(ABS(G420)&lt;=H420,"OK","❌"))</f>
        <v>❌</v>
      </c>
      <c r="J420" s="102" t="s">
        <v>1998</v>
      </c>
      <c r="K420" s="4" t="str">
        <f aca="false">IF(I420=J420,"✔ sesuai","✖ TIDAK sesuai")</f>
        <v>✔ sesuai</v>
      </c>
      <c r="L420" s="103" t="s">
        <v>2045</v>
      </c>
    </row>
    <row r="421" customFormat="false" ht="15" hidden="false" customHeight="false" outlineLevel="0" collapsed="false">
      <c r="A421" s="13" t="n">
        <v>415</v>
      </c>
      <c r="B421" s="13" t="s">
        <v>2034</v>
      </c>
      <c r="C421" s="13" t="s">
        <v>2046</v>
      </c>
      <c r="D421" s="13" t="n">
        <v>2024</v>
      </c>
      <c r="E421" s="61" t="n">
        <v>1132157587</v>
      </c>
      <c r="F421" s="61" t="n">
        <v>962419493</v>
      </c>
      <c r="G421" s="101" t="n">
        <f aca="false">IF(COUNT(E421:F421)=2,E421-F421,"")</f>
        <v>169738094</v>
      </c>
      <c r="H421" s="102" t="n">
        <v>1</v>
      </c>
      <c r="I421" s="4" t="str">
        <f aca="false">IF(COUNT(E421:F421)&lt;2,"N/A",IF(ABS(G421)&lt;=H421,"OK","❌"))</f>
        <v>❌</v>
      </c>
      <c r="J421" s="102" t="s">
        <v>1998</v>
      </c>
      <c r="K421" s="4" t="str">
        <f aca="false">IF(I421=J421,"✔ sesuai","✖ TIDAK sesuai")</f>
        <v>✔ sesuai</v>
      </c>
      <c r="L421" s="103" t="s">
        <v>2047</v>
      </c>
    </row>
    <row r="422" customFormat="false" ht="15" hidden="false" customHeight="false" outlineLevel="0" collapsed="false">
      <c r="A422" s="13" t="n">
        <v>416</v>
      </c>
      <c r="B422" s="13" t="s">
        <v>2034</v>
      </c>
      <c r="C422" s="13" t="s">
        <v>2048</v>
      </c>
      <c r="D422" s="13" t="n">
        <v>2025</v>
      </c>
      <c r="E422" s="61" t="n">
        <v>234854032360</v>
      </c>
      <c r="F422" s="61" t="n">
        <v>232952297667</v>
      </c>
      <c r="G422" s="101" t="n">
        <f aca="false">IF(COUNT(E422:F422)=2,E422-F422,"")</f>
        <v>1901734693</v>
      </c>
      <c r="H422" s="102" t="n">
        <v>1</v>
      </c>
      <c r="I422" s="4" t="str">
        <f aca="false">IF(COUNT(E422:F422)&lt;2,"N/A",IF(ABS(G422)&lt;=H422,"OK","❌"))</f>
        <v>❌</v>
      </c>
      <c r="J422" s="102" t="s">
        <v>1998</v>
      </c>
      <c r="K422" s="4" t="str">
        <f aca="false">IF(I422=J422,"✔ sesuai","✖ TIDAK sesuai")</f>
        <v>✔ sesuai</v>
      </c>
      <c r="L422" s="103" t="s">
        <v>2049</v>
      </c>
    </row>
    <row r="423" customFormat="false" ht="15" hidden="false" customHeight="false" outlineLevel="0" collapsed="false">
      <c r="A423" s="13" t="n">
        <v>417</v>
      </c>
      <c r="B423" s="13" t="s">
        <v>2034</v>
      </c>
      <c r="C423" s="13" t="s">
        <v>2050</v>
      </c>
      <c r="D423" s="13" t="n">
        <v>2025</v>
      </c>
      <c r="E423" s="61" t="n">
        <v>232987312663</v>
      </c>
      <c r="F423" s="61" t="n">
        <v>234104222722</v>
      </c>
      <c r="G423" s="101" t="n">
        <f aca="false">IF(COUNT(E423:F423)=2,E423-F423,"")</f>
        <v>-1116910059</v>
      </c>
      <c r="H423" s="102" t="n">
        <v>1</v>
      </c>
      <c r="I423" s="4" t="str">
        <f aca="false">IF(COUNT(E423:F423)&lt;2,"N/A",IF(ABS(G423)&lt;=H423,"OK","❌"))</f>
        <v>❌</v>
      </c>
      <c r="J423" s="102" t="s">
        <v>1998</v>
      </c>
      <c r="K423" s="4" t="str">
        <f aca="false">IF(I423=J423,"✔ sesuai","✖ TIDAK sesuai")</f>
        <v>✔ sesuai</v>
      </c>
      <c r="L423" s="103" t="s">
        <v>2051</v>
      </c>
    </row>
    <row r="424" customFormat="false" ht="15" hidden="false" customHeight="false" outlineLevel="0" collapsed="false">
      <c r="A424" s="13" t="n">
        <v>418</v>
      </c>
      <c r="B424" s="13" t="s">
        <v>2034</v>
      </c>
      <c r="C424" s="13" t="s">
        <v>2052</v>
      </c>
      <c r="D424" s="13" t="n">
        <v>2025</v>
      </c>
      <c r="E424" s="61" t="n">
        <v>234104222722</v>
      </c>
      <c r="F424" s="61" t="n">
        <v>231142399297</v>
      </c>
      <c r="G424" s="101" t="n">
        <f aca="false">IF(COUNT(E424:F424)=2,E424-F424,"")</f>
        <v>2961823425</v>
      </c>
      <c r="H424" s="102" t="n">
        <v>1</v>
      </c>
      <c r="I424" s="4" t="str">
        <f aca="false">IF(COUNT(E424:F424)&lt;2,"N/A",IF(ABS(G424)&lt;=H424,"OK","❌"))</f>
        <v>❌</v>
      </c>
      <c r="J424" s="102" t="s">
        <v>1998</v>
      </c>
      <c r="K424" s="4" t="str">
        <f aca="false">IF(I424=J424,"✔ sesuai","✖ TIDAK sesuai")</f>
        <v>✔ sesuai</v>
      </c>
      <c r="L424" s="103" t="s">
        <v>2051</v>
      </c>
    </row>
    <row r="425" customFormat="false" ht="15" hidden="false" customHeight="false" outlineLevel="0" collapsed="false">
      <c r="A425" s="13" t="n">
        <v>419</v>
      </c>
      <c r="B425" s="13" t="s">
        <v>2034</v>
      </c>
      <c r="C425" s="13" t="s">
        <v>2053</v>
      </c>
      <c r="D425" s="13" t="n">
        <v>2025</v>
      </c>
      <c r="E425" s="61" t="n">
        <v>1230091000000</v>
      </c>
      <c r="F425" s="61" t="n">
        <v>1455009618605</v>
      </c>
      <c r="G425" s="101" t="n">
        <f aca="false">IF(COUNT(E425:F425)=2,E425-F425,"")</f>
        <v>-224918618605</v>
      </c>
      <c r="H425" s="102" t="n">
        <v>1</v>
      </c>
      <c r="I425" s="4" t="str">
        <f aca="false">IF(COUNT(E425:F425)&lt;2,"N/A",IF(ABS(G425)&lt;=H425,"OK","❌"))</f>
        <v>❌</v>
      </c>
      <c r="J425" s="102" t="s">
        <v>1998</v>
      </c>
      <c r="K425" s="4" t="str">
        <f aca="false">IF(I425=J425,"✔ sesuai","✖ TIDAK sesuai")</f>
        <v>✔ sesuai</v>
      </c>
      <c r="L425" s="103" t="s">
        <v>2054</v>
      </c>
    </row>
    <row r="426" customFormat="false" ht="15" hidden="false" customHeight="false" outlineLevel="0" collapsed="false">
      <c r="A426" s="13" t="n">
        <v>420</v>
      </c>
      <c r="B426" s="13" t="s">
        <v>2034</v>
      </c>
      <c r="C426" s="13" t="s">
        <v>2055</v>
      </c>
      <c r="D426" s="13" t="n">
        <v>2025</v>
      </c>
      <c r="E426" s="61" t="n">
        <v>43384345751</v>
      </c>
      <c r="F426" s="61" t="n">
        <v>43384485751</v>
      </c>
      <c r="G426" s="101" t="n">
        <f aca="false">IF(COUNT(E426:F426)=2,E426-F426,"")</f>
        <v>-140000</v>
      </c>
      <c r="H426" s="102" t="n">
        <v>1</v>
      </c>
      <c r="I426" s="4" t="str">
        <f aca="false">IF(COUNT(E426:F426)&lt;2,"N/A",IF(ABS(G426)&lt;=H426,"OK","❌"))</f>
        <v>❌</v>
      </c>
      <c r="J426" s="102" t="s">
        <v>1998</v>
      </c>
      <c r="K426" s="4" t="str">
        <f aca="false">IF(I426=J426,"✔ sesuai","✖ TIDAK sesuai")</f>
        <v>✔ sesuai</v>
      </c>
      <c r="L426" s="103" t="s">
        <v>2056</v>
      </c>
    </row>
    <row r="427" customFormat="false" ht="15" hidden="false" customHeight="false" outlineLevel="0" collapsed="false">
      <c r="A427" s="13" t="n">
        <v>421</v>
      </c>
      <c r="B427" s="13" t="s">
        <v>2034</v>
      </c>
      <c r="C427" s="13" t="s">
        <v>2057</v>
      </c>
      <c r="D427" s="13" t="n">
        <v>2025</v>
      </c>
      <c r="E427" s="61" t="n">
        <v>0</v>
      </c>
      <c r="F427" s="61" t="n">
        <v>42241143316</v>
      </c>
      <c r="G427" s="101" t="n">
        <f aca="false">IF(COUNT(E427:F427)=2,E427-F427,"")</f>
        <v>-42241143316</v>
      </c>
      <c r="H427" s="102" t="n">
        <v>1</v>
      </c>
      <c r="I427" s="4" t="str">
        <f aca="false">IF(COUNT(E427:F427)&lt;2,"N/A",IF(ABS(G427)&lt;=H427,"OK","❌"))</f>
        <v>❌</v>
      </c>
      <c r="J427" s="102" t="s">
        <v>1998</v>
      </c>
      <c r="K427" s="4" t="str">
        <f aca="false">IF(I427=J427,"✔ sesuai","✖ TIDAK sesuai")</f>
        <v>✔ sesuai</v>
      </c>
      <c r="L427" s="103" t="s">
        <v>2058</v>
      </c>
    </row>
    <row r="428" customFormat="false" ht="15" hidden="false" customHeight="false" outlineLevel="0" collapsed="false">
      <c r="A428" s="13" t="n">
        <v>422</v>
      </c>
      <c r="B428" s="13" t="s">
        <v>2034</v>
      </c>
      <c r="C428" s="13" t="s">
        <v>2059</v>
      </c>
      <c r="D428" s="13" t="n">
        <v>2025</v>
      </c>
      <c r="E428" s="61" t="n">
        <v>10046149721</v>
      </c>
      <c r="F428" s="61" t="n">
        <v>6521673752</v>
      </c>
      <c r="G428" s="101" t="n">
        <f aca="false">IF(COUNT(E428:F428)=2,E428-F428,"")</f>
        <v>3524475969</v>
      </c>
      <c r="H428" s="102" t="n">
        <v>1</v>
      </c>
      <c r="I428" s="4" t="str">
        <f aca="false">IF(COUNT(E428:F428)&lt;2,"N/A",IF(ABS(G428)&lt;=H428,"OK","❌"))</f>
        <v>❌</v>
      </c>
      <c r="J428" s="102" t="s">
        <v>1998</v>
      </c>
      <c r="K428" s="4" t="str">
        <f aca="false">IF(I428=J428,"✔ sesuai","✖ TIDAK sesuai")</f>
        <v>✔ sesuai</v>
      </c>
      <c r="L428" s="103" t="s">
        <v>2060</v>
      </c>
    </row>
    <row r="429" customFormat="false" ht="15" hidden="false" customHeight="false" outlineLevel="0" collapsed="false">
      <c r="A429" s="13" t="n">
        <v>423</v>
      </c>
      <c r="B429" s="13" t="s">
        <v>2034</v>
      </c>
      <c r="C429" s="13" t="s">
        <v>2061</v>
      </c>
      <c r="D429" s="13" t="n">
        <v>2025</v>
      </c>
      <c r="E429" s="61" t="n">
        <v>1504404118</v>
      </c>
      <c r="F429" s="61" t="n">
        <v>1504404120</v>
      </c>
      <c r="G429" s="101" t="n">
        <f aca="false">IF(COUNT(E429:F429)=2,E429-F429,"")</f>
        <v>-2</v>
      </c>
      <c r="H429" s="102" t="n">
        <v>1</v>
      </c>
      <c r="I429" s="4" t="str">
        <f aca="false">IF(COUNT(E429:F429)&lt;2,"N/A",IF(ABS(G429)&lt;=H429,"OK","❌"))</f>
        <v>❌</v>
      </c>
      <c r="J429" s="102" t="s">
        <v>1998</v>
      </c>
      <c r="K429" s="4" t="str">
        <f aca="false">IF(I429=J429,"✔ sesuai","✖ TIDAK sesuai")</f>
        <v>✔ sesuai</v>
      </c>
      <c r="L429" s="103" t="s">
        <v>2062</v>
      </c>
    </row>
    <row r="430" customFormat="false" ht="15" hidden="false" customHeight="false" outlineLevel="0" collapsed="false">
      <c r="A430" s="13" t="n">
        <v>424</v>
      </c>
      <c r="B430" s="13" t="s">
        <v>2034</v>
      </c>
      <c r="C430" s="13" t="s">
        <v>2063</v>
      </c>
      <c r="D430" s="13" t="n">
        <v>2025</v>
      </c>
      <c r="E430" s="61" t="n">
        <v>1683984318</v>
      </c>
      <c r="F430" s="61" t="n">
        <v>1683984320</v>
      </c>
      <c r="G430" s="101" t="n">
        <f aca="false">IF(COUNT(E430:F430)=2,E430-F430,"")</f>
        <v>-2</v>
      </c>
      <c r="H430" s="102" t="n">
        <v>1</v>
      </c>
      <c r="I430" s="4" t="str">
        <f aca="false">IF(COUNT(E430:F430)&lt;2,"N/A",IF(ABS(G430)&lt;=H430,"OK","❌"))</f>
        <v>❌</v>
      </c>
      <c r="J430" s="102" t="s">
        <v>1998</v>
      </c>
      <c r="K430" s="4" t="str">
        <f aca="false">IF(I430=J430,"✔ sesuai","✖ TIDAK sesuai")</f>
        <v>✔ sesuai</v>
      </c>
      <c r="L430" s="103" t="s">
        <v>2062</v>
      </c>
    </row>
    <row r="431" customFormat="false" ht="15" hidden="false" customHeight="false" outlineLevel="0" collapsed="false">
      <c r="A431" s="13" t="n">
        <v>425</v>
      </c>
      <c r="B431" s="13" t="s">
        <v>2034</v>
      </c>
      <c r="C431" s="13" t="s">
        <v>2064</v>
      </c>
      <c r="D431" s="13" t="n">
        <v>2025</v>
      </c>
      <c r="E431" s="61" t="n">
        <v>-222109517</v>
      </c>
      <c r="F431" s="61" t="n">
        <v>-222109523</v>
      </c>
      <c r="G431" s="101" t="n">
        <f aca="false">IF(COUNT(E431:F431)=2,E431-F431,"")</f>
        <v>6</v>
      </c>
      <c r="H431" s="102" t="n">
        <v>1</v>
      </c>
      <c r="I431" s="4" t="str">
        <f aca="false">IF(COUNT(E431:F431)&lt;2,"N/A",IF(ABS(G431)&lt;=H431,"OK","❌"))</f>
        <v>❌</v>
      </c>
      <c r="J431" s="102" t="s">
        <v>1998</v>
      </c>
      <c r="K431" s="4" t="str">
        <f aca="false">IF(I431=J431,"✔ sesuai","✖ TIDAK sesuai")</f>
        <v>✔ sesuai</v>
      </c>
      <c r="L431" s="103" t="s">
        <v>2062</v>
      </c>
    </row>
    <row r="432" customFormat="false" ht="15" hidden="false" customHeight="false" outlineLevel="0" collapsed="false">
      <c r="A432" s="13" t="n">
        <v>426</v>
      </c>
      <c r="B432" s="13" t="s">
        <v>2034</v>
      </c>
      <c r="C432" s="13" t="s">
        <v>2065</v>
      </c>
      <c r="D432" s="13" t="n">
        <v>2025</v>
      </c>
      <c r="E432" s="61" t="n">
        <v>17254181215</v>
      </c>
      <c r="F432" s="61" t="n">
        <v>17795733673</v>
      </c>
      <c r="G432" s="101" t="n">
        <f aca="false">IF(COUNT(E432:F432)=2,E432-F432,"")</f>
        <v>-541552458</v>
      </c>
      <c r="H432" s="102" t="n">
        <v>1</v>
      </c>
      <c r="I432" s="4" t="str">
        <f aca="false">IF(COUNT(E432:F432)&lt;2,"N/A",IF(ABS(G432)&lt;=H432,"OK","❌"))</f>
        <v>❌</v>
      </c>
      <c r="J432" s="102" t="s">
        <v>1998</v>
      </c>
      <c r="K432" s="4" t="str">
        <f aca="false">IF(I432=J432,"✔ sesuai","✖ TIDAK sesuai")</f>
        <v>✔ sesuai</v>
      </c>
      <c r="L432" s="103" t="s">
        <v>2062</v>
      </c>
    </row>
    <row r="433" customFormat="false" ht="15" hidden="false" customHeight="false" outlineLevel="0" collapsed="false">
      <c r="A433" s="13" t="n">
        <v>427</v>
      </c>
      <c r="B433" s="13" t="s">
        <v>2034</v>
      </c>
      <c r="C433" s="13" t="s">
        <v>2066</v>
      </c>
      <c r="D433" s="13" t="n">
        <v>2025</v>
      </c>
      <c r="E433" s="61" t="n">
        <v>-10448168137</v>
      </c>
      <c r="F433" s="61" t="n">
        <v>-3135613703</v>
      </c>
      <c r="G433" s="101" t="n">
        <f aca="false">IF(COUNT(E433:F433)=2,E433-F433,"")</f>
        <v>-7312554434</v>
      </c>
      <c r="H433" s="102" t="n">
        <v>1</v>
      </c>
      <c r="I433" s="4" t="str">
        <f aca="false">IF(COUNT(E433:F433)&lt;2,"N/A",IF(ABS(G433)&lt;=H433,"OK","❌"))</f>
        <v>❌</v>
      </c>
      <c r="J433" s="102" t="s">
        <v>1998</v>
      </c>
      <c r="K433" s="4" t="str">
        <f aca="false">IF(I433=J433,"✔ sesuai","✖ TIDAK sesuai")</f>
        <v>✔ sesuai</v>
      </c>
      <c r="L433" s="103" t="s">
        <v>2062</v>
      </c>
    </row>
    <row r="434" customFormat="false" ht="15" hidden="false" customHeight="false" outlineLevel="0" collapsed="false">
      <c r="A434" s="13" t="n">
        <v>428</v>
      </c>
      <c r="B434" s="13" t="s">
        <v>2034</v>
      </c>
      <c r="C434" s="13" t="s">
        <v>2067</v>
      </c>
      <c r="D434" s="13" t="n">
        <v>2025</v>
      </c>
      <c r="E434" s="61" t="n">
        <v>3491808061</v>
      </c>
      <c r="F434" s="61" t="n">
        <v>-4362298831</v>
      </c>
      <c r="G434" s="101" t="n">
        <f aca="false">IF(COUNT(E434:F434)=2,E434-F434,"")</f>
        <v>7854106892</v>
      </c>
      <c r="H434" s="102" t="n">
        <v>1</v>
      </c>
      <c r="I434" s="4" t="str">
        <f aca="false">IF(COUNT(E434:F434)&lt;2,"N/A",IF(ABS(G434)&lt;=H434,"OK","❌"))</f>
        <v>❌</v>
      </c>
      <c r="J434" s="102" t="s">
        <v>1998</v>
      </c>
      <c r="K434" s="4" t="str">
        <f aca="false">IF(I434=J434,"✔ sesuai","✖ TIDAK sesuai")</f>
        <v>✔ sesuai</v>
      </c>
      <c r="L434" s="103" t="s">
        <v>2062</v>
      </c>
    </row>
    <row r="435" customFormat="false" ht="15" hidden="false" customHeight="false" outlineLevel="0" collapsed="false">
      <c r="A435" s="13" t="n">
        <v>429</v>
      </c>
      <c r="B435" s="13" t="s">
        <v>2034</v>
      </c>
      <c r="C435" s="13" t="s">
        <v>2068</v>
      </c>
      <c r="D435" s="13" t="n">
        <v>2025</v>
      </c>
      <c r="E435" s="61" t="n">
        <v>444592822956</v>
      </c>
      <c r="F435" s="61" t="n">
        <v>444592822953</v>
      </c>
      <c r="G435" s="101" t="n">
        <f aca="false">IF(COUNT(E435:F435)=2,E435-F435,"")</f>
        <v>3</v>
      </c>
      <c r="H435" s="102" t="n">
        <v>1</v>
      </c>
      <c r="I435" s="4" t="str">
        <f aca="false">IF(COUNT(E435:F435)&lt;2,"N/A",IF(ABS(G435)&lt;=H435,"OK","❌"))</f>
        <v>❌</v>
      </c>
      <c r="J435" s="102" t="s">
        <v>1998</v>
      </c>
      <c r="K435" s="4" t="str">
        <f aca="false">IF(I435=J435,"✔ sesuai","✖ TIDAK sesuai")</f>
        <v>✔ sesuai</v>
      </c>
      <c r="L435" s="103" t="s">
        <v>2062</v>
      </c>
    </row>
    <row r="436" customFormat="false" ht="15" hidden="false" customHeight="false" outlineLevel="0" collapsed="false">
      <c r="A436" s="13" t="n">
        <v>430</v>
      </c>
      <c r="B436" s="13" t="s">
        <v>2034</v>
      </c>
      <c r="C436" s="13" t="s">
        <v>2069</v>
      </c>
      <c r="D436" s="13" t="n">
        <v>2025</v>
      </c>
      <c r="E436" s="61" t="n">
        <v>17795733673</v>
      </c>
      <c r="F436" s="61" t="n">
        <v>17254181212</v>
      </c>
      <c r="G436" s="101" t="n">
        <f aca="false">IF(COUNT(E436:F436)=2,E436-F436,"")</f>
        <v>541552461</v>
      </c>
      <c r="H436" s="102" t="n">
        <v>1</v>
      </c>
      <c r="I436" s="4" t="str">
        <f aca="false">IF(COUNT(E436:F436)&lt;2,"N/A",IF(ABS(G436)&lt;=H436,"OK","❌"))</f>
        <v>❌</v>
      </c>
      <c r="J436" s="102" t="s">
        <v>1998</v>
      </c>
      <c r="K436" s="4" t="str">
        <f aca="false">IF(I436=J436,"✔ sesuai","✖ TIDAK sesuai")</f>
        <v>✔ sesuai</v>
      </c>
      <c r="L436" s="103" t="s">
        <v>2062</v>
      </c>
    </row>
    <row r="437" customFormat="false" ht="15" hidden="false" customHeight="false" outlineLevel="0" collapsed="false">
      <c r="A437" s="13" t="n">
        <v>431</v>
      </c>
      <c r="B437" s="13" t="s">
        <v>2034</v>
      </c>
      <c r="C437" s="13" t="s">
        <v>2070</v>
      </c>
      <c r="D437" s="13" t="n">
        <v>2025</v>
      </c>
      <c r="E437" s="61" t="n">
        <v>-4362298831</v>
      </c>
      <c r="F437" s="61" t="n">
        <v>3491808061</v>
      </c>
      <c r="G437" s="101" t="n">
        <f aca="false">IF(COUNT(E437:F437)=2,E437-F437,"")</f>
        <v>-7854106892</v>
      </c>
      <c r="H437" s="102" t="n">
        <v>1</v>
      </c>
      <c r="I437" s="4" t="str">
        <f aca="false">IF(COUNT(E437:F437)&lt;2,"N/A",IF(ABS(G437)&lt;=H437,"OK","❌"))</f>
        <v>❌</v>
      </c>
      <c r="J437" s="102" t="s">
        <v>1998</v>
      </c>
      <c r="K437" s="4" t="str">
        <f aca="false">IF(I437=J437,"✔ sesuai","✖ TIDAK sesuai")</f>
        <v>✔ sesuai</v>
      </c>
      <c r="L437" s="103" t="s">
        <v>2062</v>
      </c>
    </row>
    <row r="438" customFormat="false" ht="15" hidden="false" customHeight="false" outlineLevel="0" collapsed="false">
      <c r="A438" s="13" t="n">
        <v>432</v>
      </c>
      <c r="B438" s="13" t="s">
        <v>2034</v>
      </c>
      <c r="C438" s="13" t="s">
        <v>2071</v>
      </c>
      <c r="D438" s="13" t="n">
        <v>2025</v>
      </c>
      <c r="E438" s="61" t="n">
        <v>294346446068</v>
      </c>
      <c r="F438" s="61" t="n">
        <v>294346448080</v>
      </c>
      <c r="G438" s="101" t="n">
        <f aca="false">IF(COUNT(E438:F438)=2,E438-F438,"")</f>
        <v>-2012</v>
      </c>
      <c r="H438" s="102" t="n">
        <v>1</v>
      </c>
      <c r="I438" s="4" t="str">
        <f aca="false">IF(COUNT(E438:F438)&lt;2,"N/A",IF(ABS(G438)&lt;=H438,"OK","❌"))</f>
        <v>❌</v>
      </c>
      <c r="J438" s="102" t="s">
        <v>1998</v>
      </c>
      <c r="K438" s="4" t="str">
        <f aca="false">IF(I438=J438,"✔ sesuai","✖ TIDAK sesuai")</f>
        <v>✔ sesuai</v>
      </c>
      <c r="L438" s="103" t="s">
        <v>2072</v>
      </c>
    </row>
    <row r="439" customFormat="false" ht="15" hidden="false" customHeight="false" outlineLevel="0" collapsed="false">
      <c r="A439" s="13" t="n">
        <v>433</v>
      </c>
      <c r="B439" s="13" t="s">
        <v>2073</v>
      </c>
      <c r="C439" s="13" t="s">
        <v>2074</v>
      </c>
      <c r="D439" s="13" t="n">
        <v>2023</v>
      </c>
      <c r="E439" s="61" t="n">
        <v>8880506593</v>
      </c>
      <c r="F439" s="61" t="n">
        <v>4625511275</v>
      </c>
      <c r="G439" s="101" t="n">
        <f aca="false">IF(COUNT(E439:F439)=2,E439-F439,"")</f>
        <v>4254995318</v>
      </c>
      <c r="H439" s="102" t="n">
        <v>1</v>
      </c>
      <c r="I439" s="4" t="str">
        <f aca="false">IF(COUNT(E439:F439)&lt;2,"N/A",IF(ABS(G439)&lt;=H439,"OK","INFO"))</f>
        <v>INFO</v>
      </c>
      <c r="J439" s="102" t="s">
        <v>2075</v>
      </c>
      <c r="K439" s="4" t="str">
        <f aca="false">IF(I439=J439,"✔ sesuai","✖ TIDAK sesuai")</f>
        <v>✔ sesuai</v>
      </c>
      <c r="L439" s="103" t="s">
        <v>2076</v>
      </c>
    </row>
    <row r="440" customFormat="false" ht="15" hidden="false" customHeight="false" outlineLevel="0" collapsed="false">
      <c r="A440" s="13" t="n">
        <v>434</v>
      </c>
      <c r="B440" s="13" t="s">
        <v>2077</v>
      </c>
      <c r="C440" s="13" t="s">
        <v>2074</v>
      </c>
      <c r="D440" s="13" t="n">
        <v>2022</v>
      </c>
      <c r="E440" s="61" t="n">
        <v>1002984170</v>
      </c>
      <c r="F440" s="61" t="n">
        <v>899629058</v>
      </c>
      <c r="G440" s="101" t="n">
        <f aca="false">IF(COUNT(E440:F440)=2,E440-F440,"")</f>
        <v>103355112</v>
      </c>
      <c r="H440" s="102" t="n">
        <v>1</v>
      </c>
      <c r="I440" s="4" t="str">
        <f aca="false">IF(COUNT(E440:F440)&lt;2,"N/A",IF(ABS(G440)&lt;=H440,"OK","INFO"))</f>
        <v>INFO</v>
      </c>
      <c r="J440" s="102" t="s">
        <v>2075</v>
      </c>
      <c r="K440" s="4" t="str">
        <f aca="false">IF(I440=J440,"✔ sesuai","✖ TIDAK sesuai")</f>
        <v>✔ sesuai</v>
      </c>
      <c r="L440" s="103" t="s">
        <v>2076</v>
      </c>
    </row>
    <row r="441" customFormat="false" ht="15" hidden="false" customHeight="false" outlineLevel="0" collapsed="false">
      <c r="A441" s="13" t="n">
        <v>435</v>
      </c>
      <c r="B441" s="13" t="s">
        <v>2078</v>
      </c>
      <c r="C441" s="13" t="s">
        <v>2074</v>
      </c>
      <c r="D441" s="13" t="n">
        <v>2020</v>
      </c>
      <c r="E441" s="61" t="n">
        <v>15343229445</v>
      </c>
      <c r="F441" s="61" t="n">
        <v>256666667</v>
      </c>
      <c r="G441" s="101" t="n">
        <f aca="false">IF(COUNT(E441:F441)=2,E441-F441,"")</f>
        <v>15086562778</v>
      </c>
      <c r="H441" s="102" t="n">
        <v>1</v>
      </c>
      <c r="I441" s="4" t="str">
        <f aca="false">IF(COUNT(E441:F441)&lt;2,"N/A",IF(ABS(G441)&lt;=H441,"OK","INFO"))</f>
        <v>INFO</v>
      </c>
      <c r="J441" s="102" t="s">
        <v>2075</v>
      </c>
      <c r="K441" s="4" t="str">
        <f aca="false">IF(I441=J441,"✔ sesuai","✖ TIDAK sesuai")</f>
        <v>✔ sesuai</v>
      </c>
      <c r="L441" s="103" t="s">
        <v>2076</v>
      </c>
    </row>
    <row r="442" customFormat="false" ht="15" hidden="false" customHeight="false" outlineLevel="0" collapsed="false">
      <c r="A442" s="13" t="n">
        <v>436</v>
      </c>
      <c r="B442" s="13" t="s">
        <v>2078</v>
      </c>
      <c r="C442" s="13" t="s">
        <v>2079</v>
      </c>
      <c r="D442" s="13" t="n">
        <v>2020</v>
      </c>
      <c r="E442" s="61" t="n">
        <v>3917650839</v>
      </c>
      <c r="F442" s="61" t="n">
        <v>2912223986</v>
      </c>
      <c r="G442" s="101" t="n">
        <f aca="false">IF(COUNT(E442:F442)=2,E442-F442,"")</f>
        <v>1005426853</v>
      </c>
      <c r="H442" s="102" t="n">
        <v>1</v>
      </c>
      <c r="I442" s="4" t="str">
        <f aca="false">IF(COUNT(E442:F442)&lt;2,"N/A",IF(ABS(G442)&lt;=H442,"OK","❌"))</f>
        <v>❌</v>
      </c>
      <c r="J442" s="102" t="s">
        <v>1998</v>
      </c>
      <c r="K442" s="4" t="str">
        <f aca="false">IF(I442=J442,"✔ sesuai","✖ TIDAK sesuai")</f>
        <v>✔ sesuai</v>
      </c>
      <c r="L442" s="103" t="s">
        <v>2080</v>
      </c>
    </row>
    <row r="443" customFormat="false" ht="15" hidden="false" customHeight="false" outlineLevel="0" collapsed="false">
      <c r="A443" s="13" t="n">
        <v>437</v>
      </c>
      <c r="B443" s="13" t="s">
        <v>2078</v>
      </c>
      <c r="C443" s="13" t="s">
        <v>2081</v>
      </c>
      <c r="D443" s="13" t="n">
        <v>2020</v>
      </c>
      <c r="E443" s="61" t="n">
        <v>380294833</v>
      </c>
      <c r="F443" s="61" t="n">
        <v>1229779851</v>
      </c>
      <c r="G443" s="101" t="n">
        <f aca="false">IF(COUNT(E443:F443)=2,E443-F443,"")</f>
        <v>-849485018</v>
      </c>
      <c r="H443" s="102" t="n">
        <v>1</v>
      </c>
      <c r="I443" s="4" t="str">
        <f aca="false">IF(COUNT(E443:F443)&lt;2,"N/A",IF(ABS(G443)&lt;=H443,"OK","❌"))</f>
        <v>❌</v>
      </c>
      <c r="J443" s="102" t="s">
        <v>1998</v>
      </c>
      <c r="K443" s="4" t="str">
        <f aca="false">IF(I443=J443,"✔ sesuai","✖ TIDAK sesuai")</f>
        <v>✔ sesuai</v>
      </c>
      <c r="L443" s="103" t="s">
        <v>2082</v>
      </c>
    </row>
    <row r="444" customFormat="false" ht="15" hidden="false" customHeight="false" outlineLevel="0" collapsed="false">
      <c r="A444" s="13" t="n">
        <v>438</v>
      </c>
      <c r="B444" s="13" t="s">
        <v>2078</v>
      </c>
      <c r="C444" s="13" t="s">
        <v>2070</v>
      </c>
      <c r="D444" s="13" t="n">
        <v>2020</v>
      </c>
      <c r="E444" s="61" t="n">
        <v>-437923710</v>
      </c>
      <c r="F444" s="61" t="n">
        <v>442376083</v>
      </c>
      <c r="G444" s="101" t="n">
        <f aca="false">IF(COUNT(E444:F444)=2,E444-F444,"")</f>
        <v>-880299793</v>
      </c>
      <c r="H444" s="102" t="n">
        <v>1</v>
      </c>
      <c r="I444" s="4" t="str">
        <f aca="false">IF(COUNT(E444:F444)&lt;2,"N/A",IF(ABS(G444)&lt;=H444,"OK","❌"))</f>
        <v>❌</v>
      </c>
      <c r="J444" s="102" t="s">
        <v>1998</v>
      </c>
      <c r="K444" s="4" t="str">
        <f aca="false">IF(I444=J444,"✔ sesuai","✖ TIDAK sesuai")</f>
        <v>✔ sesuai</v>
      </c>
      <c r="L444" s="103" t="s">
        <v>2083</v>
      </c>
    </row>
    <row r="445" customFormat="false" ht="15" hidden="false" customHeight="false" outlineLevel="0" collapsed="false">
      <c r="A445" s="13" t="n">
        <v>439</v>
      </c>
      <c r="B445" s="13" t="s">
        <v>2084</v>
      </c>
      <c r="C445" s="13" t="s">
        <v>2085</v>
      </c>
      <c r="D445" s="13" t="n">
        <v>2020</v>
      </c>
      <c r="E445" s="61"/>
      <c r="F445" s="61" t="n">
        <v>18</v>
      </c>
      <c r="G445" s="101" t="str">
        <f aca="false">IF(COUNT(E445:F445)=2,E445-F445,"")</f>
        <v/>
      </c>
      <c r="H445" s="102" t="n">
        <v>1</v>
      </c>
      <c r="I445" s="4" t="str">
        <f aca="false">IF(COUNT(E445:F445)&lt;2,"N/A",IF(ABS(G445)&lt;=H445,"OK","N/A"))</f>
        <v>N/A</v>
      </c>
      <c r="J445" s="102" t="s">
        <v>2010</v>
      </c>
      <c r="K445" s="4" t="str">
        <f aca="false">IF(I445=J445,"✔ sesuai","✖ TIDAK sesuai")</f>
        <v>✔ sesuai</v>
      </c>
      <c r="L445" s="103" t="s">
        <v>2086</v>
      </c>
    </row>
    <row r="446" customFormat="false" ht="15" hidden="false" customHeight="false" outlineLevel="0" collapsed="false">
      <c r="A446" s="13" t="n">
        <v>440</v>
      </c>
      <c r="B446" s="13" t="s">
        <v>2087</v>
      </c>
      <c r="C446" s="13" t="s">
        <v>2085</v>
      </c>
      <c r="D446" s="13" t="n">
        <v>2021</v>
      </c>
      <c r="E446" s="61" t="n">
        <v>25.02</v>
      </c>
      <c r="F446" s="61" t="n">
        <v>44</v>
      </c>
      <c r="G446" s="101" t="n">
        <f aca="false">IF(COUNT(E446:F446)=2,E446-F446,"")</f>
        <v>-18.98</v>
      </c>
      <c r="H446" s="102" t="n">
        <v>1</v>
      </c>
      <c r="I446" s="4" t="str">
        <f aca="false">IF(COUNT(E446:F446)&lt;2,"N/A",IF(ABS(G446)&lt;=H446,"OK","❌"))</f>
        <v>❌</v>
      </c>
      <c r="J446" s="102" t="s">
        <v>1998</v>
      </c>
      <c r="K446" s="4" t="str">
        <f aca="false">IF(I446=J446,"✔ sesuai","✖ TIDAK sesuai")</f>
        <v>✔ sesuai</v>
      </c>
      <c r="L446" s="103" t="s">
        <v>2088</v>
      </c>
    </row>
    <row r="447" customFormat="false" ht="15" hidden="false" customHeight="false" outlineLevel="0" collapsed="false">
      <c r="A447" s="13" t="n">
        <v>441</v>
      </c>
      <c r="B447" s="13" t="s">
        <v>2087</v>
      </c>
      <c r="C447" s="13" t="s">
        <v>2085</v>
      </c>
      <c r="D447" s="13" t="n">
        <v>2020</v>
      </c>
      <c r="E447" s="61"/>
      <c r="F447" s="61" t="n">
        <v>18</v>
      </c>
      <c r="G447" s="101" t="str">
        <f aca="false">IF(COUNT(E447:F447)=2,E447-F447,"")</f>
        <v/>
      </c>
      <c r="H447" s="102" t="n">
        <v>1</v>
      </c>
      <c r="I447" s="4" t="str">
        <f aca="false">IF(COUNT(E447:F447)&lt;2,"N/A",IF(ABS(G447)&lt;=H447,"OK","N/A"))</f>
        <v>N/A</v>
      </c>
      <c r="J447" s="102" t="s">
        <v>2010</v>
      </c>
      <c r="K447" s="4" t="str">
        <f aca="false">IF(I447=J447,"✔ sesuai","✖ TIDAK sesuai")</f>
        <v>✔ sesuai</v>
      </c>
      <c r="L447" s="103" t="s">
        <v>2086</v>
      </c>
    </row>
    <row r="448" customFormat="false" ht="15" hidden="false" customHeight="false" outlineLevel="0" collapsed="false">
      <c r="A448" s="13" t="n">
        <v>442</v>
      </c>
      <c r="B448" s="13" t="s">
        <v>2089</v>
      </c>
      <c r="C448" s="13" t="s">
        <v>2085</v>
      </c>
      <c r="D448" s="13" t="n">
        <v>2021</v>
      </c>
      <c r="E448" s="61" t="n">
        <v>24.93</v>
      </c>
      <c r="F448" s="61" t="n">
        <v>44</v>
      </c>
      <c r="G448" s="101" t="n">
        <f aca="false">IF(COUNT(E448:F448)=2,E448-F448,"")</f>
        <v>-19.07</v>
      </c>
      <c r="H448" s="102" t="n">
        <v>1</v>
      </c>
      <c r="I448" s="4" t="str">
        <f aca="false">IF(COUNT(E448:F448)&lt;2,"N/A",IF(ABS(G448)&lt;=H448,"OK","❌"))</f>
        <v>❌</v>
      </c>
      <c r="J448" s="102" t="s">
        <v>1998</v>
      </c>
      <c r="K448" s="4" t="str">
        <f aca="false">IF(I448=J448,"✔ sesuai","✖ TIDAK sesuai")</f>
        <v>✔ sesuai</v>
      </c>
      <c r="L448" s="103" t="s">
        <v>2088</v>
      </c>
    </row>
    <row r="449" customFormat="false" ht="15" hidden="false" customHeight="false" outlineLevel="0" collapsed="false">
      <c r="A449" s="13" t="n">
        <v>443</v>
      </c>
      <c r="B449" s="13" t="s">
        <v>2090</v>
      </c>
      <c r="C449" s="13" t="s">
        <v>2091</v>
      </c>
      <c r="D449" s="13" t="n">
        <v>2025</v>
      </c>
      <c r="E449" s="61" t="n">
        <v>231142399297</v>
      </c>
      <c r="F449" s="61" t="n">
        <v>228400463612</v>
      </c>
      <c r="G449" s="101" t="n">
        <f aca="false">IF(COUNT(E449:F449)=2,E449-F449,"")</f>
        <v>2741935685</v>
      </c>
      <c r="H449" s="102" t="n">
        <v>1</v>
      </c>
      <c r="I449" s="4" t="str">
        <f aca="false">IF(COUNT(E449:F449)&lt;2,"N/A",IF(ABS(G449)&lt;=H449,"OK","❌"))</f>
        <v>❌</v>
      </c>
      <c r="J449" s="102" t="s">
        <v>1998</v>
      </c>
      <c r="K449" s="4" t="str">
        <f aca="false">IF(I449=J449,"✔ sesuai","✖ TIDAK sesuai")</f>
        <v>✔ sesuai</v>
      </c>
      <c r="L449" s="103" t="s">
        <v>2051</v>
      </c>
    </row>
    <row r="450" customFormat="false" ht="15" hidden="false" customHeight="false" outlineLevel="0" collapsed="false">
      <c r="A450" s="13" t="n">
        <v>444</v>
      </c>
      <c r="B450" s="13" t="s">
        <v>2092</v>
      </c>
      <c r="C450" s="13" t="s">
        <v>2093</v>
      </c>
      <c r="D450" s="13" t="n">
        <v>2024</v>
      </c>
      <c r="E450" s="61" t="n">
        <v>-408703902759</v>
      </c>
      <c r="F450" s="61" t="n">
        <v>-245291393404</v>
      </c>
      <c r="G450" s="101" t="n">
        <f aca="false">IF(COUNT(E450:F450)=2,E450-F450,"")</f>
        <v>-163412509355</v>
      </c>
      <c r="H450" s="102" t="n">
        <v>1</v>
      </c>
      <c r="I450" s="4" t="str">
        <f aca="false">IF(COUNT(E450:F450)&lt;2,"N/A",IF(ABS(G450)&lt;=H450,"OK","❌"))</f>
        <v>❌</v>
      </c>
      <c r="J450" s="102" t="s">
        <v>1998</v>
      </c>
      <c r="K450" s="4" t="str">
        <f aca="false">IF(I450=J450,"✔ sesuai","✖ TIDAK sesuai")</f>
        <v>✔ sesuai</v>
      </c>
      <c r="L450" s="103" t="s">
        <v>2094</v>
      </c>
    </row>
    <row r="451" customFormat="false" ht="15" hidden="false" customHeight="false" outlineLevel="0" collapsed="false">
      <c r="A451" s="13" t="n">
        <v>445</v>
      </c>
      <c r="B451" s="13" t="s">
        <v>2092</v>
      </c>
      <c r="C451" s="13" t="s">
        <v>2095</v>
      </c>
      <c r="D451" s="13" t="n">
        <v>2025</v>
      </c>
      <c r="E451" s="61" t="n">
        <v>277142071270</v>
      </c>
      <c r="F451" s="61" t="n">
        <v>294346448080</v>
      </c>
      <c r="G451" s="101" t="n">
        <f aca="false">IF(COUNT(E451:F451)=2,E451-F451,"")</f>
        <v>-17204376810</v>
      </c>
      <c r="H451" s="102" t="n">
        <v>1</v>
      </c>
      <c r="I451" s="4" t="str">
        <f aca="false">IF(COUNT(E451:F451)&lt;2,"N/A",IF(ABS(G451)&lt;=H451,"OK","❌"))</f>
        <v>❌</v>
      </c>
      <c r="J451" s="102" t="s">
        <v>1998</v>
      </c>
      <c r="K451" s="4" t="str">
        <f aca="false">IF(I451=J451,"✔ sesuai","✖ TIDAK sesuai")</f>
        <v>✔ sesuai</v>
      </c>
      <c r="L451" s="103" t="s">
        <v>2096</v>
      </c>
    </row>
    <row r="452" customFormat="false" ht="15" hidden="false" customHeight="false" outlineLevel="0" collapsed="false">
      <c r="A452" s="13" t="n">
        <v>446</v>
      </c>
      <c r="B452" s="13" t="s">
        <v>2097</v>
      </c>
      <c r="C452" s="13" t="s">
        <v>2098</v>
      </c>
      <c r="D452" s="13" t="n">
        <v>2020</v>
      </c>
      <c r="E452" s="50" t="n">
        <f aca="false">IS_Proj!C21</f>
        <v>167561265665</v>
      </c>
      <c r="F452" s="50" t="n">
        <f aca="false">IS!C13</f>
        <v>167561265665</v>
      </c>
      <c r="G452" s="101" t="n">
        <f aca="false">IF(COUNT(E452:F452)=2,E452-F452,"")</f>
        <v>0</v>
      </c>
      <c r="H452" s="102" t="n">
        <v>1</v>
      </c>
      <c r="I452" s="4" t="str">
        <f aca="false">IF(COUNT(E452:F452)&lt;2,"N/A",IF(ABS(G452)&lt;=H452,"OK","❌"))</f>
        <v>OK</v>
      </c>
      <c r="J452" s="102" t="s">
        <v>1932</v>
      </c>
      <c r="K452" s="4" t="str">
        <f aca="false">IF(I452=J452,"✔ sesuai","✖ TIDAK sesuai")</f>
        <v>✔ sesuai</v>
      </c>
      <c r="L452" s="103"/>
    </row>
    <row r="453" customFormat="false" ht="15" hidden="false" customHeight="false" outlineLevel="0" collapsed="false">
      <c r="A453" s="13" t="n">
        <v>447</v>
      </c>
      <c r="B453" s="13" t="s">
        <v>2097</v>
      </c>
      <c r="C453" s="13" t="s">
        <v>2099</v>
      </c>
      <c r="D453" s="13" t="n">
        <v>2020</v>
      </c>
      <c r="E453" s="50" t="n">
        <f aca="false">IS_Proj!C25</f>
        <v>144991937521</v>
      </c>
      <c r="F453" s="50" t="n">
        <f aca="false">IS!C17</f>
        <v>144991937521</v>
      </c>
      <c r="G453" s="101" t="n">
        <f aca="false">IF(COUNT(E453:F453)=2,E453-F453,"")</f>
        <v>0</v>
      </c>
      <c r="H453" s="102" t="n">
        <v>1</v>
      </c>
      <c r="I453" s="4" t="str">
        <f aca="false">IF(COUNT(E453:F453)&lt;2,"N/A",IF(ABS(G453)&lt;=H453,"OK","❌"))</f>
        <v>OK</v>
      </c>
      <c r="J453" s="102" t="s">
        <v>1932</v>
      </c>
      <c r="K453" s="4" t="str">
        <f aca="false">IF(I453=J453,"✔ sesuai","✖ TIDAK sesuai")</f>
        <v>✔ sesuai</v>
      </c>
      <c r="L453" s="103"/>
    </row>
    <row r="454" customFormat="false" ht="15" hidden="false" customHeight="false" outlineLevel="0" collapsed="false">
      <c r="A454" s="13" t="n">
        <v>448</v>
      </c>
      <c r="B454" s="13" t="s">
        <v>2097</v>
      </c>
      <c r="C454" s="13" t="s">
        <v>2100</v>
      </c>
      <c r="D454" s="13" t="n">
        <v>2020</v>
      </c>
      <c r="E454" s="50" t="n">
        <f aca="false">IS_Proj!C10+IS_Proj!C11</f>
        <v>1148144381712</v>
      </c>
      <c r="F454" s="50" t="n">
        <f aca="false">IS!C6</f>
        <v>1148144381712</v>
      </c>
      <c r="G454" s="101" t="n">
        <f aca="false">IF(COUNT(E454:F454)=2,E454-F454,"")</f>
        <v>0</v>
      </c>
      <c r="H454" s="102" t="n">
        <v>1</v>
      </c>
      <c r="I454" s="4" t="str">
        <f aca="false">IF(COUNT(E454:F454)&lt;2,"N/A",IF(ABS(G454)&lt;=H454,"OK","❌"))</f>
        <v>OK</v>
      </c>
      <c r="J454" s="102" t="s">
        <v>1932</v>
      </c>
      <c r="K454" s="4" t="str">
        <f aca="false">IF(I454=J454,"✔ sesuai","✖ TIDAK sesuai")</f>
        <v>✔ sesuai</v>
      </c>
      <c r="L454" s="103"/>
    </row>
    <row r="455" customFormat="false" ht="15" hidden="false" customHeight="false" outlineLevel="0" collapsed="false">
      <c r="A455" s="13" t="n">
        <v>449</v>
      </c>
      <c r="B455" s="13" t="s">
        <v>2097</v>
      </c>
      <c r="C455" s="13" t="s">
        <v>2101</v>
      </c>
      <c r="D455" s="13" t="n">
        <v>2020</v>
      </c>
      <c r="E455" s="50" t="n">
        <f aca="false">BS_Proj!C15</f>
        <v>2162536834465</v>
      </c>
      <c r="F455" s="50" t="n">
        <f aca="false">BS_Proj!C29</f>
        <v>2162536834465</v>
      </c>
      <c r="G455" s="101" t="n">
        <f aca="false">IF(COUNT(E455:F455)=2,E455-F455,"")</f>
        <v>0</v>
      </c>
      <c r="H455" s="102" t="n">
        <v>1</v>
      </c>
      <c r="I455" s="4" t="str">
        <f aca="false">IF(COUNT(E455:F455)&lt;2,"N/A",IF(ABS(G455)&lt;=H455,"OK","❌"))</f>
        <v>OK</v>
      </c>
      <c r="J455" s="102" t="s">
        <v>1932</v>
      </c>
      <c r="K455" s="4" t="str">
        <f aca="false">IF(I455=J455,"✔ sesuai","✖ TIDAK sesuai")</f>
        <v>✔ sesuai</v>
      </c>
      <c r="L455" s="103"/>
    </row>
    <row r="456" customFormat="false" ht="15" hidden="false" customHeight="false" outlineLevel="0" collapsed="false">
      <c r="A456" s="13" t="n">
        <v>450</v>
      </c>
      <c r="B456" s="13" t="s">
        <v>2097</v>
      </c>
      <c r="C456" s="13" t="s">
        <v>2102</v>
      </c>
      <c r="D456" s="13" t="n">
        <v>2020</v>
      </c>
      <c r="E456" s="50" t="n">
        <f aca="false">BS_Proj!C15</f>
        <v>2162536834465</v>
      </c>
      <c r="F456" s="50" t="n">
        <f aca="false">BS!C26</f>
        <v>2162536834465</v>
      </c>
      <c r="G456" s="101" t="n">
        <f aca="false">IF(COUNT(E456:F456)=2,E456-F456,"")</f>
        <v>0</v>
      </c>
      <c r="H456" s="102" t="n">
        <v>1</v>
      </c>
      <c r="I456" s="4" t="str">
        <f aca="false">IF(COUNT(E456:F456)&lt;2,"N/A",IF(ABS(G456)&lt;=H456,"OK","❌"))</f>
        <v>OK</v>
      </c>
      <c r="J456" s="102" t="s">
        <v>1932</v>
      </c>
      <c r="K456" s="4" t="str">
        <f aca="false">IF(I456=J456,"✔ sesuai","✖ TIDAK sesuai")</f>
        <v>✔ sesuai</v>
      </c>
      <c r="L456" s="103"/>
    </row>
    <row r="457" customFormat="false" ht="15" hidden="false" customHeight="false" outlineLevel="0" collapsed="false">
      <c r="A457" s="13" t="n">
        <v>451</v>
      </c>
      <c r="B457" s="13" t="s">
        <v>2097</v>
      </c>
      <c r="C457" s="13" t="s">
        <v>2098</v>
      </c>
      <c r="D457" s="13" t="n">
        <v>2021</v>
      </c>
      <c r="E457" s="50" t="n">
        <f aca="false">IS_Proj!D21</f>
        <v>474976409132</v>
      </c>
      <c r="F457" s="50" t="n">
        <f aca="false">IS!D13</f>
        <v>474976409132</v>
      </c>
      <c r="G457" s="101" t="n">
        <f aca="false">IF(COUNT(E457:F457)=2,E457-F457,"")</f>
        <v>0</v>
      </c>
      <c r="H457" s="102" t="n">
        <v>1</v>
      </c>
      <c r="I457" s="4" t="str">
        <f aca="false">IF(COUNT(E457:F457)&lt;2,"N/A",IF(ABS(G457)&lt;=H457,"OK","❌"))</f>
        <v>OK</v>
      </c>
      <c r="J457" s="102" t="s">
        <v>1932</v>
      </c>
      <c r="K457" s="4" t="str">
        <f aca="false">IF(I457=J457,"✔ sesuai","✖ TIDAK sesuai")</f>
        <v>✔ sesuai</v>
      </c>
      <c r="L457" s="103"/>
    </row>
    <row r="458" customFormat="false" ht="15" hidden="false" customHeight="false" outlineLevel="0" collapsed="false">
      <c r="A458" s="13" t="n">
        <v>452</v>
      </c>
      <c r="B458" s="13" t="s">
        <v>2097</v>
      </c>
      <c r="C458" s="13" t="s">
        <v>2099</v>
      </c>
      <c r="D458" s="13" t="n">
        <v>2021</v>
      </c>
      <c r="E458" s="50" t="n">
        <f aca="false">IS_Proj!D25</f>
        <v>457138685522</v>
      </c>
      <c r="F458" s="50" t="n">
        <f aca="false">IS!D17</f>
        <v>457138685522</v>
      </c>
      <c r="G458" s="101" t="n">
        <f aca="false">IF(COUNT(E458:F458)=2,E458-F458,"")</f>
        <v>0</v>
      </c>
      <c r="H458" s="102" t="n">
        <v>1</v>
      </c>
      <c r="I458" s="4" t="str">
        <f aca="false">IF(COUNT(E458:F458)&lt;2,"N/A",IF(ABS(G458)&lt;=H458,"OK","❌"))</f>
        <v>OK</v>
      </c>
      <c r="J458" s="102" t="s">
        <v>1932</v>
      </c>
      <c r="K458" s="4" t="str">
        <f aca="false">IF(I458=J458,"✔ sesuai","✖ TIDAK sesuai")</f>
        <v>✔ sesuai</v>
      </c>
      <c r="L458" s="103"/>
    </row>
    <row r="459" customFormat="false" ht="15" hidden="false" customHeight="false" outlineLevel="0" collapsed="false">
      <c r="A459" s="13" t="n">
        <v>453</v>
      </c>
      <c r="B459" s="13" t="s">
        <v>2097</v>
      </c>
      <c r="C459" s="13" t="s">
        <v>2100</v>
      </c>
      <c r="D459" s="13" t="n">
        <v>2021</v>
      </c>
      <c r="E459" s="50" t="n">
        <f aca="false">IS_Proj!D10+IS_Proj!D11</f>
        <v>1890800275747</v>
      </c>
      <c r="F459" s="50" t="n">
        <f aca="false">IS!D6</f>
        <v>1890800275747</v>
      </c>
      <c r="G459" s="101" t="n">
        <f aca="false">IF(COUNT(E459:F459)=2,E459-F459,"")</f>
        <v>0</v>
      </c>
      <c r="H459" s="102" t="n">
        <v>1</v>
      </c>
      <c r="I459" s="4" t="str">
        <f aca="false">IF(COUNT(E459:F459)&lt;2,"N/A",IF(ABS(G459)&lt;=H459,"OK","❌"))</f>
        <v>OK</v>
      </c>
      <c r="J459" s="102" t="s">
        <v>1932</v>
      </c>
      <c r="K459" s="4" t="str">
        <f aca="false">IF(I459=J459,"✔ sesuai","✖ TIDAK sesuai")</f>
        <v>✔ sesuai</v>
      </c>
      <c r="L459" s="103"/>
    </row>
    <row r="460" customFormat="false" ht="15" hidden="false" customHeight="false" outlineLevel="0" collapsed="false">
      <c r="A460" s="13" t="n">
        <v>454</v>
      </c>
      <c r="B460" s="13" t="s">
        <v>2097</v>
      </c>
      <c r="C460" s="13" t="s">
        <v>2101</v>
      </c>
      <c r="D460" s="13" t="n">
        <v>2021</v>
      </c>
      <c r="E460" s="50" t="n">
        <f aca="false">BS_Proj!D15</f>
        <v>2813696522428</v>
      </c>
      <c r="F460" s="50" t="n">
        <f aca="false">BS_Proj!D29</f>
        <v>2813696522428</v>
      </c>
      <c r="G460" s="101" t="n">
        <f aca="false">IF(COUNT(E460:F460)=2,E460-F460,"")</f>
        <v>0</v>
      </c>
      <c r="H460" s="102" t="n">
        <v>1</v>
      </c>
      <c r="I460" s="4" t="str">
        <f aca="false">IF(COUNT(E460:F460)&lt;2,"N/A",IF(ABS(G460)&lt;=H460,"OK","❌"))</f>
        <v>OK</v>
      </c>
      <c r="J460" s="102" t="s">
        <v>1932</v>
      </c>
      <c r="K460" s="4" t="str">
        <f aca="false">IF(I460=J460,"✔ sesuai","✖ TIDAK sesuai")</f>
        <v>✔ sesuai</v>
      </c>
      <c r="L460" s="103"/>
    </row>
    <row r="461" customFormat="false" ht="15" hidden="false" customHeight="false" outlineLevel="0" collapsed="false">
      <c r="A461" s="13" t="n">
        <v>455</v>
      </c>
      <c r="B461" s="13" t="s">
        <v>2097</v>
      </c>
      <c r="C461" s="13" t="s">
        <v>2102</v>
      </c>
      <c r="D461" s="13" t="n">
        <v>2021</v>
      </c>
      <c r="E461" s="50" t="n">
        <f aca="false">BS_Proj!D15</f>
        <v>2813696522428</v>
      </c>
      <c r="F461" s="50" t="n">
        <f aca="false">BS!D26</f>
        <v>2813696522428</v>
      </c>
      <c r="G461" s="101" t="n">
        <f aca="false">IF(COUNT(E461:F461)=2,E461-F461,"")</f>
        <v>0</v>
      </c>
      <c r="H461" s="102" t="n">
        <v>1</v>
      </c>
      <c r="I461" s="4" t="str">
        <f aca="false">IF(COUNT(E461:F461)&lt;2,"N/A",IF(ABS(G461)&lt;=H461,"OK","❌"))</f>
        <v>OK</v>
      </c>
      <c r="J461" s="102" t="s">
        <v>1932</v>
      </c>
      <c r="K461" s="4" t="str">
        <f aca="false">IF(I461=J461,"✔ sesuai","✖ TIDAK sesuai")</f>
        <v>✔ sesuai</v>
      </c>
      <c r="L461" s="103"/>
    </row>
    <row r="462" customFormat="false" ht="15" hidden="false" customHeight="false" outlineLevel="0" collapsed="false">
      <c r="A462" s="13" t="n">
        <v>456</v>
      </c>
      <c r="B462" s="13" t="s">
        <v>2097</v>
      </c>
      <c r="C462" s="13" t="s">
        <v>2098</v>
      </c>
      <c r="D462" s="13" t="n">
        <v>2022</v>
      </c>
      <c r="E462" s="50" t="n">
        <f aca="false">IS_Proj!E21</f>
        <v>215546714926</v>
      </c>
      <c r="F462" s="50" t="n">
        <f aca="false">IS!E13</f>
        <v>215546714926</v>
      </c>
      <c r="G462" s="101" t="n">
        <f aca="false">IF(COUNT(E462:F462)=2,E462-F462,"")</f>
        <v>0</v>
      </c>
      <c r="H462" s="102" t="n">
        <v>1</v>
      </c>
      <c r="I462" s="4" t="str">
        <f aca="false">IF(COUNT(E462:F462)&lt;2,"N/A",IF(ABS(G462)&lt;=H462,"OK","❌"))</f>
        <v>OK</v>
      </c>
      <c r="J462" s="102" t="s">
        <v>1932</v>
      </c>
      <c r="K462" s="4" t="str">
        <f aca="false">IF(I462=J462,"✔ sesuai","✖ TIDAK sesuai")</f>
        <v>✔ sesuai</v>
      </c>
      <c r="L462" s="103"/>
    </row>
    <row r="463" customFormat="false" ht="15" hidden="false" customHeight="false" outlineLevel="0" collapsed="false">
      <c r="A463" s="13" t="n">
        <v>457</v>
      </c>
      <c r="B463" s="13" t="s">
        <v>2097</v>
      </c>
      <c r="C463" s="13" t="s">
        <v>2099</v>
      </c>
      <c r="D463" s="13" t="n">
        <v>2022</v>
      </c>
      <c r="E463" s="50" t="n">
        <f aca="false">IS_Proj!E25</f>
        <v>176790020011</v>
      </c>
      <c r="F463" s="50" t="n">
        <f aca="false">IS!E17</f>
        <v>176790020011</v>
      </c>
      <c r="G463" s="101" t="n">
        <f aca="false">IF(COUNT(E463:F463)=2,E463-F463,"")</f>
        <v>0</v>
      </c>
      <c r="H463" s="102" t="n">
        <v>1</v>
      </c>
      <c r="I463" s="4" t="str">
        <f aca="false">IF(COUNT(E463:F463)&lt;2,"N/A",IF(ABS(G463)&lt;=H463,"OK","❌"))</f>
        <v>OK</v>
      </c>
      <c r="J463" s="102" t="s">
        <v>1932</v>
      </c>
      <c r="K463" s="4" t="str">
        <f aca="false">IF(I463=J463,"✔ sesuai","✖ TIDAK sesuai")</f>
        <v>✔ sesuai</v>
      </c>
      <c r="L463" s="103"/>
    </row>
    <row r="464" customFormat="false" ht="15" hidden="false" customHeight="false" outlineLevel="0" collapsed="false">
      <c r="A464" s="13" t="n">
        <v>458</v>
      </c>
      <c r="B464" s="13" t="s">
        <v>2097</v>
      </c>
      <c r="C464" s="13" t="s">
        <v>2100</v>
      </c>
      <c r="D464" s="13" t="n">
        <v>2022</v>
      </c>
      <c r="E464" s="50" t="n">
        <f aca="false">IS_Proj!E10+IS_Proj!E11</f>
        <v>1658687911222</v>
      </c>
      <c r="F464" s="50" t="n">
        <f aca="false">IS!E6</f>
        <v>1658687911222</v>
      </c>
      <c r="G464" s="101" t="n">
        <f aca="false">IF(COUNT(E464:F464)=2,E464-F464,"")</f>
        <v>0</v>
      </c>
      <c r="H464" s="102" t="n">
        <v>1</v>
      </c>
      <c r="I464" s="4" t="str">
        <f aca="false">IF(COUNT(E464:F464)&lt;2,"N/A",IF(ABS(G464)&lt;=H464,"OK","❌"))</f>
        <v>OK</v>
      </c>
      <c r="J464" s="102" t="s">
        <v>1932</v>
      </c>
      <c r="K464" s="4" t="str">
        <f aca="false">IF(I464=J464,"✔ sesuai","✖ TIDAK sesuai")</f>
        <v>✔ sesuai</v>
      </c>
      <c r="L464" s="103"/>
    </row>
    <row r="465" customFormat="false" ht="15" hidden="false" customHeight="false" outlineLevel="0" collapsed="false">
      <c r="A465" s="13" t="n">
        <v>459</v>
      </c>
      <c r="B465" s="13" t="s">
        <v>2097</v>
      </c>
      <c r="C465" s="13" t="s">
        <v>2101</v>
      </c>
      <c r="D465" s="13" t="n">
        <v>2022</v>
      </c>
      <c r="E465" s="50" t="n">
        <f aca="false">BS_Proj!E15</f>
        <v>2938610148990</v>
      </c>
      <c r="F465" s="50" t="n">
        <f aca="false">BS_Proj!E29</f>
        <v>2938610148990</v>
      </c>
      <c r="G465" s="101" t="n">
        <f aca="false">IF(COUNT(E465:F465)=2,E465-F465,"")</f>
        <v>0</v>
      </c>
      <c r="H465" s="102" t="n">
        <v>1</v>
      </c>
      <c r="I465" s="4" t="str">
        <f aca="false">IF(COUNT(E465:F465)&lt;2,"N/A",IF(ABS(G465)&lt;=H465,"OK","❌"))</f>
        <v>OK</v>
      </c>
      <c r="J465" s="102" t="s">
        <v>1932</v>
      </c>
      <c r="K465" s="4" t="str">
        <f aca="false">IF(I465=J465,"✔ sesuai","✖ TIDAK sesuai")</f>
        <v>✔ sesuai</v>
      </c>
      <c r="L465" s="103"/>
    </row>
    <row r="466" customFormat="false" ht="15" hidden="false" customHeight="false" outlineLevel="0" collapsed="false">
      <c r="A466" s="13" t="n">
        <v>460</v>
      </c>
      <c r="B466" s="13" t="s">
        <v>2097</v>
      </c>
      <c r="C466" s="13" t="s">
        <v>2102</v>
      </c>
      <c r="D466" s="13" t="n">
        <v>2022</v>
      </c>
      <c r="E466" s="50" t="n">
        <f aca="false">BS_Proj!E15</f>
        <v>2938610148990</v>
      </c>
      <c r="F466" s="50" t="n">
        <f aca="false">BS!E26</f>
        <v>2938610148990</v>
      </c>
      <c r="G466" s="101" t="n">
        <f aca="false">IF(COUNT(E466:F466)=2,E466-F466,"")</f>
        <v>0</v>
      </c>
      <c r="H466" s="102" t="n">
        <v>1</v>
      </c>
      <c r="I466" s="4" t="str">
        <f aca="false">IF(COUNT(E466:F466)&lt;2,"N/A",IF(ABS(G466)&lt;=H466,"OK","❌"))</f>
        <v>OK</v>
      </c>
      <c r="J466" s="102" t="s">
        <v>1932</v>
      </c>
      <c r="K466" s="4" t="str">
        <f aca="false">IF(I466=J466,"✔ sesuai","✖ TIDAK sesuai")</f>
        <v>✔ sesuai</v>
      </c>
      <c r="L466" s="103"/>
    </row>
    <row r="467" customFormat="false" ht="15" hidden="false" customHeight="false" outlineLevel="0" collapsed="false">
      <c r="A467" s="13" t="n">
        <v>461</v>
      </c>
      <c r="B467" s="13" t="s">
        <v>2097</v>
      </c>
      <c r="C467" s="13" t="s">
        <v>2098</v>
      </c>
      <c r="D467" s="13" t="n">
        <v>2023</v>
      </c>
      <c r="E467" s="50" t="n">
        <f aca="false">IS_Proj!F21</f>
        <v>89662311859</v>
      </c>
      <c r="F467" s="50" t="n">
        <f aca="false">IS!F13</f>
        <v>89662311859</v>
      </c>
      <c r="G467" s="101" t="n">
        <f aca="false">IF(COUNT(E467:F467)=2,E467-F467,"")</f>
        <v>0</v>
      </c>
      <c r="H467" s="102" t="n">
        <v>1</v>
      </c>
      <c r="I467" s="4" t="str">
        <f aca="false">IF(COUNT(E467:F467)&lt;2,"N/A",IF(ABS(G467)&lt;=H467,"OK","❌"))</f>
        <v>OK</v>
      </c>
      <c r="J467" s="102" t="s">
        <v>1932</v>
      </c>
      <c r="K467" s="4" t="str">
        <f aca="false">IF(I467=J467,"✔ sesuai","✖ TIDAK sesuai")</f>
        <v>✔ sesuai</v>
      </c>
      <c r="L467" s="103"/>
    </row>
    <row r="468" customFormat="false" ht="15" hidden="false" customHeight="false" outlineLevel="0" collapsed="false">
      <c r="A468" s="13" t="n">
        <v>462</v>
      </c>
      <c r="B468" s="13" t="s">
        <v>2097</v>
      </c>
      <c r="C468" s="13" t="s">
        <v>2099</v>
      </c>
      <c r="D468" s="13" t="n">
        <v>2023</v>
      </c>
      <c r="E468" s="50" t="n">
        <f aca="false">IS_Proj!F25</f>
        <v>40323055724</v>
      </c>
      <c r="F468" s="50" t="n">
        <f aca="false">IS!F17</f>
        <v>40323055724</v>
      </c>
      <c r="G468" s="101" t="n">
        <f aca="false">IF(COUNT(E468:F468)=2,E468-F468,"")</f>
        <v>0</v>
      </c>
      <c r="H468" s="102" t="n">
        <v>1</v>
      </c>
      <c r="I468" s="4" t="str">
        <f aca="false">IF(COUNT(E468:F468)&lt;2,"N/A",IF(ABS(G468)&lt;=H468,"OK","❌"))</f>
        <v>OK</v>
      </c>
      <c r="J468" s="102" t="s">
        <v>1932</v>
      </c>
      <c r="K468" s="4" t="str">
        <f aca="false">IF(I468=J468,"✔ sesuai","✖ TIDAK sesuai")</f>
        <v>✔ sesuai</v>
      </c>
      <c r="L468" s="103"/>
    </row>
    <row r="469" customFormat="false" ht="15" hidden="false" customHeight="false" outlineLevel="0" collapsed="false">
      <c r="A469" s="13" t="n">
        <v>463</v>
      </c>
      <c r="B469" s="13" t="s">
        <v>2097</v>
      </c>
      <c r="C469" s="13" t="s">
        <v>2100</v>
      </c>
      <c r="D469" s="13" t="n">
        <v>2023</v>
      </c>
      <c r="E469" s="50" t="n">
        <f aca="false">IS_Proj!F10+IS_Proj!F11</f>
        <v>1488197483371</v>
      </c>
      <c r="F469" s="50" t="n">
        <f aca="false">IS!F6</f>
        <v>1488197483371</v>
      </c>
      <c r="G469" s="101" t="n">
        <f aca="false">IF(COUNT(E469:F469)=2,E469-F469,"")</f>
        <v>0</v>
      </c>
      <c r="H469" s="102" t="n">
        <v>1</v>
      </c>
      <c r="I469" s="4" t="str">
        <f aca="false">IF(COUNT(E469:F469)&lt;2,"N/A",IF(ABS(G469)&lt;=H469,"OK","❌"))</f>
        <v>OK</v>
      </c>
      <c r="J469" s="102" t="s">
        <v>1932</v>
      </c>
      <c r="K469" s="4" t="str">
        <f aca="false">IF(I469=J469,"✔ sesuai","✖ TIDAK sesuai")</f>
        <v>✔ sesuai</v>
      </c>
      <c r="L469" s="103"/>
    </row>
    <row r="470" customFormat="false" ht="15" hidden="false" customHeight="false" outlineLevel="0" collapsed="false">
      <c r="A470" s="13" t="n">
        <v>464</v>
      </c>
      <c r="B470" s="13" t="s">
        <v>2097</v>
      </c>
      <c r="C470" s="13" t="s">
        <v>2101</v>
      </c>
      <c r="D470" s="13" t="n">
        <v>2023</v>
      </c>
      <c r="E470" s="50" t="n">
        <f aca="false">BS_Proj!F15</f>
        <v>3083162034448</v>
      </c>
      <c r="F470" s="50" t="n">
        <f aca="false">BS_Proj!F29</f>
        <v>3083162034448</v>
      </c>
      <c r="G470" s="101" t="n">
        <f aca="false">IF(COUNT(E470:F470)=2,E470-F470,"")</f>
        <v>0</v>
      </c>
      <c r="H470" s="102" t="n">
        <v>1</v>
      </c>
      <c r="I470" s="4" t="str">
        <f aca="false">IF(COUNT(E470:F470)&lt;2,"N/A",IF(ABS(G470)&lt;=H470,"OK","❌"))</f>
        <v>OK</v>
      </c>
      <c r="J470" s="102" t="s">
        <v>1932</v>
      </c>
      <c r="K470" s="4" t="str">
        <f aca="false">IF(I470=J470,"✔ sesuai","✖ TIDAK sesuai")</f>
        <v>✔ sesuai</v>
      </c>
      <c r="L470" s="103"/>
    </row>
    <row r="471" customFormat="false" ht="15" hidden="false" customHeight="false" outlineLevel="0" collapsed="false">
      <c r="A471" s="13" t="n">
        <v>465</v>
      </c>
      <c r="B471" s="13" t="s">
        <v>2097</v>
      </c>
      <c r="C471" s="13" t="s">
        <v>2102</v>
      </c>
      <c r="D471" s="13" t="n">
        <v>2023</v>
      </c>
      <c r="E471" s="50" t="n">
        <f aca="false">BS_Proj!F15</f>
        <v>3083162034448</v>
      </c>
      <c r="F471" s="50" t="n">
        <f aca="false">BS!F26</f>
        <v>3083162034448</v>
      </c>
      <c r="G471" s="101" t="n">
        <f aca="false">IF(COUNT(E471:F471)=2,E471-F471,"")</f>
        <v>0</v>
      </c>
      <c r="H471" s="102" t="n">
        <v>1</v>
      </c>
      <c r="I471" s="4" t="str">
        <f aca="false">IF(COUNT(E471:F471)&lt;2,"N/A",IF(ABS(G471)&lt;=H471,"OK","❌"))</f>
        <v>OK</v>
      </c>
      <c r="J471" s="102" t="s">
        <v>1932</v>
      </c>
      <c r="K471" s="4" t="str">
        <f aca="false">IF(I471=J471,"✔ sesuai","✖ TIDAK sesuai")</f>
        <v>✔ sesuai</v>
      </c>
      <c r="L471" s="103"/>
    </row>
    <row r="472" customFormat="false" ht="15" hidden="false" customHeight="false" outlineLevel="0" collapsed="false">
      <c r="A472" s="13" t="n">
        <v>466</v>
      </c>
      <c r="B472" s="13" t="s">
        <v>2097</v>
      </c>
      <c r="C472" s="13" t="s">
        <v>2098</v>
      </c>
      <c r="D472" s="13" t="n">
        <v>2024</v>
      </c>
      <c r="E472" s="50" t="n">
        <f aca="false">IS_Proj!G21</f>
        <v>88006343339</v>
      </c>
      <c r="F472" s="50" t="n">
        <f aca="false">IS!G13</f>
        <v>88006343339</v>
      </c>
      <c r="G472" s="101" t="n">
        <f aca="false">IF(COUNT(E472:F472)=2,E472-F472,"")</f>
        <v>0</v>
      </c>
      <c r="H472" s="102" t="n">
        <v>1</v>
      </c>
      <c r="I472" s="4" t="str">
        <f aca="false">IF(COUNT(E472:F472)&lt;2,"N/A",IF(ABS(G472)&lt;=H472,"OK","❌"))</f>
        <v>OK</v>
      </c>
      <c r="J472" s="102" t="s">
        <v>1932</v>
      </c>
      <c r="K472" s="4" t="str">
        <f aca="false">IF(I472=J472,"✔ sesuai","✖ TIDAK sesuai")</f>
        <v>✔ sesuai</v>
      </c>
      <c r="L472" s="103"/>
    </row>
    <row r="473" customFormat="false" ht="15" hidden="false" customHeight="false" outlineLevel="0" collapsed="false">
      <c r="A473" s="13" t="n">
        <v>467</v>
      </c>
      <c r="B473" s="13" t="s">
        <v>2097</v>
      </c>
      <c r="C473" s="13" t="s">
        <v>2099</v>
      </c>
      <c r="D473" s="13" t="n">
        <v>2024</v>
      </c>
      <c r="E473" s="50" t="n">
        <f aca="false">IS_Proj!G25</f>
        <v>38593731509</v>
      </c>
      <c r="F473" s="50" t="n">
        <f aca="false">IS!G17</f>
        <v>38593731509</v>
      </c>
      <c r="G473" s="101" t="n">
        <f aca="false">IF(COUNT(E473:F473)=2,E473-F473,"")</f>
        <v>0</v>
      </c>
      <c r="H473" s="102" t="n">
        <v>1</v>
      </c>
      <c r="I473" s="4" t="str">
        <f aca="false">IF(COUNT(E473:F473)&lt;2,"N/A",IF(ABS(G473)&lt;=H473,"OK","❌"))</f>
        <v>OK</v>
      </c>
      <c r="J473" s="102" t="s">
        <v>1932</v>
      </c>
      <c r="K473" s="4" t="str">
        <f aca="false">IF(I473=J473,"✔ sesuai","✖ TIDAK sesuai")</f>
        <v>✔ sesuai</v>
      </c>
      <c r="L473" s="103"/>
    </row>
    <row r="474" customFormat="false" ht="15" hidden="false" customHeight="false" outlineLevel="0" collapsed="false">
      <c r="A474" s="13" t="n">
        <v>468</v>
      </c>
      <c r="B474" s="13" t="s">
        <v>2097</v>
      </c>
      <c r="C474" s="13" t="s">
        <v>2100</v>
      </c>
      <c r="D474" s="13" t="n">
        <v>2024</v>
      </c>
      <c r="E474" s="50" t="n">
        <f aca="false">IS_Proj!G10+IS_Proj!G11</f>
        <v>1554685010336</v>
      </c>
      <c r="F474" s="50" t="n">
        <f aca="false">IS!G6</f>
        <v>1554685010336</v>
      </c>
      <c r="G474" s="101" t="n">
        <f aca="false">IF(COUNT(E474:F474)=2,E474-F474,"")</f>
        <v>0</v>
      </c>
      <c r="H474" s="102" t="n">
        <v>1</v>
      </c>
      <c r="I474" s="4" t="str">
        <f aca="false">IF(COUNT(E474:F474)&lt;2,"N/A",IF(ABS(G474)&lt;=H474,"OK","❌"))</f>
        <v>OK</v>
      </c>
      <c r="J474" s="102" t="s">
        <v>1932</v>
      </c>
      <c r="K474" s="4" t="str">
        <f aca="false">IF(I474=J474,"✔ sesuai","✖ TIDAK sesuai")</f>
        <v>✔ sesuai</v>
      </c>
      <c r="L474" s="103"/>
    </row>
    <row r="475" customFormat="false" ht="15" hidden="false" customHeight="false" outlineLevel="0" collapsed="false">
      <c r="A475" s="13" t="n">
        <v>469</v>
      </c>
      <c r="B475" s="13" t="s">
        <v>2097</v>
      </c>
      <c r="C475" s="13" t="s">
        <v>2101</v>
      </c>
      <c r="D475" s="13" t="n">
        <v>2024</v>
      </c>
      <c r="E475" s="50" t="n">
        <f aca="false">BS_Proj!G15</f>
        <v>3446360903748</v>
      </c>
      <c r="F475" s="50" t="n">
        <f aca="false">BS_Proj!G29</f>
        <v>3446360903748</v>
      </c>
      <c r="G475" s="101" t="n">
        <f aca="false">IF(COUNT(E475:F475)=2,E475-F475,"")</f>
        <v>0</v>
      </c>
      <c r="H475" s="102" t="n">
        <v>1</v>
      </c>
      <c r="I475" s="4" t="str">
        <f aca="false">IF(COUNT(E475:F475)&lt;2,"N/A",IF(ABS(G475)&lt;=H475,"OK","❌"))</f>
        <v>OK</v>
      </c>
      <c r="J475" s="102" t="s">
        <v>1932</v>
      </c>
      <c r="K475" s="4" t="str">
        <f aca="false">IF(I475=J475,"✔ sesuai","✖ TIDAK sesuai")</f>
        <v>✔ sesuai</v>
      </c>
      <c r="L475" s="103"/>
    </row>
    <row r="476" customFormat="false" ht="15" hidden="false" customHeight="false" outlineLevel="0" collapsed="false">
      <c r="A476" s="13" t="n">
        <v>470</v>
      </c>
      <c r="B476" s="13" t="s">
        <v>2097</v>
      </c>
      <c r="C476" s="13" t="s">
        <v>2102</v>
      </c>
      <c r="D476" s="13" t="n">
        <v>2024</v>
      </c>
      <c r="E476" s="50" t="n">
        <f aca="false">BS_Proj!G15</f>
        <v>3446360903748</v>
      </c>
      <c r="F476" s="50" t="n">
        <f aca="false">BS!G26</f>
        <v>3446360903748</v>
      </c>
      <c r="G476" s="101" t="n">
        <f aca="false">IF(COUNT(E476:F476)=2,E476-F476,"")</f>
        <v>0</v>
      </c>
      <c r="H476" s="102" t="n">
        <v>1</v>
      </c>
      <c r="I476" s="4" t="str">
        <f aca="false">IF(COUNT(E476:F476)&lt;2,"N/A",IF(ABS(G476)&lt;=H476,"OK","❌"))</f>
        <v>OK</v>
      </c>
      <c r="J476" s="102" t="s">
        <v>1932</v>
      </c>
      <c r="K476" s="4" t="str">
        <f aca="false">IF(I476=J476,"✔ sesuai","✖ TIDAK sesuai")</f>
        <v>✔ sesuai</v>
      </c>
      <c r="L476" s="103"/>
    </row>
    <row r="477" customFormat="false" ht="15" hidden="false" customHeight="false" outlineLevel="0" collapsed="false">
      <c r="A477" s="13" t="n">
        <v>471</v>
      </c>
      <c r="B477" s="13" t="s">
        <v>2097</v>
      </c>
      <c r="C477" s="13" t="s">
        <v>2098</v>
      </c>
      <c r="D477" s="13" t="n">
        <v>2025</v>
      </c>
      <c r="E477" s="50" t="n">
        <f aca="false">IS_Proj!H21</f>
        <v>89879196849</v>
      </c>
      <c r="F477" s="50" t="n">
        <f aca="false">IS!H13</f>
        <v>89879196849</v>
      </c>
      <c r="G477" s="101" t="n">
        <f aca="false">IF(COUNT(E477:F477)=2,E477-F477,"")</f>
        <v>0</v>
      </c>
      <c r="H477" s="102" t="n">
        <v>1</v>
      </c>
      <c r="I477" s="4" t="str">
        <f aca="false">IF(COUNT(E477:F477)&lt;2,"N/A",IF(ABS(G477)&lt;=H477,"OK","❌"))</f>
        <v>OK</v>
      </c>
      <c r="J477" s="102" t="s">
        <v>1932</v>
      </c>
      <c r="K477" s="4" t="str">
        <f aca="false">IF(I477=J477,"✔ sesuai","✖ TIDAK sesuai")</f>
        <v>✔ sesuai</v>
      </c>
      <c r="L477" s="103"/>
    </row>
    <row r="478" customFormat="false" ht="15" hidden="false" customHeight="false" outlineLevel="0" collapsed="false">
      <c r="A478" s="13" t="n">
        <v>472</v>
      </c>
      <c r="B478" s="13" t="s">
        <v>2097</v>
      </c>
      <c r="C478" s="13" t="s">
        <v>2099</v>
      </c>
      <c r="D478" s="13" t="n">
        <v>2025</v>
      </c>
      <c r="E478" s="50" t="n">
        <f aca="false">IS_Proj!H25</f>
        <v>45282649553</v>
      </c>
      <c r="F478" s="50" t="n">
        <f aca="false">IS!H17</f>
        <v>45282649553</v>
      </c>
      <c r="G478" s="101" t="n">
        <f aca="false">IF(COUNT(E478:F478)=2,E478-F478,"")</f>
        <v>0</v>
      </c>
      <c r="H478" s="102" t="n">
        <v>1</v>
      </c>
      <c r="I478" s="4" t="str">
        <f aca="false">IF(COUNT(E478:F478)&lt;2,"N/A",IF(ABS(G478)&lt;=H478,"OK","❌"))</f>
        <v>OK</v>
      </c>
      <c r="J478" s="102" t="s">
        <v>1932</v>
      </c>
      <c r="K478" s="4" t="str">
        <f aca="false">IF(I478=J478,"✔ sesuai","✖ TIDAK sesuai")</f>
        <v>✔ sesuai</v>
      </c>
      <c r="L478" s="103"/>
    </row>
    <row r="479" customFormat="false" ht="15" hidden="false" customHeight="false" outlineLevel="0" collapsed="false">
      <c r="A479" s="13" t="n">
        <v>473</v>
      </c>
      <c r="B479" s="13" t="s">
        <v>2097</v>
      </c>
      <c r="C479" s="13" t="s">
        <v>2100</v>
      </c>
      <c r="D479" s="13" t="n">
        <v>2025</v>
      </c>
      <c r="E479" s="50" t="n">
        <f aca="false">IS_Proj!H10+IS_Proj!H11</f>
        <v>1614340771512</v>
      </c>
      <c r="F479" s="50" t="n">
        <f aca="false">IS!H6</f>
        <v>1614340771512</v>
      </c>
      <c r="G479" s="101" t="n">
        <f aca="false">IF(COUNT(E479:F479)=2,E479-F479,"")</f>
        <v>0</v>
      </c>
      <c r="H479" s="102" t="n">
        <v>1</v>
      </c>
      <c r="I479" s="4" t="str">
        <f aca="false">IF(COUNT(E479:F479)&lt;2,"N/A",IF(ABS(G479)&lt;=H479,"OK","❌"))</f>
        <v>OK</v>
      </c>
      <c r="J479" s="102" t="s">
        <v>1932</v>
      </c>
      <c r="K479" s="4" t="str">
        <f aca="false">IF(I479=J479,"✔ sesuai","✖ TIDAK sesuai")</f>
        <v>✔ sesuai</v>
      </c>
      <c r="L479" s="103"/>
    </row>
    <row r="480" customFormat="false" ht="15" hidden="false" customHeight="false" outlineLevel="0" collapsed="false">
      <c r="A480" s="13" t="n">
        <v>474</v>
      </c>
      <c r="B480" s="13" t="s">
        <v>2097</v>
      </c>
      <c r="C480" s="13" t="s">
        <v>2101</v>
      </c>
      <c r="D480" s="13" t="n">
        <v>2025</v>
      </c>
      <c r="E480" s="50" t="n">
        <f aca="false">BS_Proj!H15</f>
        <v>4016429435143</v>
      </c>
      <c r="F480" s="50" t="n">
        <f aca="false">BS_Proj!H29</f>
        <v>4016429435143</v>
      </c>
      <c r="G480" s="101" t="n">
        <f aca="false">IF(COUNT(E480:F480)=2,E480-F480,"")</f>
        <v>0</v>
      </c>
      <c r="H480" s="102" t="n">
        <v>1</v>
      </c>
      <c r="I480" s="4" t="str">
        <f aca="false">IF(COUNT(E480:F480)&lt;2,"N/A",IF(ABS(G480)&lt;=H480,"OK","❌"))</f>
        <v>OK</v>
      </c>
      <c r="J480" s="102" t="s">
        <v>1932</v>
      </c>
      <c r="K480" s="4" t="str">
        <f aca="false">IF(I480=J480,"✔ sesuai","✖ TIDAK sesuai")</f>
        <v>✔ sesuai</v>
      </c>
      <c r="L480" s="103"/>
    </row>
    <row r="481" customFormat="false" ht="15" hidden="false" customHeight="false" outlineLevel="0" collapsed="false">
      <c r="A481" s="13" t="n">
        <v>475</v>
      </c>
      <c r="B481" s="13" t="s">
        <v>2097</v>
      </c>
      <c r="C481" s="13" t="s">
        <v>2102</v>
      </c>
      <c r="D481" s="13" t="n">
        <v>2025</v>
      </c>
      <c r="E481" s="50" t="n">
        <f aca="false">BS_Proj!H15</f>
        <v>4016429435143</v>
      </c>
      <c r="F481" s="50" t="n">
        <f aca="false">BS!H26</f>
        <v>4016429435143</v>
      </c>
      <c r="G481" s="101" t="n">
        <f aca="false">IF(COUNT(E481:F481)=2,E481-F481,"")</f>
        <v>0</v>
      </c>
      <c r="H481" s="102" t="n">
        <v>1</v>
      </c>
      <c r="I481" s="4" t="str">
        <f aca="false">IF(COUNT(E481:F481)&lt;2,"N/A",IF(ABS(G481)&lt;=H481,"OK","❌"))</f>
        <v>OK</v>
      </c>
      <c r="J481" s="102" t="s">
        <v>1932</v>
      </c>
      <c r="K481" s="4" t="str">
        <f aca="false">IF(I481=J481,"✔ sesuai","✖ TIDAK sesuai")</f>
        <v>✔ sesuai</v>
      </c>
      <c r="L481" s="103"/>
    </row>
    <row r="482" customFormat="false" ht="15" hidden="false" customHeight="false" outlineLevel="0" collapsed="false">
      <c r="A482" s="13" t="n">
        <v>476</v>
      </c>
      <c r="B482" s="13" t="s">
        <v>2103</v>
      </c>
      <c r="C482" s="13" t="s">
        <v>2104</v>
      </c>
      <c r="D482" s="13" t="n">
        <v>2026</v>
      </c>
      <c r="E482" s="50" t="n">
        <f aca="false">BS_Proj!I15</f>
        <v>4015796573724.33</v>
      </c>
      <c r="F482" s="50" t="n">
        <f aca="false">BS_Proj!I29</f>
        <v>4015796573724.33</v>
      </c>
      <c r="G482" s="101" t="n">
        <f aca="false">IF(COUNT(E482:F482)=2,E482-F482,"")</f>
        <v>0</v>
      </c>
      <c r="H482" s="102" t="n">
        <v>1</v>
      </c>
      <c r="I482" s="4" t="str">
        <f aca="false">IF(COUNT(E482:F482)&lt;2,"N/A",IF(ABS(G482)&lt;=H482,"OK","❌"))</f>
        <v>OK</v>
      </c>
      <c r="J482" s="102" t="s">
        <v>1932</v>
      </c>
      <c r="K482" s="4" t="str">
        <f aca="false">IF(I482=J482,"✔ sesuai","✖ TIDAK sesuai")</f>
        <v>✔ sesuai</v>
      </c>
      <c r="L482" s="103"/>
    </row>
    <row r="483" customFormat="false" ht="15" hidden="false" customHeight="false" outlineLevel="0" collapsed="false">
      <c r="A483" s="13" t="n">
        <v>477</v>
      </c>
      <c r="B483" s="13" t="s">
        <v>2103</v>
      </c>
      <c r="C483" s="13" t="s">
        <v>2105</v>
      </c>
      <c r="D483" s="13" t="n">
        <v>2026</v>
      </c>
      <c r="E483" s="50" t="n">
        <f aca="false">CF_Proj!I26</f>
        <v>726139473213.154</v>
      </c>
      <c r="F483" s="50" t="n">
        <f aca="false">BS_Proj!I6</f>
        <v>726139473213.154</v>
      </c>
      <c r="G483" s="101" t="n">
        <f aca="false">IF(COUNT(E483:F483)=2,E483-F483,"")</f>
        <v>0</v>
      </c>
      <c r="H483" s="102" t="n">
        <v>1</v>
      </c>
      <c r="I483" s="4" t="str">
        <f aca="false">IF(COUNT(E483:F483)&lt;2,"N/A",IF(ABS(G483)&lt;=H483,"OK","❌"))</f>
        <v>OK</v>
      </c>
      <c r="J483" s="102" t="s">
        <v>1932</v>
      </c>
      <c r="K483" s="4" t="str">
        <f aca="false">IF(I483=J483,"✔ sesuai","✖ TIDAK sesuai")</f>
        <v>✔ sesuai</v>
      </c>
      <c r="L483" s="103"/>
    </row>
    <row r="484" customFormat="false" ht="15" hidden="false" customHeight="false" outlineLevel="0" collapsed="false">
      <c r="A484" s="13" t="n">
        <v>478</v>
      </c>
      <c r="B484" s="13" t="s">
        <v>2103</v>
      </c>
      <c r="C484" s="13" t="s">
        <v>2106</v>
      </c>
      <c r="D484" s="13" t="n">
        <v>2026</v>
      </c>
      <c r="E484" s="50" t="n">
        <f aca="false">BS_Proj!I25</f>
        <v>317226481021.886</v>
      </c>
      <c r="F484" s="50" t="n">
        <f aca="false">BS_Proj!H25+IS_Proj!I29+CF_Proj!I18</f>
        <v>317226481021.886</v>
      </c>
      <c r="G484" s="101" t="n">
        <f aca="false">IF(COUNT(E484:F484)=2,E484-F484,"")</f>
        <v>0</v>
      </c>
      <c r="H484" s="102" t="n">
        <v>1</v>
      </c>
      <c r="I484" s="4" t="str">
        <f aca="false">IF(COUNT(E484:F484)&lt;2,"N/A",IF(ABS(G484)&lt;=H484,"OK","❌"))</f>
        <v>OK</v>
      </c>
      <c r="J484" s="102" t="s">
        <v>1932</v>
      </c>
      <c r="K484" s="4" t="str">
        <f aca="false">IF(I484=J484,"✔ sesuai","✖ TIDAK sesuai")</f>
        <v>✔ sesuai</v>
      </c>
      <c r="L484" s="103"/>
    </row>
    <row r="485" customFormat="false" ht="15" hidden="false" customHeight="false" outlineLevel="0" collapsed="false">
      <c r="A485" s="13" t="n">
        <v>479</v>
      </c>
      <c r="B485" s="13" t="s">
        <v>2103</v>
      </c>
      <c r="C485" s="13" t="s">
        <v>2107</v>
      </c>
      <c r="D485" s="13" t="n">
        <v>2026</v>
      </c>
      <c r="E485" s="50" t="n">
        <f aca="false">BS_Proj!I11</f>
        <v>2459478555769.66</v>
      </c>
      <c r="F485" s="50" t="n">
        <f aca="false">BS_Proj!H11+Schedules_Proj!I7-Schedules_Proj!I8</f>
        <v>2459478555769.66</v>
      </c>
      <c r="G485" s="101" t="n">
        <f aca="false">IF(COUNT(E485:F485)=2,E485-F485,"")</f>
        <v>0</v>
      </c>
      <c r="H485" s="102" t="n">
        <v>1</v>
      </c>
      <c r="I485" s="4" t="str">
        <f aca="false">IF(COUNT(E485:F485)&lt;2,"N/A",IF(ABS(G485)&lt;=H485,"OK","❌"))</f>
        <v>OK</v>
      </c>
      <c r="J485" s="102" t="s">
        <v>1932</v>
      </c>
      <c r="K485" s="4" t="str">
        <f aca="false">IF(I485=J485,"✔ sesuai","✖ TIDAK sesuai")</f>
        <v>✔ sesuai</v>
      </c>
      <c r="L485" s="103"/>
    </row>
    <row r="486" customFormat="false" ht="15" hidden="false" customHeight="false" outlineLevel="0" collapsed="false">
      <c r="A486" s="13" t="n">
        <v>480</v>
      </c>
      <c r="B486" s="13" t="s">
        <v>2103</v>
      </c>
      <c r="C486" s="13" t="s">
        <v>2108</v>
      </c>
      <c r="D486" s="13" t="n">
        <v>2026</v>
      </c>
      <c r="E486" s="50" t="n">
        <f aca="false">IF(BS_Proj!I6&gt;=0,0,1)</f>
        <v>0</v>
      </c>
      <c r="F486" s="73" t="n">
        <f aca="false">0</f>
        <v>0</v>
      </c>
      <c r="G486" s="101" t="n">
        <f aca="false">IF(COUNT(E486:F486)=2,E486-F486,"")</f>
        <v>0</v>
      </c>
      <c r="H486" s="102" t="n">
        <v>1</v>
      </c>
      <c r="I486" s="4" t="str">
        <f aca="false">IF(COUNT(E486:F486)&lt;2,"N/A",IF(ABS(G486)&lt;=H486,"OK","❌"))</f>
        <v>OK</v>
      </c>
      <c r="J486" s="102" t="s">
        <v>1932</v>
      </c>
      <c r="K486" s="4" t="str">
        <f aca="false">IF(I486=J486,"✔ sesuai","✖ TIDAK sesuai")</f>
        <v>✔ sesuai</v>
      </c>
      <c r="L486" s="103"/>
    </row>
    <row r="487" customFormat="false" ht="15" hidden="false" customHeight="false" outlineLevel="0" collapsed="false">
      <c r="A487" s="13" t="n">
        <v>481</v>
      </c>
      <c r="B487" s="13" t="s">
        <v>2103</v>
      </c>
      <c r="C487" s="13" t="s">
        <v>2104</v>
      </c>
      <c r="D487" s="13" t="n">
        <v>2027</v>
      </c>
      <c r="E487" s="50" t="n">
        <f aca="false">BS_Proj!J15</f>
        <v>4032915580466.44</v>
      </c>
      <c r="F487" s="50" t="n">
        <f aca="false">BS_Proj!J29</f>
        <v>4032915580466.44</v>
      </c>
      <c r="G487" s="101" t="n">
        <f aca="false">IF(COUNT(E487:F487)=2,E487-F487,"")</f>
        <v>0</v>
      </c>
      <c r="H487" s="102" t="n">
        <v>1</v>
      </c>
      <c r="I487" s="4" t="str">
        <f aca="false">IF(COUNT(E487:F487)&lt;2,"N/A",IF(ABS(G487)&lt;=H487,"OK","❌"))</f>
        <v>OK</v>
      </c>
      <c r="J487" s="102" t="s">
        <v>1932</v>
      </c>
      <c r="K487" s="4" t="str">
        <f aca="false">IF(I487=J487,"✔ sesuai","✖ TIDAK sesuai")</f>
        <v>✔ sesuai</v>
      </c>
      <c r="L487" s="103"/>
    </row>
    <row r="488" customFormat="false" ht="15" hidden="false" customHeight="false" outlineLevel="0" collapsed="false">
      <c r="A488" s="13" t="n">
        <v>482</v>
      </c>
      <c r="B488" s="13" t="s">
        <v>2103</v>
      </c>
      <c r="C488" s="13" t="s">
        <v>2105</v>
      </c>
      <c r="D488" s="13" t="n">
        <v>2027</v>
      </c>
      <c r="E488" s="50" t="n">
        <f aca="false">CF_Proj!J26</f>
        <v>633171591466.246</v>
      </c>
      <c r="F488" s="50" t="n">
        <f aca="false">BS_Proj!J6</f>
        <v>633171591466.246</v>
      </c>
      <c r="G488" s="101" t="n">
        <f aca="false">IF(COUNT(E488:F488)=2,E488-F488,"")</f>
        <v>0</v>
      </c>
      <c r="H488" s="102" t="n">
        <v>1</v>
      </c>
      <c r="I488" s="4" t="str">
        <f aca="false">IF(COUNT(E488:F488)&lt;2,"N/A",IF(ABS(G488)&lt;=H488,"OK","❌"))</f>
        <v>OK</v>
      </c>
      <c r="J488" s="102" t="s">
        <v>1932</v>
      </c>
      <c r="K488" s="4" t="str">
        <f aca="false">IF(I488=J488,"✔ sesuai","✖ TIDAK sesuai")</f>
        <v>✔ sesuai</v>
      </c>
      <c r="L488" s="103"/>
    </row>
    <row r="489" customFormat="false" ht="15" hidden="false" customHeight="false" outlineLevel="0" collapsed="false">
      <c r="A489" s="13" t="n">
        <v>483</v>
      </c>
      <c r="B489" s="13" t="s">
        <v>2103</v>
      </c>
      <c r="C489" s="13" t="s">
        <v>2106</v>
      </c>
      <c r="D489" s="13" t="n">
        <v>2027</v>
      </c>
      <c r="E489" s="50" t="n">
        <f aca="false">BS_Proj!J25</f>
        <v>324818103946.937</v>
      </c>
      <c r="F489" s="50" t="n">
        <f aca="false">BS_Proj!I25+IS_Proj!J29+CF_Proj!J18</f>
        <v>324818103946.937</v>
      </c>
      <c r="G489" s="101" t="n">
        <f aca="false">IF(COUNT(E489:F489)=2,E489-F489,"")</f>
        <v>0</v>
      </c>
      <c r="H489" s="102" t="n">
        <v>1</v>
      </c>
      <c r="I489" s="4" t="str">
        <f aca="false">IF(COUNT(E489:F489)&lt;2,"N/A",IF(ABS(G489)&lt;=H489,"OK","❌"))</f>
        <v>OK</v>
      </c>
      <c r="J489" s="102" t="s">
        <v>1932</v>
      </c>
      <c r="K489" s="4" t="str">
        <f aca="false">IF(I489=J489,"✔ sesuai","✖ TIDAK sesuai")</f>
        <v>✔ sesuai</v>
      </c>
      <c r="L489" s="103"/>
    </row>
    <row r="490" customFormat="false" ht="15" hidden="false" customHeight="false" outlineLevel="0" collapsed="false">
      <c r="A490" s="13" t="n">
        <v>484</v>
      </c>
      <c r="B490" s="13" t="s">
        <v>2103</v>
      </c>
      <c r="C490" s="13" t="s">
        <v>2107</v>
      </c>
      <c r="D490" s="13" t="n">
        <v>2027</v>
      </c>
      <c r="E490" s="50" t="n">
        <f aca="false">BS_Proj!J11</f>
        <v>2559806322532.24</v>
      </c>
      <c r="F490" s="50" t="n">
        <f aca="false">BS_Proj!I11+Schedules_Proj!J7-Schedules_Proj!J8</f>
        <v>2559806322532.24</v>
      </c>
      <c r="G490" s="101" t="n">
        <f aca="false">IF(COUNT(E490:F490)=2,E490-F490,"")</f>
        <v>0</v>
      </c>
      <c r="H490" s="102" t="n">
        <v>1</v>
      </c>
      <c r="I490" s="4" t="str">
        <f aca="false">IF(COUNT(E490:F490)&lt;2,"N/A",IF(ABS(G490)&lt;=H490,"OK","❌"))</f>
        <v>OK</v>
      </c>
      <c r="J490" s="102" t="s">
        <v>1932</v>
      </c>
      <c r="K490" s="4" t="str">
        <f aca="false">IF(I490=J490,"✔ sesuai","✖ TIDAK sesuai")</f>
        <v>✔ sesuai</v>
      </c>
      <c r="L490" s="103"/>
    </row>
    <row r="491" customFormat="false" ht="15" hidden="false" customHeight="false" outlineLevel="0" collapsed="false">
      <c r="A491" s="13" t="n">
        <v>485</v>
      </c>
      <c r="B491" s="13" t="s">
        <v>2103</v>
      </c>
      <c r="C491" s="13" t="s">
        <v>2108</v>
      </c>
      <c r="D491" s="13" t="n">
        <v>2027</v>
      </c>
      <c r="E491" s="50" t="n">
        <f aca="false">IF(BS_Proj!J6&gt;=0,0,1)</f>
        <v>0</v>
      </c>
      <c r="F491" s="73" t="n">
        <f aca="false">0</f>
        <v>0</v>
      </c>
      <c r="G491" s="101" t="n">
        <f aca="false">IF(COUNT(E491:F491)=2,E491-F491,"")</f>
        <v>0</v>
      </c>
      <c r="H491" s="102" t="n">
        <v>1</v>
      </c>
      <c r="I491" s="4" t="str">
        <f aca="false">IF(COUNT(E491:F491)&lt;2,"N/A",IF(ABS(G491)&lt;=H491,"OK","❌"))</f>
        <v>OK</v>
      </c>
      <c r="J491" s="102" t="s">
        <v>1932</v>
      </c>
      <c r="K491" s="4" t="str">
        <f aca="false">IF(I491=J491,"✔ sesuai","✖ TIDAK sesuai")</f>
        <v>✔ sesuai</v>
      </c>
      <c r="L491" s="103"/>
    </row>
    <row r="492" customFormat="false" ht="15" hidden="false" customHeight="false" outlineLevel="0" collapsed="false">
      <c r="A492" s="13" t="n">
        <v>486</v>
      </c>
      <c r="B492" s="13" t="s">
        <v>2103</v>
      </c>
      <c r="C492" s="13" t="s">
        <v>2104</v>
      </c>
      <c r="D492" s="13" t="n">
        <v>2028</v>
      </c>
      <c r="E492" s="50" t="n">
        <f aca="false">BS_Proj!K15</f>
        <v>4052062385283.6</v>
      </c>
      <c r="F492" s="50" t="n">
        <f aca="false">BS_Proj!K29</f>
        <v>4052062385283.6</v>
      </c>
      <c r="G492" s="101" t="n">
        <f aca="false">IF(COUNT(E492:F492)=2,E492-F492,"")</f>
        <v>0</v>
      </c>
      <c r="H492" s="102" t="n">
        <v>1</v>
      </c>
      <c r="I492" s="4" t="str">
        <f aca="false">IF(COUNT(E492:F492)&lt;2,"N/A",IF(ABS(G492)&lt;=H492,"OK","❌"))</f>
        <v>OK</v>
      </c>
      <c r="J492" s="102" t="s">
        <v>1932</v>
      </c>
      <c r="K492" s="4" t="str">
        <f aca="false">IF(I492=J492,"✔ sesuai","✖ TIDAK sesuai")</f>
        <v>✔ sesuai</v>
      </c>
      <c r="L492" s="103"/>
    </row>
    <row r="493" customFormat="false" ht="15" hidden="false" customHeight="false" outlineLevel="0" collapsed="false">
      <c r="A493" s="13" t="n">
        <v>487</v>
      </c>
      <c r="B493" s="13" t="s">
        <v>2103</v>
      </c>
      <c r="C493" s="13" t="s">
        <v>2105</v>
      </c>
      <c r="D493" s="13" t="n">
        <v>2028</v>
      </c>
      <c r="E493" s="50" t="n">
        <f aca="false">CF_Proj!K26</f>
        <v>536695015295.169</v>
      </c>
      <c r="F493" s="50" t="n">
        <f aca="false">BS_Proj!K6</f>
        <v>536695015295.169</v>
      </c>
      <c r="G493" s="101" t="n">
        <f aca="false">IF(COUNT(E493:F493)=2,E493-F493,"")</f>
        <v>0</v>
      </c>
      <c r="H493" s="102" t="n">
        <v>1</v>
      </c>
      <c r="I493" s="4" t="str">
        <f aca="false">IF(COUNT(E493:F493)&lt;2,"N/A",IF(ABS(G493)&lt;=H493,"OK","❌"))</f>
        <v>OK</v>
      </c>
      <c r="J493" s="102" t="s">
        <v>1932</v>
      </c>
      <c r="K493" s="4" t="str">
        <f aca="false">IF(I493=J493,"✔ sesuai","✖ TIDAK sesuai")</f>
        <v>✔ sesuai</v>
      </c>
      <c r="L493" s="103"/>
    </row>
    <row r="494" customFormat="false" ht="15" hidden="false" customHeight="false" outlineLevel="0" collapsed="false">
      <c r="A494" s="13" t="n">
        <v>488</v>
      </c>
      <c r="B494" s="13" t="s">
        <v>2103</v>
      </c>
      <c r="C494" s="13" t="s">
        <v>2106</v>
      </c>
      <c r="D494" s="13" t="n">
        <v>2028</v>
      </c>
      <c r="E494" s="50" t="n">
        <f aca="false">BS_Proj!K25</f>
        <v>333427871303.067</v>
      </c>
      <c r="F494" s="50" t="n">
        <f aca="false">BS_Proj!J25+IS_Proj!K29+CF_Proj!K18</f>
        <v>333427871303.067</v>
      </c>
      <c r="G494" s="101" t="n">
        <f aca="false">IF(COUNT(E494:F494)=2,E494-F494,"")</f>
        <v>0</v>
      </c>
      <c r="H494" s="102" t="n">
        <v>1</v>
      </c>
      <c r="I494" s="4" t="str">
        <f aca="false">IF(COUNT(E494:F494)&lt;2,"N/A",IF(ABS(G494)&lt;=H494,"OK","❌"))</f>
        <v>OK</v>
      </c>
      <c r="J494" s="102" t="s">
        <v>1932</v>
      </c>
      <c r="K494" s="4" t="str">
        <f aca="false">IF(I494=J494,"✔ sesuai","✖ TIDAK sesuai")</f>
        <v>✔ sesuai</v>
      </c>
      <c r="L494" s="103"/>
    </row>
    <row r="495" customFormat="false" ht="15" hidden="false" customHeight="false" outlineLevel="0" collapsed="false">
      <c r="A495" s="13" t="n">
        <v>489</v>
      </c>
      <c r="B495" s="13" t="s">
        <v>2103</v>
      </c>
      <c r="C495" s="13" t="s">
        <v>2107</v>
      </c>
      <c r="D495" s="13" t="n">
        <v>2028</v>
      </c>
      <c r="E495" s="50" t="n">
        <f aca="false">BS_Proj!K11</f>
        <v>2665150772001.99</v>
      </c>
      <c r="F495" s="50" t="n">
        <f aca="false">BS_Proj!J11+Schedules_Proj!K7-Schedules_Proj!K8</f>
        <v>2665150772001.99</v>
      </c>
      <c r="G495" s="101" t="n">
        <f aca="false">IF(COUNT(E495:F495)=2,E495-F495,"")</f>
        <v>0</v>
      </c>
      <c r="H495" s="102" t="n">
        <v>1</v>
      </c>
      <c r="I495" s="4" t="str">
        <f aca="false">IF(COUNT(E495:F495)&lt;2,"N/A",IF(ABS(G495)&lt;=H495,"OK","❌"))</f>
        <v>OK</v>
      </c>
      <c r="J495" s="102" t="s">
        <v>1932</v>
      </c>
      <c r="K495" s="4" t="str">
        <f aca="false">IF(I495=J495,"✔ sesuai","✖ TIDAK sesuai")</f>
        <v>✔ sesuai</v>
      </c>
      <c r="L495" s="103"/>
    </row>
    <row r="496" customFormat="false" ht="15" hidden="false" customHeight="false" outlineLevel="0" collapsed="false">
      <c r="A496" s="13" t="n">
        <v>490</v>
      </c>
      <c r="B496" s="13" t="s">
        <v>2103</v>
      </c>
      <c r="C496" s="13" t="s">
        <v>2108</v>
      </c>
      <c r="D496" s="13" t="n">
        <v>2028</v>
      </c>
      <c r="E496" s="50" t="n">
        <f aca="false">IF(BS_Proj!K6&gt;=0,0,1)</f>
        <v>0</v>
      </c>
      <c r="F496" s="73" t="n">
        <f aca="false">0</f>
        <v>0</v>
      </c>
      <c r="G496" s="101" t="n">
        <f aca="false">IF(COUNT(E496:F496)=2,E496-F496,"")</f>
        <v>0</v>
      </c>
      <c r="H496" s="102" t="n">
        <v>1</v>
      </c>
      <c r="I496" s="4" t="str">
        <f aca="false">IF(COUNT(E496:F496)&lt;2,"N/A",IF(ABS(G496)&lt;=H496,"OK","❌"))</f>
        <v>OK</v>
      </c>
      <c r="J496" s="102" t="s">
        <v>1932</v>
      </c>
      <c r="K496" s="4" t="str">
        <f aca="false">IF(I496=J496,"✔ sesuai","✖ TIDAK sesuai")</f>
        <v>✔ sesuai</v>
      </c>
      <c r="L496" s="103"/>
    </row>
    <row r="497" customFormat="false" ht="15" hidden="false" customHeight="false" outlineLevel="0" collapsed="false">
      <c r="A497" s="13" t="n">
        <v>491</v>
      </c>
      <c r="B497" s="13" t="s">
        <v>2103</v>
      </c>
      <c r="C497" s="13" t="s">
        <v>2104</v>
      </c>
      <c r="D497" s="13" t="n">
        <v>2029</v>
      </c>
      <c r="E497" s="50" t="n">
        <f aca="false">BS_Proj!L15</f>
        <v>4073288677247.71</v>
      </c>
      <c r="F497" s="50" t="n">
        <f aca="false">BS_Proj!L29</f>
        <v>4073288677247.71</v>
      </c>
      <c r="G497" s="101" t="n">
        <f aca="false">IF(COUNT(E497:F497)=2,E497-F497,"")</f>
        <v>0</v>
      </c>
      <c r="H497" s="102" t="n">
        <v>1</v>
      </c>
      <c r="I497" s="4" t="str">
        <f aca="false">IF(COUNT(E497:F497)&lt;2,"N/A",IF(ABS(G497)&lt;=H497,"OK","❌"))</f>
        <v>OK</v>
      </c>
      <c r="J497" s="102" t="s">
        <v>1932</v>
      </c>
      <c r="K497" s="4" t="str">
        <f aca="false">IF(I497=J497,"✔ sesuai","✖ TIDAK sesuai")</f>
        <v>✔ sesuai</v>
      </c>
      <c r="L497" s="103"/>
    </row>
    <row r="498" customFormat="false" ht="15" hidden="false" customHeight="false" outlineLevel="0" collapsed="false">
      <c r="A498" s="13" t="n">
        <v>492</v>
      </c>
      <c r="B498" s="13" t="s">
        <v>2103</v>
      </c>
      <c r="C498" s="13" t="s">
        <v>2105</v>
      </c>
      <c r="D498" s="13" t="n">
        <v>2029</v>
      </c>
      <c r="E498" s="50" t="n">
        <f aca="false">CF_Proj!L26</f>
        <v>436444492170.649</v>
      </c>
      <c r="F498" s="50" t="n">
        <f aca="false">BS_Proj!L6</f>
        <v>436444492170.649</v>
      </c>
      <c r="G498" s="101" t="n">
        <f aca="false">IF(COUNT(E498:F498)=2,E498-F498,"")</f>
        <v>0</v>
      </c>
      <c r="H498" s="102" t="n">
        <v>1</v>
      </c>
      <c r="I498" s="4" t="str">
        <f aca="false">IF(COUNT(E498:F498)&lt;2,"N/A",IF(ABS(G498)&lt;=H498,"OK","❌"))</f>
        <v>OK</v>
      </c>
      <c r="J498" s="102" t="s">
        <v>1932</v>
      </c>
      <c r="K498" s="4" t="str">
        <f aca="false">IF(I498=J498,"✔ sesuai","✖ TIDAK sesuai")</f>
        <v>✔ sesuai</v>
      </c>
      <c r="L498" s="103"/>
    </row>
    <row r="499" customFormat="false" ht="15" hidden="false" customHeight="false" outlineLevel="0" collapsed="false">
      <c r="A499" s="13" t="n">
        <v>493</v>
      </c>
      <c r="B499" s="13" t="s">
        <v>2103</v>
      </c>
      <c r="C499" s="13" t="s">
        <v>2106</v>
      </c>
      <c r="D499" s="13" t="n">
        <v>2029</v>
      </c>
      <c r="E499" s="50" t="n">
        <f aca="false">BS_Proj!L25</f>
        <v>343078327673.442</v>
      </c>
      <c r="F499" s="50" t="n">
        <f aca="false">BS_Proj!K25+IS_Proj!L29+CF_Proj!L18</f>
        <v>343078327673.442</v>
      </c>
      <c r="G499" s="101" t="n">
        <f aca="false">IF(COUNT(E499:F499)=2,E499-F499,"")</f>
        <v>0</v>
      </c>
      <c r="H499" s="102" t="n">
        <v>1</v>
      </c>
      <c r="I499" s="4" t="str">
        <f aca="false">IF(COUNT(E499:F499)&lt;2,"N/A",IF(ABS(G499)&lt;=H499,"OK","❌"))</f>
        <v>OK</v>
      </c>
      <c r="J499" s="102" t="s">
        <v>1932</v>
      </c>
      <c r="K499" s="4" t="str">
        <f aca="false">IF(I499=J499,"✔ sesuai","✖ TIDAK sesuai")</f>
        <v>✔ sesuai</v>
      </c>
      <c r="L499" s="103"/>
    </row>
    <row r="500" customFormat="false" ht="15" hidden="false" customHeight="false" outlineLevel="0" collapsed="false">
      <c r="A500" s="13" t="n">
        <v>494</v>
      </c>
      <c r="B500" s="13" t="s">
        <v>2103</v>
      </c>
      <c r="C500" s="13" t="s">
        <v>2107</v>
      </c>
      <c r="D500" s="13" t="n">
        <v>2029</v>
      </c>
      <c r="E500" s="50" t="n">
        <f aca="false">BS_Proj!L11</f>
        <v>2775797358956.5</v>
      </c>
      <c r="F500" s="50" t="n">
        <f aca="false">BS_Proj!K11+Schedules_Proj!L7-Schedules_Proj!L8</f>
        <v>2775797358956.5</v>
      </c>
      <c r="G500" s="101" t="n">
        <f aca="false">IF(COUNT(E500:F500)=2,E500-F500,"")</f>
        <v>0</v>
      </c>
      <c r="H500" s="102" t="n">
        <v>1</v>
      </c>
      <c r="I500" s="4" t="str">
        <f aca="false">IF(COUNT(E500:F500)&lt;2,"N/A",IF(ABS(G500)&lt;=H500,"OK","❌"))</f>
        <v>OK</v>
      </c>
      <c r="J500" s="102" t="s">
        <v>1932</v>
      </c>
      <c r="K500" s="4" t="str">
        <f aca="false">IF(I500=J500,"✔ sesuai","✖ TIDAK sesuai")</f>
        <v>✔ sesuai</v>
      </c>
      <c r="L500" s="103"/>
    </row>
    <row r="501" customFormat="false" ht="15" hidden="false" customHeight="false" outlineLevel="0" collapsed="false">
      <c r="A501" s="13" t="n">
        <v>495</v>
      </c>
      <c r="B501" s="13" t="s">
        <v>2103</v>
      </c>
      <c r="C501" s="13" t="s">
        <v>2108</v>
      </c>
      <c r="D501" s="13" t="n">
        <v>2029</v>
      </c>
      <c r="E501" s="50" t="n">
        <f aca="false">IF(BS_Proj!L6&gt;=0,0,1)</f>
        <v>0</v>
      </c>
      <c r="F501" s="73" t="n">
        <f aca="false">0</f>
        <v>0</v>
      </c>
      <c r="G501" s="101" t="n">
        <f aca="false">IF(COUNT(E501:F501)=2,E501-F501,"")</f>
        <v>0</v>
      </c>
      <c r="H501" s="102" t="n">
        <v>1</v>
      </c>
      <c r="I501" s="4" t="str">
        <f aca="false">IF(COUNT(E501:F501)&lt;2,"N/A",IF(ABS(G501)&lt;=H501,"OK","❌"))</f>
        <v>OK</v>
      </c>
      <c r="J501" s="102" t="s">
        <v>1932</v>
      </c>
      <c r="K501" s="4" t="str">
        <f aca="false">IF(I501=J501,"✔ sesuai","✖ TIDAK sesuai")</f>
        <v>✔ sesuai</v>
      </c>
      <c r="L501" s="103"/>
    </row>
    <row r="502" customFormat="false" ht="15" hidden="false" customHeight="false" outlineLevel="0" collapsed="false">
      <c r="A502" s="13" t="n">
        <v>496</v>
      </c>
      <c r="B502" s="13" t="s">
        <v>2103</v>
      </c>
      <c r="C502" s="13" t="s">
        <v>2104</v>
      </c>
      <c r="D502" s="13" t="n">
        <v>2030</v>
      </c>
      <c r="E502" s="50" t="n">
        <f aca="false">BS_Proj!M15</f>
        <v>4096730595502.41</v>
      </c>
      <c r="F502" s="50" t="n">
        <f aca="false">BS_Proj!M29</f>
        <v>4096730595502.41</v>
      </c>
      <c r="G502" s="101" t="n">
        <f aca="false">IF(COUNT(E502:F502)=2,E502-F502,"")</f>
        <v>0</v>
      </c>
      <c r="H502" s="102" t="n">
        <v>1</v>
      </c>
      <c r="I502" s="4" t="str">
        <f aca="false">IF(COUNT(E502:F502)&lt;2,"N/A",IF(ABS(G502)&lt;=H502,"OK","❌"))</f>
        <v>OK</v>
      </c>
      <c r="J502" s="102" t="s">
        <v>1932</v>
      </c>
      <c r="K502" s="4" t="str">
        <f aca="false">IF(I502=J502,"✔ sesuai","✖ TIDAK sesuai")</f>
        <v>✔ sesuai</v>
      </c>
      <c r="L502" s="103"/>
    </row>
    <row r="503" customFormat="false" ht="15" hidden="false" customHeight="false" outlineLevel="0" collapsed="false">
      <c r="A503" s="13" t="n">
        <v>497</v>
      </c>
      <c r="B503" s="13" t="s">
        <v>2103</v>
      </c>
      <c r="C503" s="13" t="s">
        <v>2105</v>
      </c>
      <c r="D503" s="13" t="n">
        <v>2030</v>
      </c>
      <c r="E503" s="50" t="n">
        <f aca="false">CF_Proj!M26</f>
        <v>332218903476.068</v>
      </c>
      <c r="F503" s="50" t="n">
        <f aca="false">BS_Proj!M6</f>
        <v>332218903476.068</v>
      </c>
      <c r="G503" s="101" t="n">
        <f aca="false">IF(COUNT(E503:F503)=2,E503-F503,"")</f>
        <v>0</v>
      </c>
      <c r="H503" s="102" t="n">
        <v>1</v>
      </c>
      <c r="I503" s="4" t="str">
        <f aca="false">IF(COUNT(E503:F503)&lt;2,"N/A",IF(ABS(G503)&lt;=H503,"OK","❌"))</f>
        <v>OK</v>
      </c>
      <c r="J503" s="102" t="s">
        <v>1932</v>
      </c>
      <c r="K503" s="4" t="str">
        <f aca="false">IF(I503=J503,"✔ sesuai","✖ TIDAK sesuai")</f>
        <v>✔ sesuai</v>
      </c>
      <c r="L503" s="103"/>
    </row>
    <row r="504" customFormat="false" ht="15" hidden="false" customHeight="false" outlineLevel="0" collapsed="false">
      <c r="A504" s="13" t="n">
        <v>498</v>
      </c>
      <c r="B504" s="13" t="s">
        <v>2103</v>
      </c>
      <c r="C504" s="13" t="s">
        <v>2106</v>
      </c>
      <c r="D504" s="13" t="n">
        <v>2030</v>
      </c>
      <c r="E504" s="50" t="n">
        <f aca="false">BS_Proj!M25</f>
        <v>353838080743.526</v>
      </c>
      <c r="F504" s="50" t="n">
        <f aca="false">BS_Proj!L25+IS_Proj!M29+CF_Proj!M18</f>
        <v>353838080743.526</v>
      </c>
      <c r="G504" s="101" t="n">
        <f aca="false">IF(COUNT(E504:F504)=2,E504-F504,"")</f>
        <v>0</v>
      </c>
      <c r="H504" s="102" t="n">
        <v>1</v>
      </c>
      <c r="I504" s="4" t="str">
        <f aca="false">IF(COUNT(E504:F504)&lt;2,"N/A",IF(ABS(G504)&lt;=H504,"OK","❌"))</f>
        <v>OK</v>
      </c>
      <c r="J504" s="102" t="s">
        <v>1932</v>
      </c>
      <c r="K504" s="4" t="str">
        <f aca="false">IF(I504=J504,"✔ sesuai","✖ TIDAK sesuai")</f>
        <v>✔ sesuai</v>
      </c>
      <c r="L504" s="103"/>
    </row>
    <row r="505" customFormat="false" ht="15" hidden="false" customHeight="false" outlineLevel="0" collapsed="false">
      <c r="A505" s="13" t="n">
        <v>499</v>
      </c>
      <c r="B505" s="13" t="s">
        <v>2103</v>
      </c>
      <c r="C505" s="13" t="s">
        <v>2107</v>
      </c>
      <c r="D505" s="13" t="n">
        <v>2030</v>
      </c>
      <c r="E505" s="50" t="n">
        <f aca="false">BS_Proj!M11</f>
        <v>2892049797250.67</v>
      </c>
      <c r="F505" s="50" t="n">
        <f aca="false">BS_Proj!L11+Schedules_Proj!M7-Schedules_Proj!M8</f>
        <v>2892049797250.67</v>
      </c>
      <c r="G505" s="101" t="n">
        <f aca="false">IF(COUNT(E505:F505)=2,E505-F505,"")</f>
        <v>0</v>
      </c>
      <c r="H505" s="102" t="n">
        <v>1</v>
      </c>
      <c r="I505" s="4" t="str">
        <f aca="false">IF(COUNT(E505:F505)&lt;2,"N/A",IF(ABS(G505)&lt;=H505,"OK","❌"))</f>
        <v>OK</v>
      </c>
      <c r="J505" s="102" t="s">
        <v>1932</v>
      </c>
      <c r="K505" s="4" t="str">
        <f aca="false">IF(I505=J505,"✔ sesuai","✖ TIDAK sesuai")</f>
        <v>✔ sesuai</v>
      </c>
      <c r="L505" s="103"/>
    </row>
    <row r="506" customFormat="false" ht="15" hidden="false" customHeight="false" outlineLevel="0" collapsed="false">
      <c r="A506" s="13" t="n">
        <v>500</v>
      </c>
      <c r="B506" s="13" t="s">
        <v>2103</v>
      </c>
      <c r="C506" s="13" t="s">
        <v>2108</v>
      </c>
      <c r="D506" s="13" t="n">
        <v>2030</v>
      </c>
      <c r="E506" s="50" t="n">
        <f aca="false">IF(BS_Proj!M6&gt;=0,0,1)</f>
        <v>0</v>
      </c>
      <c r="F506" s="73" t="n">
        <f aca="false">0</f>
        <v>0</v>
      </c>
      <c r="G506" s="101" t="n">
        <f aca="false">IF(COUNT(E506:F506)=2,E506-F506,"")</f>
        <v>0</v>
      </c>
      <c r="H506" s="102" t="n">
        <v>1</v>
      </c>
      <c r="I506" s="4" t="str">
        <f aca="false">IF(COUNT(E506:F506)&lt;2,"N/A",IF(ABS(G506)&lt;=H506,"OK","❌"))</f>
        <v>OK</v>
      </c>
      <c r="J506" s="102" t="s">
        <v>1932</v>
      </c>
      <c r="K506" s="4" t="str">
        <f aca="false">IF(I506=J506,"✔ sesuai","✖ TIDAK sesuai")</f>
        <v>✔ sesuai</v>
      </c>
      <c r="L506" s="103"/>
    </row>
  </sheetData>
  <autoFilter ref="A6:L506"/>
  <conditionalFormatting sqref="K7:K506">
    <cfRule type="cellIs" priority="2" operator="equal" aboveAverage="0" equalAverage="0" bottom="0" percent="0" rank="0" text="" dxfId="0">
      <formula>"✖ TIDAK sesuai"</formula>
    </cfRule>
  </conditionalFormatting>
  <conditionalFormatting sqref="I7:I506">
    <cfRule type="cellIs" priority="3" operator="equal" aboveAverage="0" equalAverage="0" bottom="0" percent="0" rank="0" text="" dxfId="10">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2109</v>
      </c>
    </row>
    <row r="2" customFormat="false" ht="15" hidden="false" customHeight="false" outlineLevel="0" collapsed="false">
      <c r="A2" s="15" t="s">
        <v>2110</v>
      </c>
    </row>
    <row r="4" customFormat="false" ht="15" hidden="false" customHeight="false" outlineLevel="0" collapsed="false">
      <c r="A4" s="25" t="s">
        <v>339</v>
      </c>
      <c r="B4" s="25" t="s">
        <v>2111</v>
      </c>
      <c r="C4" s="25" t="s">
        <v>1922</v>
      </c>
      <c r="D4" s="25" t="s">
        <v>1923</v>
      </c>
      <c r="E4" s="25" t="s">
        <v>1924</v>
      </c>
      <c r="F4" s="25" t="s">
        <v>2112</v>
      </c>
      <c r="G4" s="25" t="s">
        <v>2113</v>
      </c>
      <c r="H4" s="25" t="s">
        <v>2114</v>
      </c>
    </row>
    <row r="5" customFormat="false" ht="64.5" hidden="false" customHeight="true" outlineLevel="0" collapsed="false">
      <c r="A5" s="105" t="s">
        <v>2115</v>
      </c>
      <c r="B5" s="10" t="s">
        <v>2116</v>
      </c>
      <c r="C5" s="106" t="n">
        <v>641524826591</v>
      </c>
      <c r="D5" s="106" t="n">
        <v>624986556241</v>
      </c>
      <c r="E5" s="107" t="n">
        <f aca="false">C5-D5</f>
        <v>16538270350</v>
      </c>
      <c r="F5" s="10" t="s">
        <v>2117</v>
      </c>
      <c r="G5" s="10" t="s">
        <v>2118</v>
      </c>
      <c r="H5" s="10" t="s">
        <v>2119</v>
      </c>
    </row>
    <row r="6" customFormat="false" ht="39" hidden="false" customHeight="true" outlineLevel="0" collapsed="false">
      <c r="A6" s="105" t="s">
        <v>2120</v>
      </c>
      <c r="B6" s="10" t="s">
        <v>2121</v>
      </c>
      <c r="C6" s="106" t="n">
        <v>246766622372</v>
      </c>
      <c r="D6" s="106" t="n">
        <v>245766622372</v>
      </c>
      <c r="E6" s="107" t="n">
        <f aca="false">C6-D6</f>
        <v>1000000000</v>
      </c>
      <c r="F6" s="10" t="s">
        <v>2122</v>
      </c>
      <c r="G6" s="10" t="s">
        <v>2123</v>
      </c>
      <c r="H6" s="10" t="s">
        <v>2124</v>
      </c>
    </row>
    <row r="7" customFormat="false" ht="30" hidden="false" customHeight="true" outlineLevel="0" collapsed="false">
      <c r="A7" s="105" t="s">
        <v>2125</v>
      </c>
      <c r="B7" s="10" t="s">
        <v>2126</v>
      </c>
      <c r="C7" s="106" t="n">
        <v>3917650839</v>
      </c>
      <c r="D7" s="106" t="n">
        <v>2912223986</v>
      </c>
      <c r="E7" s="107" t="n">
        <f aca="false">C7-D7</f>
        <v>1005426853</v>
      </c>
      <c r="F7" s="10" t="s">
        <v>2127</v>
      </c>
      <c r="G7" s="10" t="s">
        <v>2128</v>
      </c>
      <c r="H7" s="10" t="s">
        <v>2129</v>
      </c>
    </row>
    <row r="8" customFormat="false" ht="30" hidden="false" customHeight="true" outlineLevel="0" collapsed="false">
      <c r="A8" s="105" t="s">
        <v>2130</v>
      </c>
      <c r="B8" s="10" t="s">
        <v>2131</v>
      </c>
      <c r="C8" s="106" t="n">
        <v>380294833</v>
      </c>
      <c r="D8" s="106" t="n">
        <v>1229779851</v>
      </c>
      <c r="E8" s="107" t="n">
        <f aca="false">C8-D8</f>
        <v>-849485018</v>
      </c>
      <c r="F8" s="10" t="s">
        <v>2132</v>
      </c>
      <c r="G8" s="10" t="s">
        <v>2133</v>
      </c>
      <c r="H8" s="10" t="s">
        <v>2134</v>
      </c>
    </row>
    <row r="9" customFormat="false" ht="30" hidden="false" customHeight="true" outlineLevel="0" collapsed="false">
      <c r="A9" s="105" t="s">
        <v>2135</v>
      </c>
      <c r="B9" s="10" t="s">
        <v>2136</v>
      </c>
      <c r="C9" s="106" t="n">
        <v>-437923710</v>
      </c>
      <c r="D9" s="106" t="n">
        <v>442376083</v>
      </c>
      <c r="E9" s="107" t="n">
        <f aca="false">C9-D9</f>
        <v>-880299793</v>
      </c>
      <c r="F9" s="10" t="s">
        <v>2137</v>
      </c>
      <c r="G9" s="10" t="s">
        <v>2138</v>
      </c>
      <c r="H9" s="10" t="s">
        <v>2134</v>
      </c>
    </row>
    <row r="10" customFormat="false" ht="51.75" hidden="false" customHeight="true" outlineLevel="0" collapsed="false">
      <c r="A10" s="105" t="s">
        <v>2139</v>
      </c>
      <c r="B10" s="10" t="s">
        <v>2140</v>
      </c>
      <c r="C10" s="106" t="n">
        <v>44</v>
      </c>
      <c r="D10" s="106" t="n">
        <v>24.93</v>
      </c>
      <c r="E10" s="107" t="n">
        <f aca="false">C10-D10</f>
        <v>19.07</v>
      </c>
      <c r="F10" s="10" t="s">
        <v>2141</v>
      </c>
      <c r="G10" s="10" t="s">
        <v>2142</v>
      </c>
      <c r="H10" s="10" t="s">
        <v>2143</v>
      </c>
    </row>
    <row r="11" customFormat="false" ht="39" hidden="false" customHeight="true" outlineLevel="0" collapsed="false">
      <c r="A11" s="105" t="s">
        <v>2144</v>
      </c>
      <c r="B11" s="10" t="s">
        <v>2145</v>
      </c>
      <c r="C11" s="106" t="n">
        <v>1890800275747</v>
      </c>
      <c r="D11" s="106" t="n">
        <v>1710759215796</v>
      </c>
      <c r="E11" s="107" t="n">
        <f aca="false">C11-D11</f>
        <v>180041059951</v>
      </c>
      <c r="F11" s="10" t="s">
        <v>2122</v>
      </c>
      <c r="G11" s="10" t="s">
        <v>2146</v>
      </c>
      <c r="H11" s="10" t="s">
        <v>2147</v>
      </c>
    </row>
    <row r="12" customFormat="false" ht="51.75" hidden="false" customHeight="true" outlineLevel="0" collapsed="false">
      <c r="A12" s="105" t="s">
        <v>2148</v>
      </c>
      <c r="B12" s="10" t="s">
        <v>2149</v>
      </c>
      <c r="C12" s="106" t="n">
        <v>109010850933</v>
      </c>
      <c r="D12" s="106" t="n">
        <v>18418259365</v>
      </c>
      <c r="E12" s="107" t="n">
        <f aca="false">C12-D12</f>
        <v>90592591568</v>
      </c>
      <c r="F12" s="10" t="s">
        <v>2150</v>
      </c>
      <c r="G12" s="10" t="s">
        <v>2151</v>
      </c>
      <c r="H12" s="10" t="s">
        <v>2152</v>
      </c>
    </row>
    <row r="13" customFormat="false" ht="39" hidden="false" customHeight="true" outlineLevel="0" collapsed="false">
      <c r="A13" s="105" t="s">
        <v>2153</v>
      </c>
      <c r="B13" s="10" t="s">
        <v>2154</v>
      </c>
      <c r="C13" s="106" t="n">
        <v>887830081235</v>
      </c>
      <c r="D13" s="106" t="n">
        <v>894501841044</v>
      </c>
      <c r="E13" s="107" t="n">
        <f aca="false">C13-D13</f>
        <v>-6671759809</v>
      </c>
      <c r="F13" s="10" t="s">
        <v>2155</v>
      </c>
      <c r="G13" s="10" t="s">
        <v>2156</v>
      </c>
      <c r="H13" s="10" t="s">
        <v>2157</v>
      </c>
    </row>
    <row r="14" customFormat="false" ht="39" hidden="false" customHeight="true" outlineLevel="0" collapsed="false">
      <c r="A14" s="105" t="s">
        <v>2158</v>
      </c>
      <c r="B14" s="10" t="s">
        <v>2159</v>
      </c>
      <c r="C14" s="106" t="n">
        <v>15343229445</v>
      </c>
      <c r="D14" s="106" t="n">
        <v>256666667</v>
      </c>
      <c r="E14" s="107" t="n">
        <f aca="false">C14-D14</f>
        <v>15086562778</v>
      </c>
      <c r="F14" s="10" t="s">
        <v>2160</v>
      </c>
      <c r="G14" s="10" t="s">
        <v>2161</v>
      </c>
      <c r="H14" s="10" t="s">
        <v>2162</v>
      </c>
    </row>
    <row r="15" customFormat="false" ht="51.75" hidden="false" customHeight="true" outlineLevel="0" collapsed="false">
      <c r="A15" s="105" t="s">
        <v>2163</v>
      </c>
      <c r="B15" s="10" t="s">
        <v>2164</v>
      </c>
      <c r="C15" s="106" t="n">
        <v>15786407124</v>
      </c>
      <c r="D15" s="106" t="n">
        <v>0</v>
      </c>
      <c r="E15" s="107" t="n">
        <f aca="false">C15-D15</f>
        <v>15786407124</v>
      </c>
      <c r="F15" s="10" t="s">
        <v>2165</v>
      </c>
      <c r="G15" s="10" t="s">
        <v>2166</v>
      </c>
      <c r="H15" s="10" t="s">
        <v>2167</v>
      </c>
    </row>
    <row r="16" customFormat="false" ht="90.75" hidden="false" customHeight="true" outlineLevel="0" collapsed="false">
      <c r="A16" s="105" t="s">
        <v>2168</v>
      </c>
      <c r="B16" s="10" t="s">
        <v>2169</v>
      </c>
      <c r="C16" s="106" t="n">
        <v>234104222722</v>
      </c>
      <c r="D16" s="106" t="n">
        <v>231142399297</v>
      </c>
      <c r="E16" s="107" t="n">
        <f aca="false">C16-D16</f>
        <v>2961823425</v>
      </c>
      <c r="F16" s="10" t="s">
        <v>2170</v>
      </c>
      <c r="G16" s="10" t="s">
        <v>2171</v>
      </c>
      <c r="H16" s="10" t="s">
        <v>2172</v>
      </c>
    </row>
    <row r="17" customFormat="false" ht="39" hidden="false" customHeight="true" outlineLevel="0" collapsed="false">
      <c r="A17" s="105" t="s">
        <v>2173</v>
      </c>
      <c r="B17" s="10" t="s">
        <v>2174</v>
      </c>
      <c r="C17" s="106" t="n">
        <v>232987312663</v>
      </c>
      <c r="D17" s="106" t="n">
        <v>234104222722</v>
      </c>
      <c r="E17" s="107" t="n">
        <f aca="false">C17-D17</f>
        <v>-1116910059</v>
      </c>
      <c r="F17" s="10" t="s">
        <v>2175</v>
      </c>
      <c r="G17" s="10" t="s">
        <v>2176</v>
      </c>
      <c r="H17" s="10" t="s">
        <v>2177</v>
      </c>
    </row>
    <row r="18" customFormat="false" ht="64.5" hidden="false" customHeight="true" outlineLevel="0" collapsed="false">
      <c r="A18" s="105" t="s">
        <v>2178</v>
      </c>
      <c r="B18" s="10" t="s">
        <v>2179</v>
      </c>
      <c r="C18" s="106" t="n">
        <v>277142071270</v>
      </c>
      <c r="D18" s="106" t="n">
        <v>294346448080</v>
      </c>
      <c r="E18" s="107" t="n">
        <f aca="false">C18-D18</f>
        <v>-17204376810</v>
      </c>
      <c r="F18" s="10" t="s">
        <v>2180</v>
      </c>
      <c r="G18" s="10" t="s">
        <v>2181</v>
      </c>
      <c r="H18" s="10" t="s">
        <v>2182</v>
      </c>
    </row>
    <row r="19" customFormat="false" ht="51.75" hidden="false" customHeight="true" outlineLevel="0" collapsed="false">
      <c r="A19" s="105" t="s">
        <v>2183</v>
      </c>
      <c r="B19" s="10" t="s">
        <v>2184</v>
      </c>
      <c r="C19" s="106" t="n">
        <v>-163412509355</v>
      </c>
      <c r="D19" s="106" t="n">
        <v>-163412509355</v>
      </c>
      <c r="E19" s="107" t="n">
        <f aca="false">C19-D19</f>
        <v>0</v>
      </c>
      <c r="F19" s="10" t="s">
        <v>2185</v>
      </c>
      <c r="G19" s="10" t="s">
        <v>2186</v>
      </c>
      <c r="H19" s="10" t="s">
        <v>2187</v>
      </c>
    </row>
    <row r="20" customFormat="false" ht="64.5" hidden="false" customHeight="true" outlineLevel="0" collapsed="false">
      <c r="A20" s="105" t="s">
        <v>2188</v>
      </c>
      <c r="B20" s="10" t="s">
        <v>2189</v>
      </c>
      <c r="C20" s="106" t="n">
        <v>7461134368</v>
      </c>
      <c r="D20" s="106" t="n">
        <v>8603416176</v>
      </c>
      <c r="E20" s="107" t="n">
        <f aca="false">C20-D20</f>
        <v>-1142281808</v>
      </c>
      <c r="F20" s="10" t="s">
        <v>2190</v>
      </c>
      <c r="G20" s="10" t="s">
        <v>2191</v>
      </c>
      <c r="H20" s="10" t="s">
        <v>2192</v>
      </c>
    </row>
    <row r="21" customFormat="false" ht="78" hidden="false" customHeight="true" outlineLevel="0" collapsed="false">
      <c r="A21" s="105" t="s">
        <v>2193</v>
      </c>
      <c r="B21" s="10" t="s">
        <v>2194</v>
      </c>
      <c r="C21" s="106" t="n">
        <v>17795733673</v>
      </c>
      <c r="D21" s="106" t="n">
        <v>17254181215</v>
      </c>
      <c r="E21" s="107" t="n">
        <f aca="false">C21-D21</f>
        <v>541552458</v>
      </c>
      <c r="F21" s="10" t="s">
        <v>2195</v>
      </c>
      <c r="G21" s="10" t="s">
        <v>2196</v>
      </c>
      <c r="H21" s="10" t="s">
        <v>2197</v>
      </c>
    </row>
    <row r="22" customFormat="false" ht="64.5" hidden="false" customHeight="true" outlineLevel="0" collapsed="false">
      <c r="A22" s="105" t="s">
        <v>2198</v>
      </c>
      <c r="B22" s="10" t="s">
        <v>2199</v>
      </c>
      <c r="C22" s="106" t="n">
        <v>18252026590</v>
      </c>
      <c r="D22" s="106" t="n">
        <v>1281171305</v>
      </c>
      <c r="E22" s="107" t="n">
        <f aca="false">C22-D22</f>
        <v>16970855285</v>
      </c>
      <c r="F22" s="10" t="s">
        <v>2200</v>
      </c>
      <c r="G22" s="10" t="s">
        <v>2201</v>
      </c>
      <c r="H22" s="10" t="s">
        <v>2202</v>
      </c>
    </row>
    <row r="23" customFormat="false" ht="64.5" hidden="false" customHeight="true" outlineLevel="0" collapsed="false">
      <c r="A23" s="105" t="s">
        <v>2203</v>
      </c>
      <c r="B23" s="10" t="s">
        <v>2204</v>
      </c>
      <c r="C23" s="106" t="n">
        <v>42241143316</v>
      </c>
      <c r="D23" s="106" t="n">
        <v>67527392890</v>
      </c>
      <c r="E23" s="107" t="n">
        <f aca="false">C23-D23</f>
        <v>-25286249574</v>
      </c>
      <c r="F23" s="10" t="s">
        <v>2205</v>
      </c>
      <c r="G23" s="10" t="s">
        <v>2206</v>
      </c>
      <c r="H23" s="10" t="s">
        <v>2207</v>
      </c>
    </row>
    <row r="24" customFormat="false" ht="30" hidden="false" customHeight="true" outlineLevel="0" collapsed="false">
      <c r="A24" s="105" t="s">
        <v>2208</v>
      </c>
      <c r="B24" s="10" t="s">
        <v>2209</v>
      </c>
      <c r="C24" s="106" t="n">
        <v>79318629998</v>
      </c>
      <c r="D24" s="106" t="n">
        <v>81224259340</v>
      </c>
      <c r="E24" s="107" t="n">
        <f aca="false">C24-D24</f>
        <v>-1905629342</v>
      </c>
      <c r="F24" s="10" t="s">
        <v>2210</v>
      </c>
      <c r="G24" s="10" t="s">
        <v>2211</v>
      </c>
      <c r="H24" s="10" t="s">
        <v>2212</v>
      </c>
    </row>
    <row r="25" customFormat="false" ht="30" hidden="false" customHeight="true" outlineLevel="0" collapsed="false">
      <c r="A25" s="105" t="s">
        <v>2213</v>
      </c>
      <c r="B25" s="10" t="s">
        <v>2214</v>
      </c>
      <c r="C25" s="106" t="n">
        <v>3312132349</v>
      </c>
      <c r="D25" s="106" t="n">
        <v>3904546042</v>
      </c>
      <c r="E25" s="107" t="n">
        <f aca="false">C25-D25</f>
        <v>-592413693</v>
      </c>
      <c r="F25" s="10" t="s">
        <v>2215</v>
      </c>
      <c r="G25" s="10" t="s">
        <v>2216</v>
      </c>
      <c r="H25" s="10" t="s">
        <v>2134</v>
      </c>
    </row>
    <row r="26" customFormat="false" ht="39" hidden="false" customHeight="true" outlineLevel="0" collapsed="false">
      <c r="A26" s="105" t="s">
        <v>2217</v>
      </c>
      <c r="B26" s="10" t="s">
        <v>2218</v>
      </c>
      <c r="C26" s="106" t="n">
        <v>10046149721</v>
      </c>
      <c r="D26" s="106" t="n">
        <v>6521673752</v>
      </c>
      <c r="E26" s="107" t="n">
        <f aca="false">C26-D26</f>
        <v>3524475969</v>
      </c>
      <c r="F26" s="10" t="s">
        <v>2219</v>
      </c>
      <c r="G26" s="10" t="s">
        <v>2220</v>
      </c>
      <c r="H26" s="10" t="s">
        <v>2134</v>
      </c>
    </row>
    <row r="27" customFormat="false" ht="39" hidden="false" customHeight="true" outlineLevel="0" collapsed="false">
      <c r="A27" s="105" t="s">
        <v>2221</v>
      </c>
      <c r="B27" s="10" t="s">
        <v>2222</v>
      </c>
      <c r="C27" s="106" t="n">
        <v>95332699383</v>
      </c>
      <c r="D27" s="106" t="n">
        <v>95348139383</v>
      </c>
      <c r="E27" s="107" t="n">
        <f aca="false">C27-D27</f>
        <v>-15440000</v>
      </c>
      <c r="F27" s="10" t="s">
        <v>2223</v>
      </c>
      <c r="G27" s="10" t="s">
        <v>2224</v>
      </c>
      <c r="H27" s="10" t="s">
        <v>2225</v>
      </c>
    </row>
    <row r="28" customFormat="false" ht="30" hidden="false" customHeight="true" outlineLevel="0" collapsed="false">
      <c r="A28" s="105" t="s">
        <v>2226</v>
      </c>
      <c r="B28" s="10" t="s">
        <v>2227</v>
      </c>
      <c r="C28" s="106" t="n">
        <v>43384345751</v>
      </c>
      <c r="D28" s="106" t="n">
        <v>43384485751</v>
      </c>
      <c r="E28" s="107" t="n">
        <f aca="false">C28-D28</f>
        <v>-140000</v>
      </c>
      <c r="F28" s="10" t="s">
        <v>2228</v>
      </c>
      <c r="G28" s="10" t="s">
        <v>2229</v>
      </c>
      <c r="H28" s="10" t="s">
        <v>2230</v>
      </c>
    </row>
    <row r="29" customFormat="false" ht="30" hidden="false" customHeight="true" outlineLevel="0" collapsed="false">
      <c r="A29" s="105" t="s">
        <v>2231</v>
      </c>
      <c r="B29" s="10" t="s">
        <v>2232</v>
      </c>
      <c r="C29" s="106" t="n">
        <v>294306377080</v>
      </c>
      <c r="D29" s="106" t="n">
        <v>294346448080</v>
      </c>
      <c r="E29" s="107" t="n">
        <f aca="false">C29-D29</f>
        <v>-40071000</v>
      </c>
      <c r="F29" s="10" t="s">
        <v>2210</v>
      </c>
      <c r="G29" s="10" t="s">
        <v>2233</v>
      </c>
      <c r="H29" s="10" t="s">
        <v>2134</v>
      </c>
    </row>
    <row r="30" customFormat="false" ht="30" hidden="false" customHeight="true" outlineLevel="0" collapsed="false">
      <c r="A30" s="105" t="s">
        <v>2234</v>
      </c>
      <c r="B30" s="10" t="s">
        <v>2235</v>
      </c>
      <c r="C30" s="106" t="n">
        <v>14863779223</v>
      </c>
      <c r="D30" s="106" t="n">
        <v>14863779224</v>
      </c>
      <c r="E30" s="107" t="n">
        <f aca="false">C30-D30</f>
        <v>-1</v>
      </c>
      <c r="F30" s="10" t="s">
        <v>2236</v>
      </c>
      <c r="G30" s="10" t="s">
        <v>2237</v>
      </c>
      <c r="H30" s="10" t="s">
        <v>2238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32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2239</v>
      </c>
    </row>
    <row r="2" customFormat="false" ht="15" hidden="false" customHeight="false" outlineLevel="0" collapsed="false">
      <c r="A2" s="15" t="s">
        <v>2240</v>
      </c>
    </row>
    <row r="4" customFormat="false" ht="15" hidden="false" customHeight="false" outlineLevel="0" collapsed="false">
      <c r="A4" s="24" t="s">
        <v>2241</v>
      </c>
      <c r="B4" s="24" t="s">
        <v>2242</v>
      </c>
      <c r="C4" s="24" t="s">
        <v>2243</v>
      </c>
      <c r="D4" s="24" t="s">
        <v>2244</v>
      </c>
      <c r="E4" s="24" t="s">
        <v>2245</v>
      </c>
      <c r="F4" s="24" t="s">
        <v>2246</v>
      </c>
      <c r="G4" s="24" t="s">
        <v>2247</v>
      </c>
      <c r="H4" s="24" t="s">
        <v>2248</v>
      </c>
      <c r="I4" s="24" t="s">
        <v>2249</v>
      </c>
      <c r="J4" s="24" t="s">
        <v>2250</v>
      </c>
      <c r="K4" s="24" t="s">
        <v>2251</v>
      </c>
      <c r="L4" s="24" t="s">
        <v>2252</v>
      </c>
      <c r="M4" s="24" t="s">
        <v>2253</v>
      </c>
    </row>
    <row r="5" customFormat="false" ht="15" hidden="false" customHeight="false" outlineLevel="0" collapsed="false">
      <c r="A5" s="13" t="s">
        <v>628</v>
      </c>
      <c r="B5" s="13" t="s">
        <v>627</v>
      </c>
      <c r="C5" s="13" t="s">
        <v>2254</v>
      </c>
      <c r="D5" s="13" t="s">
        <v>57</v>
      </c>
      <c r="E5" s="13" t="s">
        <v>662</v>
      </c>
      <c r="F5" s="13" t="s">
        <v>137</v>
      </c>
      <c r="G5" s="61" t="n">
        <v>1148144381712</v>
      </c>
      <c r="H5" s="13" t="s">
        <v>2255</v>
      </c>
      <c r="I5" s="13"/>
      <c r="J5" s="13"/>
      <c r="K5" s="13" t="s">
        <v>2256</v>
      </c>
      <c r="L5" s="13" t="s">
        <v>2257</v>
      </c>
      <c r="M5" s="13"/>
    </row>
    <row r="6" customFormat="false" ht="15" hidden="false" customHeight="false" outlineLevel="0" collapsed="false">
      <c r="A6" s="13" t="s">
        <v>628</v>
      </c>
      <c r="B6" s="13" t="s">
        <v>627</v>
      </c>
      <c r="C6" s="13" t="s">
        <v>2258</v>
      </c>
      <c r="D6" s="13" t="s">
        <v>57</v>
      </c>
      <c r="E6" s="13" t="s">
        <v>662</v>
      </c>
      <c r="F6" s="13" t="s">
        <v>137</v>
      </c>
      <c r="G6" s="61" t="n">
        <v>1890800275747</v>
      </c>
      <c r="H6" s="13" t="s">
        <v>2255</v>
      </c>
      <c r="I6" s="13"/>
      <c r="J6" s="13"/>
      <c r="K6" s="13" t="s">
        <v>2259</v>
      </c>
      <c r="L6" s="13" t="s">
        <v>2260</v>
      </c>
      <c r="M6" s="13"/>
    </row>
    <row r="7" customFormat="false" ht="15" hidden="false" customHeight="false" outlineLevel="0" collapsed="false">
      <c r="A7" s="13" t="s">
        <v>628</v>
      </c>
      <c r="B7" s="13" t="s">
        <v>627</v>
      </c>
      <c r="C7" s="13" t="s">
        <v>2261</v>
      </c>
      <c r="D7" s="13" t="s">
        <v>57</v>
      </c>
      <c r="E7" s="13" t="s">
        <v>662</v>
      </c>
      <c r="F7" s="13" t="s">
        <v>137</v>
      </c>
      <c r="G7" s="61" t="n">
        <v>1658687911222</v>
      </c>
      <c r="H7" s="13" t="s">
        <v>2255</v>
      </c>
      <c r="I7" s="13"/>
      <c r="J7" s="13"/>
      <c r="K7" s="13" t="s">
        <v>2262</v>
      </c>
      <c r="L7" s="13" t="s">
        <v>2263</v>
      </c>
      <c r="M7" s="13"/>
    </row>
    <row r="8" customFormat="false" ht="15" hidden="false" customHeight="false" outlineLevel="0" collapsed="false">
      <c r="A8" s="13" t="s">
        <v>628</v>
      </c>
      <c r="B8" s="13" t="s">
        <v>627</v>
      </c>
      <c r="C8" s="13" t="s">
        <v>2264</v>
      </c>
      <c r="D8" s="13" t="s">
        <v>57</v>
      </c>
      <c r="E8" s="13" t="s">
        <v>662</v>
      </c>
      <c r="F8" s="13" t="s">
        <v>137</v>
      </c>
      <c r="G8" s="61" t="n">
        <v>1488197483371</v>
      </c>
      <c r="H8" s="13" t="s">
        <v>2255</v>
      </c>
      <c r="I8" s="13"/>
      <c r="J8" s="13"/>
      <c r="K8" s="13" t="s">
        <v>657</v>
      </c>
      <c r="L8" s="13" t="s">
        <v>2265</v>
      </c>
      <c r="M8" s="13"/>
    </row>
    <row r="9" customFormat="false" ht="15" hidden="false" customHeight="false" outlineLevel="0" collapsed="false">
      <c r="A9" s="13" t="s">
        <v>628</v>
      </c>
      <c r="B9" s="13" t="s">
        <v>627</v>
      </c>
      <c r="C9" s="13" t="s">
        <v>2266</v>
      </c>
      <c r="D9" s="13" t="s">
        <v>57</v>
      </c>
      <c r="E9" s="13" t="s">
        <v>662</v>
      </c>
      <c r="F9" s="13" t="s">
        <v>137</v>
      </c>
      <c r="G9" s="61" t="n">
        <v>1554685010336</v>
      </c>
      <c r="H9" s="13" t="s">
        <v>2255</v>
      </c>
      <c r="I9" s="13"/>
      <c r="J9" s="13"/>
      <c r="K9" s="13" t="s">
        <v>658</v>
      </c>
      <c r="L9" s="13" t="s">
        <v>2265</v>
      </c>
      <c r="M9" s="13"/>
    </row>
    <row r="10" customFormat="false" ht="15" hidden="false" customHeight="false" outlineLevel="0" collapsed="false">
      <c r="A10" s="13" t="s">
        <v>628</v>
      </c>
      <c r="B10" s="13" t="s">
        <v>627</v>
      </c>
      <c r="C10" s="13" t="s">
        <v>2267</v>
      </c>
      <c r="D10" s="13" t="s">
        <v>57</v>
      </c>
      <c r="E10" s="13" t="s">
        <v>662</v>
      </c>
      <c r="F10" s="13" t="s">
        <v>137</v>
      </c>
      <c r="G10" s="61" t="n">
        <v>1614340771512</v>
      </c>
      <c r="H10" s="13" t="s">
        <v>2255</v>
      </c>
      <c r="I10" s="13"/>
      <c r="J10" s="13"/>
      <c r="K10" s="13" t="s">
        <v>659</v>
      </c>
      <c r="L10" s="13" t="s">
        <v>2265</v>
      </c>
      <c r="M10" s="13"/>
    </row>
    <row r="11" customFormat="false" ht="15" hidden="false" customHeight="false" outlineLevel="0" collapsed="false">
      <c r="A11" s="13" t="s">
        <v>628</v>
      </c>
      <c r="B11" s="13" t="s">
        <v>627</v>
      </c>
      <c r="C11" s="13" t="s">
        <v>2254</v>
      </c>
      <c r="D11" s="13" t="s">
        <v>57</v>
      </c>
      <c r="E11" s="13" t="s">
        <v>664</v>
      </c>
      <c r="F11" s="13" t="s">
        <v>665</v>
      </c>
      <c r="G11" s="61" t="n">
        <v>-654993791224</v>
      </c>
      <c r="H11" s="13" t="s">
        <v>2255</v>
      </c>
      <c r="I11" s="13"/>
      <c r="J11" s="13"/>
      <c r="K11" s="13" t="s">
        <v>2256</v>
      </c>
      <c r="L11" s="13" t="s">
        <v>2257</v>
      </c>
      <c r="M11" s="13"/>
    </row>
    <row r="12" customFormat="false" ht="15" hidden="false" customHeight="false" outlineLevel="0" collapsed="false">
      <c r="A12" s="13" t="s">
        <v>628</v>
      </c>
      <c r="B12" s="13" t="s">
        <v>627</v>
      </c>
      <c r="C12" s="13" t="s">
        <v>2258</v>
      </c>
      <c r="D12" s="13" t="s">
        <v>57</v>
      </c>
      <c r="E12" s="13" t="s">
        <v>664</v>
      </c>
      <c r="F12" s="13" t="s">
        <v>665</v>
      </c>
      <c r="G12" s="61" t="n">
        <v>-916779194679</v>
      </c>
      <c r="H12" s="13" t="s">
        <v>2255</v>
      </c>
      <c r="I12" s="13"/>
      <c r="J12" s="13"/>
      <c r="K12" s="13" t="s">
        <v>2259</v>
      </c>
      <c r="L12" s="13" t="s">
        <v>2260</v>
      </c>
      <c r="M12" s="13"/>
    </row>
    <row r="13" customFormat="false" ht="15" hidden="false" customHeight="false" outlineLevel="0" collapsed="false">
      <c r="A13" s="13" t="s">
        <v>628</v>
      </c>
      <c r="B13" s="13" t="s">
        <v>627</v>
      </c>
      <c r="C13" s="13" t="s">
        <v>2261</v>
      </c>
      <c r="D13" s="13" t="s">
        <v>57</v>
      </c>
      <c r="E13" s="13" t="s">
        <v>664</v>
      </c>
      <c r="F13" s="13" t="s">
        <v>665</v>
      </c>
      <c r="G13" s="61" t="n">
        <v>-894135274139</v>
      </c>
      <c r="H13" s="13" t="s">
        <v>2255</v>
      </c>
      <c r="I13" s="13"/>
      <c r="J13" s="13"/>
      <c r="K13" s="13" t="s">
        <v>2262</v>
      </c>
      <c r="L13" s="13" t="s">
        <v>2263</v>
      </c>
      <c r="M13" s="13"/>
    </row>
    <row r="14" customFormat="false" ht="15" hidden="false" customHeight="false" outlineLevel="0" collapsed="false">
      <c r="A14" s="13" t="s">
        <v>628</v>
      </c>
      <c r="B14" s="13" t="s">
        <v>627</v>
      </c>
      <c r="C14" s="13" t="s">
        <v>2264</v>
      </c>
      <c r="D14" s="13" t="s">
        <v>57</v>
      </c>
      <c r="E14" s="13" t="s">
        <v>664</v>
      </c>
      <c r="F14" s="13" t="s">
        <v>665</v>
      </c>
      <c r="G14" s="61" t="n">
        <v>-792384606260</v>
      </c>
      <c r="H14" s="13" t="s">
        <v>2255</v>
      </c>
      <c r="I14" s="13"/>
      <c r="J14" s="13"/>
      <c r="K14" s="13" t="s">
        <v>657</v>
      </c>
      <c r="L14" s="13" t="s">
        <v>2265</v>
      </c>
      <c r="M14" s="13"/>
    </row>
    <row r="15" customFormat="false" ht="15" hidden="false" customHeight="false" outlineLevel="0" collapsed="false">
      <c r="A15" s="13" t="s">
        <v>628</v>
      </c>
      <c r="B15" s="13" t="s">
        <v>627</v>
      </c>
      <c r="C15" s="13" t="s">
        <v>2266</v>
      </c>
      <c r="D15" s="13" t="s">
        <v>57</v>
      </c>
      <c r="E15" s="13" t="s">
        <v>664</v>
      </c>
      <c r="F15" s="13" t="s">
        <v>665</v>
      </c>
      <c r="G15" s="61" t="n">
        <v>-847547994844</v>
      </c>
      <c r="H15" s="13" t="s">
        <v>2255</v>
      </c>
      <c r="I15" s="13"/>
      <c r="J15" s="13"/>
      <c r="K15" s="13" t="s">
        <v>658</v>
      </c>
      <c r="L15" s="13" t="s">
        <v>2265</v>
      </c>
      <c r="M15" s="13"/>
    </row>
    <row r="16" customFormat="false" ht="15" hidden="false" customHeight="false" outlineLevel="0" collapsed="false">
      <c r="A16" s="13" t="s">
        <v>628</v>
      </c>
      <c r="B16" s="13" t="s">
        <v>627</v>
      </c>
      <c r="C16" s="13" t="s">
        <v>2267</v>
      </c>
      <c r="D16" s="13" t="s">
        <v>57</v>
      </c>
      <c r="E16" s="13" t="s">
        <v>664</v>
      </c>
      <c r="F16" s="13" t="s">
        <v>665</v>
      </c>
      <c r="G16" s="61" t="n">
        <v>-869848305402</v>
      </c>
      <c r="H16" s="13" t="s">
        <v>2255</v>
      </c>
      <c r="I16" s="13"/>
      <c r="J16" s="13"/>
      <c r="K16" s="13" t="s">
        <v>659</v>
      </c>
      <c r="L16" s="13" t="s">
        <v>2265</v>
      </c>
      <c r="M16" s="13"/>
    </row>
    <row r="17" customFormat="false" ht="15" hidden="false" customHeight="false" outlineLevel="0" collapsed="false">
      <c r="A17" s="13" t="s">
        <v>628</v>
      </c>
      <c r="B17" s="13" t="s">
        <v>627</v>
      </c>
      <c r="C17" s="13" t="s">
        <v>2254</v>
      </c>
      <c r="D17" s="13" t="s">
        <v>57</v>
      </c>
      <c r="E17" s="13" t="s">
        <v>667</v>
      </c>
      <c r="F17" s="13" t="s">
        <v>668</v>
      </c>
      <c r="G17" s="61" t="n">
        <v>493150590488</v>
      </c>
      <c r="H17" s="13" t="s">
        <v>2255</v>
      </c>
      <c r="I17" s="13"/>
      <c r="J17" s="13"/>
      <c r="K17" s="13" t="s">
        <v>2256</v>
      </c>
      <c r="L17" s="13" t="s">
        <v>2257</v>
      </c>
      <c r="M17" s="13" t="s">
        <v>2268</v>
      </c>
    </row>
    <row r="18" customFormat="false" ht="15" hidden="false" customHeight="false" outlineLevel="0" collapsed="false">
      <c r="A18" s="13" t="s">
        <v>628</v>
      </c>
      <c r="B18" s="13" t="s">
        <v>627</v>
      </c>
      <c r="C18" s="13" t="s">
        <v>2258</v>
      </c>
      <c r="D18" s="13" t="s">
        <v>57</v>
      </c>
      <c r="E18" s="13" t="s">
        <v>667</v>
      </c>
      <c r="F18" s="13" t="s">
        <v>668</v>
      </c>
      <c r="G18" s="61" t="n">
        <v>974021081068</v>
      </c>
      <c r="H18" s="13" t="s">
        <v>2255</v>
      </c>
      <c r="I18" s="13"/>
      <c r="J18" s="13"/>
      <c r="K18" s="13" t="s">
        <v>2259</v>
      </c>
      <c r="L18" s="13" t="s">
        <v>2260</v>
      </c>
      <c r="M18" s="13" t="s">
        <v>2268</v>
      </c>
    </row>
    <row r="19" customFormat="false" ht="15" hidden="false" customHeight="false" outlineLevel="0" collapsed="false">
      <c r="A19" s="13" t="s">
        <v>628</v>
      </c>
      <c r="B19" s="13" t="s">
        <v>627</v>
      </c>
      <c r="C19" s="13" t="s">
        <v>2261</v>
      </c>
      <c r="D19" s="13" t="s">
        <v>57</v>
      </c>
      <c r="E19" s="13" t="s">
        <v>667</v>
      </c>
      <c r="F19" s="13" t="s">
        <v>668</v>
      </c>
      <c r="G19" s="61" t="n">
        <v>764552637083</v>
      </c>
      <c r="H19" s="13" t="s">
        <v>2255</v>
      </c>
      <c r="I19" s="13"/>
      <c r="J19" s="13"/>
      <c r="K19" s="13" t="s">
        <v>2262</v>
      </c>
      <c r="L19" s="13" t="s">
        <v>2263</v>
      </c>
      <c r="M19" s="13" t="s">
        <v>2268</v>
      </c>
    </row>
    <row r="20" customFormat="false" ht="15" hidden="false" customHeight="false" outlineLevel="0" collapsed="false">
      <c r="A20" s="13" t="s">
        <v>628</v>
      </c>
      <c r="B20" s="13" t="s">
        <v>627</v>
      </c>
      <c r="C20" s="13" t="s">
        <v>2264</v>
      </c>
      <c r="D20" s="13" t="s">
        <v>57</v>
      </c>
      <c r="E20" s="13" t="s">
        <v>667</v>
      </c>
      <c r="F20" s="13" t="s">
        <v>668</v>
      </c>
      <c r="G20" s="61" t="n">
        <v>695812877111</v>
      </c>
      <c r="H20" s="13" t="s">
        <v>2255</v>
      </c>
      <c r="I20" s="13"/>
      <c r="J20" s="13"/>
      <c r="K20" s="13" t="s">
        <v>657</v>
      </c>
      <c r="L20" s="13" t="s">
        <v>2265</v>
      </c>
      <c r="M20" s="13" t="s">
        <v>2268</v>
      </c>
    </row>
    <row r="21" customFormat="false" ht="15" hidden="false" customHeight="false" outlineLevel="0" collapsed="false">
      <c r="A21" s="13" t="s">
        <v>628</v>
      </c>
      <c r="B21" s="13" t="s">
        <v>627</v>
      </c>
      <c r="C21" s="13" t="s">
        <v>2266</v>
      </c>
      <c r="D21" s="13" t="s">
        <v>57</v>
      </c>
      <c r="E21" s="13" t="s">
        <v>667</v>
      </c>
      <c r="F21" s="13" t="s">
        <v>668</v>
      </c>
      <c r="G21" s="61" t="n">
        <v>707137015492</v>
      </c>
      <c r="H21" s="13" t="s">
        <v>2255</v>
      </c>
      <c r="I21" s="13"/>
      <c r="J21" s="13"/>
      <c r="K21" s="13" t="s">
        <v>658</v>
      </c>
      <c r="L21" s="13" t="s">
        <v>2265</v>
      </c>
      <c r="M21" s="13" t="s">
        <v>2268</v>
      </c>
    </row>
    <row r="22" customFormat="false" ht="15" hidden="false" customHeight="false" outlineLevel="0" collapsed="false">
      <c r="A22" s="13" t="s">
        <v>628</v>
      </c>
      <c r="B22" s="13" t="s">
        <v>627</v>
      </c>
      <c r="C22" s="13" t="s">
        <v>2267</v>
      </c>
      <c r="D22" s="13" t="s">
        <v>57</v>
      </c>
      <c r="E22" s="13" t="s">
        <v>667</v>
      </c>
      <c r="F22" s="13" t="s">
        <v>668</v>
      </c>
      <c r="G22" s="61" t="n">
        <v>744492466110</v>
      </c>
      <c r="H22" s="13" t="s">
        <v>2255</v>
      </c>
      <c r="I22" s="13"/>
      <c r="J22" s="13"/>
      <c r="K22" s="13" t="s">
        <v>659</v>
      </c>
      <c r="L22" s="13" t="s">
        <v>2265</v>
      </c>
      <c r="M22" s="13" t="s">
        <v>2268</v>
      </c>
    </row>
    <row r="23" customFormat="false" ht="15" hidden="false" customHeight="false" outlineLevel="0" collapsed="false">
      <c r="A23" s="13" t="s">
        <v>628</v>
      </c>
      <c r="B23" s="13" t="s">
        <v>627</v>
      </c>
      <c r="C23" s="13" t="s">
        <v>2254</v>
      </c>
      <c r="D23" s="13" t="s">
        <v>57</v>
      </c>
      <c r="E23" s="13" t="s">
        <v>669</v>
      </c>
      <c r="F23" s="13" t="s">
        <v>670</v>
      </c>
      <c r="G23" s="61" t="n">
        <v>-10361877103</v>
      </c>
      <c r="H23" s="13" t="s">
        <v>2255</v>
      </c>
      <c r="I23" s="13"/>
      <c r="J23" s="13"/>
      <c r="K23" s="13" t="s">
        <v>2256</v>
      </c>
      <c r="L23" s="13" t="s">
        <v>2257</v>
      </c>
      <c r="M23" s="13"/>
    </row>
    <row r="24" customFormat="false" ht="15" hidden="false" customHeight="false" outlineLevel="0" collapsed="false">
      <c r="A24" s="13" t="s">
        <v>628</v>
      </c>
      <c r="B24" s="13" t="s">
        <v>627</v>
      </c>
      <c r="C24" s="13" t="s">
        <v>2258</v>
      </c>
      <c r="D24" s="13" t="s">
        <v>57</v>
      </c>
      <c r="E24" s="13" t="s">
        <v>669</v>
      </c>
      <c r="F24" s="13" t="s">
        <v>670</v>
      </c>
      <c r="G24" s="61" t="n">
        <v>-37745632578</v>
      </c>
      <c r="H24" s="13" t="s">
        <v>2255</v>
      </c>
      <c r="I24" s="13"/>
      <c r="J24" s="13"/>
      <c r="K24" s="13" t="s">
        <v>2259</v>
      </c>
      <c r="L24" s="13" t="s">
        <v>2260</v>
      </c>
      <c r="M24" s="13"/>
    </row>
    <row r="25" customFormat="false" ht="15" hidden="false" customHeight="false" outlineLevel="0" collapsed="false">
      <c r="A25" s="13" t="s">
        <v>628</v>
      </c>
      <c r="B25" s="13" t="s">
        <v>627</v>
      </c>
      <c r="C25" s="13" t="s">
        <v>2261</v>
      </c>
      <c r="D25" s="13" t="s">
        <v>57</v>
      </c>
      <c r="E25" s="13" t="s">
        <v>669</v>
      </c>
      <c r="F25" s="13" t="s">
        <v>670</v>
      </c>
      <c r="G25" s="61" t="n">
        <v>-39106497692</v>
      </c>
      <c r="H25" s="13" t="s">
        <v>2255</v>
      </c>
      <c r="I25" s="13"/>
      <c r="J25" s="13"/>
      <c r="K25" s="13" t="s">
        <v>2262</v>
      </c>
      <c r="L25" s="13" t="s">
        <v>2263</v>
      </c>
      <c r="M25" s="13"/>
    </row>
    <row r="26" customFormat="false" ht="15" hidden="false" customHeight="false" outlineLevel="0" collapsed="false">
      <c r="A26" s="13" t="s">
        <v>628</v>
      </c>
      <c r="B26" s="13" t="s">
        <v>627</v>
      </c>
      <c r="C26" s="13" t="s">
        <v>2264</v>
      </c>
      <c r="D26" s="13" t="s">
        <v>57</v>
      </c>
      <c r="E26" s="13" t="s">
        <v>669</v>
      </c>
      <c r="F26" s="13" t="s">
        <v>670</v>
      </c>
      <c r="G26" s="61" t="n">
        <v>-34852503763</v>
      </c>
      <c r="H26" s="13" t="s">
        <v>2255</v>
      </c>
      <c r="I26" s="13"/>
      <c r="J26" s="13"/>
      <c r="K26" s="13" t="s">
        <v>657</v>
      </c>
      <c r="L26" s="13" t="s">
        <v>2265</v>
      </c>
      <c r="M26" s="13"/>
    </row>
    <row r="27" customFormat="false" ht="15" hidden="false" customHeight="false" outlineLevel="0" collapsed="false">
      <c r="A27" s="13" t="s">
        <v>628</v>
      </c>
      <c r="B27" s="13" t="s">
        <v>627</v>
      </c>
      <c r="C27" s="13" t="s">
        <v>2266</v>
      </c>
      <c r="D27" s="13" t="s">
        <v>57</v>
      </c>
      <c r="E27" s="13" t="s">
        <v>669</v>
      </c>
      <c r="F27" s="13" t="s">
        <v>670</v>
      </c>
      <c r="G27" s="61" t="n">
        <v>-31257567617</v>
      </c>
      <c r="H27" s="13" t="s">
        <v>2255</v>
      </c>
      <c r="I27" s="13"/>
      <c r="J27" s="13"/>
      <c r="K27" s="13" t="s">
        <v>658</v>
      </c>
      <c r="L27" s="13" t="s">
        <v>2265</v>
      </c>
      <c r="M27" s="13"/>
    </row>
    <row r="28" customFormat="false" ht="15" hidden="false" customHeight="false" outlineLevel="0" collapsed="false">
      <c r="A28" s="13" t="s">
        <v>628</v>
      </c>
      <c r="B28" s="13" t="s">
        <v>627</v>
      </c>
      <c r="C28" s="13" t="s">
        <v>2267</v>
      </c>
      <c r="D28" s="13" t="s">
        <v>57</v>
      </c>
      <c r="E28" s="13" t="s">
        <v>669</v>
      </c>
      <c r="F28" s="13" t="s">
        <v>670</v>
      </c>
      <c r="G28" s="61" t="n">
        <v>-35009680673</v>
      </c>
      <c r="H28" s="13" t="s">
        <v>2255</v>
      </c>
      <c r="I28" s="13"/>
      <c r="J28" s="13"/>
      <c r="K28" s="13" t="s">
        <v>659</v>
      </c>
      <c r="L28" s="13" t="s">
        <v>2265</v>
      </c>
      <c r="M28" s="13"/>
    </row>
    <row r="29" customFormat="false" ht="15" hidden="false" customHeight="false" outlineLevel="0" collapsed="false">
      <c r="A29" s="13" t="s">
        <v>628</v>
      </c>
      <c r="B29" s="13" t="s">
        <v>627</v>
      </c>
      <c r="C29" s="13" t="s">
        <v>2254</v>
      </c>
      <c r="D29" s="13" t="s">
        <v>57</v>
      </c>
      <c r="E29" s="13" t="s">
        <v>672</v>
      </c>
      <c r="F29" s="13" t="s">
        <v>673</v>
      </c>
      <c r="G29" s="61" t="n">
        <v>-326512973831</v>
      </c>
      <c r="H29" s="13" t="s">
        <v>2255</v>
      </c>
      <c r="I29" s="13"/>
      <c r="J29" s="13"/>
      <c r="K29" s="13" t="s">
        <v>2256</v>
      </c>
      <c r="L29" s="13" t="s">
        <v>2257</v>
      </c>
      <c r="M29" s="13"/>
    </row>
    <row r="30" customFormat="false" ht="15" hidden="false" customHeight="false" outlineLevel="0" collapsed="false">
      <c r="A30" s="13" t="s">
        <v>628</v>
      </c>
      <c r="B30" s="13" t="s">
        <v>627</v>
      </c>
      <c r="C30" s="13" t="s">
        <v>2258</v>
      </c>
      <c r="D30" s="13" t="s">
        <v>57</v>
      </c>
      <c r="E30" s="13" t="s">
        <v>672</v>
      </c>
      <c r="F30" s="13" t="s">
        <v>673</v>
      </c>
      <c r="G30" s="61" t="n">
        <v>-472902134855</v>
      </c>
      <c r="H30" s="13" t="s">
        <v>2255</v>
      </c>
      <c r="I30" s="13"/>
      <c r="J30" s="13"/>
      <c r="K30" s="13" t="s">
        <v>2259</v>
      </c>
      <c r="L30" s="13" t="s">
        <v>2260</v>
      </c>
      <c r="M30" s="13"/>
    </row>
    <row r="31" customFormat="false" ht="15" hidden="false" customHeight="false" outlineLevel="0" collapsed="false">
      <c r="A31" s="13" t="s">
        <v>628</v>
      </c>
      <c r="B31" s="13" t="s">
        <v>627</v>
      </c>
      <c r="C31" s="13" t="s">
        <v>2261</v>
      </c>
      <c r="D31" s="13" t="s">
        <v>57</v>
      </c>
      <c r="E31" s="13" t="s">
        <v>672</v>
      </c>
      <c r="F31" s="13" t="s">
        <v>673</v>
      </c>
      <c r="G31" s="61" t="n">
        <v>-510347314037</v>
      </c>
      <c r="H31" s="13" t="s">
        <v>2255</v>
      </c>
      <c r="I31" s="13"/>
      <c r="J31" s="13"/>
      <c r="K31" s="13" t="s">
        <v>2262</v>
      </c>
      <c r="L31" s="13" t="s">
        <v>2263</v>
      </c>
      <c r="M31" s="13"/>
    </row>
    <row r="32" customFormat="false" ht="15" hidden="false" customHeight="false" outlineLevel="0" collapsed="false">
      <c r="A32" s="13" t="s">
        <v>628</v>
      </c>
      <c r="B32" s="13" t="s">
        <v>627</v>
      </c>
      <c r="C32" s="13" t="s">
        <v>2264</v>
      </c>
      <c r="D32" s="13" t="s">
        <v>57</v>
      </c>
      <c r="E32" s="13" t="s">
        <v>672</v>
      </c>
      <c r="F32" s="13" t="s">
        <v>673</v>
      </c>
      <c r="G32" s="61" t="n">
        <v>-570408858788</v>
      </c>
      <c r="H32" s="13" t="s">
        <v>2255</v>
      </c>
      <c r="I32" s="13"/>
      <c r="J32" s="13"/>
      <c r="K32" s="13" t="s">
        <v>657</v>
      </c>
      <c r="L32" s="13" t="s">
        <v>2265</v>
      </c>
      <c r="M32" s="13"/>
    </row>
    <row r="33" customFormat="false" ht="15" hidden="false" customHeight="false" outlineLevel="0" collapsed="false">
      <c r="A33" s="13" t="s">
        <v>628</v>
      </c>
      <c r="B33" s="13" t="s">
        <v>627</v>
      </c>
      <c r="C33" s="13" t="s">
        <v>2266</v>
      </c>
      <c r="D33" s="13" t="s">
        <v>57</v>
      </c>
      <c r="E33" s="13" t="s">
        <v>672</v>
      </c>
      <c r="F33" s="13" t="s">
        <v>673</v>
      </c>
      <c r="G33" s="61" t="n">
        <v>-576812865380</v>
      </c>
      <c r="H33" s="13" t="s">
        <v>2255</v>
      </c>
      <c r="I33" s="13"/>
      <c r="J33" s="13"/>
      <c r="K33" s="13" t="s">
        <v>658</v>
      </c>
      <c r="L33" s="13" t="s">
        <v>2265</v>
      </c>
      <c r="M33" s="13"/>
    </row>
    <row r="34" customFormat="false" ht="15" hidden="false" customHeight="false" outlineLevel="0" collapsed="false">
      <c r="A34" s="13" t="s">
        <v>628</v>
      </c>
      <c r="B34" s="13" t="s">
        <v>627</v>
      </c>
      <c r="C34" s="13" t="s">
        <v>2267</v>
      </c>
      <c r="D34" s="13" t="s">
        <v>57</v>
      </c>
      <c r="E34" s="13" t="s">
        <v>672</v>
      </c>
      <c r="F34" s="13" t="s">
        <v>673</v>
      </c>
      <c r="G34" s="61" t="n">
        <v>-593553244322</v>
      </c>
      <c r="H34" s="13" t="s">
        <v>2255</v>
      </c>
      <c r="I34" s="13"/>
      <c r="J34" s="13"/>
      <c r="K34" s="13" t="s">
        <v>659</v>
      </c>
      <c r="L34" s="13" t="s">
        <v>2265</v>
      </c>
      <c r="M34" s="13"/>
    </row>
    <row r="35" customFormat="false" ht="15" hidden="false" customHeight="false" outlineLevel="0" collapsed="false">
      <c r="A35" s="13" t="s">
        <v>628</v>
      </c>
      <c r="B35" s="13" t="s">
        <v>627</v>
      </c>
      <c r="C35" s="13" t="s">
        <v>2254</v>
      </c>
      <c r="D35" s="13" t="s">
        <v>57</v>
      </c>
      <c r="E35" s="13" t="s">
        <v>675</v>
      </c>
      <c r="F35" s="13" t="s">
        <v>676</v>
      </c>
      <c r="G35" s="61" t="n">
        <v>-336874850934</v>
      </c>
      <c r="H35" s="13" t="s">
        <v>2255</v>
      </c>
      <c r="I35" s="13"/>
      <c r="J35" s="13"/>
      <c r="K35" s="13" t="s">
        <v>2256</v>
      </c>
      <c r="L35" s="13" t="s">
        <v>2257</v>
      </c>
      <c r="M35" s="13" t="s">
        <v>2268</v>
      </c>
    </row>
    <row r="36" customFormat="false" ht="15" hidden="false" customHeight="false" outlineLevel="0" collapsed="false">
      <c r="A36" s="13" t="s">
        <v>628</v>
      </c>
      <c r="B36" s="13" t="s">
        <v>627</v>
      </c>
      <c r="C36" s="13" t="s">
        <v>2258</v>
      </c>
      <c r="D36" s="13" t="s">
        <v>57</v>
      </c>
      <c r="E36" s="13" t="s">
        <v>675</v>
      </c>
      <c r="F36" s="13" t="s">
        <v>676</v>
      </c>
      <c r="G36" s="61" t="n">
        <v>-510647767433</v>
      </c>
      <c r="H36" s="13" t="s">
        <v>2255</v>
      </c>
      <c r="I36" s="13"/>
      <c r="J36" s="13"/>
      <c r="K36" s="13" t="s">
        <v>2259</v>
      </c>
      <c r="L36" s="13" t="s">
        <v>2260</v>
      </c>
      <c r="M36" s="13" t="s">
        <v>2268</v>
      </c>
    </row>
    <row r="37" customFormat="false" ht="15" hidden="false" customHeight="false" outlineLevel="0" collapsed="false">
      <c r="A37" s="13" t="s">
        <v>628</v>
      </c>
      <c r="B37" s="13" t="s">
        <v>627</v>
      </c>
      <c r="C37" s="13" t="s">
        <v>2261</v>
      </c>
      <c r="D37" s="13" t="s">
        <v>57</v>
      </c>
      <c r="E37" s="13" t="s">
        <v>675</v>
      </c>
      <c r="F37" s="13" t="s">
        <v>676</v>
      </c>
      <c r="G37" s="61" t="n">
        <v>-549453811729</v>
      </c>
      <c r="H37" s="13" t="s">
        <v>2255</v>
      </c>
      <c r="I37" s="13"/>
      <c r="J37" s="13"/>
      <c r="K37" s="13" t="s">
        <v>2262</v>
      </c>
      <c r="L37" s="13" t="s">
        <v>2263</v>
      </c>
      <c r="M37" s="13" t="s">
        <v>2268</v>
      </c>
    </row>
    <row r="38" customFormat="false" ht="15" hidden="false" customHeight="false" outlineLevel="0" collapsed="false">
      <c r="A38" s="13" t="s">
        <v>628</v>
      </c>
      <c r="B38" s="13" t="s">
        <v>627</v>
      </c>
      <c r="C38" s="13" t="s">
        <v>2264</v>
      </c>
      <c r="D38" s="13" t="s">
        <v>57</v>
      </c>
      <c r="E38" s="13" t="s">
        <v>675</v>
      </c>
      <c r="F38" s="13" t="s">
        <v>676</v>
      </c>
      <c r="G38" s="61" t="n">
        <v>-605261362551</v>
      </c>
      <c r="H38" s="13" t="s">
        <v>2255</v>
      </c>
      <c r="I38" s="13"/>
      <c r="J38" s="13"/>
      <c r="K38" s="13" t="s">
        <v>657</v>
      </c>
      <c r="L38" s="13" t="s">
        <v>2265</v>
      </c>
      <c r="M38" s="13" t="s">
        <v>2268</v>
      </c>
    </row>
    <row r="39" customFormat="false" ht="15" hidden="false" customHeight="false" outlineLevel="0" collapsed="false">
      <c r="A39" s="13" t="s">
        <v>628</v>
      </c>
      <c r="B39" s="13" t="s">
        <v>627</v>
      </c>
      <c r="C39" s="13" t="s">
        <v>2266</v>
      </c>
      <c r="D39" s="13" t="s">
        <v>57</v>
      </c>
      <c r="E39" s="13" t="s">
        <v>675</v>
      </c>
      <c r="F39" s="13" t="s">
        <v>676</v>
      </c>
      <c r="G39" s="61" t="n">
        <v>-608070432997</v>
      </c>
      <c r="H39" s="13" t="s">
        <v>2255</v>
      </c>
      <c r="I39" s="13"/>
      <c r="J39" s="13"/>
      <c r="K39" s="13" t="s">
        <v>658</v>
      </c>
      <c r="L39" s="13" t="s">
        <v>2265</v>
      </c>
      <c r="M39" s="13" t="s">
        <v>2268</v>
      </c>
    </row>
    <row r="40" customFormat="false" ht="15" hidden="false" customHeight="false" outlineLevel="0" collapsed="false">
      <c r="A40" s="13" t="s">
        <v>628</v>
      </c>
      <c r="B40" s="13" t="s">
        <v>627</v>
      </c>
      <c r="C40" s="13" t="s">
        <v>2267</v>
      </c>
      <c r="D40" s="13" t="s">
        <v>57</v>
      </c>
      <c r="E40" s="13" t="s">
        <v>675</v>
      </c>
      <c r="F40" s="13" t="s">
        <v>676</v>
      </c>
      <c r="G40" s="61" t="n">
        <v>-628562924995</v>
      </c>
      <c r="H40" s="13" t="s">
        <v>2255</v>
      </c>
      <c r="I40" s="13"/>
      <c r="J40" s="13"/>
      <c r="K40" s="13" t="s">
        <v>659</v>
      </c>
      <c r="L40" s="13" t="s">
        <v>2265</v>
      </c>
      <c r="M40" s="13" t="s">
        <v>2268</v>
      </c>
    </row>
    <row r="41" customFormat="false" ht="15" hidden="false" customHeight="false" outlineLevel="0" collapsed="false">
      <c r="A41" s="13" t="s">
        <v>628</v>
      </c>
      <c r="B41" s="13" t="s">
        <v>627</v>
      </c>
      <c r="C41" s="13" t="s">
        <v>2254</v>
      </c>
      <c r="D41" s="13" t="s">
        <v>57</v>
      </c>
      <c r="E41" s="13" t="s">
        <v>677</v>
      </c>
      <c r="F41" s="13" t="s">
        <v>678</v>
      </c>
      <c r="G41" s="61" t="n">
        <v>11285526111</v>
      </c>
      <c r="H41" s="13" t="s">
        <v>2255</v>
      </c>
      <c r="I41" s="13"/>
      <c r="J41" s="13"/>
      <c r="K41" s="13" t="s">
        <v>2256</v>
      </c>
      <c r="L41" s="13" t="s">
        <v>2257</v>
      </c>
      <c r="M41" s="13"/>
    </row>
    <row r="42" customFormat="false" ht="15" hidden="false" customHeight="false" outlineLevel="0" collapsed="false">
      <c r="A42" s="13" t="s">
        <v>628</v>
      </c>
      <c r="B42" s="13" t="s">
        <v>627</v>
      </c>
      <c r="C42" s="13" t="s">
        <v>2258</v>
      </c>
      <c r="D42" s="13" t="s">
        <v>57</v>
      </c>
      <c r="E42" s="13" t="s">
        <v>677</v>
      </c>
      <c r="F42" s="13" t="s">
        <v>678</v>
      </c>
      <c r="G42" s="61" t="n">
        <v>11603095497</v>
      </c>
      <c r="H42" s="13" t="s">
        <v>2255</v>
      </c>
      <c r="I42" s="13"/>
      <c r="J42" s="13"/>
      <c r="K42" s="13" t="s">
        <v>2259</v>
      </c>
      <c r="L42" s="13" t="s">
        <v>2260</v>
      </c>
      <c r="M42" s="13"/>
    </row>
    <row r="43" customFormat="false" ht="15" hidden="false" customHeight="false" outlineLevel="0" collapsed="false">
      <c r="A43" s="13" t="s">
        <v>628</v>
      </c>
      <c r="B43" s="13" t="s">
        <v>627</v>
      </c>
      <c r="C43" s="13" t="s">
        <v>2261</v>
      </c>
      <c r="D43" s="13" t="s">
        <v>57</v>
      </c>
      <c r="E43" s="13" t="s">
        <v>677</v>
      </c>
      <c r="F43" s="13" t="s">
        <v>678</v>
      </c>
      <c r="G43" s="61" t="n">
        <v>447889572</v>
      </c>
      <c r="H43" s="13" t="s">
        <v>2255</v>
      </c>
      <c r="I43" s="13"/>
      <c r="J43" s="13"/>
      <c r="K43" s="13" t="s">
        <v>2262</v>
      </c>
      <c r="L43" s="13" t="s">
        <v>2263</v>
      </c>
      <c r="M43" s="13"/>
    </row>
    <row r="44" customFormat="false" ht="15" hidden="false" customHeight="false" outlineLevel="0" collapsed="false">
      <c r="A44" s="13" t="s">
        <v>628</v>
      </c>
      <c r="B44" s="13" t="s">
        <v>627</v>
      </c>
      <c r="C44" s="13" t="s">
        <v>2264</v>
      </c>
      <c r="D44" s="13" t="s">
        <v>57</v>
      </c>
      <c r="E44" s="13" t="s">
        <v>677</v>
      </c>
      <c r="F44" s="13" t="s">
        <v>678</v>
      </c>
      <c r="G44" s="61" t="n">
        <v>-889202701</v>
      </c>
      <c r="H44" s="13" t="s">
        <v>2255</v>
      </c>
      <c r="I44" s="13"/>
      <c r="J44" s="13"/>
      <c r="K44" s="13" t="s">
        <v>657</v>
      </c>
      <c r="L44" s="13" t="s">
        <v>2265</v>
      </c>
      <c r="M44" s="13"/>
    </row>
    <row r="45" customFormat="false" ht="15" hidden="false" customHeight="false" outlineLevel="0" collapsed="false">
      <c r="A45" s="13" t="s">
        <v>628</v>
      </c>
      <c r="B45" s="13" t="s">
        <v>627</v>
      </c>
      <c r="C45" s="13" t="s">
        <v>2266</v>
      </c>
      <c r="D45" s="13" t="s">
        <v>57</v>
      </c>
      <c r="E45" s="13" t="s">
        <v>677</v>
      </c>
      <c r="F45" s="13" t="s">
        <v>678</v>
      </c>
      <c r="G45" s="61" t="n">
        <v>-11060239156</v>
      </c>
      <c r="H45" s="13" t="s">
        <v>2255</v>
      </c>
      <c r="I45" s="13"/>
      <c r="J45" s="13"/>
      <c r="K45" s="13" t="s">
        <v>658</v>
      </c>
      <c r="L45" s="13" t="s">
        <v>2265</v>
      </c>
      <c r="M45" s="13"/>
    </row>
    <row r="46" customFormat="false" ht="15" hidden="false" customHeight="false" outlineLevel="0" collapsed="false">
      <c r="A46" s="13" t="s">
        <v>628</v>
      </c>
      <c r="B46" s="13" t="s">
        <v>627</v>
      </c>
      <c r="C46" s="13" t="s">
        <v>2267</v>
      </c>
      <c r="D46" s="13" t="s">
        <v>57</v>
      </c>
      <c r="E46" s="13" t="s">
        <v>677</v>
      </c>
      <c r="F46" s="13" t="s">
        <v>678</v>
      </c>
      <c r="G46" s="61" t="n">
        <v>-26050344266</v>
      </c>
      <c r="H46" s="13" t="s">
        <v>2255</v>
      </c>
      <c r="I46" s="13"/>
      <c r="J46" s="13"/>
      <c r="K46" s="13" t="s">
        <v>659</v>
      </c>
      <c r="L46" s="13" t="s">
        <v>2265</v>
      </c>
      <c r="M46" s="13"/>
    </row>
    <row r="47" customFormat="false" ht="15" hidden="false" customHeight="false" outlineLevel="0" collapsed="false">
      <c r="A47" s="13" t="s">
        <v>628</v>
      </c>
      <c r="B47" s="13" t="s">
        <v>627</v>
      </c>
      <c r="C47" s="13" t="s">
        <v>2254</v>
      </c>
      <c r="D47" s="13" t="s">
        <v>57</v>
      </c>
      <c r="E47" s="13" t="s">
        <v>680</v>
      </c>
      <c r="F47" s="13" t="s">
        <v>681</v>
      </c>
      <c r="G47" s="61" t="n">
        <v>167561265665</v>
      </c>
      <c r="H47" s="13" t="s">
        <v>2255</v>
      </c>
      <c r="I47" s="13"/>
      <c r="J47" s="13"/>
      <c r="K47" s="13" t="s">
        <v>2256</v>
      </c>
      <c r="L47" s="13" t="s">
        <v>2257</v>
      </c>
      <c r="M47" s="13" t="s">
        <v>2268</v>
      </c>
    </row>
    <row r="48" customFormat="false" ht="15" hidden="false" customHeight="false" outlineLevel="0" collapsed="false">
      <c r="A48" s="13" t="s">
        <v>628</v>
      </c>
      <c r="B48" s="13" t="s">
        <v>627</v>
      </c>
      <c r="C48" s="13" t="s">
        <v>2258</v>
      </c>
      <c r="D48" s="13" t="s">
        <v>57</v>
      </c>
      <c r="E48" s="13" t="s">
        <v>680</v>
      </c>
      <c r="F48" s="13" t="s">
        <v>681</v>
      </c>
      <c r="G48" s="61" t="n">
        <v>474976409132</v>
      </c>
      <c r="H48" s="13" t="s">
        <v>2255</v>
      </c>
      <c r="I48" s="13"/>
      <c r="J48" s="13"/>
      <c r="K48" s="13" t="s">
        <v>2259</v>
      </c>
      <c r="L48" s="13" t="s">
        <v>2260</v>
      </c>
      <c r="M48" s="13" t="s">
        <v>2268</v>
      </c>
    </row>
    <row r="49" customFormat="false" ht="15" hidden="false" customHeight="false" outlineLevel="0" collapsed="false">
      <c r="A49" s="13" t="s">
        <v>628</v>
      </c>
      <c r="B49" s="13" t="s">
        <v>627</v>
      </c>
      <c r="C49" s="13" t="s">
        <v>2261</v>
      </c>
      <c r="D49" s="13" t="s">
        <v>57</v>
      </c>
      <c r="E49" s="13" t="s">
        <v>680</v>
      </c>
      <c r="F49" s="13" t="s">
        <v>681</v>
      </c>
      <c r="G49" s="61" t="n">
        <v>215546714926</v>
      </c>
      <c r="H49" s="13" t="s">
        <v>2255</v>
      </c>
      <c r="I49" s="13"/>
      <c r="J49" s="13"/>
      <c r="K49" s="13" t="s">
        <v>2262</v>
      </c>
      <c r="L49" s="13" t="s">
        <v>2263</v>
      </c>
      <c r="M49" s="13" t="s">
        <v>2268</v>
      </c>
    </row>
    <row r="50" customFormat="false" ht="15" hidden="false" customHeight="false" outlineLevel="0" collapsed="false">
      <c r="A50" s="13" t="s">
        <v>628</v>
      </c>
      <c r="B50" s="13" t="s">
        <v>627</v>
      </c>
      <c r="C50" s="13" t="s">
        <v>2264</v>
      </c>
      <c r="D50" s="13" t="s">
        <v>57</v>
      </c>
      <c r="E50" s="13" t="s">
        <v>680</v>
      </c>
      <c r="F50" s="13" t="s">
        <v>681</v>
      </c>
      <c r="G50" s="61" t="n">
        <v>89662311859</v>
      </c>
      <c r="H50" s="13" t="s">
        <v>2255</v>
      </c>
      <c r="I50" s="13"/>
      <c r="J50" s="13"/>
      <c r="K50" s="13" t="s">
        <v>657</v>
      </c>
      <c r="L50" s="13" t="s">
        <v>2265</v>
      </c>
      <c r="M50" s="13" t="s">
        <v>2268</v>
      </c>
    </row>
    <row r="51" customFormat="false" ht="15" hidden="false" customHeight="false" outlineLevel="0" collapsed="false">
      <c r="A51" s="13" t="s">
        <v>628</v>
      </c>
      <c r="B51" s="13" t="s">
        <v>627</v>
      </c>
      <c r="C51" s="13" t="s">
        <v>2266</v>
      </c>
      <c r="D51" s="13" t="s">
        <v>57</v>
      </c>
      <c r="E51" s="13" t="s">
        <v>680</v>
      </c>
      <c r="F51" s="13" t="s">
        <v>681</v>
      </c>
      <c r="G51" s="61" t="n">
        <v>88006343339</v>
      </c>
      <c r="H51" s="13" t="s">
        <v>2255</v>
      </c>
      <c r="I51" s="13"/>
      <c r="J51" s="13"/>
      <c r="K51" s="13" t="s">
        <v>658</v>
      </c>
      <c r="L51" s="13" t="s">
        <v>2265</v>
      </c>
      <c r="M51" s="13" t="s">
        <v>2268</v>
      </c>
    </row>
    <row r="52" customFormat="false" ht="15" hidden="false" customHeight="false" outlineLevel="0" collapsed="false">
      <c r="A52" s="13" t="s">
        <v>628</v>
      </c>
      <c r="B52" s="13" t="s">
        <v>627</v>
      </c>
      <c r="C52" s="13" t="s">
        <v>2267</v>
      </c>
      <c r="D52" s="13" t="s">
        <v>57</v>
      </c>
      <c r="E52" s="13" t="s">
        <v>680</v>
      </c>
      <c r="F52" s="13" t="s">
        <v>681</v>
      </c>
      <c r="G52" s="61" t="n">
        <v>89879196849</v>
      </c>
      <c r="H52" s="13" t="s">
        <v>2255</v>
      </c>
      <c r="I52" s="13"/>
      <c r="J52" s="13"/>
      <c r="K52" s="13" t="s">
        <v>659</v>
      </c>
      <c r="L52" s="13" t="s">
        <v>2265</v>
      </c>
      <c r="M52" s="13" t="s">
        <v>2268</v>
      </c>
    </row>
    <row r="53" customFormat="false" ht="15" hidden="false" customHeight="false" outlineLevel="0" collapsed="false">
      <c r="A53" s="13" t="s">
        <v>628</v>
      </c>
      <c r="B53" s="13" t="s">
        <v>627</v>
      </c>
      <c r="C53" s="13" t="s">
        <v>2254</v>
      </c>
      <c r="D53" s="13" t="s">
        <v>57</v>
      </c>
      <c r="E53" s="13" t="s">
        <v>682</v>
      </c>
      <c r="F53" s="13" t="s">
        <v>373</v>
      </c>
      <c r="G53" s="61" t="n">
        <v>4733986258</v>
      </c>
      <c r="H53" s="13" t="s">
        <v>2255</v>
      </c>
      <c r="I53" s="13"/>
      <c r="J53" s="13"/>
      <c r="K53" s="13" t="s">
        <v>2256</v>
      </c>
      <c r="L53" s="13" t="s">
        <v>2257</v>
      </c>
      <c r="M53" s="13"/>
    </row>
    <row r="54" customFormat="false" ht="15" hidden="false" customHeight="false" outlineLevel="0" collapsed="false">
      <c r="A54" s="13" t="s">
        <v>628</v>
      </c>
      <c r="B54" s="13" t="s">
        <v>627</v>
      </c>
      <c r="C54" s="13" t="s">
        <v>2258</v>
      </c>
      <c r="D54" s="13" t="s">
        <v>57</v>
      </c>
      <c r="E54" s="13" t="s">
        <v>682</v>
      </c>
      <c r="F54" s="13" t="s">
        <v>373</v>
      </c>
      <c r="G54" s="61" t="n">
        <v>10178168958</v>
      </c>
      <c r="H54" s="13" t="s">
        <v>2255</v>
      </c>
      <c r="I54" s="13"/>
      <c r="J54" s="13"/>
      <c r="K54" s="13" t="s">
        <v>2259</v>
      </c>
      <c r="L54" s="13" t="s">
        <v>2260</v>
      </c>
      <c r="M54" s="13"/>
    </row>
    <row r="55" customFormat="false" ht="15" hidden="false" customHeight="false" outlineLevel="0" collapsed="false">
      <c r="A55" s="13" t="s">
        <v>628</v>
      </c>
      <c r="B55" s="13" t="s">
        <v>627</v>
      </c>
      <c r="C55" s="13" t="s">
        <v>2261</v>
      </c>
      <c r="D55" s="13" t="s">
        <v>57</v>
      </c>
      <c r="E55" s="13" t="s">
        <v>682</v>
      </c>
      <c r="F55" s="13" t="s">
        <v>373</v>
      </c>
      <c r="G55" s="61" t="n">
        <v>8362881293</v>
      </c>
      <c r="H55" s="13" t="s">
        <v>2255</v>
      </c>
      <c r="I55" s="13"/>
      <c r="J55" s="13"/>
      <c r="K55" s="13" t="s">
        <v>2262</v>
      </c>
      <c r="L55" s="13" t="s">
        <v>2263</v>
      </c>
      <c r="M55" s="13"/>
    </row>
    <row r="56" customFormat="false" ht="15" hidden="false" customHeight="false" outlineLevel="0" collapsed="false">
      <c r="A56" s="13" t="s">
        <v>628</v>
      </c>
      <c r="B56" s="13" t="s">
        <v>627</v>
      </c>
      <c r="C56" s="13" t="s">
        <v>2264</v>
      </c>
      <c r="D56" s="13" t="s">
        <v>57</v>
      </c>
      <c r="E56" s="13" t="s">
        <v>682</v>
      </c>
      <c r="F56" s="13" t="s">
        <v>373</v>
      </c>
      <c r="G56" s="61" t="n">
        <v>8424381208</v>
      </c>
      <c r="H56" s="13" t="s">
        <v>2255</v>
      </c>
      <c r="I56" s="13"/>
      <c r="J56" s="13"/>
      <c r="K56" s="13" t="s">
        <v>657</v>
      </c>
      <c r="L56" s="13" t="s">
        <v>2265</v>
      </c>
      <c r="M56" s="13"/>
    </row>
    <row r="57" customFormat="false" ht="15" hidden="false" customHeight="false" outlineLevel="0" collapsed="false">
      <c r="A57" s="13" t="s">
        <v>628</v>
      </c>
      <c r="B57" s="13" t="s">
        <v>627</v>
      </c>
      <c r="C57" s="13" t="s">
        <v>2266</v>
      </c>
      <c r="D57" s="13" t="s">
        <v>57</v>
      </c>
      <c r="E57" s="13" t="s">
        <v>682</v>
      </c>
      <c r="F57" s="13" t="s">
        <v>373</v>
      </c>
      <c r="G57" s="61" t="n">
        <v>18640836625</v>
      </c>
      <c r="H57" s="13" t="s">
        <v>2255</v>
      </c>
      <c r="I57" s="13"/>
      <c r="J57" s="13"/>
      <c r="K57" s="13" t="s">
        <v>658</v>
      </c>
      <c r="L57" s="13" t="s">
        <v>2265</v>
      </c>
      <c r="M57" s="13"/>
    </row>
    <row r="58" customFormat="false" ht="15" hidden="false" customHeight="false" outlineLevel="0" collapsed="false">
      <c r="A58" s="13" t="s">
        <v>628</v>
      </c>
      <c r="B58" s="13" t="s">
        <v>627</v>
      </c>
      <c r="C58" s="13" t="s">
        <v>2267</v>
      </c>
      <c r="D58" s="13" t="s">
        <v>57</v>
      </c>
      <c r="E58" s="13" t="s">
        <v>682</v>
      </c>
      <c r="F58" s="13" t="s">
        <v>373</v>
      </c>
      <c r="G58" s="61" t="n">
        <v>22930845594</v>
      </c>
      <c r="H58" s="13" t="s">
        <v>2255</v>
      </c>
      <c r="I58" s="13"/>
      <c r="J58" s="13"/>
      <c r="K58" s="13" t="s">
        <v>659</v>
      </c>
      <c r="L58" s="13" t="s">
        <v>2265</v>
      </c>
      <c r="M58" s="13"/>
    </row>
    <row r="59" customFormat="false" ht="15" hidden="false" customHeight="false" outlineLevel="0" collapsed="false">
      <c r="A59" s="13" t="s">
        <v>628</v>
      </c>
      <c r="B59" s="13" t="s">
        <v>627</v>
      </c>
      <c r="C59" s="13" t="s">
        <v>2254</v>
      </c>
      <c r="D59" s="13" t="s">
        <v>57</v>
      </c>
      <c r="E59" s="13" t="s">
        <v>684</v>
      </c>
      <c r="F59" s="13" t="s">
        <v>376</v>
      </c>
      <c r="G59" s="61" t="n">
        <v>-53119718188</v>
      </c>
      <c r="H59" s="13" t="s">
        <v>2255</v>
      </c>
      <c r="I59" s="13"/>
      <c r="J59" s="13"/>
      <c r="K59" s="13" t="s">
        <v>2256</v>
      </c>
      <c r="L59" s="13" t="s">
        <v>2257</v>
      </c>
      <c r="M59" s="13"/>
    </row>
    <row r="60" customFormat="false" ht="15" hidden="false" customHeight="false" outlineLevel="0" collapsed="false">
      <c r="A60" s="13" t="s">
        <v>628</v>
      </c>
      <c r="B60" s="13" t="s">
        <v>627</v>
      </c>
      <c r="C60" s="13" t="s">
        <v>2258</v>
      </c>
      <c r="D60" s="13" t="s">
        <v>57</v>
      </c>
      <c r="E60" s="13" t="s">
        <v>684</v>
      </c>
      <c r="F60" s="13" t="s">
        <v>376</v>
      </c>
      <c r="G60" s="61" t="n">
        <v>-28015892568</v>
      </c>
      <c r="H60" s="13" t="s">
        <v>2255</v>
      </c>
      <c r="I60" s="13"/>
      <c r="J60" s="13"/>
      <c r="K60" s="13" t="s">
        <v>2259</v>
      </c>
      <c r="L60" s="13" t="s">
        <v>2260</v>
      </c>
      <c r="M60" s="13"/>
    </row>
    <row r="61" customFormat="false" ht="15" hidden="false" customHeight="false" outlineLevel="0" collapsed="false">
      <c r="A61" s="13" t="s">
        <v>628</v>
      </c>
      <c r="B61" s="13" t="s">
        <v>627</v>
      </c>
      <c r="C61" s="13" t="s">
        <v>2261</v>
      </c>
      <c r="D61" s="13" t="s">
        <v>57</v>
      </c>
      <c r="E61" s="13" t="s">
        <v>684</v>
      </c>
      <c r="F61" s="13" t="s">
        <v>376</v>
      </c>
      <c r="G61" s="61" t="n">
        <v>-47119576208</v>
      </c>
      <c r="H61" s="13" t="s">
        <v>2255</v>
      </c>
      <c r="I61" s="13"/>
      <c r="J61" s="13"/>
      <c r="K61" s="13" t="s">
        <v>2262</v>
      </c>
      <c r="L61" s="13" t="s">
        <v>2263</v>
      </c>
      <c r="M61" s="13"/>
    </row>
    <row r="62" customFormat="false" ht="15" hidden="false" customHeight="false" outlineLevel="0" collapsed="false">
      <c r="A62" s="13" t="s">
        <v>628</v>
      </c>
      <c r="B62" s="13" t="s">
        <v>627</v>
      </c>
      <c r="C62" s="13" t="s">
        <v>2264</v>
      </c>
      <c r="D62" s="13" t="s">
        <v>57</v>
      </c>
      <c r="E62" s="13" t="s">
        <v>684</v>
      </c>
      <c r="F62" s="13" t="s">
        <v>376</v>
      </c>
      <c r="G62" s="61" t="n">
        <v>-57763637343</v>
      </c>
      <c r="H62" s="13" t="s">
        <v>2255</v>
      </c>
      <c r="I62" s="13"/>
      <c r="J62" s="13"/>
      <c r="K62" s="13" t="s">
        <v>657</v>
      </c>
      <c r="L62" s="13" t="s">
        <v>2265</v>
      </c>
      <c r="M62" s="13"/>
    </row>
    <row r="63" customFormat="false" ht="15" hidden="false" customHeight="false" outlineLevel="0" collapsed="false">
      <c r="A63" s="13" t="s">
        <v>628</v>
      </c>
      <c r="B63" s="13" t="s">
        <v>627</v>
      </c>
      <c r="C63" s="13" t="s">
        <v>2266</v>
      </c>
      <c r="D63" s="13" t="s">
        <v>57</v>
      </c>
      <c r="E63" s="13" t="s">
        <v>684</v>
      </c>
      <c r="F63" s="13" t="s">
        <v>376</v>
      </c>
      <c r="G63" s="61" t="n">
        <v>-68053448455</v>
      </c>
      <c r="H63" s="13" t="s">
        <v>2255</v>
      </c>
      <c r="I63" s="13"/>
      <c r="J63" s="13"/>
      <c r="K63" s="13" t="s">
        <v>658</v>
      </c>
      <c r="L63" s="13" t="s">
        <v>2265</v>
      </c>
      <c r="M63" s="13"/>
    </row>
    <row r="64" customFormat="false" ht="15" hidden="false" customHeight="false" outlineLevel="0" collapsed="false">
      <c r="A64" s="13" t="s">
        <v>628</v>
      </c>
      <c r="B64" s="13" t="s">
        <v>627</v>
      </c>
      <c r="C64" s="13" t="s">
        <v>2267</v>
      </c>
      <c r="D64" s="13" t="s">
        <v>57</v>
      </c>
      <c r="E64" s="13" t="s">
        <v>684</v>
      </c>
      <c r="F64" s="13" t="s">
        <v>376</v>
      </c>
      <c r="G64" s="61" t="n">
        <v>-67527392890</v>
      </c>
      <c r="H64" s="13" t="s">
        <v>2255</v>
      </c>
      <c r="I64" s="13"/>
      <c r="J64" s="13"/>
      <c r="K64" s="13" t="s">
        <v>659</v>
      </c>
      <c r="L64" s="13" t="s">
        <v>2265</v>
      </c>
      <c r="M64" s="13"/>
    </row>
    <row r="65" customFormat="false" ht="15" hidden="false" customHeight="false" outlineLevel="0" collapsed="false">
      <c r="A65" s="13" t="s">
        <v>628</v>
      </c>
      <c r="B65" s="13" t="s">
        <v>627</v>
      </c>
      <c r="C65" s="13" t="s">
        <v>2254</v>
      </c>
      <c r="D65" s="13" t="s">
        <v>57</v>
      </c>
      <c r="E65" s="13" t="s">
        <v>686</v>
      </c>
      <c r="F65" s="13" t="s">
        <v>687</v>
      </c>
      <c r="G65" s="61" t="n">
        <v>25816403786</v>
      </c>
      <c r="H65" s="13" t="s">
        <v>2255</v>
      </c>
      <c r="I65" s="13"/>
      <c r="J65" s="13"/>
      <c r="K65" s="13" t="s">
        <v>2256</v>
      </c>
      <c r="L65" s="13" t="s">
        <v>2257</v>
      </c>
      <c r="M65" s="13"/>
    </row>
    <row r="66" customFormat="false" ht="15" hidden="false" customHeight="false" outlineLevel="0" collapsed="false">
      <c r="A66" s="13" t="s">
        <v>628</v>
      </c>
      <c r="B66" s="13" t="s">
        <v>627</v>
      </c>
      <c r="C66" s="13" t="s">
        <v>2254</v>
      </c>
      <c r="D66" s="13" t="s">
        <v>57</v>
      </c>
      <c r="E66" s="13" t="s">
        <v>689</v>
      </c>
      <c r="F66" s="13" t="s">
        <v>381</v>
      </c>
      <c r="G66" s="61" t="n">
        <v>144991937521</v>
      </c>
      <c r="H66" s="13" t="s">
        <v>2255</v>
      </c>
      <c r="I66" s="13"/>
      <c r="J66" s="13"/>
      <c r="K66" s="13" t="s">
        <v>2256</v>
      </c>
      <c r="L66" s="13" t="s">
        <v>2257</v>
      </c>
      <c r="M66" s="13" t="s">
        <v>2268</v>
      </c>
    </row>
    <row r="67" customFormat="false" ht="15" hidden="false" customHeight="false" outlineLevel="0" collapsed="false">
      <c r="A67" s="13" t="s">
        <v>628</v>
      </c>
      <c r="B67" s="13" t="s">
        <v>627</v>
      </c>
      <c r="C67" s="13" t="s">
        <v>2258</v>
      </c>
      <c r="D67" s="13" t="s">
        <v>57</v>
      </c>
      <c r="E67" s="13" t="s">
        <v>689</v>
      </c>
      <c r="F67" s="13" t="s">
        <v>381</v>
      </c>
      <c r="G67" s="61" t="n">
        <v>457138685522</v>
      </c>
      <c r="H67" s="13" t="s">
        <v>2255</v>
      </c>
      <c r="I67" s="13"/>
      <c r="J67" s="13"/>
      <c r="K67" s="13" t="s">
        <v>2259</v>
      </c>
      <c r="L67" s="13" t="s">
        <v>2260</v>
      </c>
      <c r="M67" s="13" t="s">
        <v>2268</v>
      </c>
    </row>
    <row r="68" customFormat="false" ht="15" hidden="false" customHeight="false" outlineLevel="0" collapsed="false">
      <c r="A68" s="13" t="s">
        <v>628</v>
      </c>
      <c r="B68" s="13" t="s">
        <v>627</v>
      </c>
      <c r="C68" s="13" t="s">
        <v>2261</v>
      </c>
      <c r="D68" s="13" t="s">
        <v>57</v>
      </c>
      <c r="E68" s="13" t="s">
        <v>689</v>
      </c>
      <c r="F68" s="13" t="s">
        <v>381</v>
      </c>
      <c r="G68" s="61" t="n">
        <v>176790020011</v>
      </c>
      <c r="H68" s="13" t="s">
        <v>2255</v>
      </c>
      <c r="I68" s="13"/>
      <c r="J68" s="13"/>
      <c r="K68" s="13" t="s">
        <v>2262</v>
      </c>
      <c r="L68" s="13" t="s">
        <v>2263</v>
      </c>
      <c r="M68" s="13" t="s">
        <v>2268</v>
      </c>
    </row>
    <row r="69" customFormat="false" ht="15" hidden="false" customHeight="false" outlineLevel="0" collapsed="false">
      <c r="A69" s="13" t="s">
        <v>628</v>
      </c>
      <c r="B69" s="13" t="s">
        <v>627</v>
      </c>
      <c r="C69" s="13" t="s">
        <v>2264</v>
      </c>
      <c r="D69" s="13" t="s">
        <v>57</v>
      </c>
      <c r="E69" s="13" t="s">
        <v>689</v>
      </c>
      <c r="F69" s="13" t="s">
        <v>381</v>
      </c>
      <c r="G69" s="61" t="n">
        <v>40323055724</v>
      </c>
      <c r="H69" s="13" t="s">
        <v>2255</v>
      </c>
      <c r="I69" s="13"/>
      <c r="J69" s="13"/>
      <c r="K69" s="13" t="s">
        <v>657</v>
      </c>
      <c r="L69" s="13" t="s">
        <v>2265</v>
      </c>
      <c r="M69" s="13" t="s">
        <v>2268</v>
      </c>
    </row>
    <row r="70" customFormat="false" ht="15" hidden="false" customHeight="false" outlineLevel="0" collapsed="false">
      <c r="A70" s="13" t="s">
        <v>628</v>
      </c>
      <c r="B70" s="13" t="s">
        <v>627</v>
      </c>
      <c r="C70" s="13" t="s">
        <v>2266</v>
      </c>
      <c r="D70" s="13" t="s">
        <v>57</v>
      </c>
      <c r="E70" s="13" t="s">
        <v>689</v>
      </c>
      <c r="F70" s="13" t="s">
        <v>381</v>
      </c>
      <c r="G70" s="61" t="n">
        <v>38593731509</v>
      </c>
      <c r="H70" s="13" t="s">
        <v>2255</v>
      </c>
      <c r="I70" s="13"/>
      <c r="J70" s="13"/>
      <c r="K70" s="13" t="s">
        <v>658</v>
      </c>
      <c r="L70" s="13" t="s">
        <v>2265</v>
      </c>
      <c r="M70" s="13" t="s">
        <v>2268</v>
      </c>
    </row>
    <row r="71" customFormat="false" ht="15" hidden="false" customHeight="false" outlineLevel="0" collapsed="false">
      <c r="A71" s="13" t="s">
        <v>628</v>
      </c>
      <c r="B71" s="13" t="s">
        <v>627</v>
      </c>
      <c r="C71" s="13" t="s">
        <v>2267</v>
      </c>
      <c r="D71" s="13" t="s">
        <v>57</v>
      </c>
      <c r="E71" s="13" t="s">
        <v>689</v>
      </c>
      <c r="F71" s="13" t="s">
        <v>381</v>
      </c>
      <c r="G71" s="61" t="n">
        <v>45282649553</v>
      </c>
      <c r="H71" s="13" t="s">
        <v>2255</v>
      </c>
      <c r="I71" s="13"/>
      <c r="J71" s="13"/>
      <c r="K71" s="13" t="s">
        <v>659</v>
      </c>
      <c r="L71" s="13" t="s">
        <v>2265</v>
      </c>
      <c r="M71" s="13" t="s">
        <v>2268</v>
      </c>
    </row>
    <row r="72" customFormat="false" ht="15" hidden="false" customHeight="false" outlineLevel="0" collapsed="false">
      <c r="A72" s="13" t="s">
        <v>628</v>
      </c>
      <c r="B72" s="13" t="s">
        <v>627</v>
      </c>
      <c r="C72" s="13" t="s">
        <v>2254</v>
      </c>
      <c r="D72" s="13" t="s">
        <v>57</v>
      </c>
      <c r="E72" s="13" t="s">
        <v>690</v>
      </c>
      <c r="F72" s="13" t="s">
        <v>691</v>
      </c>
      <c r="G72" s="61" t="n">
        <v>-28826201833</v>
      </c>
      <c r="H72" s="13" t="s">
        <v>2255</v>
      </c>
      <c r="I72" s="13"/>
      <c r="J72" s="13"/>
      <c r="K72" s="13" t="s">
        <v>2256</v>
      </c>
      <c r="L72" s="13" t="s">
        <v>2257</v>
      </c>
      <c r="M72" s="13"/>
    </row>
    <row r="73" customFormat="false" ht="15" hidden="false" customHeight="false" outlineLevel="0" collapsed="false">
      <c r="A73" s="13" t="s">
        <v>628</v>
      </c>
      <c r="B73" s="13" t="s">
        <v>627</v>
      </c>
      <c r="C73" s="13" t="s">
        <v>2258</v>
      </c>
      <c r="D73" s="13" t="s">
        <v>57</v>
      </c>
      <c r="E73" s="13" t="s">
        <v>690</v>
      </c>
      <c r="F73" s="13" t="s">
        <v>691</v>
      </c>
      <c r="G73" s="61" t="n">
        <v>-103659050125</v>
      </c>
      <c r="H73" s="13" t="s">
        <v>2255</v>
      </c>
      <c r="I73" s="13"/>
      <c r="J73" s="13"/>
      <c r="K73" s="13" t="s">
        <v>2259</v>
      </c>
      <c r="L73" s="13" t="s">
        <v>2260</v>
      </c>
      <c r="M73" s="13"/>
    </row>
    <row r="74" customFormat="false" ht="15" hidden="false" customHeight="false" outlineLevel="0" collapsed="false">
      <c r="A74" s="13" t="s">
        <v>628</v>
      </c>
      <c r="B74" s="13" t="s">
        <v>627</v>
      </c>
      <c r="C74" s="13" t="s">
        <v>2261</v>
      </c>
      <c r="D74" s="13" t="s">
        <v>57</v>
      </c>
      <c r="E74" s="13" t="s">
        <v>690</v>
      </c>
      <c r="F74" s="13" t="s">
        <v>691</v>
      </c>
      <c r="G74" s="61" t="n">
        <v>-47085046810</v>
      </c>
      <c r="H74" s="13" t="s">
        <v>2255</v>
      </c>
      <c r="I74" s="13"/>
      <c r="J74" s="13"/>
      <c r="K74" s="13" t="s">
        <v>2262</v>
      </c>
      <c r="L74" s="13" t="s">
        <v>2263</v>
      </c>
      <c r="M74" s="13"/>
    </row>
    <row r="75" customFormat="false" ht="15" hidden="false" customHeight="false" outlineLevel="0" collapsed="false">
      <c r="A75" s="13" t="s">
        <v>628</v>
      </c>
      <c r="B75" s="13" t="s">
        <v>627</v>
      </c>
      <c r="C75" s="13" t="s">
        <v>2264</v>
      </c>
      <c r="D75" s="13" t="s">
        <v>57</v>
      </c>
      <c r="E75" s="13" t="s">
        <v>690</v>
      </c>
      <c r="F75" s="13" t="s">
        <v>691</v>
      </c>
      <c r="G75" s="61" t="n">
        <v>-30090701183</v>
      </c>
      <c r="H75" s="13" t="s">
        <v>2255</v>
      </c>
      <c r="I75" s="13"/>
      <c r="J75" s="13"/>
      <c r="K75" s="13" t="s">
        <v>657</v>
      </c>
      <c r="L75" s="13" t="s">
        <v>2265</v>
      </c>
      <c r="M75" s="13"/>
    </row>
    <row r="76" customFormat="false" ht="15" hidden="false" customHeight="false" outlineLevel="0" collapsed="false">
      <c r="A76" s="13" t="s">
        <v>628</v>
      </c>
      <c r="B76" s="13" t="s">
        <v>627</v>
      </c>
      <c r="C76" s="13" t="s">
        <v>2266</v>
      </c>
      <c r="D76" s="13" t="s">
        <v>57</v>
      </c>
      <c r="E76" s="13" t="s">
        <v>690</v>
      </c>
      <c r="F76" s="13" t="s">
        <v>691</v>
      </c>
      <c r="G76" s="61" t="n">
        <v>-18096225121</v>
      </c>
      <c r="H76" s="13" t="s">
        <v>2255</v>
      </c>
      <c r="I76" s="13"/>
      <c r="J76" s="13"/>
      <c r="K76" s="13" t="s">
        <v>658</v>
      </c>
      <c r="L76" s="13" t="s">
        <v>2265</v>
      </c>
      <c r="M76" s="13"/>
    </row>
    <row r="77" customFormat="false" ht="15" hidden="false" customHeight="false" outlineLevel="0" collapsed="false">
      <c r="A77" s="13" t="s">
        <v>628</v>
      </c>
      <c r="B77" s="13" t="s">
        <v>627</v>
      </c>
      <c r="C77" s="13" t="s">
        <v>2267</v>
      </c>
      <c r="D77" s="13" t="s">
        <v>57</v>
      </c>
      <c r="E77" s="13" t="s">
        <v>690</v>
      </c>
      <c r="F77" s="13" t="s">
        <v>691</v>
      </c>
      <c r="G77" s="61" t="n">
        <v>-21742416673</v>
      </c>
      <c r="H77" s="13" t="s">
        <v>2255</v>
      </c>
      <c r="I77" s="13"/>
      <c r="J77" s="13"/>
      <c r="K77" s="13" t="s">
        <v>659</v>
      </c>
      <c r="L77" s="13" t="s">
        <v>2265</v>
      </c>
      <c r="M77" s="13"/>
    </row>
    <row r="78" customFormat="false" ht="15" hidden="false" customHeight="false" outlineLevel="0" collapsed="false">
      <c r="A78" s="13" t="s">
        <v>628</v>
      </c>
      <c r="B78" s="13" t="s">
        <v>627</v>
      </c>
      <c r="C78" s="13" t="s">
        <v>2254</v>
      </c>
      <c r="D78" s="13" t="s">
        <v>57</v>
      </c>
      <c r="E78" s="13" t="s">
        <v>693</v>
      </c>
      <c r="F78" s="13" t="s">
        <v>694</v>
      </c>
      <c r="G78" s="61" t="n">
        <v>2912223986</v>
      </c>
      <c r="H78" s="13" t="s">
        <v>2255</v>
      </c>
      <c r="I78" s="13"/>
      <c r="J78" s="13"/>
      <c r="K78" s="13" t="s">
        <v>2256</v>
      </c>
      <c r="L78" s="13" t="s">
        <v>2257</v>
      </c>
      <c r="M78" s="13"/>
    </row>
    <row r="79" customFormat="false" ht="15" hidden="false" customHeight="false" outlineLevel="0" collapsed="false">
      <c r="A79" s="13" t="s">
        <v>628</v>
      </c>
      <c r="B79" s="13" t="s">
        <v>627</v>
      </c>
      <c r="C79" s="13" t="s">
        <v>2258</v>
      </c>
      <c r="D79" s="13" t="s">
        <v>57</v>
      </c>
      <c r="E79" s="13" t="s">
        <v>693</v>
      </c>
      <c r="F79" s="13" t="s">
        <v>694</v>
      </c>
      <c r="G79" s="61" t="n">
        <v>1169151785</v>
      </c>
      <c r="H79" s="13" t="s">
        <v>2255</v>
      </c>
      <c r="I79" s="13"/>
      <c r="J79" s="13"/>
      <c r="K79" s="13" t="s">
        <v>2259</v>
      </c>
      <c r="L79" s="13" t="s">
        <v>2260</v>
      </c>
      <c r="M79" s="13"/>
    </row>
    <row r="80" customFormat="false" ht="15" hidden="false" customHeight="false" outlineLevel="0" collapsed="false">
      <c r="A80" s="13" t="s">
        <v>628</v>
      </c>
      <c r="B80" s="13" t="s">
        <v>627</v>
      </c>
      <c r="C80" s="13" t="s">
        <v>2261</v>
      </c>
      <c r="D80" s="13" t="s">
        <v>57</v>
      </c>
      <c r="E80" s="13" t="s">
        <v>693</v>
      </c>
      <c r="F80" s="13" t="s">
        <v>694</v>
      </c>
      <c r="G80" s="61" t="n">
        <v>1415668933</v>
      </c>
      <c r="H80" s="13" t="s">
        <v>2255</v>
      </c>
      <c r="I80" s="13"/>
      <c r="J80" s="13"/>
      <c r="K80" s="13" t="s">
        <v>2262</v>
      </c>
      <c r="L80" s="13" t="s">
        <v>2263</v>
      </c>
      <c r="M80" s="13"/>
    </row>
    <row r="81" customFormat="false" ht="15" hidden="false" customHeight="false" outlineLevel="0" collapsed="false">
      <c r="A81" s="13" t="s">
        <v>628</v>
      </c>
      <c r="B81" s="13" t="s">
        <v>627</v>
      </c>
      <c r="C81" s="13" t="s">
        <v>2264</v>
      </c>
      <c r="D81" s="13" t="s">
        <v>57</v>
      </c>
      <c r="E81" s="13" t="s">
        <v>693</v>
      </c>
      <c r="F81" s="13" t="s">
        <v>694</v>
      </c>
      <c r="G81" s="61" t="n">
        <v>8123224807</v>
      </c>
      <c r="H81" s="13" t="s">
        <v>2255</v>
      </c>
      <c r="I81" s="13"/>
      <c r="J81" s="13"/>
      <c r="K81" s="13" t="s">
        <v>657</v>
      </c>
      <c r="L81" s="13" t="s">
        <v>2265</v>
      </c>
      <c r="M81" s="13"/>
    </row>
    <row r="82" customFormat="false" ht="15" hidden="false" customHeight="false" outlineLevel="0" collapsed="false">
      <c r="A82" s="13" t="s">
        <v>628</v>
      </c>
      <c r="B82" s="13" t="s">
        <v>627</v>
      </c>
      <c r="C82" s="13" t="s">
        <v>2266</v>
      </c>
      <c r="D82" s="13" t="s">
        <v>57</v>
      </c>
      <c r="E82" s="13" t="s">
        <v>693</v>
      </c>
      <c r="F82" s="13" t="s">
        <v>694</v>
      </c>
      <c r="G82" s="61" t="n">
        <v>1643320773</v>
      </c>
      <c r="H82" s="13" t="s">
        <v>2255</v>
      </c>
      <c r="I82" s="13"/>
      <c r="J82" s="13"/>
      <c r="K82" s="13" t="s">
        <v>658</v>
      </c>
      <c r="L82" s="13" t="s">
        <v>2265</v>
      </c>
      <c r="M82" s="13"/>
    </row>
    <row r="83" customFormat="false" ht="15" hidden="false" customHeight="false" outlineLevel="0" collapsed="false">
      <c r="A83" s="13" t="s">
        <v>628</v>
      </c>
      <c r="B83" s="13" t="s">
        <v>627</v>
      </c>
      <c r="C83" s="13" t="s">
        <v>2267</v>
      </c>
      <c r="D83" s="13" t="s">
        <v>57</v>
      </c>
      <c r="E83" s="13" t="s">
        <v>693</v>
      </c>
      <c r="F83" s="13" t="s">
        <v>694</v>
      </c>
      <c r="G83" s="61" t="n">
        <v>6521673752</v>
      </c>
      <c r="H83" s="13" t="s">
        <v>2255</v>
      </c>
      <c r="I83" s="13"/>
      <c r="J83" s="13"/>
      <c r="K83" s="13" t="s">
        <v>659</v>
      </c>
      <c r="L83" s="13" t="s">
        <v>2265</v>
      </c>
      <c r="M83" s="13"/>
    </row>
    <row r="84" customFormat="false" ht="15" hidden="false" customHeight="false" outlineLevel="0" collapsed="false">
      <c r="A84" s="13" t="s">
        <v>628</v>
      </c>
      <c r="B84" s="13" t="s">
        <v>627</v>
      </c>
      <c r="C84" s="13" t="s">
        <v>2254</v>
      </c>
      <c r="D84" s="13" t="s">
        <v>57</v>
      </c>
      <c r="E84" s="13" t="s">
        <v>696</v>
      </c>
      <c r="F84" s="13" t="s">
        <v>697</v>
      </c>
      <c r="G84" s="61" t="n">
        <v>-617873898</v>
      </c>
      <c r="H84" s="13" t="s">
        <v>2255</v>
      </c>
      <c r="I84" s="13"/>
      <c r="J84" s="13"/>
      <c r="K84" s="13" t="s">
        <v>2256</v>
      </c>
      <c r="L84" s="13" t="s">
        <v>2257</v>
      </c>
      <c r="M84" s="13"/>
    </row>
    <row r="85" customFormat="false" ht="15" hidden="false" customHeight="false" outlineLevel="0" collapsed="false">
      <c r="A85" s="13" t="s">
        <v>628</v>
      </c>
      <c r="B85" s="13" t="s">
        <v>627</v>
      </c>
      <c r="C85" s="13" t="s">
        <v>2258</v>
      </c>
      <c r="D85" s="13" t="s">
        <v>57</v>
      </c>
      <c r="E85" s="13" t="s">
        <v>696</v>
      </c>
      <c r="F85" s="13" t="s">
        <v>697</v>
      </c>
      <c r="G85" s="61" t="n">
        <v>0</v>
      </c>
      <c r="H85" s="13" t="s">
        <v>2255</v>
      </c>
      <c r="I85" s="13"/>
      <c r="J85" s="13"/>
      <c r="K85" s="13" t="s">
        <v>2259</v>
      </c>
      <c r="L85" s="13" t="s">
        <v>2260</v>
      </c>
      <c r="M85" s="13"/>
    </row>
    <row r="86" customFormat="false" ht="15" hidden="false" customHeight="false" outlineLevel="0" collapsed="false">
      <c r="A86" s="13" t="s">
        <v>628</v>
      </c>
      <c r="B86" s="13" t="s">
        <v>627</v>
      </c>
      <c r="C86" s="13" t="s">
        <v>2261</v>
      </c>
      <c r="D86" s="13" t="s">
        <v>57</v>
      </c>
      <c r="E86" s="13" t="s">
        <v>696</v>
      </c>
      <c r="F86" s="13" t="s">
        <v>697</v>
      </c>
      <c r="G86" s="61" t="n">
        <v>-2188786472</v>
      </c>
      <c r="H86" s="13" t="s">
        <v>2255</v>
      </c>
      <c r="I86" s="13"/>
      <c r="J86" s="13"/>
      <c r="K86" s="13" t="s">
        <v>2262</v>
      </c>
      <c r="L86" s="13" t="s">
        <v>2263</v>
      </c>
      <c r="M86" s="13"/>
    </row>
    <row r="87" customFormat="false" ht="15" hidden="false" customHeight="false" outlineLevel="0" collapsed="false">
      <c r="A87" s="13" t="s">
        <v>628</v>
      </c>
      <c r="B87" s="13" t="s">
        <v>627</v>
      </c>
      <c r="C87" s="13" t="s">
        <v>2264</v>
      </c>
      <c r="D87" s="13" t="s">
        <v>57</v>
      </c>
      <c r="E87" s="13" t="s">
        <v>696</v>
      </c>
      <c r="F87" s="13" t="s">
        <v>697</v>
      </c>
      <c r="G87" s="61" t="n">
        <v>-2126150500</v>
      </c>
      <c r="H87" s="13" t="s">
        <v>2255</v>
      </c>
      <c r="I87" s="13"/>
      <c r="J87" s="13"/>
      <c r="K87" s="13" t="s">
        <v>657</v>
      </c>
      <c r="L87" s="13" t="s">
        <v>2265</v>
      </c>
      <c r="M87" s="13"/>
    </row>
    <row r="88" customFormat="false" ht="15" hidden="false" customHeight="false" outlineLevel="0" collapsed="false">
      <c r="A88" s="13" t="s">
        <v>628</v>
      </c>
      <c r="B88" s="13" t="s">
        <v>627</v>
      </c>
      <c r="C88" s="13" t="s">
        <v>2266</v>
      </c>
      <c r="D88" s="13" t="s">
        <v>57</v>
      </c>
      <c r="E88" s="13" t="s">
        <v>696</v>
      </c>
      <c r="F88" s="13" t="s">
        <v>697</v>
      </c>
      <c r="G88" s="61" t="n">
        <v>-3245042894</v>
      </c>
      <c r="H88" s="13" t="s">
        <v>2255</v>
      </c>
      <c r="I88" s="13"/>
      <c r="J88" s="13"/>
      <c r="K88" s="13" t="s">
        <v>658</v>
      </c>
      <c r="L88" s="13" t="s">
        <v>2265</v>
      </c>
      <c r="M88" s="13"/>
    </row>
    <row r="89" customFormat="false" ht="15" hidden="false" customHeight="false" outlineLevel="0" collapsed="false">
      <c r="A89" s="13" t="s">
        <v>628</v>
      </c>
      <c r="B89" s="13" t="s">
        <v>627</v>
      </c>
      <c r="C89" s="13" t="s">
        <v>2267</v>
      </c>
      <c r="D89" s="13" t="s">
        <v>57</v>
      </c>
      <c r="E89" s="13" t="s">
        <v>696</v>
      </c>
      <c r="F89" s="13" t="s">
        <v>697</v>
      </c>
      <c r="G89" s="61" t="n">
        <v>-388764099</v>
      </c>
      <c r="H89" s="13" t="s">
        <v>2255</v>
      </c>
      <c r="I89" s="13"/>
      <c r="J89" s="13"/>
      <c r="K89" s="13" t="s">
        <v>659</v>
      </c>
      <c r="L89" s="13" t="s">
        <v>2265</v>
      </c>
      <c r="M89" s="13"/>
    </row>
    <row r="90" customFormat="false" ht="15" hidden="false" customHeight="false" outlineLevel="0" collapsed="false">
      <c r="A90" s="13" t="s">
        <v>628</v>
      </c>
      <c r="B90" s="13" t="s">
        <v>627</v>
      </c>
      <c r="C90" s="13" t="s">
        <v>2254</v>
      </c>
      <c r="D90" s="13" t="s">
        <v>57</v>
      </c>
      <c r="E90" s="13" t="s">
        <v>699</v>
      </c>
      <c r="F90" s="13" t="s">
        <v>700</v>
      </c>
      <c r="G90" s="61" t="n">
        <v>-26531851745</v>
      </c>
      <c r="H90" s="13" t="s">
        <v>2255</v>
      </c>
      <c r="I90" s="13"/>
      <c r="J90" s="13"/>
      <c r="K90" s="13" t="s">
        <v>2256</v>
      </c>
      <c r="L90" s="13" t="s">
        <v>2257</v>
      </c>
      <c r="M90" s="13" t="s">
        <v>2268</v>
      </c>
    </row>
    <row r="91" customFormat="false" ht="15" hidden="false" customHeight="false" outlineLevel="0" collapsed="false">
      <c r="A91" s="13" t="s">
        <v>628</v>
      </c>
      <c r="B91" s="13" t="s">
        <v>627</v>
      </c>
      <c r="C91" s="13" t="s">
        <v>2258</v>
      </c>
      <c r="D91" s="13" t="s">
        <v>57</v>
      </c>
      <c r="E91" s="13" t="s">
        <v>699</v>
      </c>
      <c r="F91" s="13" t="s">
        <v>700</v>
      </c>
      <c r="G91" s="61" t="n">
        <v>-102489898340</v>
      </c>
      <c r="H91" s="13" t="s">
        <v>2255</v>
      </c>
      <c r="I91" s="13"/>
      <c r="J91" s="13"/>
      <c r="K91" s="13" t="s">
        <v>2259</v>
      </c>
      <c r="L91" s="13" t="s">
        <v>2260</v>
      </c>
      <c r="M91" s="13" t="s">
        <v>2268</v>
      </c>
    </row>
    <row r="92" customFormat="false" ht="15" hidden="false" customHeight="false" outlineLevel="0" collapsed="false">
      <c r="A92" s="13" t="s">
        <v>628</v>
      </c>
      <c r="B92" s="13" t="s">
        <v>627</v>
      </c>
      <c r="C92" s="13" t="s">
        <v>2261</v>
      </c>
      <c r="D92" s="13" t="s">
        <v>57</v>
      </c>
      <c r="E92" s="13" t="s">
        <v>699</v>
      </c>
      <c r="F92" s="13" t="s">
        <v>700</v>
      </c>
      <c r="G92" s="61" t="n">
        <v>-47858164349</v>
      </c>
      <c r="H92" s="13" t="s">
        <v>2255</v>
      </c>
      <c r="I92" s="13"/>
      <c r="J92" s="13"/>
      <c r="K92" s="13" t="s">
        <v>2262</v>
      </c>
      <c r="L92" s="13" t="s">
        <v>2263</v>
      </c>
      <c r="M92" s="13" t="s">
        <v>2268</v>
      </c>
    </row>
    <row r="93" customFormat="false" ht="15" hidden="false" customHeight="false" outlineLevel="0" collapsed="false">
      <c r="A93" s="13" t="s">
        <v>628</v>
      </c>
      <c r="B93" s="13" t="s">
        <v>627</v>
      </c>
      <c r="C93" s="13" t="s">
        <v>2264</v>
      </c>
      <c r="D93" s="13" t="s">
        <v>57</v>
      </c>
      <c r="E93" s="13" t="s">
        <v>699</v>
      </c>
      <c r="F93" s="13" t="s">
        <v>700</v>
      </c>
      <c r="G93" s="61" t="n">
        <v>-24093626876</v>
      </c>
      <c r="H93" s="13" t="s">
        <v>2255</v>
      </c>
      <c r="I93" s="13"/>
      <c r="J93" s="13"/>
      <c r="K93" s="13" t="s">
        <v>657</v>
      </c>
      <c r="L93" s="13" t="s">
        <v>2265</v>
      </c>
      <c r="M93" s="13" t="s">
        <v>2268</v>
      </c>
    </row>
    <row r="94" customFormat="false" ht="15" hidden="false" customHeight="false" outlineLevel="0" collapsed="false">
      <c r="A94" s="13" t="s">
        <v>628</v>
      </c>
      <c r="B94" s="13" t="s">
        <v>627</v>
      </c>
      <c r="C94" s="13" t="s">
        <v>2266</v>
      </c>
      <c r="D94" s="13" t="s">
        <v>57</v>
      </c>
      <c r="E94" s="13" t="s">
        <v>699</v>
      </c>
      <c r="F94" s="13" t="s">
        <v>700</v>
      </c>
      <c r="G94" s="61" t="n">
        <v>-19697947242</v>
      </c>
      <c r="H94" s="13" t="s">
        <v>2255</v>
      </c>
      <c r="I94" s="13"/>
      <c r="J94" s="13"/>
      <c r="K94" s="13" t="s">
        <v>658</v>
      </c>
      <c r="L94" s="13" t="s">
        <v>2265</v>
      </c>
      <c r="M94" s="13" t="s">
        <v>2268</v>
      </c>
    </row>
    <row r="95" customFormat="false" ht="15" hidden="false" customHeight="false" outlineLevel="0" collapsed="false">
      <c r="A95" s="13" t="s">
        <v>628</v>
      </c>
      <c r="B95" s="13" t="s">
        <v>627</v>
      </c>
      <c r="C95" s="13" t="s">
        <v>2267</v>
      </c>
      <c r="D95" s="13" t="s">
        <v>57</v>
      </c>
      <c r="E95" s="13" t="s">
        <v>699</v>
      </c>
      <c r="F95" s="13" t="s">
        <v>700</v>
      </c>
      <c r="G95" s="61" t="n">
        <v>-15609507020</v>
      </c>
      <c r="H95" s="13" t="s">
        <v>2255</v>
      </c>
      <c r="I95" s="13"/>
      <c r="J95" s="13"/>
      <c r="K95" s="13" t="s">
        <v>659</v>
      </c>
      <c r="L95" s="13" t="s">
        <v>2265</v>
      </c>
      <c r="M95" s="13" t="s">
        <v>2268</v>
      </c>
    </row>
    <row r="96" customFormat="false" ht="15" hidden="false" customHeight="false" outlineLevel="0" collapsed="false">
      <c r="A96" s="13" t="s">
        <v>628</v>
      </c>
      <c r="B96" s="13" t="s">
        <v>627</v>
      </c>
      <c r="C96" s="13" t="s">
        <v>2254</v>
      </c>
      <c r="D96" s="13" t="s">
        <v>57</v>
      </c>
      <c r="E96" s="13" t="s">
        <v>701</v>
      </c>
      <c r="F96" s="13" t="s">
        <v>141</v>
      </c>
      <c r="G96" s="61" t="n">
        <v>118460085776</v>
      </c>
      <c r="H96" s="13" t="s">
        <v>2255</v>
      </c>
      <c r="I96" s="13"/>
      <c r="J96" s="13"/>
      <c r="K96" s="13" t="s">
        <v>2256</v>
      </c>
      <c r="L96" s="13" t="s">
        <v>2257</v>
      </c>
      <c r="M96" s="13" t="s">
        <v>2268</v>
      </c>
    </row>
    <row r="97" customFormat="false" ht="15" hidden="false" customHeight="false" outlineLevel="0" collapsed="false">
      <c r="A97" s="13" t="s">
        <v>628</v>
      </c>
      <c r="B97" s="13" t="s">
        <v>627</v>
      </c>
      <c r="C97" s="13" t="s">
        <v>2258</v>
      </c>
      <c r="D97" s="13" t="s">
        <v>57</v>
      </c>
      <c r="E97" s="13" t="s">
        <v>701</v>
      </c>
      <c r="F97" s="13" t="s">
        <v>141</v>
      </c>
      <c r="G97" s="61" t="n">
        <v>354648787182</v>
      </c>
      <c r="H97" s="13" t="s">
        <v>2255</v>
      </c>
      <c r="I97" s="13"/>
      <c r="J97" s="13"/>
      <c r="K97" s="13" t="s">
        <v>2259</v>
      </c>
      <c r="L97" s="13" t="s">
        <v>2260</v>
      </c>
      <c r="M97" s="13" t="s">
        <v>2268</v>
      </c>
    </row>
    <row r="98" customFormat="false" ht="15" hidden="false" customHeight="false" outlineLevel="0" collapsed="false">
      <c r="A98" s="13" t="s">
        <v>628</v>
      </c>
      <c r="B98" s="13" t="s">
        <v>627</v>
      </c>
      <c r="C98" s="13" t="s">
        <v>2261</v>
      </c>
      <c r="D98" s="13" t="s">
        <v>57</v>
      </c>
      <c r="E98" s="13" t="s">
        <v>701</v>
      </c>
      <c r="F98" s="13" t="s">
        <v>141</v>
      </c>
      <c r="G98" s="61" t="n">
        <v>128931855662</v>
      </c>
      <c r="H98" s="13" t="s">
        <v>2255</v>
      </c>
      <c r="I98" s="13"/>
      <c r="J98" s="13"/>
      <c r="K98" s="13" t="s">
        <v>2262</v>
      </c>
      <c r="L98" s="13" t="s">
        <v>2263</v>
      </c>
      <c r="M98" s="13" t="s">
        <v>2268</v>
      </c>
    </row>
    <row r="99" customFormat="false" ht="15" hidden="false" customHeight="false" outlineLevel="0" collapsed="false">
      <c r="A99" s="13" t="s">
        <v>628</v>
      </c>
      <c r="B99" s="13" t="s">
        <v>627</v>
      </c>
      <c r="C99" s="13" t="s">
        <v>2264</v>
      </c>
      <c r="D99" s="13" t="s">
        <v>57</v>
      </c>
      <c r="E99" s="13" t="s">
        <v>701</v>
      </c>
      <c r="F99" s="13" t="s">
        <v>141</v>
      </c>
      <c r="G99" s="61" t="n">
        <v>16229428848</v>
      </c>
      <c r="H99" s="13" t="s">
        <v>2255</v>
      </c>
      <c r="I99" s="13"/>
      <c r="J99" s="13"/>
      <c r="K99" s="13" t="s">
        <v>657</v>
      </c>
      <c r="L99" s="13" t="s">
        <v>2265</v>
      </c>
      <c r="M99" s="13" t="s">
        <v>2268</v>
      </c>
    </row>
    <row r="100" customFormat="false" ht="15" hidden="false" customHeight="false" outlineLevel="0" collapsed="false">
      <c r="A100" s="13" t="s">
        <v>628</v>
      </c>
      <c r="B100" s="13" t="s">
        <v>627</v>
      </c>
      <c r="C100" s="13" t="s">
        <v>2266</v>
      </c>
      <c r="D100" s="13" t="s">
        <v>57</v>
      </c>
      <c r="E100" s="13" t="s">
        <v>701</v>
      </c>
      <c r="F100" s="13" t="s">
        <v>141</v>
      </c>
      <c r="G100" s="61" t="n">
        <v>18895784267</v>
      </c>
      <c r="H100" s="13" t="s">
        <v>2255</v>
      </c>
      <c r="I100" s="13"/>
      <c r="J100" s="13"/>
      <c r="K100" s="13" t="s">
        <v>658</v>
      </c>
      <c r="L100" s="13" t="s">
        <v>2265</v>
      </c>
      <c r="M100" s="13" t="s">
        <v>2268</v>
      </c>
    </row>
    <row r="101" customFormat="false" ht="15" hidden="false" customHeight="false" outlineLevel="0" collapsed="false">
      <c r="A101" s="13" t="s">
        <v>628</v>
      </c>
      <c r="B101" s="13" t="s">
        <v>627</v>
      </c>
      <c r="C101" s="13" t="s">
        <v>2267</v>
      </c>
      <c r="D101" s="13" t="s">
        <v>57</v>
      </c>
      <c r="E101" s="13" t="s">
        <v>701</v>
      </c>
      <c r="F101" s="13" t="s">
        <v>141</v>
      </c>
      <c r="G101" s="61" t="n">
        <v>29673142533</v>
      </c>
      <c r="H101" s="13" t="s">
        <v>2255</v>
      </c>
      <c r="I101" s="13"/>
      <c r="J101" s="13"/>
      <c r="K101" s="13" t="s">
        <v>659</v>
      </c>
      <c r="L101" s="13" t="s">
        <v>2265</v>
      </c>
      <c r="M101" s="13" t="s">
        <v>2268</v>
      </c>
    </row>
    <row r="102" customFormat="false" ht="15" hidden="false" customHeight="false" outlineLevel="0" collapsed="false">
      <c r="A102" s="13" t="s">
        <v>628</v>
      </c>
      <c r="B102" s="13" t="s">
        <v>627</v>
      </c>
      <c r="C102" s="13" t="s">
        <v>2254</v>
      </c>
      <c r="D102" s="13" t="s">
        <v>57</v>
      </c>
      <c r="E102" s="13" t="s">
        <v>703</v>
      </c>
      <c r="F102" s="13" t="s">
        <v>704</v>
      </c>
      <c r="G102" s="61" t="n">
        <v>1229779851</v>
      </c>
      <c r="H102" s="13" t="s">
        <v>2255</v>
      </c>
      <c r="I102" s="13"/>
      <c r="J102" s="13"/>
      <c r="K102" s="13" t="s">
        <v>2256</v>
      </c>
      <c r="L102" s="13" t="s">
        <v>2257</v>
      </c>
      <c r="M102" s="13"/>
    </row>
    <row r="103" customFormat="false" ht="15" hidden="false" customHeight="false" outlineLevel="0" collapsed="false">
      <c r="A103" s="13" t="s">
        <v>628</v>
      </c>
      <c r="B103" s="13" t="s">
        <v>627</v>
      </c>
      <c r="C103" s="13" t="s">
        <v>2258</v>
      </c>
      <c r="D103" s="13" t="s">
        <v>57</v>
      </c>
      <c r="E103" s="13" t="s">
        <v>703</v>
      </c>
      <c r="F103" s="13" t="s">
        <v>704</v>
      </c>
      <c r="G103" s="61" t="n">
        <v>-6720079053</v>
      </c>
      <c r="H103" s="13" t="s">
        <v>2255</v>
      </c>
      <c r="I103" s="13"/>
      <c r="J103" s="13"/>
      <c r="K103" s="13" t="s">
        <v>2259</v>
      </c>
      <c r="L103" s="13" t="s">
        <v>2260</v>
      </c>
      <c r="M103" s="13"/>
    </row>
    <row r="104" customFormat="false" ht="15" hidden="false" customHeight="false" outlineLevel="0" collapsed="false">
      <c r="A104" s="13" t="s">
        <v>628</v>
      </c>
      <c r="B104" s="13" t="s">
        <v>627</v>
      </c>
      <c r="C104" s="13" t="s">
        <v>2261</v>
      </c>
      <c r="D104" s="13" t="s">
        <v>57</v>
      </c>
      <c r="E104" s="13" t="s">
        <v>703</v>
      </c>
      <c r="F104" s="13" t="s">
        <v>704</v>
      </c>
      <c r="G104" s="61" t="n">
        <v>4743936294</v>
      </c>
      <c r="H104" s="13" t="s">
        <v>2255</v>
      </c>
      <c r="I104" s="13"/>
      <c r="J104" s="13"/>
      <c r="K104" s="13" t="s">
        <v>2262</v>
      </c>
      <c r="L104" s="13" t="s">
        <v>2263</v>
      </c>
      <c r="M104" s="13"/>
    </row>
    <row r="105" customFormat="false" ht="15" hidden="false" customHeight="false" outlineLevel="0" collapsed="false">
      <c r="A105" s="13" t="s">
        <v>628</v>
      </c>
      <c r="B105" s="13" t="s">
        <v>627</v>
      </c>
      <c r="C105" s="13" t="s">
        <v>2264</v>
      </c>
      <c r="D105" s="13" t="s">
        <v>57</v>
      </c>
      <c r="E105" s="13" t="s">
        <v>703</v>
      </c>
      <c r="F105" s="13" t="s">
        <v>704</v>
      </c>
      <c r="G105" s="61" t="n">
        <v>4985509356</v>
      </c>
      <c r="H105" s="13" t="s">
        <v>2255</v>
      </c>
      <c r="I105" s="13"/>
      <c r="J105" s="13"/>
      <c r="K105" s="13" t="s">
        <v>657</v>
      </c>
      <c r="L105" s="13" t="s">
        <v>2265</v>
      </c>
      <c r="M105" s="13"/>
    </row>
    <row r="106" customFormat="false" ht="15" hidden="false" customHeight="false" outlineLevel="0" collapsed="false">
      <c r="A106" s="13" t="s">
        <v>628</v>
      </c>
      <c r="B106" s="13" t="s">
        <v>627</v>
      </c>
      <c r="C106" s="13" t="s">
        <v>2266</v>
      </c>
      <c r="D106" s="13" t="s">
        <v>57</v>
      </c>
      <c r="E106" s="13" t="s">
        <v>703</v>
      </c>
      <c r="F106" s="13" t="s">
        <v>704</v>
      </c>
      <c r="G106" s="61" t="n">
        <v>-2004583162</v>
      </c>
      <c r="H106" s="13" t="s">
        <v>2255</v>
      </c>
      <c r="I106" s="13"/>
      <c r="J106" s="13"/>
      <c r="K106" s="13" t="s">
        <v>658</v>
      </c>
      <c r="L106" s="13" t="s">
        <v>2265</v>
      </c>
      <c r="M106" s="13"/>
    </row>
    <row r="107" customFormat="false" ht="15" hidden="false" customHeight="false" outlineLevel="0" collapsed="false">
      <c r="A107" s="13" t="s">
        <v>628</v>
      </c>
      <c r="B107" s="13" t="s">
        <v>627</v>
      </c>
      <c r="C107" s="13" t="s">
        <v>2267</v>
      </c>
      <c r="D107" s="13" t="s">
        <v>57</v>
      </c>
      <c r="E107" s="13" t="s">
        <v>703</v>
      </c>
      <c r="F107" s="13" t="s">
        <v>704</v>
      </c>
      <c r="G107" s="61" t="n">
        <v>2581070789</v>
      </c>
      <c r="H107" s="13" t="s">
        <v>2255</v>
      </c>
      <c r="I107" s="13"/>
      <c r="J107" s="13"/>
      <c r="K107" s="13" t="s">
        <v>659</v>
      </c>
      <c r="L107" s="13" t="s">
        <v>2265</v>
      </c>
      <c r="M107" s="13"/>
    </row>
    <row r="108" customFormat="false" ht="15" hidden="false" customHeight="false" outlineLevel="0" collapsed="false">
      <c r="A108" s="13" t="s">
        <v>628</v>
      </c>
      <c r="B108" s="13" t="s">
        <v>627</v>
      </c>
      <c r="C108" s="13" t="s">
        <v>2254</v>
      </c>
      <c r="D108" s="13" t="s">
        <v>57</v>
      </c>
      <c r="E108" s="13" t="s">
        <v>706</v>
      </c>
      <c r="F108" s="13" t="s">
        <v>707</v>
      </c>
      <c r="G108" s="61" t="n">
        <v>-77960235</v>
      </c>
      <c r="H108" s="13" t="s">
        <v>2255</v>
      </c>
      <c r="I108" s="13"/>
      <c r="J108" s="13"/>
      <c r="K108" s="13" t="s">
        <v>2256</v>
      </c>
      <c r="L108" s="13" t="s">
        <v>2257</v>
      </c>
      <c r="M108" s="13"/>
    </row>
    <row r="109" customFormat="false" ht="15" hidden="false" customHeight="false" outlineLevel="0" collapsed="false">
      <c r="A109" s="13" t="s">
        <v>628</v>
      </c>
      <c r="B109" s="13" t="s">
        <v>627</v>
      </c>
      <c r="C109" s="13" t="s">
        <v>2258</v>
      </c>
      <c r="D109" s="13" t="s">
        <v>57</v>
      </c>
      <c r="E109" s="13" t="s">
        <v>706</v>
      </c>
      <c r="F109" s="13" t="s">
        <v>707</v>
      </c>
      <c r="G109" s="61" t="n">
        <v>1471155868</v>
      </c>
      <c r="H109" s="13" t="s">
        <v>2255</v>
      </c>
      <c r="I109" s="13"/>
      <c r="J109" s="13"/>
      <c r="K109" s="13" t="s">
        <v>2259</v>
      </c>
      <c r="L109" s="13" t="s">
        <v>2260</v>
      </c>
      <c r="M109" s="13"/>
    </row>
    <row r="110" customFormat="false" ht="15" hidden="false" customHeight="false" outlineLevel="0" collapsed="false">
      <c r="A110" s="13" t="s">
        <v>628</v>
      </c>
      <c r="B110" s="13" t="s">
        <v>627</v>
      </c>
      <c r="C110" s="13" t="s">
        <v>2261</v>
      </c>
      <c r="D110" s="13" t="s">
        <v>57</v>
      </c>
      <c r="E110" s="13" t="s">
        <v>706</v>
      </c>
      <c r="F110" s="13" t="s">
        <v>707</v>
      </c>
      <c r="G110" s="61" t="n">
        <v>-1036912101</v>
      </c>
      <c r="H110" s="13" t="s">
        <v>2255</v>
      </c>
      <c r="I110" s="13"/>
      <c r="J110" s="13"/>
      <c r="K110" s="13" t="s">
        <v>2262</v>
      </c>
      <c r="L110" s="13" t="s">
        <v>2263</v>
      </c>
      <c r="M110" s="13"/>
    </row>
    <row r="111" customFormat="false" ht="15" hidden="false" customHeight="false" outlineLevel="0" collapsed="false">
      <c r="A111" s="13" t="s">
        <v>628</v>
      </c>
      <c r="B111" s="13" t="s">
        <v>627</v>
      </c>
      <c r="C111" s="13" t="s">
        <v>2264</v>
      </c>
      <c r="D111" s="13" t="s">
        <v>57</v>
      </c>
      <c r="E111" s="13" t="s">
        <v>706</v>
      </c>
      <c r="F111" s="13" t="s">
        <v>707</v>
      </c>
      <c r="G111" s="61" t="n">
        <v>-1025216308</v>
      </c>
      <c r="H111" s="13" t="s">
        <v>2255</v>
      </c>
      <c r="I111" s="13"/>
      <c r="J111" s="13"/>
      <c r="K111" s="13" t="s">
        <v>657</v>
      </c>
      <c r="L111" s="13" t="s">
        <v>2265</v>
      </c>
      <c r="M111" s="13"/>
    </row>
    <row r="112" customFormat="false" ht="15" hidden="false" customHeight="false" outlineLevel="0" collapsed="false">
      <c r="A112" s="13" t="s">
        <v>628</v>
      </c>
      <c r="B112" s="13" t="s">
        <v>627</v>
      </c>
      <c r="C112" s="13" t="s">
        <v>2266</v>
      </c>
      <c r="D112" s="13" t="s">
        <v>57</v>
      </c>
      <c r="E112" s="13" t="s">
        <v>706</v>
      </c>
      <c r="F112" s="13" t="s">
        <v>707</v>
      </c>
      <c r="G112" s="61" t="n">
        <v>475975725</v>
      </c>
      <c r="H112" s="13" t="s">
        <v>2255</v>
      </c>
      <c r="I112" s="13"/>
      <c r="J112" s="13"/>
      <c r="K112" s="13" t="s">
        <v>658</v>
      </c>
      <c r="L112" s="13" t="s">
        <v>2265</v>
      </c>
      <c r="M112" s="13"/>
    </row>
    <row r="113" customFormat="false" ht="15" hidden="false" customHeight="false" outlineLevel="0" collapsed="false">
      <c r="A113" s="13" t="s">
        <v>628</v>
      </c>
      <c r="B113" s="13" t="s">
        <v>627</v>
      </c>
      <c r="C113" s="13" t="s">
        <v>2267</v>
      </c>
      <c r="D113" s="13" t="s">
        <v>57</v>
      </c>
      <c r="E113" s="13" t="s">
        <v>706</v>
      </c>
      <c r="F113" s="13" t="s">
        <v>707</v>
      </c>
      <c r="G113" s="61" t="n">
        <v>-558111502</v>
      </c>
      <c r="H113" s="13" t="s">
        <v>2255</v>
      </c>
      <c r="I113" s="13"/>
      <c r="J113" s="13"/>
      <c r="K113" s="13" t="s">
        <v>659</v>
      </c>
      <c r="L113" s="13" t="s">
        <v>2265</v>
      </c>
      <c r="M113" s="13"/>
    </row>
    <row r="114" customFormat="false" ht="15" hidden="false" customHeight="false" outlineLevel="0" collapsed="false">
      <c r="A114" s="13" t="s">
        <v>628</v>
      </c>
      <c r="B114" s="13" t="s">
        <v>627</v>
      </c>
      <c r="C114" s="13" t="s">
        <v>2254</v>
      </c>
      <c r="D114" s="13" t="s">
        <v>57</v>
      </c>
      <c r="E114" s="13" t="s">
        <v>709</v>
      </c>
      <c r="F114" s="13" t="s">
        <v>710</v>
      </c>
      <c r="G114" s="61" t="n">
        <v>-38979361</v>
      </c>
      <c r="H114" s="13" t="s">
        <v>2255</v>
      </c>
      <c r="I114" s="13"/>
      <c r="J114" s="13"/>
      <c r="K114" s="13" t="s">
        <v>2256</v>
      </c>
      <c r="L114" s="13" t="s">
        <v>2257</v>
      </c>
      <c r="M114" s="13"/>
    </row>
    <row r="115" customFormat="false" ht="15" hidden="false" customHeight="false" outlineLevel="0" collapsed="false">
      <c r="A115" s="13" t="s">
        <v>628</v>
      </c>
      <c r="B115" s="13" t="s">
        <v>627</v>
      </c>
      <c r="C115" s="13" t="s">
        <v>2254</v>
      </c>
      <c r="D115" s="13" t="s">
        <v>57</v>
      </c>
      <c r="E115" s="13" t="s">
        <v>712</v>
      </c>
      <c r="F115" s="13" t="s">
        <v>713</v>
      </c>
      <c r="G115" s="61" t="n">
        <v>126337956118</v>
      </c>
      <c r="H115" s="13" t="s">
        <v>2255</v>
      </c>
      <c r="I115" s="13"/>
      <c r="J115" s="13"/>
      <c r="K115" s="13" t="s">
        <v>2256</v>
      </c>
      <c r="L115" s="13" t="s">
        <v>2257</v>
      </c>
      <c r="M115" s="13"/>
    </row>
    <row r="116" customFormat="false" ht="15" hidden="false" customHeight="false" outlineLevel="0" collapsed="false">
      <c r="A116" s="13" t="s">
        <v>628</v>
      </c>
      <c r="B116" s="13" t="s">
        <v>627</v>
      </c>
      <c r="C116" s="13" t="s">
        <v>2258</v>
      </c>
      <c r="D116" s="13" t="s">
        <v>57</v>
      </c>
      <c r="E116" s="13" t="s">
        <v>712</v>
      </c>
      <c r="F116" s="13" t="s">
        <v>713</v>
      </c>
      <c r="G116" s="61" t="n">
        <v>0</v>
      </c>
      <c r="H116" s="13" t="s">
        <v>2255</v>
      </c>
      <c r="I116" s="13"/>
      <c r="J116" s="13"/>
      <c r="K116" s="13" t="s">
        <v>2259</v>
      </c>
      <c r="L116" s="13" t="s">
        <v>2260</v>
      </c>
      <c r="M116" s="13"/>
    </row>
    <row r="117" customFormat="false" ht="15" hidden="false" customHeight="false" outlineLevel="0" collapsed="false">
      <c r="A117" s="13" t="s">
        <v>628</v>
      </c>
      <c r="B117" s="13" t="s">
        <v>627</v>
      </c>
      <c r="C117" s="13" t="s">
        <v>2261</v>
      </c>
      <c r="D117" s="13" t="s">
        <v>57</v>
      </c>
      <c r="E117" s="13" t="s">
        <v>712</v>
      </c>
      <c r="F117" s="13" t="s">
        <v>713</v>
      </c>
      <c r="G117" s="61" t="n">
        <v>0</v>
      </c>
      <c r="H117" s="13" t="s">
        <v>2255</v>
      </c>
      <c r="I117" s="13"/>
      <c r="J117" s="13"/>
      <c r="K117" s="13" t="s">
        <v>2262</v>
      </c>
      <c r="L117" s="13" t="s">
        <v>2263</v>
      </c>
      <c r="M117" s="13"/>
    </row>
    <row r="118" customFormat="false" ht="15" hidden="false" customHeight="false" outlineLevel="0" collapsed="false">
      <c r="A118" s="13" t="s">
        <v>628</v>
      </c>
      <c r="B118" s="13" t="s">
        <v>627</v>
      </c>
      <c r="C118" s="13" t="s">
        <v>2264</v>
      </c>
      <c r="D118" s="13" t="s">
        <v>57</v>
      </c>
      <c r="E118" s="13" t="s">
        <v>712</v>
      </c>
      <c r="F118" s="13" t="s">
        <v>713</v>
      </c>
      <c r="G118" s="61" t="n">
        <v>0</v>
      </c>
      <c r="H118" s="13" t="s">
        <v>2255</v>
      </c>
      <c r="I118" s="13"/>
      <c r="J118" s="13"/>
      <c r="K118" s="13" t="s">
        <v>657</v>
      </c>
      <c r="L118" s="13" t="s">
        <v>2265</v>
      </c>
      <c r="M118" s="13"/>
    </row>
    <row r="119" customFormat="false" ht="15" hidden="false" customHeight="false" outlineLevel="0" collapsed="false">
      <c r="A119" s="13" t="s">
        <v>628</v>
      </c>
      <c r="B119" s="13" t="s">
        <v>627</v>
      </c>
      <c r="C119" s="13" t="s">
        <v>2266</v>
      </c>
      <c r="D119" s="13" t="s">
        <v>57</v>
      </c>
      <c r="E119" s="13" t="s">
        <v>712</v>
      </c>
      <c r="F119" s="13" t="s">
        <v>713</v>
      </c>
      <c r="G119" s="61" t="n">
        <v>0</v>
      </c>
      <c r="H119" s="13" t="s">
        <v>2255</v>
      </c>
      <c r="I119" s="13"/>
      <c r="J119" s="13"/>
      <c r="K119" s="13" t="s">
        <v>658</v>
      </c>
      <c r="L119" s="13" t="s">
        <v>2265</v>
      </c>
      <c r="M119" s="13"/>
    </row>
    <row r="120" customFormat="false" ht="15" hidden="false" customHeight="false" outlineLevel="0" collapsed="false">
      <c r="A120" s="13" t="s">
        <v>628</v>
      </c>
      <c r="B120" s="13" t="s">
        <v>627</v>
      </c>
      <c r="C120" s="13" t="s">
        <v>2267</v>
      </c>
      <c r="D120" s="13" t="s">
        <v>57</v>
      </c>
      <c r="E120" s="13" t="s">
        <v>712</v>
      </c>
      <c r="F120" s="13" t="s">
        <v>713</v>
      </c>
      <c r="G120" s="61" t="n">
        <v>231142399297</v>
      </c>
      <c r="H120" s="13" t="s">
        <v>2255</v>
      </c>
      <c r="I120" s="13"/>
      <c r="J120" s="13"/>
      <c r="K120" s="13" t="s">
        <v>659</v>
      </c>
      <c r="L120" s="13" t="s">
        <v>2265</v>
      </c>
      <c r="M120" s="13"/>
    </row>
    <row r="121" customFormat="false" ht="15" hidden="false" customHeight="false" outlineLevel="0" collapsed="false">
      <c r="A121" s="13" t="s">
        <v>628</v>
      </c>
      <c r="B121" s="13" t="s">
        <v>627</v>
      </c>
      <c r="C121" s="13" t="s">
        <v>2254</v>
      </c>
      <c r="D121" s="13" t="s">
        <v>57</v>
      </c>
      <c r="E121" s="13" t="s">
        <v>715</v>
      </c>
      <c r="F121" s="13" t="s">
        <v>716</v>
      </c>
      <c r="G121" s="61" t="n">
        <v>-144259777</v>
      </c>
      <c r="H121" s="13" t="s">
        <v>2255</v>
      </c>
      <c r="I121" s="13"/>
      <c r="J121" s="13"/>
      <c r="K121" s="13" t="s">
        <v>2256</v>
      </c>
      <c r="L121" s="13" t="s">
        <v>2257</v>
      </c>
      <c r="M121" s="13"/>
    </row>
    <row r="122" customFormat="false" ht="15" hidden="false" customHeight="false" outlineLevel="0" collapsed="false">
      <c r="A122" s="13" t="s">
        <v>628</v>
      </c>
      <c r="B122" s="13" t="s">
        <v>627</v>
      </c>
      <c r="C122" s="13" t="s">
        <v>2254</v>
      </c>
      <c r="D122" s="13" t="s">
        <v>57</v>
      </c>
      <c r="E122" s="13" t="s">
        <v>718</v>
      </c>
      <c r="F122" s="13" t="s">
        <v>719</v>
      </c>
      <c r="G122" s="61" t="n">
        <v>0</v>
      </c>
      <c r="H122" s="13" t="s">
        <v>2255</v>
      </c>
      <c r="I122" s="13"/>
      <c r="J122" s="13"/>
      <c r="K122" s="13" t="s">
        <v>2256</v>
      </c>
      <c r="L122" s="13" t="s">
        <v>2257</v>
      </c>
      <c r="M122" s="13"/>
    </row>
    <row r="123" customFormat="false" ht="15" hidden="false" customHeight="false" outlineLevel="0" collapsed="false">
      <c r="A123" s="13" t="s">
        <v>628</v>
      </c>
      <c r="B123" s="13" t="s">
        <v>627</v>
      </c>
      <c r="C123" s="13" t="s">
        <v>2258</v>
      </c>
      <c r="D123" s="13" t="s">
        <v>57</v>
      </c>
      <c r="E123" s="13" t="s">
        <v>718</v>
      </c>
      <c r="F123" s="13" t="s">
        <v>719</v>
      </c>
      <c r="G123" s="61" t="n">
        <v>5124975123</v>
      </c>
      <c r="H123" s="13" t="s">
        <v>2255</v>
      </c>
      <c r="I123" s="13"/>
      <c r="J123" s="13"/>
      <c r="K123" s="13" t="s">
        <v>2259</v>
      </c>
      <c r="L123" s="13" t="s">
        <v>2260</v>
      </c>
      <c r="M123" s="13"/>
    </row>
    <row r="124" customFormat="false" ht="15" hidden="false" customHeight="false" outlineLevel="0" collapsed="false">
      <c r="A124" s="13" t="s">
        <v>628</v>
      </c>
      <c r="B124" s="13" t="s">
        <v>627</v>
      </c>
      <c r="C124" s="13" t="s">
        <v>2261</v>
      </c>
      <c r="D124" s="13" t="s">
        <v>57</v>
      </c>
      <c r="E124" s="13" t="s">
        <v>718</v>
      </c>
      <c r="F124" s="13" t="s">
        <v>719</v>
      </c>
      <c r="G124" s="61" t="n">
        <v>-9515363803</v>
      </c>
      <c r="H124" s="13" t="s">
        <v>2255</v>
      </c>
      <c r="I124" s="13"/>
      <c r="J124" s="13"/>
      <c r="K124" s="13" t="s">
        <v>2262</v>
      </c>
      <c r="L124" s="13" t="s">
        <v>2263</v>
      </c>
      <c r="M124" s="13"/>
    </row>
    <row r="125" customFormat="false" ht="15" hidden="false" customHeight="false" outlineLevel="0" collapsed="false">
      <c r="A125" s="13" t="s">
        <v>628</v>
      </c>
      <c r="B125" s="13" t="s">
        <v>627</v>
      </c>
      <c r="C125" s="13" t="s">
        <v>2264</v>
      </c>
      <c r="D125" s="13" t="s">
        <v>57</v>
      </c>
      <c r="E125" s="13" t="s">
        <v>718</v>
      </c>
      <c r="F125" s="13" t="s">
        <v>719</v>
      </c>
      <c r="G125" s="61" t="n">
        <v>-2878886693</v>
      </c>
      <c r="H125" s="13" t="s">
        <v>2255</v>
      </c>
      <c r="I125" s="13"/>
      <c r="J125" s="13"/>
      <c r="K125" s="13" t="s">
        <v>657</v>
      </c>
      <c r="L125" s="13" t="s">
        <v>2265</v>
      </c>
      <c r="M125" s="13"/>
    </row>
    <row r="126" customFormat="false" ht="15" hidden="false" customHeight="false" outlineLevel="0" collapsed="false">
      <c r="A126" s="13" t="s">
        <v>628</v>
      </c>
      <c r="B126" s="13" t="s">
        <v>627</v>
      </c>
      <c r="C126" s="13" t="s">
        <v>2266</v>
      </c>
      <c r="D126" s="13" t="s">
        <v>57</v>
      </c>
      <c r="E126" s="13" t="s">
        <v>718</v>
      </c>
      <c r="F126" s="13" t="s">
        <v>719</v>
      </c>
      <c r="G126" s="61" t="n">
        <v>-2503397606</v>
      </c>
      <c r="H126" s="13" t="s">
        <v>2255</v>
      </c>
      <c r="I126" s="13"/>
      <c r="J126" s="13"/>
      <c r="K126" s="13" t="s">
        <v>658</v>
      </c>
      <c r="L126" s="13" t="s">
        <v>2265</v>
      </c>
      <c r="M126" s="13"/>
    </row>
    <row r="127" customFormat="false" ht="15" hidden="false" customHeight="false" outlineLevel="0" collapsed="false">
      <c r="A127" s="13" t="s">
        <v>628</v>
      </c>
      <c r="B127" s="13" t="s">
        <v>627</v>
      </c>
      <c r="C127" s="13" t="s">
        <v>2267</v>
      </c>
      <c r="D127" s="13" t="s">
        <v>57</v>
      </c>
      <c r="E127" s="13" t="s">
        <v>718</v>
      </c>
      <c r="F127" s="13" t="s">
        <v>719</v>
      </c>
      <c r="G127" s="61" t="n">
        <v>-26780676</v>
      </c>
      <c r="H127" s="13" t="s">
        <v>2255</v>
      </c>
      <c r="I127" s="13"/>
      <c r="J127" s="13"/>
      <c r="K127" s="13" t="s">
        <v>659</v>
      </c>
      <c r="L127" s="13" t="s">
        <v>2265</v>
      </c>
      <c r="M127" s="13"/>
    </row>
    <row r="128" customFormat="false" ht="15" hidden="false" customHeight="false" outlineLevel="0" collapsed="false">
      <c r="A128" s="13" t="s">
        <v>628</v>
      </c>
      <c r="B128" s="13" t="s">
        <v>627</v>
      </c>
      <c r="C128" s="13" t="s">
        <v>2254</v>
      </c>
      <c r="D128" s="13" t="s">
        <v>57</v>
      </c>
      <c r="E128" s="13" t="s">
        <v>721</v>
      </c>
      <c r="F128" s="13" t="s">
        <v>722</v>
      </c>
      <c r="G128" s="61" t="n">
        <v>127306536596</v>
      </c>
      <c r="H128" s="13" t="s">
        <v>2255</v>
      </c>
      <c r="I128" s="13"/>
      <c r="J128" s="13"/>
      <c r="K128" s="13" t="s">
        <v>2256</v>
      </c>
      <c r="L128" s="13" t="s">
        <v>2257</v>
      </c>
      <c r="M128" s="13" t="s">
        <v>2268</v>
      </c>
    </row>
    <row r="129" customFormat="false" ht="15" hidden="false" customHeight="false" outlineLevel="0" collapsed="false">
      <c r="A129" s="13" t="s">
        <v>628</v>
      </c>
      <c r="B129" s="13" t="s">
        <v>627</v>
      </c>
      <c r="C129" s="13" t="s">
        <v>2258</v>
      </c>
      <c r="D129" s="13" t="s">
        <v>57</v>
      </c>
      <c r="E129" s="13" t="s">
        <v>721</v>
      </c>
      <c r="F129" s="13" t="s">
        <v>722</v>
      </c>
      <c r="G129" s="61" t="n">
        <v>-123948062</v>
      </c>
      <c r="H129" s="13" t="s">
        <v>2255</v>
      </c>
      <c r="I129" s="13"/>
      <c r="J129" s="13"/>
      <c r="K129" s="13" t="s">
        <v>2259</v>
      </c>
      <c r="L129" s="13" t="s">
        <v>2260</v>
      </c>
      <c r="M129" s="13" t="s">
        <v>2268</v>
      </c>
    </row>
    <row r="130" customFormat="false" ht="15" hidden="false" customHeight="false" outlineLevel="0" collapsed="false">
      <c r="A130" s="13" t="s">
        <v>628</v>
      </c>
      <c r="B130" s="13" t="s">
        <v>627</v>
      </c>
      <c r="C130" s="13" t="s">
        <v>2261</v>
      </c>
      <c r="D130" s="13" t="s">
        <v>57</v>
      </c>
      <c r="E130" s="13" t="s">
        <v>721</v>
      </c>
      <c r="F130" s="13" t="s">
        <v>722</v>
      </c>
      <c r="G130" s="61" t="n">
        <v>-5808339610</v>
      </c>
      <c r="H130" s="13" t="s">
        <v>2255</v>
      </c>
      <c r="I130" s="13"/>
      <c r="J130" s="13"/>
      <c r="K130" s="13" t="s">
        <v>2262</v>
      </c>
      <c r="L130" s="13" t="s">
        <v>2263</v>
      </c>
      <c r="M130" s="13" t="s">
        <v>2268</v>
      </c>
    </row>
    <row r="131" customFormat="false" ht="15" hidden="false" customHeight="false" outlineLevel="0" collapsed="false">
      <c r="A131" s="13" t="s">
        <v>628</v>
      </c>
      <c r="B131" s="13" t="s">
        <v>627</v>
      </c>
      <c r="C131" s="13" t="s">
        <v>2264</v>
      </c>
      <c r="D131" s="13" t="s">
        <v>57</v>
      </c>
      <c r="E131" s="13" t="s">
        <v>721</v>
      </c>
      <c r="F131" s="13" t="s">
        <v>722</v>
      </c>
      <c r="G131" s="61" t="n">
        <v>1081406355</v>
      </c>
      <c r="H131" s="13" t="s">
        <v>2255</v>
      </c>
      <c r="I131" s="13"/>
      <c r="J131" s="13"/>
      <c r="K131" s="13" t="s">
        <v>657</v>
      </c>
      <c r="L131" s="13" t="s">
        <v>2265</v>
      </c>
      <c r="M131" s="13" t="s">
        <v>2268</v>
      </c>
    </row>
    <row r="132" customFormat="false" ht="15" hidden="false" customHeight="false" outlineLevel="0" collapsed="false">
      <c r="A132" s="13" t="s">
        <v>628</v>
      </c>
      <c r="B132" s="13" t="s">
        <v>627</v>
      </c>
      <c r="C132" s="13" t="s">
        <v>2266</v>
      </c>
      <c r="D132" s="13" t="s">
        <v>57</v>
      </c>
      <c r="E132" s="13" t="s">
        <v>721</v>
      </c>
      <c r="F132" s="13" t="s">
        <v>722</v>
      </c>
      <c r="G132" s="61" t="n">
        <v>-4032005043</v>
      </c>
      <c r="H132" s="13" t="s">
        <v>2255</v>
      </c>
      <c r="I132" s="13"/>
      <c r="J132" s="13"/>
      <c r="K132" s="13" t="s">
        <v>658</v>
      </c>
      <c r="L132" s="13" t="s">
        <v>2265</v>
      </c>
      <c r="M132" s="13" t="s">
        <v>2268</v>
      </c>
    </row>
    <row r="133" customFormat="false" ht="15" hidden="false" customHeight="false" outlineLevel="0" collapsed="false">
      <c r="A133" s="13" t="s">
        <v>628</v>
      </c>
      <c r="B133" s="13" t="s">
        <v>627</v>
      </c>
      <c r="C133" s="13" t="s">
        <v>2267</v>
      </c>
      <c r="D133" s="13" t="s">
        <v>57</v>
      </c>
      <c r="E133" s="13" t="s">
        <v>721</v>
      </c>
      <c r="F133" s="13" t="s">
        <v>722</v>
      </c>
      <c r="G133" s="61" t="n">
        <v>233138577908</v>
      </c>
      <c r="H133" s="13" t="s">
        <v>2255</v>
      </c>
      <c r="I133" s="13"/>
      <c r="J133" s="13"/>
      <c r="K133" s="13" t="s">
        <v>659</v>
      </c>
      <c r="L133" s="13" t="s">
        <v>2265</v>
      </c>
      <c r="M133" s="13" t="s">
        <v>2268</v>
      </c>
    </row>
    <row r="134" customFormat="false" ht="15" hidden="false" customHeight="false" outlineLevel="0" collapsed="false">
      <c r="A134" s="13" t="s">
        <v>628</v>
      </c>
      <c r="B134" s="13" t="s">
        <v>627</v>
      </c>
      <c r="C134" s="13" t="s">
        <v>2254</v>
      </c>
      <c r="D134" s="13" t="s">
        <v>57</v>
      </c>
      <c r="E134" s="13" t="s">
        <v>723</v>
      </c>
      <c r="F134" s="13" t="s">
        <v>724</v>
      </c>
      <c r="G134" s="61" t="n">
        <v>245766622372</v>
      </c>
      <c r="H134" s="13" t="s">
        <v>2255</v>
      </c>
      <c r="I134" s="13"/>
      <c r="J134" s="13"/>
      <c r="K134" s="13" t="s">
        <v>2256</v>
      </c>
      <c r="L134" s="13" t="s">
        <v>2257</v>
      </c>
      <c r="M134" s="13" t="s">
        <v>2268</v>
      </c>
    </row>
    <row r="135" customFormat="false" ht="15" hidden="false" customHeight="false" outlineLevel="0" collapsed="false">
      <c r="A135" s="13" t="s">
        <v>628</v>
      </c>
      <c r="B135" s="13" t="s">
        <v>627</v>
      </c>
      <c r="C135" s="13" t="s">
        <v>2258</v>
      </c>
      <c r="D135" s="13" t="s">
        <v>57</v>
      </c>
      <c r="E135" s="13" t="s">
        <v>723</v>
      </c>
      <c r="F135" s="13" t="s">
        <v>724</v>
      </c>
      <c r="G135" s="61" t="n">
        <v>354524839120</v>
      </c>
      <c r="H135" s="13" t="s">
        <v>2255</v>
      </c>
      <c r="I135" s="13"/>
      <c r="J135" s="13"/>
      <c r="K135" s="13" t="s">
        <v>2259</v>
      </c>
      <c r="L135" s="13" t="s">
        <v>2260</v>
      </c>
      <c r="M135" s="13" t="s">
        <v>2268</v>
      </c>
    </row>
    <row r="136" customFormat="false" ht="15" hidden="false" customHeight="false" outlineLevel="0" collapsed="false">
      <c r="A136" s="13" t="s">
        <v>628</v>
      </c>
      <c r="B136" s="13" t="s">
        <v>627</v>
      </c>
      <c r="C136" s="13" t="s">
        <v>2261</v>
      </c>
      <c r="D136" s="13" t="s">
        <v>57</v>
      </c>
      <c r="E136" s="13" t="s">
        <v>723</v>
      </c>
      <c r="F136" s="13" t="s">
        <v>724</v>
      </c>
      <c r="G136" s="61" t="n">
        <v>123123516052</v>
      </c>
      <c r="H136" s="13" t="s">
        <v>2255</v>
      </c>
      <c r="I136" s="13"/>
      <c r="J136" s="13"/>
      <c r="K136" s="13" t="s">
        <v>2262</v>
      </c>
      <c r="L136" s="13" t="s">
        <v>2263</v>
      </c>
      <c r="M136" s="13" t="s">
        <v>2268</v>
      </c>
    </row>
    <row r="137" customFormat="false" ht="15" hidden="false" customHeight="false" outlineLevel="0" collapsed="false">
      <c r="A137" s="13" t="s">
        <v>628</v>
      </c>
      <c r="B137" s="13" t="s">
        <v>627</v>
      </c>
      <c r="C137" s="13" t="s">
        <v>2264</v>
      </c>
      <c r="D137" s="13" t="s">
        <v>57</v>
      </c>
      <c r="E137" s="13" t="s">
        <v>723</v>
      </c>
      <c r="F137" s="13" t="s">
        <v>724</v>
      </c>
      <c r="G137" s="61" t="n">
        <v>17310835203</v>
      </c>
      <c r="H137" s="13" t="s">
        <v>2255</v>
      </c>
      <c r="I137" s="13"/>
      <c r="J137" s="13"/>
      <c r="K137" s="13" t="s">
        <v>657</v>
      </c>
      <c r="L137" s="13" t="s">
        <v>2265</v>
      </c>
      <c r="M137" s="13" t="s">
        <v>2268</v>
      </c>
    </row>
    <row r="138" customFormat="false" ht="15" hidden="false" customHeight="false" outlineLevel="0" collapsed="false">
      <c r="A138" s="13" t="s">
        <v>628</v>
      </c>
      <c r="B138" s="13" t="s">
        <v>627</v>
      </c>
      <c r="C138" s="13" t="s">
        <v>2266</v>
      </c>
      <c r="D138" s="13" t="s">
        <v>57</v>
      </c>
      <c r="E138" s="13" t="s">
        <v>723</v>
      </c>
      <c r="F138" s="13" t="s">
        <v>724</v>
      </c>
      <c r="G138" s="61" t="n">
        <v>14863779224</v>
      </c>
      <c r="H138" s="13" t="s">
        <v>2255</v>
      </c>
      <c r="I138" s="13"/>
      <c r="J138" s="13"/>
      <c r="K138" s="13" t="s">
        <v>658</v>
      </c>
      <c r="L138" s="13" t="s">
        <v>2265</v>
      </c>
      <c r="M138" s="13" t="s">
        <v>2268</v>
      </c>
    </row>
    <row r="139" customFormat="false" ht="15" hidden="false" customHeight="false" outlineLevel="0" collapsed="false">
      <c r="A139" s="13" t="s">
        <v>628</v>
      </c>
      <c r="B139" s="13" t="s">
        <v>627</v>
      </c>
      <c r="C139" s="13" t="s">
        <v>2267</v>
      </c>
      <c r="D139" s="13" t="s">
        <v>57</v>
      </c>
      <c r="E139" s="13" t="s">
        <v>723</v>
      </c>
      <c r="F139" s="13" t="s">
        <v>724</v>
      </c>
      <c r="G139" s="61" t="n">
        <v>262811720441</v>
      </c>
      <c r="H139" s="13" t="s">
        <v>2255</v>
      </c>
      <c r="I139" s="13"/>
      <c r="J139" s="13"/>
      <c r="K139" s="13" t="s">
        <v>659</v>
      </c>
      <c r="L139" s="13" t="s">
        <v>2265</v>
      </c>
      <c r="M139" s="13" t="s">
        <v>2268</v>
      </c>
    </row>
    <row r="140" customFormat="false" ht="15" hidden="false" customHeight="false" outlineLevel="0" collapsed="false">
      <c r="A140" s="13" t="s">
        <v>628</v>
      </c>
      <c r="B140" s="13" t="s">
        <v>627</v>
      </c>
      <c r="C140" s="13" t="s">
        <v>2254</v>
      </c>
      <c r="D140" s="13" t="s">
        <v>57</v>
      </c>
      <c r="E140" s="13" t="s">
        <v>726</v>
      </c>
      <c r="F140" s="13" t="s">
        <v>727</v>
      </c>
      <c r="G140" s="61" t="n">
        <v>88791039353</v>
      </c>
      <c r="H140" s="13" t="s">
        <v>2255</v>
      </c>
      <c r="I140" s="13"/>
      <c r="J140" s="13"/>
      <c r="K140" s="13" t="s">
        <v>2256</v>
      </c>
      <c r="L140" s="13" t="s">
        <v>2257</v>
      </c>
      <c r="M140" s="13"/>
    </row>
    <row r="141" customFormat="false" ht="15" hidden="false" customHeight="false" outlineLevel="0" collapsed="false">
      <c r="A141" s="13" t="s">
        <v>628</v>
      </c>
      <c r="B141" s="13" t="s">
        <v>627</v>
      </c>
      <c r="C141" s="13" t="s">
        <v>2258</v>
      </c>
      <c r="D141" s="13" t="s">
        <v>57</v>
      </c>
      <c r="E141" s="13" t="s">
        <v>726</v>
      </c>
      <c r="F141" s="13" t="s">
        <v>727</v>
      </c>
      <c r="G141" s="61" t="n">
        <v>214489125593</v>
      </c>
      <c r="H141" s="13" t="s">
        <v>2255</v>
      </c>
      <c r="I141" s="13"/>
      <c r="J141" s="13"/>
      <c r="K141" s="13" t="s">
        <v>2259</v>
      </c>
      <c r="L141" s="13" t="s">
        <v>2260</v>
      </c>
      <c r="M141" s="13"/>
    </row>
    <row r="142" customFormat="false" ht="15" hidden="false" customHeight="false" outlineLevel="0" collapsed="false">
      <c r="A142" s="13" t="s">
        <v>628</v>
      </c>
      <c r="B142" s="13" t="s">
        <v>627</v>
      </c>
      <c r="C142" s="13" t="s">
        <v>2261</v>
      </c>
      <c r="D142" s="13" t="s">
        <v>57</v>
      </c>
      <c r="E142" s="13" t="s">
        <v>726</v>
      </c>
      <c r="F142" s="13" t="s">
        <v>727</v>
      </c>
      <c r="G142" s="61" t="n">
        <v>83227727173</v>
      </c>
      <c r="H142" s="13" t="s">
        <v>2255</v>
      </c>
      <c r="I142" s="13"/>
      <c r="J142" s="13"/>
      <c r="K142" s="13" t="s">
        <v>2262</v>
      </c>
      <c r="L142" s="13" t="s">
        <v>2263</v>
      </c>
      <c r="M142" s="13"/>
    </row>
    <row r="143" customFormat="false" ht="15" hidden="false" customHeight="false" outlineLevel="0" collapsed="false">
      <c r="A143" s="13" t="s">
        <v>628</v>
      </c>
      <c r="B143" s="13" t="s">
        <v>627</v>
      </c>
      <c r="C143" s="13" t="s">
        <v>2264</v>
      </c>
      <c r="D143" s="13" t="s">
        <v>57</v>
      </c>
      <c r="E143" s="13" t="s">
        <v>726</v>
      </c>
      <c r="F143" s="13" t="s">
        <v>727</v>
      </c>
      <c r="G143" s="61" t="n">
        <v>7461134368</v>
      </c>
      <c r="H143" s="13" t="s">
        <v>2255</v>
      </c>
      <c r="I143" s="13"/>
      <c r="J143" s="13"/>
      <c r="K143" s="13" t="s">
        <v>657</v>
      </c>
      <c r="L143" s="13" t="s">
        <v>2265</v>
      </c>
      <c r="M143" s="13"/>
    </row>
    <row r="144" customFormat="false" ht="15" hidden="false" customHeight="false" outlineLevel="0" collapsed="false">
      <c r="A144" s="13" t="s">
        <v>628</v>
      </c>
      <c r="B144" s="13" t="s">
        <v>627</v>
      </c>
      <c r="C144" s="13" t="s">
        <v>2266</v>
      </c>
      <c r="D144" s="13" t="s">
        <v>57</v>
      </c>
      <c r="E144" s="13" t="s">
        <v>726</v>
      </c>
      <c r="F144" s="13" t="s">
        <v>727</v>
      </c>
      <c r="G144" s="61" t="n">
        <v>11943515324</v>
      </c>
      <c r="H144" s="13" t="s">
        <v>2255</v>
      </c>
      <c r="I144" s="13"/>
      <c r="J144" s="13"/>
      <c r="K144" s="13" t="s">
        <v>658</v>
      </c>
      <c r="L144" s="13" t="s">
        <v>2265</v>
      </c>
      <c r="M144" s="13"/>
    </row>
    <row r="145" customFormat="false" ht="15" hidden="false" customHeight="false" outlineLevel="0" collapsed="false">
      <c r="A145" s="13" t="s">
        <v>628</v>
      </c>
      <c r="B145" s="13" t="s">
        <v>627</v>
      </c>
      <c r="C145" s="13" t="s">
        <v>2267</v>
      </c>
      <c r="D145" s="13" t="s">
        <v>57</v>
      </c>
      <c r="E145" s="13" t="s">
        <v>726</v>
      </c>
      <c r="F145" s="13" t="s">
        <v>727</v>
      </c>
      <c r="G145" s="61" t="n">
        <v>12418961321</v>
      </c>
      <c r="H145" s="13" t="s">
        <v>2255</v>
      </c>
      <c r="I145" s="13"/>
      <c r="J145" s="13"/>
      <c r="K145" s="13" t="s">
        <v>659</v>
      </c>
      <c r="L145" s="13" t="s">
        <v>2265</v>
      </c>
      <c r="M145" s="13"/>
    </row>
    <row r="146" customFormat="false" ht="15" hidden="false" customHeight="false" outlineLevel="0" collapsed="false">
      <c r="A146" s="13" t="s">
        <v>628</v>
      </c>
      <c r="B146" s="13" t="s">
        <v>627</v>
      </c>
      <c r="C146" s="13" t="s">
        <v>2254</v>
      </c>
      <c r="D146" s="13" t="s">
        <v>57</v>
      </c>
      <c r="E146" s="13" t="s">
        <v>729</v>
      </c>
      <c r="F146" s="13" t="s">
        <v>730</v>
      </c>
      <c r="G146" s="61" t="n">
        <v>29669046423</v>
      </c>
      <c r="H146" s="13" t="s">
        <v>2255</v>
      </c>
      <c r="I146" s="13"/>
      <c r="J146" s="13"/>
      <c r="K146" s="13" t="s">
        <v>2256</v>
      </c>
      <c r="L146" s="13" t="s">
        <v>2257</v>
      </c>
      <c r="M146" s="13"/>
    </row>
    <row r="147" customFormat="false" ht="15" hidden="false" customHeight="false" outlineLevel="0" collapsed="false">
      <c r="A147" s="13" t="s">
        <v>628</v>
      </c>
      <c r="B147" s="13" t="s">
        <v>627</v>
      </c>
      <c r="C147" s="13" t="s">
        <v>2258</v>
      </c>
      <c r="D147" s="13" t="s">
        <v>57</v>
      </c>
      <c r="E147" s="13" t="s">
        <v>729</v>
      </c>
      <c r="F147" s="13" t="s">
        <v>730</v>
      </c>
      <c r="G147" s="61" t="n">
        <v>140159661589</v>
      </c>
      <c r="H147" s="13" t="s">
        <v>2255</v>
      </c>
      <c r="I147" s="13"/>
      <c r="J147" s="13"/>
      <c r="K147" s="13" t="s">
        <v>2259</v>
      </c>
      <c r="L147" s="13" t="s">
        <v>2260</v>
      </c>
      <c r="M147" s="13"/>
    </row>
    <row r="148" customFormat="false" ht="15" hidden="false" customHeight="false" outlineLevel="0" collapsed="false">
      <c r="A148" s="13" t="s">
        <v>628</v>
      </c>
      <c r="B148" s="13" t="s">
        <v>627</v>
      </c>
      <c r="C148" s="13" t="s">
        <v>2261</v>
      </c>
      <c r="D148" s="13" t="s">
        <v>57</v>
      </c>
      <c r="E148" s="13" t="s">
        <v>729</v>
      </c>
      <c r="F148" s="13" t="s">
        <v>730</v>
      </c>
      <c r="G148" s="61" t="n">
        <v>45704128489</v>
      </c>
      <c r="H148" s="13" t="s">
        <v>2255</v>
      </c>
      <c r="I148" s="13"/>
      <c r="J148" s="13"/>
      <c r="K148" s="13" t="s">
        <v>2262</v>
      </c>
      <c r="L148" s="13" t="s">
        <v>2263</v>
      </c>
      <c r="M148" s="13"/>
    </row>
    <row r="149" customFormat="false" ht="15" hidden="false" customHeight="false" outlineLevel="0" collapsed="false">
      <c r="A149" s="13" t="s">
        <v>628</v>
      </c>
      <c r="B149" s="13" t="s">
        <v>627</v>
      </c>
      <c r="C149" s="13" t="s">
        <v>2264</v>
      </c>
      <c r="D149" s="13" t="s">
        <v>57</v>
      </c>
      <c r="E149" s="13" t="s">
        <v>729</v>
      </c>
      <c r="F149" s="13" t="s">
        <v>730</v>
      </c>
      <c r="G149" s="61" t="n">
        <v>8768294480</v>
      </c>
      <c r="H149" s="13" t="s">
        <v>2255</v>
      </c>
      <c r="I149" s="13"/>
      <c r="J149" s="13"/>
      <c r="K149" s="13" t="s">
        <v>657</v>
      </c>
      <c r="L149" s="13" t="s">
        <v>2265</v>
      </c>
      <c r="M149" s="13"/>
    </row>
    <row r="150" customFormat="false" ht="15" hidden="false" customHeight="false" outlineLevel="0" collapsed="false">
      <c r="A150" s="13" t="s">
        <v>628</v>
      </c>
      <c r="B150" s="13" t="s">
        <v>627</v>
      </c>
      <c r="C150" s="13" t="s">
        <v>2266</v>
      </c>
      <c r="D150" s="13" t="s">
        <v>57</v>
      </c>
      <c r="E150" s="13" t="s">
        <v>729</v>
      </c>
      <c r="F150" s="13" t="s">
        <v>730</v>
      </c>
      <c r="G150" s="61" t="n">
        <v>6952268943</v>
      </c>
      <c r="H150" s="13" t="s">
        <v>2255</v>
      </c>
      <c r="I150" s="13"/>
      <c r="J150" s="13"/>
      <c r="K150" s="13" t="s">
        <v>658</v>
      </c>
      <c r="L150" s="13" t="s">
        <v>2265</v>
      </c>
      <c r="M150" s="13"/>
    </row>
    <row r="151" customFormat="false" ht="15" hidden="false" customHeight="false" outlineLevel="0" collapsed="false">
      <c r="A151" s="13" t="s">
        <v>628</v>
      </c>
      <c r="B151" s="13" t="s">
        <v>627</v>
      </c>
      <c r="C151" s="13" t="s">
        <v>2267</v>
      </c>
      <c r="D151" s="13" t="s">
        <v>57</v>
      </c>
      <c r="E151" s="13" t="s">
        <v>729</v>
      </c>
      <c r="F151" s="13" t="s">
        <v>730</v>
      </c>
      <c r="G151" s="61" t="n">
        <v>17254181212</v>
      </c>
      <c r="H151" s="13" t="s">
        <v>2255</v>
      </c>
      <c r="I151" s="13"/>
      <c r="J151" s="13"/>
      <c r="K151" s="13" t="s">
        <v>659</v>
      </c>
      <c r="L151" s="13" t="s">
        <v>2265</v>
      </c>
      <c r="M151" s="13"/>
    </row>
    <row r="152" customFormat="false" ht="15" hidden="false" customHeight="false" outlineLevel="0" collapsed="false">
      <c r="A152" s="13" t="s">
        <v>628</v>
      </c>
      <c r="B152" s="13" t="s">
        <v>627</v>
      </c>
      <c r="C152" s="13" t="s">
        <v>2254</v>
      </c>
      <c r="D152" s="13" t="s">
        <v>57</v>
      </c>
      <c r="E152" s="13" t="s">
        <v>732</v>
      </c>
      <c r="F152" s="13" t="s">
        <v>733</v>
      </c>
      <c r="G152" s="61" t="n">
        <v>215655199866</v>
      </c>
      <c r="H152" s="13" t="s">
        <v>2255</v>
      </c>
      <c r="I152" s="13"/>
      <c r="J152" s="13"/>
      <c r="K152" s="13" t="s">
        <v>2256</v>
      </c>
      <c r="L152" s="13" t="s">
        <v>2257</v>
      </c>
      <c r="M152" s="13"/>
    </row>
    <row r="153" customFormat="false" ht="15" hidden="false" customHeight="false" outlineLevel="0" collapsed="false">
      <c r="A153" s="13" t="s">
        <v>628</v>
      </c>
      <c r="B153" s="13" t="s">
        <v>627</v>
      </c>
      <c r="C153" s="13" t="s">
        <v>2258</v>
      </c>
      <c r="D153" s="13" t="s">
        <v>57</v>
      </c>
      <c r="E153" s="13" t="s">
        <v>732</v>
      </c>
      <c r="F153" s="13" t="s">
        <v>733</v>
      </c>
      <c r="G153" s="61" t="n">
        <v>215034318680</v>
      </c>
      <c r="H153" s="13" t="s">
        <v>2255</v>
      </c>
      <c r="I153" s="13"/>
      <c r="J153" s="13"/>
      <c r="K153" s="13" t="s">
        <v>2259</v>
      </c>
      <c r="L153" s="13" t="s">
        <v>2260</v>
      </c>
      <c r="M153" s="13"/>
    </row>
    <row r="154" customFormat="false" ht="15" hidden="false" customHeight="false" outlineLevel="0" collapsed="false">
      <c r="A154" s="13" t="s">
        <v>628</v>
      </c>
      <c r="B154" s="13" t="s">
        <v>627</v>
      </c>
      <c r="C154" s="13" t="s">
        <v>2261</v>
      </c>
      <c r="D154" s="13" t="s">
        <v>57</v>
      </c>
      <c r="E154" s="13" t="s">
        <v>732</v>
      </c>
      <c r="F154" s="13" t="s">
        <v>733</v>
      </c>
      <c r="G154" s="61" t="n">
        <v>79196348798</v>
      </c>
      <c r="H154" s="13" t="s">
        <v>2255</v>
      </c>
      <c r="I154" s="13"/>
      <c r="J154" s="13"/>
      <c r="K154" s="13" t="s">
        <v>2262</v>
      </c>
      <c r="L154" s="13" t="s">
        <v>2263</v>
      </c>
      <c r="M154" s="13"/>
    </row>
    <row r="155" customFormat="false" ht="15" hidden="false" customHeight="false" outlineLevel="0" collapsed="false">
      <c r="A155" s="13" t="s">
        <v>628</v>
      </c>
      <c r="B155" s="13" t="s">
        <v>627</v>
      </c>
      <c r="C155" s="13" t="s">
        <v>2264</v>
      </c>
      <c r="D155" s="13" t="s">
        <v>57</v>
      </c>
      <c r="E155" s="13" t="s">
        <v>732</v>
      </c>
      <c r="F155" s="13" t="s">
        <v>733</v>
      </c>
      <c r="G155" s="61" t="n">
        <v>8951231339</v>
      </c>
      <c r="H155" s="13" t="s">
        <v>2255</v>
      </c>
      <c r="I155" s="13"/>
      <c r="J155" s="13"/>
      <c r="K155" s="13" t="s">
        <v>657</v>
      </c>
      <c r="L155" s="13" t="s">
        <v>2265</v>
      </c>
      <c r="M155" s="13"/>
    </row>
    <row r="156" customFormat="false" ht="15" hidden="false" customHeight="false" outlineLevel="0" collapsed="false">
      <c r="A156" s="13" t="s">
        <v>628</v>
      </c>
      <c r="B156" s="13" t="s">
        <v>627</v>
      </c>
      <c r="C156" s="13" t="s">
        <v>2266</v>
      </c>
      <c r="D156" s="13" t="s">
        <v>57</v>
      </c>
      <c r="E156" s="13" t="s">
        <v>732</v>
      </c>
      <c r="F156" s="13" t="s">
        <v>733</v>
      </c>
      <c r="G156" s="61" t="n">
        <v>9192171847</v>
      </c>
      <c r="H156" s="13" t="s">
        <v>2255</v>
      </c>
      <c r="I156" s="13"/>
      <c r="J156" s="13"/>
      <c r="K156" s="13" t="s">
        <v>658</v>
      </c>
      <c r="L156" s="13" t="s">
        <v>2265</v>
      </c>
      <c r="M156" s="13"/>
    </row>
    <row r="157" customFormat="false" ht="15" hidden="false" customHeight="false" outlineLevel="0" collapsed="false">
      <c r="A157" s="13" t="s">
        <v>628</v>
      </c>
      <c r="B157" s="13" t="s">
        <v>627</v>
      </c>
      <c r="C157" s="13" t="s">
        <v>2267</v>
      </c>
      <c r="D157" s="13" t="s">
        <v>57</v>
      </c>
      <c r="E157" s="13" t="s">
        <v>732</v>
      </c>
      <c r="F157" s="13" t="s">
        <v>733</v>
      </c>
      <c r="G157" s="61" t="n">
        <v>242065731168</v>
      </c>
      <c r="H157" s="13" t="s">
        <v>2255</v>
      </c>
      <c r="I157" s="13"/>
      <c r="J157" s="13"/>
      <c r="K157" s="13" t="s">
        <v>659</v>
      </c>
      <c r="L157" s="13" t="s">
        <v>2265</v>
      </c>
      <c r="M157" s="13"/>
    </row>
    <row r="158" customFormat="false" ht="15" hidden="false" customHeight="false" outlineLevel="0" collapsed="false">
      <c r="A158" s="13" t="s">
        <v>628</v>
      </c>
      <c r="B158" s="13" t="s">
        <v>627</v>
      </c>
      <c r="C158" s="13" t="s">
        <v>2254</v>
      </c>
      <c r="D158" s="13" t="s">
        <v>57</v>
      </c>
      <c r="E158" s="13" t="s">
        <v>735</v>
      </c>
      <c r="F158" s="13" t="s">
        <v>736</v>
      </c>
      <c r="G158" s="61" t="n">
        <v>30111422506</v>
      </c>
      <c r="H158" s="13" t="s">
        <v>2255</v>
      </c>
      <c r="I158" s="13"/>
      <c r="J158" s="13"/>
      <c r="K158" s="13" t="s">
        <v>2256</v>
      </c>
      <c r="L158" s="13" t="s">
        <v>2257</v>
      </c>
      <c r="M158" s="13"/>
    </row>
    <row r="159" customFormat="false" ht="15" hidden="false" customHeight="false" outlineLevel="0" collapsed="false">
      <c r="A159" s="13" t="s">
        <v>628</v>
      </c>
      <c r="B159" s="13" t="s">
        <v>627</v>
      </c>
      <c r="C159" s="13" t="s">
        <v>2258</v>
      </c>
      <c r="D159" s="13" t="s">
        <v>57</v>
      </c>
      <c r="E159" s="13" t="s">
        <v>735</v>
      </c>
      <c r="F159" s="13" t="s">
        <v>736</v>
      </c>
      <c r="G159" s="61" t="n">
        <v>139490520440</v>
      </c>
      <c r="H159" s="13" t="s">
        <v>2255</v>
      </c>
      <c r="I159" s="13"/>
      <c r="J159" s="13"/>
      <c r="K159" s="13" t="s">
        <v>2259</v>
      </c>
      <c r="L159" s="13" t="s">
        <v>2260</v>
      </c>
      <c r="M159" s="13"/>
    </row>
    <row r="160" customFormat="false" ht="15" hidden="false" customHeight="false" outlineLevel="0" collapsed="false">
      <c r="A160" s="13" t="s">
        <v>628</v>
      </c>
      <c r="B160" s="13" t="s">
        <v>627</v>
      </c>
      <c r="C160" s="13" t="s">
        <v>2261</v>
      </c>
      <c r="D160" s="13" t="s">
        <v>57</v>
      </c>
      <c r="E160" s="13" t="s">
        <v>735</v>
      </c>
      <c r="F160" s="13" t="s">
        <v>736</v>
      </c>
      <c r="G160" s="61" t="n">
        <v>43927167254</v>
      </c>
      <c r="H160" s="13" t="s">
        <v>2255</v>
      </c>
      <c r="I160" s="13"/>
      <c r="J160" s="13"/>
      <c r="K160" s="13" t="s">
        <v>2262</v>
      </c>
      <c r="L160" s="13" t="s">
        <v>2263</v>
      </c>
      <c r="M160" s="13"/>
    </row>
    <row r="161" customFormat="false" ht="15" hidden="false" customHeight="false" outlineLevel="0" collapsed="false">
      <c r="A161" s="13" t="s">
        <v>628</v>
      </c>
      <c r="B161" s="13" t="s">
        <v>627</v>
      </c>
      <c r="C161" s="13" t="s">
        <v>2264</v>
      </c>
      <c r="D161" s="13" t="s">
        <v>57</v>
      </c>
      <c r="E161" s="13" t="s">
        <v>735</v>
      </c>
      <c r="F161" s="13" t="s">
        <v>736</v>
      </c>
      <c r="G161" s="61" t="n">
        <v>8359603864</v>
      </c>
      <c r="H161" s="13" t="s">
        <v>2255</v>
      </c>
      <c r="I161" s="13"/>
      <c r="J161" s="13"/>
      <c r="K161" s="13" t="s">
        <v>657</v>
      </c>
      <c r="L161" s="13" t="s">
        <v>2265</v>
      </c>
      <c r="M161" s="13"/>
    </row>
    <row r="162" customFormat="false" ht="15" hidden="false" customHeight="false" outlineLevel="0" collapsed="false">
      <c r="A162" s="13" t="s">
        <v>628</v>
      </c>
      <c r="B162" s="13" t="s">
        <v>627</v>
      </c>
      <c r="C162" s="13" t="s">
        <v>2266</v>
      </c>
      <c r="D162" s="13" t="s">
        <v>57</v>
      </c>
      <c r="E162" s="13" t="s">
        <v>735</v>
      </c>
      <c r="F162" s="13" t="s">
        <v>736</v>
      </c>
      <c r="G162" s="61" t="n">
        <v>5671607377</v>
      </c>
      <c r="H162" s="13" t="s">
        <v>2255</v>
      </c>
      <c r="I162" s="13"/>
      <c r="J162" s="13"/>
      <c r="K162" s="13" t="s">
        <v>658</v>
      </c>
      <c r="L162" s="13" t="s">
        <v>2265</v>
      </c>
      <c r="M162" s="13"/>
    </row>
    <row r="163" customFormat="false" ht="15" hidden="false" customHeight="false" outlineLevel="0" collapsed="false">
      <c r="A163" s="13" t="s">
        <v>628</v>
      </c>
      <c r="B163" s="13" t="s">
        <v>627</v>
      </c>
      <c r="C163" s="13" t="s">
        <v>2267</v>
      </c>
      <c r="D163" s="13" t="s">
        <v>57</v>
      </c>
      <c r="E163" s="13" t="s">
        <v>735</v>
      </c>
      <c r="F163" s="13" t="s">
        <v>736</v>
      </c>
      <c r="G163" s="61" t="n">
        <v>20745989273</v>
      </c>
      <c r="H163" s="13" t="s">
        <v>2255</v>
      </c>
      <c r="I163" s="13"/>
      <c r="J163" s="13"/>
      <c r="K163" s="13" t="s">
        <v>659</v>
      </c>
      <c r="L163" s="13" t="s">
        <v>2265</v>
      </c>
      <c r="M163" s="13"/>
    </row>
    <row r="164" customFormat="false" ht="15" hidden="false" customHeight="false" outlineLevel="0" collapsed="false">
      <c r="A164" s="13" t="s">
        <v>628</v>
      </c>
      <c r="B164" s="13" t="s">
        <v>627</v>
      </c>
      <c r="C164" s="13" t="s">
        <v>2254</v>
      </c>
      <c r="D164" s="13" t="s">
        <v>57</v>
      </c>
      <c r="E164" s="13" t="s">
        <v>738</v>
      </c>
      <c r="F164" s="13" t="s">
        <v>739</v>
      </c>
      <c r="G164" s="61" t="n">
        <v>18</v>
      </c>
      <c r="H164" s="13" t="s">
        <v>2255</v>
      </c>
      <c r="I164" s="13"/>
      <c r="J164" s="13"/>
      <c r="K164" s="13" t="s">
        <v>2256</v>
      </c>
      <c r="L164" s="13" t="s">
        <v>2257</v>
      </c>
      <c r="M164" s="13"/>
    </row>
    <row r="165" customFormat="false" ht="15" hidden="false" customHeight="false" outlineLevel="0" collapsed="false">
      <c r="A165" s="13" t="s">
        <v>628</v>
      </c>
      <c r="B165" s="13" t="s">
        <v>627</v>
      </c>
      <c r="C165" s="13" t="s">
        <v>2258</v>
      </c>
      <c r="D165" s="13" t="s">
        <v>57</v>
      </c>
      <c r="E165" s="13" t="s">
        <v>738</v>
      </c>
      <c r="F165" s="13" t="s">
        <v>739</v>
      </c>
      <c r="G165" s="61" t="n">
        <v>44</v>
      </c>
      <c r="H165" s="13" t="s">
        <v>2255</v>
      </c>
      <c r="I165" s="13"/>
      <c r="J165" s="13"/>
      <c r="K165" s="13" t="s">
        <v>2259</v>
      </c>
      <c r="L165" s="13" t="s">
        <v>2260</v>
      </c>
      <c r="M165" s="13"/>
    </row>
    <row r="166" customFormat="false" ht="15" hidden="false" customHeight="false" outlineLevel="0" collapsed="false">
      <c r="A166" s="13" t="s">
        <v>628</v>
      </c>
      <c r="B166" s="13" t="s">
        <v>627</v>
      </c>
      <c r="C166" s="13" t="s">
        <v>2261</v>
      </c>
      <c r="D166" s="13" t="s">
        <v>57</v>
      </c>
      <c r="E166" s="13" t="s">
        <v>738</v>
      </c>
      <c r="F166" s="13" t="s">
        <v>739</v>
      </c>
      <c r="G166" s="108" t="n">
        <v>9.7</v>
      </c>
      <c r="H166" s="13" t="s">
        <v>2255</v>
      </c>
      <c r="I166" s="13"/>
      <c r="J166" s="13"/>
      <c r="K166" s="13" t="s">
        <v>2262</v>
      </c>
      <c r="L166" s="13" t="s">
        <v>2263</v>
      </c>
      <c r="M166" s="13"/>
    </row>
    <row r="167" customFormat="false" ht="15" hidden="false" customHeight="false" outlineLevel="0" collapsed="false">
      <c r="A167" s="13" t="s">
        <v>628</v>
      </c>
      <c r="B167" s="13" t="s">
        <v>627</v>
      </c>
      <c r="C167" s="13" t="s">
        <v>2264</v>
      </c>
      <c r="D167" s="13" t="s">
        <v>57</v>
      </c>
      <c r="E167" s="13" t="s">
        <v>738</v>
      </c>
      <c r="F167" s="13" t="s">
        <v>739</v>
      </c>
      <c r="G167" s="108" t="n">
        <v>0.9</v>
      </c>
      <c r="H167" s="13" t="s">
        <v>2255</v>
      </c>
      <c r="I167" s="13"/>
      <c r="J167" s="13"/>
      <c r="K167" s="13" t="s">
        <v>657</v>
      </c>
      <c r="L167" s="13" t="s">
        <v>2265</v>
      </c>
      <c r="M167" s="13"/>
    </row>
    <row r="168" customFormat="false" ht="15" hidden="false" customHeight="false" outlineLevel="0" collapsed="false">
      <c r="A168" s="13" t="s">
        <v>628</v>
      </c>
      <c r="B168" s="13" t="s">
        <v>627</v>
      </c>
      <c r="C168" s="13" t="s">
        <v>2266</v>
      </c>
      <c r="D168" s="13" t="s">
        <v>57</v>
      </c>
      <c r="E168" s="13" t="s">
        <v>738</v>
      </c>
      <c r="F168" s="13" t="s">
        <v>739</v>
      </c>
      <c r="G168" s="108" t="n">
        <v>1.4</v>
      </c>
      <c r="H168" s="13" t="s">
        <v>2255</v>
      </c>
      <c r="I168" s="13"/>
      <c r="J168" s="13"/>
      <c r="K168" s="13" t="s">
        <v>658</v>
      </c>
      <c r="L168" s="13" t="s">
        <v>2265</v>
      </c>
      <c r="M168" s="13"/>
    </row>
    <row r="169" customFormat="false" ht="15" hidden="false" customHeight="false" outlineLevel="0" collapsed="false">
      <c r="A169" s="13" t="s">
        <v>628</v>
      </c>
      <c r="B169" s="13" t="s">
        <v>627</v>
      </c>
      <c r="C169" s="13" t="s">
        <v>2267</v>
      </c>
      <c r="D169" s="13" t="s">
        <v>57</v>
      </c>
      <c r="E169" s="13" t="s">
        <v>738</v>
      </c>
      <c r="F169" s="13" t="s">
        <v>739</v>
      </c>
      <c r="G169" s="108" t="n">
        <v>1.4</v>
      </c>
      <c r="H169" s="13" t="s">
        <v>2255</v>
      </c>
      <c r="I169" s="13"/>
      <c r="J169" s="13"/>
      <c r="K169" s="13" t="s">
        <v>659</v>
      </c>
      <c r="L169" s="13" t="s">
        <v>2265</v>
      </c>
      <c r="M169" s="13"/>
    </row>
    <row r="170" customFormat="false" ht="15" hidden="false" customHeight="false" outlineLevel="0" collapsed="false">
      <c r="A170" s="13" t="s">
        <v>628</v>
      </c>
      <c r="B170" s="13" t="s">
        <v>627</v>
      </c>
      <c r="C170" s="13" t="s">
        <v>2254</v>
      </c>
      <c r="D170" s="13" t="s">
        <v>57</v>
      </c>
      <c r="E170" s="13" t="s">
        <v>742</v>
      </c>
      <c r="F170" s="13" t="s">
        <v>743</v>
      </c>
      <c r="G170" s="61" t="n">
        <v>493150590488</v>
      </c>
      <c r="H170" s="13" t="s">
        <v>2255</v>
      </c>
      <c r="I170" s="13"/>
      <c r="J170" s="13"/>
      <c r="K170" s="13" t="s">
        <v>2256</v>
      </c>
      <c r="L170" s="13" t="s">
        <v>2257</v>
      </c>
      <c r="M170" s="13"/>
    </row>
    <row r="171" customFormat="false" ht="15" hidden="false" customHeight="false" outlineLevel="0" collapsed="false">
      <c r="A171" s="13" t="s">
        <v>628</v>
      </c>
      <c r="B171" s="13" t="s">
        <v>627</v>
      </c>
      <c r="C171" s="13" t="s">
        <v>2258</v>
      </c>
      <c r="D171" s="13" t="s">
        <v>57</v>
      </c>
      <c r="E171" s="13" t="s">
        <v>742</v>
      </c>
      <c r="F171" s="13" t="s">
        <v>743</v>
      </c>
      <c r="G171" s="61" t="n">
        <v>974021081068</v>
      </c>
      <c r="H171" s="13" t="s">
        <v>2255</v>
      </c>
      <c r="I171" s="13"/>
      <c r="J171" s="13"/>
      <c r="K171" s="13" t="s">
        <v>2259</v>
      </c>
      <c r="L171" s="13" t="s">
        <v>2260</v>
      </c>
      <c r="M171" s="13"/>
    </row>
    <row r="172" customFormat="false" ht="15" hidden="false" customHeight="false" outlineLevel="0" collapsed="false">
      <c r="A172" s="13" t="s">
        <v>628</v>
      </c>
      <c r="B172" s="13" t="s">
        <v>627</v>
      </c>
      <c r="C172" s="13" t="s">
        <v>2261</v>
      </c>
      <c r="D172" s="13" t="s">
        <v>57</v>
      </c>
      <c r="E172" s="13" t="s">
        <v>742</v>
      </c>
      <c r="F172" s="13" t="s">
        <v>743</v>
      </c>
      <c r="G172" s="61" t="n">
        <v>764552637083</v>
      </c>
      <c r="H172" s="13" t="s">
        <v>2255</v>
      </c>
      <c r="I172" s="13"/>
      <c r="J172" s="13"/>
      <c r="K172" s="13" t="s">
        <v>2262</v>
      </c>
      <c r="L172" s="13" t="s">
        <v>2263</v>
      </c>
      <c r="M172" s="13"/>
    </row>
    <row r="173" customFormat="false" ht="15" hidden="false" customHeight="false" outlineLevel="0" collapsed="false">
      <c r="A173" s="13" t="s">
        <v>628</v>
      </c>
      <c r="B173" s="13" t="s">
        <v>627</v>
      </c>
      <c r="C173" s="13" t="s">
        <v>2264</v>
      </c>
      <c r="D173" s="13" t="s">
        <v>57</v>
      </c>
      <c r="E173" s="13" t="s">
        <v>742</v>
      </c>
      <c r="F173" s="13" t="s">
        <v>743</v>
      </c>
      <c r="G173" s="61" t="n">
        <v>695812877111</v>
      </c>
      <c r="H173" s="13" t="s">
        <v>2255</v>
      </c>
      <c r="I173" s="13"/>
      <c r="J173" s="13"/>
      <c r="K173" s="13" t="s">
        <v>657</v>
      </c>
      <c r="L173" s="13" t="s">
        <v>2265</v>
      </c>
      <c r="M173" s="13"/>
    </row>
    <row r="174" customFormat="false" ht="15" hidden="false" customHeight="false" outlineLevel="0" collapsed="false">
      <c r="A174" s="13" t="s">
        <v>628</v>
      </c>
      <c r="B174" s="13" t="s">
        <v>627</v>
      </c>
      <c r="C174" s="13" t="s">
        <v>2266</v>
      </c>
      <c r="D174" s="13" t="s">
        <v>57</v>
      </c>
      <c r="E174" s="13" t="s">
        <v>742</v>
      </c>
      <c r="F174" s="13" t="s">
        <v>743</v>
      </c>
      <c r="G174" s="61" t="n">
        <v>707137015492</v>
      </c>
      <c r="H174" s="13" t="s">
        <v>2255</v>
      </c>
      <c r="I174" s="13"/>
      <c r="J174" s="13"/>
      <c r="K174" s="13" t="s">
        <v>658</v>
      </c>
      <c r="L174" s="13" t="s">
        <v>2265</v>
      </c>
      <c r="M174" s="13"/>
    </row>
    <row r="175" customFormat="false" ht="15" hidden="false" customHeight="false" outlineLevel="0" collapsed="false">
      <c r="A175" s="13" t="s">
        <v>628</v>
      </c>
      <c r="B175" s="13" t="s">
        <v>627</v>
      </c>
      <c r="C175" s="13" t="s">
        <v>2267</v>
      </c>
      <c r="D175" s="13" t="s">
        <v>57</v>
      </c>
      <c r="E175" s="13" t="s">
        <v>742</v>
      </c>
      <c r="F175" s="13" t="s">
        <v>743</v>
      </c>
      <c r="G175" s="61" t="n">
        <v>744492466110</v>
      </c>
      <c r="H175" s="13" t="s">
        <v>2255</v>
      </c>
      <c r="I175" s="13"/>
      <c r="J175" s="13"/>
      <c r="K175" s="13" t="s">
        <v>659</v>
      </c>
      <c r="L175" s="13" t="s">
        <v>2265</v>
      </c>
      <c r="M175" s="13"/>
    </row>
    <row r="176" customFormat="false" ht="15" hidden="false" customHeight="false" outlineLevel="0" collapsed="false">
      <c r="A176" s="13" t="s">
        <v>628</v>
      </c>
      <c r="B176" s="13" t="s">
        <v>627</v>
      </c>
      <c r="C176" s="13" t="s">
        <v>2254</v>
      </c>
      <c r="D176" s="13" t="s">
        <v>57</v>
      </c>
      <c r="E176" s="13" t="s">
        <v>745</v>
      </c>
      <c r="F176" s="13" t="s">
        <v>746</v>
      </c>
      <c r="G176" s="61" t="n">
        <v>-336874850934</v>
      </c>
      <c r="H176" s="13" t="s">
        <v>2255</v>
      </c>
      <c r="I176" s="13"/>
      <c r="J176" s="13"/>
      <c r="K176" s="13" t="s">
        <v>2256</v>
      </c>
      <c r="L176" s="13" t="s">
        <v>2257</v>
      </c>
      <c r="M176" s="13"/>
    </row>
    <row r="177" customFormat="false" ht="15" hidden="false" customHeight="false" outlineLevel="0" collapsed="false">
      <c r="A177" s="13" t="s">
        <v>628</v>
      </c>
      <c r="B177" s="13" t="s">
        <v>627</v>
      </c>
      <c r="C177" s="13" t="s">
        <v>2258</v>
      </c>
      <c r="D177" s="13" t="s">
        <v>57</v>
      </c>
      <c r="E177" s="13" t="s">
        <v>745</v>
      </c>
      <c r="F177" s="13" t="s">
        <v>746</v>
      </c>
      <c r="G177" s="61" t="n">
        <v>-510647767433</v>
      </c>
      <c r="H177" s="13" t="s">
        <v>2255</v>
      </c>
      <c r="I177" s="13"/>
      <c r="J177" s="13"/>
      <c r="K177" s="13" t="s">
        <v>2259</v>
      </c>
      <c r="L177" s="13" t="s">
        <v>2260</v>
      </c>
      <c r="M177" s="13"/>
    </row>
    <row r="178" customFormat="false" ht="15" hidden="false" customHeight="false" outlineLevel="0" collapsed="false">
      <c r="A178" s="13" t="s">
        <v>628</v>
      </c>
      <c r="B178" s="13" t="s">
        <v>627</v>
      </c>
      <c r="C178" s="13" t="s">
        <v>2261</v>
      </c>
      <c r="D178" s="13" t="s">
        <v>57</v>
      </c>
      <c r="E178" s="13" t="s">
        <v>745</v>
      </c>
      <c r="F178" s="13" t="s">
        <v>746</v>
      </c>
      <c r="G178" s="61" t="n">
        <v>-549453811729</v>
      </c>
      <c r="H178" s="13" t="s">
        <v>2255</v>
      </c>
      <c r="I178" s="13"/>
      <c r="J178" s="13"/>
      <c r="K178" s="13" t="s">
        <v>2262</v>
      </c>
      <c r="L178" s="13" t="s">
        <v>2263</v>
      </c>
      <c r="M178" s="13"/>
    </row>
    <row r="179" customFormat="false" ht="15" hidden="false" customHeight="false" outlineLevel="0" collapsed="false">
      <c r="A179" s="13" t="s">
        <v>628</v>
      </c>
      <c r="B179" s="13" t="s">
        <v>627</v>
      </c>
      <c r="C179" s="13" t="s">
        <v>2264</v>
      </c>
      <c r="D179" s="13" t="s">
        <v>57</v>
      </c>
      <c r="E179" s="13" t="s">
        <v>745</v>
      </c>
      <c r="F179" s="13" t="s">
        <v>746</v>
      </c>
      <c r="G179" s="61" t="n">
        <v>-605261362551</v>
      </c>
      <c r="H179" s="13" t="s">
        <v>2255</v>
      </c>
      <c r="I179" s="13"/>
      <c r="J179" s="13"/>
      <c r="K179" s="13" t="s">
        <v>657</v>
      </c>
      <c r="L179" s="13" t="s">
        <v>2265</v>
      </c>
      <c r="M179" s="13"/>
    </row>
    <row r="180" customFormat="false" ht="15" hidden="false" customHeight="false" outlineLevel="0" collapsed="false">
      <c r="A180" s="13" t="s">
        <v>628</v>
      </c>
      <c r="B180" s="13" t="s">
        <v>627</v>
      </c>
      <c r="C180" s="13" t="s">
        <v>2266</v>
      </c>
      <c r="D180" s="13" t="s">
        <v>57</v>
      </c>
      <c r="E180" s="13" t="s">
        <v>745</v>
      </c>
      <c r="F180" s="13" t="s">
        <v>746</v>
      </c>
      <c r="G180" s="61" t="n">
        <v>-608070432997</v>
      </c>
      <c r="H180" s="13" t="s">
        <v>2255</v>
      </c>
      <c r="I180" s="13"/>
      <c r="J180" s="13"/>
      <c r="K180" s="13" t="s">
        <v>658</v>
      </c>
      <c r="L180" s="13" t="s">
        <v>2265</v>
      </c>
      <c r="M180" s="13"/>
    </row>
    <row r="181" customFormat="false" ht="15" hidden="false" customHeight="false" outlineLevel="0" collapsed="false">
      <c r="A181" s="13" t="s">
        <v>628</v>
      </c>
      <c r="B181" s="13" t="s">
        <v>627</v>
      </c>
      <c r="C181" s="13" t="s">
        <v>2267</v>
      </c>
      <c r="D181" s="13" t="s">
        <v>57</v>
      </c>
      <c r="E181" s="13" t="s">
        <v>745</v>
      </c>
      <c r="F181" s="13" t="s">
        <v>746</v>
      </c>
      <c r="G181" s="61" t="n">
        <v>-628562924995</v>
      </c>
      <c r="H181" s="13" t="s">
        <v>2255</v>
      </c>
      <c r="I181" s="13"/>
      <c r="J181" s="13"/>
      <c r="K181" s="13" t="s">
        <v>659</v>
      </c>
      <c r="L181" s="13" t="s">
        <v>2265</v>
      </c>
      <c r="M181" s="13"/>
    </row>
    <row r="182" customFormat="false" ht="15" hidden="false" customHeight="false" outlineLevel="0" collapsed="false">
      <c r="A182" s="13" t="s">
        <v>628</v>
      </c>
      <c r="B182" s="13" t="s">
        <v>627</v>
      </c>
      <c r="C182" s="13" t="s">
        <v>2254</v>
      </c>
      <c r="D182" s="13" t="s">
        <v>57</v>
      </c>
      <c r="E182" s="13" t="s">
        <v>748</v>
      </c>
      <c r="F182" s="13" t="s">
        <v>749</v>
      </c>
      <c r="G182" s="61" t="n">
        <v>144991937521</v>
      </c>
      <c r="H182" s="13" t="s">
        <v>2255</v>
      </c>
      <c r="I182" s="13"/>
      <c r="J182" s="13"/>
      <c r="K182" s="13" t="s">
        <v>2256</v>
      </c>
      <c r="L182" s="13" t="s">
        <v>2257</v>
      </c>
      <c r="M182" s="13"/>
    </row>
    <row r="183" customFormat="false" ht="15" hidden="false" customHeight="false" outlineLevel="0" collapsed="false">
      <c r="A183" s="13" t="s">
        <v>628</v>
      </c>
      <c r="B183" s="13" t="s">
        <v>627</v>
      </c>
      <c r="C183" s="13" t="s">
        <v>2258</v>
      </c>
      <c r="D183" s="13" t="s">
        <v>57</v>
      </c>
      <c r="E183" s="13" t="s">
        <v>748</v>
      </c>
      <c r="F183" s="13" t="s">
        <v>749</v>
      </c>
      <c r="G183" s="61" t="n">
        <v>457138685522</v>
      </c>
      <c r="H183" s="13" t="s">
        <v>2255</v>
      </c>
      <c r="I183" s="13"/>
      <c r="J183" s="13"/>
      <c r="K183" s="13" t="s">
        <v>2259</v>
      </c>
      <c r="L183" s="13" t="s">
        <v>2260</v>
      </c>
      <c r="M183" s="13"/>
    </row>
    <row r="184" customFormat="false" ht="15" hidden="false" customHeight="false" outlineLevel="0" collapsed="false">
      <c r="A184" s="13" t="s">
        <v>628</v>
      </c>
      <c r="B184" s="13" t="s">
        <v>627</v>
      </c>
      <c r="C184" s="13" t="s">
        <v>2261</v>
      </c>
      <c r="D184" s="13" t="s">
        <v>57</v>
      </c>
      <c r="E184" s="13" t="s">
        <v>748</v>
      </c>
      <c r="F184" s="13" t="s">
        <v>749</v>
      </c>
      <c r="G184" s="61" t="n">
        <v>176790020011</v>
      </c>
      <c r="H184" s="13" t="s">
        <v>2255</v>
      </c>
      <c r="I184" s="13"/>
      <c r="J184" s="13"/>
      <c r="K184" s="13" t="s">
        <v>2262</v>
      </c>
      <c r="L184" s="13" t="s">
        <v>2263</v>
      </c>
      <c r="M184" s="13"/>
    </row>
    <row r="185" customFormat="false" ht="15" hidden="false" customHeight="false" outlineLevel="0" collapsed="false">
      <c r="A185" s="13" t="s">
        <v>628</v>
      </c>
      <c r="B185" s="13" t="s">
        <v>627</v>
      </c>
      <c r="C185" s="13" t="s">
        <v>2264</v>
      </c>
      <c r="D185" s="13" t="s">
        <v>57</v>
      </c>
      <c r="E185" s="13" t="s">
        <v>748</v>
      </c>
      <c r="F185" s="13" t="s">
        <v>749</v>
      </c>
      <c r="G185" s="61" t="n">
        <v>40323055724</v>
      </c>
      <c r="H185" s="13" t="s">
        <v>2255</v>
      </c>
      <c r="I185" s="13"/>
      <c r="J185" s="13"/>
      <c r="K185" s="13" t="s">
        <v>657</v>
      </c>
      <c r="L185" s="13" t="s">
        <v>2265</v>
      </c>
      <c r="M185" s="13"/>
    </row>
    <row r="186" customFormat="false" ht="15" hidden="false" customHeight="false" outlineLevel="0" collapsed="false">
      <c r="A186" s="13" t="s">
        <v>628</v>
      </c>
      <c r="B186" s="13" t="s">
        <v>627</v>
      </c>
      <c r="C186" s="13" t="s">
        <v>2266</v>
      </c>
      <c r="D186" s="13" t="s">
        <v>57</v>
      </c>
      <c r="E186" s="13" t="s">
        <v>748</v>
      </c>
      <c r="F186" s="13" t="s">
        <v>749</v>
      </c>
      <c r="G186" s="61" t="n">
        <v>38593731509</v>
      </c>
      <c r="H186" s="13" t="s">
        <v>2255</v>
      </c>
      <c r="I186" s="13"/>
      <c r="J186" s="13"/>
      <c r="K186" s="13" t="s">
        <v>658</v>
      </c>
      <c r="L186" s="13" t="s">
        <v>2265</v>
      </c>
      <c r="M186" s="13"/>
    </row>
    <row r="187" customFormat="false" ht="15" hidden="false" customHeight="false" outlineLevel="0" collapsed="false">
      <c r="A187" s="13" t="s">
        <v>628</v>
      </c>
      <c r="B187" s="13" t="s">
        <v>627</v>
      </c>
      <c r="C187" s="13" t="s">
        <v>2267</v>
      </c>
      <c r="D187" s="13" t="s">
        <v>57</v>
      </c>
      <c r="E187" s="13" t="s">
        <v>748</v>
      </c>
      <c r="F187" s="13" t="s">
        <v>749</v>
      </c>
      <c r="G187" s="61" t="n">
        <v>45282649553</v>
      </c>
      <c r="H187" s="13" t="s">
        <v>2255</v>
      </c>
      <c r="I187" s="13"/>
      <c r="J187" s="13"/>
      <c r="K187" s="13" t="s">
        <v>659</v>
      </c>
      <c r="L187" s="13" t="s">
        <v>2265</v>
      </c>
      <c r="M187" s="13"/>
    </row>
    <row r="188" customFormat="false" ht="15" hidden="false" customHeight="false" outlineLevel="0" collapsed="false">
      <c r="A188" s="13" t="s">
        <v>628</v>
      </c>
      <c r="B188" s="13" t="s">
        <v>627</v>
      </c>
      <c r="C188" s="13" t="s">
        <v>2254</v>
      </c>
      <c r="D188" s="13" t="s">
        <v>57</v>
      </c>
      <c r="E188" s="13" t="s">
        <v>751</v>
      </c>
      <c r="F188" s="13" t="s">
        <v>752</v>
      </c>
      <c r="G188" s="61" t="n">
        <v>-26531851745</v>
      </c>
      <c r="H188" s="13" t="s">
        <v>2255</v>
      </c>
      <c r="I188" s="13"/>
      <c r="J188" s="13"/>
      <c r="K188" s="13" t="s">
        <v>2256</v>
      </c>
      <c r="L188" s="13" t="s">
        <v>2257</v>
      </c>
      <c r="M188" s="13"/>
    </row>
    <row r="189" customFormat="false" ht="15" hidden="false" customHeight="false" outlineLevel="0" collapsed="false">
      <c r="A189" s="13" t="s">
        <v>628</v>
      </c>
      <c r="B189" s="13" t="s">
        <v>627</v>
      </c>
      <c r="C189" s="13" t="s">
        <v>2258</v>
      </c>
      <c r="D189" s="13" t="s">
        <v>57</v>
      </c>
      <c r="E189" s="13" t="s">
        <v>751</v>
      </c>
      <c r="F189" s="13" t="s">
        <v>752</v>
      </c>
      <c r="G189" s="61" t="n">
        <v>-102489898340</v>
      </c>
      <c r="H189" s="13" t="s">
        <v>2255</v>
      </c>
      <c r="I189" s="13"/>
      <c r="J189" s="13"/>
      <c r="K189" s="13" t="s">
        <v>2259</v>
      </c>
      <c r="L189" s="13" t="s">
        <v>2260</v>
      </c>
      <c r="M189" s="13"/>
    </row>
    <row r="190" customFormat="false" ht="15" hidden="false" customHeight="false" outlineLevel="0" collapsed="false">
      <c r="A190" s="13" t="s">
        <v>628</v>
      </c>
      <c r="B190" s="13" t="s">
        <v>627</v>
      </c>
      <c r="C190" s="13" t="s">
        <v>2261</v>
      </c>
      <c r="D190" s="13" t="s">
        <v>57</v>
      </c>
      <c r="E190" s="13" t="s">
        <v>751</v>
      </c>
      <c r="F190" s="13" t="s">
        <v>752</v>
      </c>
      <c r="G190" s="61" t="n">
        <v>-47858164349</v>
      </c>
      <c r="H190" s="13" t="s">
        <v>2255</v>
      </c>
      <c r="I190" s="13"/>
      <c r="J190" s="13"/>
      <c r="K190" s="13" t="s">
        <v>2262</v>
      </c>
      <c r="L190" s="13" t="s">
        <v>2263</v>
      </c>
      <c r="M190" s="13"/>
    </row>
    <row r="191" customFormat="false" ht="15" hidden="false" customHeight="false" outlineLevel="0" collapsed="false">
      <c r="A191" s="13" t="s">
        <v>628</v>
      </c>
      <c r="B191" s="13" t="s">
        <v>627</v>
      </c>
      <c r="C191" s="13" t="s">
        <v>2264</v>
      </c>
      <c r="D191" s="13" t="s">
        <v>57</v>
      </c>
      <c r="E191" s="13" t="s">
        <v>751</v>
      </c>
      <c r="F191" s="13" t="s">
        <v>752</v>
      </c>
      <c r="G191" s="61" t="n">
        <v>-24093626876</v>
      </c>
      <c r="H191" s="13" t="s">
        <v>2255</v>
      </c>
      <c r="I191" s="13"/>
      <c r="J191" s="13"/>
      <c r="K191" s="13" t="s">
        <v>657</v>
      </c>
      <c r="L191" s="13" t="s">
        <v>2265</v>
      </c>
      <c r="M191" s="13"/>
    </row>
    <row r="192" customFormat="false" ht="15" hidden="false" customHeight="false" outlineLevel="0" collapsed="false">
      <c r="A192" s="13" t="s">
        <v>628</v>
      </c>
      <c r="B192" s="13" t="s">
        <v>627</v>
      </c>
      <c r="C192" s="13" t="s">
        <v>2266</v>
      </c>
      <c r="D192" s="13" t="s">
        <v>57</v>
      </c>
      <c r="E192" s="13" t="s">
        <v>751</v>
      </c>
      <c r="F192" s="13" t="s">
        <v>752</v>
      </c>
      <c r="G192" s="61" t="n">
        <v>-19697947242</v>
      </c>
      <c r="H192" s="13" t="s">
        <v>2255</v>
      </c>
      <c r="I192" s="13"/>
      <c r="J192" s="13"/>
      <c r="K192" s="13" t="s">
        <v>658</v>
      </c>
      <c r="L192" s="13" t="s">
        <v>2265</v>
      </c>
      <c r="M192" s="13"/>
    </row>
    <row r="193" customFormat="false" ht="15" hidden="false" customHeight="false" outlineLevel="0" collapsed="false">
      <c r="A193" s="13" t="s">
        <v>628</v>
      </c>
      <c r="B193" s="13" t="s">
        <v>627</v>
      </c>
      <c r="C193" s="13" t="s">
        <v>2267</v>
      </c>
      <c r="D193" s="13" t="s">
        <v>57</v>
      </c>
      <c r="E193" s="13" t="s">
        <v>751</v>
      </c>
      <c r="F193" s="13" t="s">
        <v>752</v>
      </c>
      <c r="G193" s="61" t="n">
        <v>-15609507020</v>
      </c>
      <c r="H193" s="13" t="s">
        <v>2255</v>
      </c>
      <c r="I193" s="13"/>
      <c r="J193" s="13"/>
      <c r="K193" s="13" t="s">
        <v>659</v>
      </c>
      <c r="L193" s="13" t="s">
        <v>2265</v>
      </c>
      <c r="M193" s="13"/>
    </row>
    <row r="194" customFormat="false" ht="15" hidden="false" customHeight="false" outlineLevel="0" collapsed="false">
      <c r="A194" s="13" t="s">
        <v>628</v>
      </c>
      <c r="B194" s="13" t="s">
        <v>627</v>
      </c>
      <c r="C194" s="13" t="s">
        <v>2254</v>
      </c>
      <c r="D194" s="13" t="s">
        <v>57</v>
      </c>
      <c r="E194" s="13" t="s">
        <v>754</v>
      </c>
      <c r="F194" s="13" t="s">
        <v>755</v>
      </c>
      <c r="G194" s="61" t="n">
        <v>118460085776</v>
      </c>
      <c r="H194" s="13" t="s">
        <v>2255</v>
      </c>
      <c r="I194" s="13"/>
      <c r="J194" s="13"/>
      <c r="K194" s="13" t="s">
        <v>2256</v>
      </c>
      <c r="L194" s="13" t="s">
        <v>2257</v>
      </c>
      <c r="M194" s="13"/>
    </row>
    <row r="195" customFormat="false" ht="15" hidden="false" customHeight="false" outlineLevel="0" collapsed="false">
      <c r="A195" s="13" t="s">
        <v>628</v>
      </c>
      <c r="B195" s="13" t="s">
        <v>627</v>
      </c>
      <c r="C195" s="13" t="s">
        <v>2258</v>
      </c>
      <c r="D195" s="13" t="s">
        <v>57</v>
      </c>
      <c r="E195" s="13" t="s">
        <v>754</v>
      </c>
      <c r="F195" s="13" t="s">
        <v>755</v>
      </c>
      <c r="G195" s="61" t="n">
        <v>354648787182</v>
      </c>
      <c r="H195" s="13" t="s">
        <v>2255</v>
      </c>
      <c r="I195" s="13"/>
      <c r="J195" s="13"/>
      <c r="K195" s="13" t="s">
        <v>2259</v>
      </c>
      <c r="L195" s="13" t="s">
        <v>2260</v>
      </c>
      <c r="M195" s="13"/>
    </row>
    <row r="196" customFormat="false" ht="15" hidden="false" customHeight="false" outlineLevel="0" collapsed="false">
      <c r="A196" s="13" t="s">
        <v>628</v>
      </c>
      <c r="B196" s="13" t="s">
        <v>627</v>
      </c>
      <c r="C196" s="13" t="s">
        <v>2261</v>
      </c>
      <c r="D196" s="13" t="s">
        <v>57</v>
      </c>
      <c r="E196" s="13" t="s">
        <v>754</v>
      </c>
      <c r="F196" s="13" t="s">
        <v>755</v>
      </c>
      <c r="G196" s="61" t="n">
        <v>128931855662</v>
      </c>
      <c r="H196" s="13" t="s">
        <v>2255</v>
      </c>
      <c r="I196" s="13"/>
      <c r="J196" s="13"/>
      <c r="K196" s="13" t="s">
        <v>2262</v>
      </c>
      <c r="L196" s="13" t="s">
        <v>2263</v>
      </c>
      <c r="M196" s="13"/>
    </row>
    <row r="197" customFormat="false" ht="15" hidden="false" customHeight="false" outlineLevel="0" collapsed="false">
      <c r="A197" s="13" t="s">
        <v>628</v>
      </c>
      <c r="B197" s="13" t="s">
        <v>627</v>
      </c>
      <c r="C197" s="13" t="s">
        <v>2264</v>
      </c>
      <c r="D197" s="13" t="s">
        <v>57</v>
      </c>
      <c r="E197" s="13" t="s">
        <v>754</v>
      </c>
      <c r="F197" s="13" t="s">
        <v>755</v>
      </c>
      <c r="G197" s="61" t="n">
        <v>16229428848</v>
      </c>
      <c r="H197" s="13" t="s">
        <v>2255</v>
      </c>
      <c r="I197" s="13"/>
      <c r="J197" s="13"/>
      <c r="K197" s="13" t="s">
        <v>657</v>
      </c>
      <c r="L197" s="13" t="s">
        <v>2265</v>
      </c>
      <c r="M197" s="13"/>
    </row>
    <row r="198" customFormat="false" ht="15" hidden="false" customHeight="false" outlineLevel="0" collapsed="false">
      <c r="A198" s="13" t="s">
        <v>628</v>
      </c>
      <c r="B198" s="13" t="s">
        <v>627</v>
      </c>
      <c r="C198" s="13" t="s">
        <v>2266</v>
      </c>
      <c r="D198" s="13" t="s">
        <v>57</v>
      </c>
      <c r="E198" s="13" t="s">
        <v>754</v>
      </c>
      <c r="F198" s="13" t="s">
        <v>755</v>
      </c>
      <c r="G198" s="61" t="n">
        <v>18895784267</v>
      </c>
      <c r="H198" s="13" t="s">
        <v>2255</v>
      </c>
      <c r="I198" s="13"/>
      <c r="J198" s="13"/>
      <c r="K198" s="13" t="s">
        <v>658</v>
      </c>
      <c r="L198" s="13" t="s">
        <v>2265</v>
      </c>
      <c r="M198" s="13"/>
    </row>
    <row r="199" customFormat="false" ht="15" hidden="false" customHeight="false" outlineLevel="0" collapsed="false">
      <c r="A199" s="13" t="s">
        <v>628</v>
      </c>
      <c r="B199" s="13" t="s">
        <v>627</v>
      </c>
      <c r="C199" s="13" t="s">
        <v>2267</v>
      </c>
      <c r="D199" s="13" t="s">
        <v>57</v>
      </c>
      <c r="E199" s="13" t="s">
        <v>754</v>
      </c>
      <c r="F199" s="13" t="s">
        <v>755</v>
      </c>
      <c r="G199" s="61" t="n">
        <v>29673142533</v>
      </c>
      <c r="H199" s="13" t="s">
        <v>2255</v>
      </c>
      <c r="I199" s="13"/>
      <c r="J199" s="13"/>
      <c r="K199" s="13" t="s">
        <v>659</v>
      </c>
      <c r="L199" s="13" t="s">
        <v>2265</v>
      </c>
      <c r="M199" s="13"/>
    </row>
    <row r="200" customFormat="false" ht="15" hidden="false" customHeight="false" outlineLevel="0" collapsed="false">
      <c r="A200" s="13" t="s">
        <v>628</v>
      </c>
      <c r="B200" s="13" t="s">
        <v>627</v>
      </c>
      <c r="C200" s="13" t="s">
        <v>2254</v>
      </c>
      <c r="D200" s="13" t="s">
        <v>57</v>
      </c>
      <c r="E200" s="13" t="s">
        <v>757</v>
      </c>
      <c r="F200" s="13" t="s">
        <v>758</v>
      </c>
      <c r="G200" s="61" t="n">
        <v>127306536596</v>
      </c>
      <c r="H200" s="13" t="s">
        <v>2255</v>
      </c>
      <c r="I200" s="13"/>
      <c r="J200" s="13"/>
      <c r="K200" s="13" t="s">
        <v>2256</v>
      </c>
      <c r="L200" s="13" t="s">
        <v>2257</v>
      </c>
      <c r="M200" s="13"/>
    </row>
    <row r="201" customFormat="false" ht="15" hidden="false" customHeight="false" outlineLevel="0" collapsed="false">
      <c r="A201" s="13" t="s">
        <v>628</v>
      </c>
      <c r="B201" s="13" t="s">
        <v>627</v>
      </c>
      <c r="C201" s="13" t="s">
        <v>2258</v>
      </c>
      <c r="D201" s="13" t="s">
        <v>57</v>
      </c>
      <c r="E201" s="13" t="s">
        <v>757</v>
      </c>
      <c r="F201" s="13" t="s">
        <v>758</v>
      </c>
      <c r="G201" s="61" t="n">
        <v>-123948062</v>
      </c>
      <c r="H201" s="13" t="s">
        <v>2255</v>
      </c>
      <c r="I201" s="13"/>
      <c r="J201" s="13"/>
      <c r="K201" s="13" t="s">
        <v>2259</v>
      </c>
      <c r="L201" s="13" t="s">
        <v>2260</v>
      </c>
      <c r="M201" s="13"/>
    </row>
    <row r="202" customFormat="false" ht="15" hidden="false" customHeight="false" outlineLevel="0" collapsed="false">
      <c r="A202" s="13" t="s">
        <v>628</v>
      </c>
      <c r="B202" s="13" t="s">
        <v>627</v>
      </c>
      <c r="C202" s="13" t="s">
        <v>2261</v>
      </c>
      <c r="D202" s="13" t="s">
        <v>57</v>
      </c>
      <c r="E202" s="13" t="s">
        <v>757</v>
      </c>
      <c r="F202" s="13" t="s">
        <v>758</v>
      </c>
      <c r="G202" s="61" t="n">
        <v>-5808339610</v>
      </c>
      <c r="H202" s="13" t="s">
        <v>2255</v>
      </c>
      <c r="I202" s="13"/>
      <c r="J202" s="13"/>
      <c r="K202" s="13" t="s">
        <v>2262</v>
      </c>
      <c r="L202" s="13" t="s">
        <v>2263</v>
      </c>
      <c r="M202" s="13"/>
    </row>
    <row r="203" customFormat="false" ht="15" hidden="false" customHeight="false" outlineLevel="0" collapsed="false">
      <c r="A203" s="13" t="s">
        <v>628</v>
      </c>
      <c r="B203" s="13" t="s">
        <v>627</v>
      </c>
      <c r="C203" s="13" t="s">
        <v>2264</v>
      </c>
      <c r="D203" s="13" t="s">
        <v>57</v>
      </c>
      <c r="E203" s="13" t="s">
        <v>757</v>
      </c>
      <c r="F203" s="13" t="s">
        <v>758</v>
      </c>
      <c r="G203" s="61" t="n">
        <v>1081406355</v>
      </c>
      <c r="H203" s="13" t="s">
        <v>2255</v>
      </c>
      <c r="I203" s="13"/>
      <c r="J203" s="13"/>
      <c r="K203" s="13" t="s">
        <v>657</v>
      </c>
      <c r="L203" s="13" t="s">
        <v>2265</v>
      </c>
      <c r="M203" s="13"/>
    </row>
    <row r="204" customFormat="false" ht="15" hidden="false" customHeight="false" outlineLevel="0" collapsed="false">
      <c r="A204" s="13" t="s">
        <v>628</v>
      </c>
      <c r="B204" s="13" t="s">
        <v>627</v>
      </c>
      <c r="C204" s="13" t="s">
        <v>2266</v>
      </c>
      <c r="D204" s="13" t="s">
        <v>57</v>
      </c>
      <c r="E204" s="13" t="s">
        <v>757</v>
      </c>
      <c r="F204" s="13" t="s">
        <v>758</v>
      </c>
      <c r="G204" s="61" t="n">
        <v>-4032005043</v>
      </c>
      <c r="H204" s="13" t="s">
        <v>2255</v>
      </c>
      <c r="I204" s="13"/>
      <c r="J204" s="13"/>
      <c r="K204" s="13" t="s">
        <v>658</v>
      </c>
      <c r="L204" s="13" t="s">
        <v>2265</v>
      </c>
      <c r="M204" s="13"/>
    </row>
    <row r="205" customFormat="false" ht="15" hidden="false" customHeight="false" outlineLevel="0" collapsed="false">
      <c r="A205" s="13" t="s">
        <v>628</v>
      </c>
      <c r="B205" s="13" t="s">
        <v>627</v>
      </c>
      <c r="C205" s="13" t="s">
        <v>2267</v>
      </c>
      <c r="D205" s="13" t="s">
        <v>57</v>
      </c>
      <c r="E205" s="13" t="s">
        <v>757</v>
      </c>
      <c r="F205" s="13" t="s">
        <v>758</v>
      </c>
      <c r="G205" s="61" t="n">
        <v>233138577908</v>
      </c>
      <c r="H205" s="13" t="s">
        <v>2255</v>
      </c>
      <c r="I205" s="13"/>
      <c r="J205" s="13"/>
      <c r="K205" s="13" t="s">
        <v>659</v>
      </c>
      <c r="L205" s="13" t="s">
        <v>2265</v>
      </c>
      <c r="M205" s="13"/>
    </row>
    <row r="206" customFormat="false" ht="15" hidden="false" customHeight="false" outlineLevel="0" collapsed="false">
      <c r="A206" s="13" t="s">
        <v>628</v>
      </c>
      <c r="B206" s="13" t="s">
        <v>627</v>
      </c>
      <c r="C206" s="13" t="s">
        <v>2254</v>
      </c>
      <c r="D206" s="13" t="s">
        <v>57</v>
      </c>
      <c r="E206" s="13" t="s">
        <v>760</v>
      </c>
      <c r="F206" s="13" t="s">
        <v>761</v>
      </c>
      <c r="G206" s="61" t="n">
        <v>245766622372</v>
      </c>
      <c r="H206" s="13" t="s">
        <v>2255</v>
      </c>
      <c r="I206" s="13"/>
      <c r="J206" s="13"/>
      <c r="K206" s="13" t="s">
        <v>2256</v>
      </c>
      <c r="L206" s="13" t="s">
        <v>2257</v>
      </c>
      <c r="M206" s="13"/>
    </row>
    <row r="207" customFormat="false" ht="15" hidden="false" customHeight="false" outlineLevel="0" collapsed="false">
      <c r="A207" s="13" t="s">
        <v>628</v>
      </c>
      <c r="B207" s="13" t="s">
        <v>627</v>
      </c>
      <c r="C207" s="13" t="s">
        <v>2258</v>
      </c>
      <c r="D207" s="13" t="s">
        <v>57</v>
      </c>
      <c r="E207" s="13" t="s">
        <v>760</v>
      </c>
      <c r="F207" s="13" t="s">
        <v>761</v>
      </c>
      <c r="G207" s="61" t="n">
        <v>354524839120</v>
      </c>
      <c r="H207" s="13" t="s">
        <v>2255</v>
      </c>
      <c r="I207" s="13"/>
      <c r="J207" s="13"/>
      <c r="K207" s="13" t="s">
        <v>2259</v>
      </c>
      <c r="L207" s="13" t="s">
        <v>2260</v>
      </c>
      <c r="M207" s="13"/>
    </row>
    <row r="208" customFormat="false" ht="15" hidden="false" customHeight="false" outlineLevel="0" collapsed="false">
      <c r="A208" s="13" t="s">
        <v>628</v>
      </c>
      <c r="B208" s="13" t="s">
        <v>627</v>
      </c>
      <c r="C208" s="13" t="s">
        <v>2261</v>
      </c>
      <c r="D208" s="13" t="s">
        <v>57</v>
      </c>
      <c r="E208" s="13" t="s">
        <v>760</v>
      </c>
      <c r="F208" s="13" t="s">
        <v>761</v>
      </c>
      <c r="G208" s="61" t="n">
        <v>123123516052</v>
      </c>
      <c r="H208" s="13" t="s">
        <v>2255</v>
      </c>
      <c r="I208" s="13"/>
      <c r="J208" s="13"/>
      <c r="K208" s="13" t="s">
        <v>2262</v>
      </c>
      <c r="L208" s="13" t="s">
        <v>2263</v>
      </c>
      <c r="M208" s="13"/>
    </row>
    <row r="209" customFormat="false" ht="15" hidden="false" customHeight="false" outlineLevel="0" collapsed="false">
      <c r="A209" s="13" t="s">
        <v>628</v>
      </c>
      <c r="B209" s="13" t="s">
        <v>627</v>
      </c>
      <c r="C209" s="13" t="s">
        <v>2264</v>
      </c>
      <c r="D209" s="13" t="s">
        <v>57</v>
      </c>
      <c r="E209" s="13" t="s">
        <v>760</v>
      </c>
      <c r="F209" s="13" t="s">
        <v>761</v>
      </c>
      <c r="G209" s="61" t="n">
        <v>17310835203</v>
      </c>
      <c r="H209" s="13" t="s">
        <v>2255</v>
      </c>
      <c r="I209" s="13"/>
      <c r="J209" s="13"/>
      <c r="K209" s="13" t="s">
        <v>657</v>
      </c>
      <c r="L209" s="13" t="s">
        <v>2265</v>
      </c>
      <c r="M209" s="13"/>
    </row>
    <row r="210" customFormat="false" ht="15" hidden="false" customHeight="false" outlineLevel="0" collapsed="false">
      <c r="A210" s="13" t="s">
        <v>628</v>
      </c>
      <c r="B210" s="13" t="s">
        <v>627</v>
      </c>
      <c r="C210" s="13" t="s">
        <v>2266</v>
      </c>
      <c r="D210" s="13" t="s">
        <v>57</v>
      </c>
      <c r="E210" s="13" t="s">
        <v>760</v>
      </c>
      <c r="F210" s="13" t="s">
        <v>761</v>
      </c>
      <c r="G210" s="61" t="n">
        <v>14863779223</v>
      </c>
      <c r="H210" s="13" t="s">
        <v>2255</v>
      </c>
      <c r="I210" s="13"/>
      <c r="J210" s="13"/>
      <c r="K210" s="13" t="s">
        <v>658</v>
      </c>
      <c r="L210" s="13" t="s">
        <v>2265</v>
      </c>
      <c r="M210" s="13"/>
    </row>
    <row r="211" customFormat="false" ht="15" hidden="false" customHeight="false" outlineLevel="0" collapsed="false">
      <c r="A211" s="13" t="s">
        <v>628</v>
      </c>
      <c r="B211" s="13" t="s">
        <v>627</v>
      </c>
      <c r="C211" s="13" t="s">
        <v>2267</v>
      </c>
      <c r="D211" s="13" t="s">
        <v>57</v>
      </c>
      <c r="E211" s="13" t="s">
        <v>760</v>
      </c>
      <c r="F211" s="13" t="s">
        <v>761</v>
      </c>
      <c r="G211" s="61" t="n">
        <v>262811720441</v>
      </c>
      <c r="H211" s="13" t="s">
        <v>2255</v>
      </c>
      <c r="I211" s="13"/>
      <c r="J211" s="13"/>
      <c r="K211" s="13" t="s">
        <v>659</v>
      </c>
      <c r="L211" s="13" t="s">
        <v>2265</v>
      </c>
      <c r="M211" s="13"/>
    </row>
    <row r="212" customFormat="false" ht="15" hidden="false" customHeight="false" outlineLevel="0" collapsed="false">
      <c r="A212" s="13" t="s">
        <v>628</v>
      </c>
      <c r="B212" s="13" t="s">
        <v>627</v>
      </c>
      <c r="C212" s="13" t="s">
        <v>2254</v>
      </c>
      <c r="D212" s="13" t="s">
        <v>57</v>
      </c>
      <c r="E212" s="13" t="s">
        <v>763</v>
      </c>
      <c r="F212" s="13" t="s">
        <v>764</v>
      </c>
      <c r="G212" s="61" t="n">
        <v>245766622372</v>
      </c>
      <c r="H212" s="13" t="s">
        <v>2255</v>
      </c>
      <c r="I212" s="13"/>
      <c r="J212" s="13"/>
      <c r="K212" s="13" t="s">
        <v>2256</v>
      </c>
      <c r="L212" s="13" t="s">
        <v>2257</v>
      </c>
      <c r="M212" s="13"/>
    </row>
    <row r="213" customFormat="false" ht="15" hidden="false" customHeight="false" outlineLevel="0" collapsed="false">
      <c r="A213" s="13" t="s">
        <v>628</v>
      </c>
      <c r="B213" s="13" t="s">
        <v>627</v>
      </c>
      <c r="C213" s="13" t="s">
        <v>2258</v>
      </c>
      <c r="D213" s="13" t="s">
        <v>57</v>
      </c>
      <c r="E213" s="13" t="s">
        <v>763</v>
      </c>
      <c r="F213" s="13" t="s">
        <v>764</v>
      </c>
      <c r="G213" s="61" t="n">
        <v>354524839120</v>
      </c>
      <c r="H213" s="13" t="s">
        <v>2255</v>
      </c>
      <c r="I213" s="13"/>
      <c r="J213" s="13"/>
      <c r="K213" s="13" t="s">
        <v>2259</v>
      </c>
      <c r="L213" s="13" t="s">
        <v>2260</v>
      </c>
      <c r="M213" s="13"/>
    </row>
    <row r="214" customFormat="false" ht="15" hidden="false" customHeight="false" outlineLevel="0" collapsed="false">
      <c r="A214" s="13" t="s">
        <v>628</v>
      </c>
      <c r="B214" s="13" t="s">
        <v>627</v>
      </c>
      <c r="C214" s="13" t="s">
        <v>2261</v>
      </c>
      <c r="D214" s="13" t="s">
        <v>57</v>
      </c>
      <c r="E214" s="13" t="s">
        <v>763</v>
      </c>
      <c r="F214" s="13" t="s">
        <v>764</v>
      </c>
      <c r="G214" s="61" t="n">
        <v>123123516052</v>
      </c>
      <c r="H214" s="13" t="s">
        <v>2255</v>
      </c>
      <c r="I214" s="13"/>
      <c r="J214" s="13"/>
      <c r="K214" s="13" t="s">
        <v>2262</v>
      </c>
      <c r="L214" s="13" t="s">
        <v>2263</v>
      </c>
      <c r="M214" s="13"/>
    </row>
    <row r="215" customFormat="false" ht="15" hidden="false" customHeight="false" outlineLevel="0" collapsed="false">
      <c r="A215" s="13" t="s">
        <v>628</v>
      </c>
      <c r="B215" s="13" t="s">
        <v>627</v>
      </c>
      <c r="C215" s="13" t="s">
        <v>2264</v>
      </c>
      <c r="D215" s="13" t="s">
        <v>57</v>
      </c>
      <c r="E215" s="13" t="s">
        <v>763</v>
      </c>
      <c r="F215" s="13" t="s">
        <v>764</v>
      </c>
      <c r="G215" s="61" t="n">
        <v>17310835203</v>
      </c>
      <c r="H215" s="13" t="s">
        <v>2255</v>
      </c>
      <c r="I215" s="13"/>
      <c r="J215" s="13"/>
      <c r="K215" s="13" t="s">
        <v>657</v>
      </c>
      <c r="L215" s="13" t="s">
        <v>2265</v>
      </c>
      <c r="M215" s="13"/>
    </row>
    <row r="216" customFormat="false" ht="15" hidden="false" customHeight="false" outlineLevel="0" collapsed="false">
      <c r="A216" s="13" t="s">
        <v>628</v>
      </c>
      <c r="B216" s="13" t="s">
        <v>627</v>
      </c>
      <c r="C216" s="13" t="s">
        <v>2266</v>
      </c>
      <c r="D216" s="13" t="s">
        <v>57</v>
      </c>
      <c r="E216" s="13" t="s">
        <v>763</v>
      </c>
      <c r="F216" s="13" t="s">
        <v>764</v>
      </c>
      <c r="G216" s="61" t="n">
        <v>14863779224</v>
      </c>
      <c r="H216" s="13" t="s">
        <v>2255</v>
      </c>
      <c r="I216" s="13"/>
      <c r="J216" s="13"/>
      <c r="K216" s="13" t="s">
        <v>658</v>
      </c>
      <c r="L216" s="13" t="s">
        <v>2265</v>
      </c>
      <c r="M216" s="13"/>
    </row>
    <row r="217" customFormat="false" ht="15" hidden="false" customHeight="false" outlineLevel="0" collapsed="false">
      <c r="A217" s="13" t="s">
        <v>628</v>
      </c>
      <c r="B217" s="13" t="s">
        <v>627</v>
      </c>
      <c r="C217" s="13" t="s">
        <v>2267</v>
      </c>
      <c r="D217" s="13" t="s">
        <v>57</v>
      </c>
      <c r="E217" s="13" t="s">
        <v>763</v>
      </c>
      <c r="F217" s="13" t="s">
        <v>764</v>
      </c>
      <c r="G217" s="61" t="n">
        <v>262811720441</v>
      </c>
      <c r="H217" s="13" t="s">
        <v>2255</v>
      </c>
      <c r="I217" s="13"/>
      <c r="J217" s="13"/>
      <c r="K217" s="13" t="s">
        <v>659</v>
      </c>
      <c r="L217" s="13" t="s">
        <v>2265</v>
      </c>
      <c r="M217" s="13"/>
    </row>
    <row r="218" customFormat="false" ht="15" hidden="false" customHeight="false" outlineLevel="0" collapsed="false">
      <c r="A218" s="13" t="s">
        <v>628</v>
      </c>
      <c r="B218" s="13" t="s">
        <v>627</v>
      </c>
      <c r="C218" s="13" t="s">
        <v>2254</v>
      </c>
      <c r="D218" s="13" t="s">
        <v>59</v>
      </c>
      <c r="E218" s="13" t="s">
        <v>782</v>
      </c>
      <c r="F218" s="13" t="s">
        <v>402</v>
      </c>
      <c r="G218" s="61" t="n">
        <v>624986556241</v>
      </c>
      <c r="H218" s="13" t="s">
        <v>2255</v>
      </c>
      <c r="I218" s="13"/>
      <c r="J218" s="13"/>
      <c r="K218" s="13" t="s">
        <v>2256</v>
      </c>
      <c r="L218" s="13" t="s">
        <v>2257</v>
      </c>
      <c r="M218" s="13"/>
    </row>
    <row r="219" customFormat="false" ht="15" hidden="false" customHeight="false" outlineLevel="0" collapsed="false">
      <c r="A219" s="13" t="s">
        <v>628</v>
      </c>
      <c r="B219" s="13" t="s">
        <v>627</v>
      </c>
      <c r="C219" s="13" t="s">
        <v>2258</v>
      </c>
      <c r="D219" s="13" t="s">
        <v>59</v>
      </c>
      <c r="E219" s="13" t="s">
        <v>782</v>
      </c>
      <c r="F219" s="13" t="s">
        <v>402</v>
      </c>
      <c r="G219" s="61" t="n">
        <v>829761008475</v>
      </c>
      <c r="H219" s="13" t="s">
        <v>2255</v>
      </c>
      <c r="I219" s="13"/>
      <c r="J219" s="13"/>
      <c r="K219" s="13" t="s">
        <v>2259</v>
      </c>
      <c r="L219" s="13" t="s">
        <v>2260</v>
      </c>
      <c r="M219" s="13"/>
    </row>
    <row r="220" customFormat="false" ht="15" hidden="false" customHeight="false" outlineLevel="0" collapsed="false">
      <c r="A220" s="13" t="s">
        <v>628</v>
      </c>
      <c r="B220" s="13" t="s">
        <v>627</v>
      </c>
      <c r="C220" s="13" t="s">
        <v>2261</v>
      </c>
      <c r="D220" s="13" t="s">
        <v>59</v>
      </c>
      <c r="E220" s="13" t="s">
        <v>782</v>
      </c>
      <c r="F220" s="13" t="s">
        <v>402</v>
      </c>
      <c r="G220" s="61" t="n">
        <v>629277670892</v>
      </c>
      <c r="H220" s="13" t="s">
        <v>2255</v>
      </c>
      <c r="I220" s="13"/>
      <c r="J220" s="13"/>
      <c r="K220" s="13" t="s">
        <v>2262</v>
      </c>
      <c r="L220" s="13" t="s">
        <v>2263</v>
      </c>
      <c r="M220" s="13"/>
    </row>
    <row r="221" customFormat="false" ht="15" hidden="false" customHeight="false" outlineLevel="0" collapsed="false">
      <c r="A221" s="13" t="s">
        <v>628</v>
      </c>
      <c r="B221" s="13" t="s">
        <v>627</v>
      </c>
      <c r="C221" s="13" t="s">
        <v>2264</v>
      </c>
      <c r="D221" s="13" t="s">
        <v>59</v>
      </c>
      <c r="E221" s="13" t="s">
        <v>782</v>
      </c>
      <c r="F221" s="13" t="s">
        <v>402</v>
      </c>
      <c r="G221" s="61" t="n">
        <v>622058009425</v>
      </c>
      <c r="H221" s="13" t="s">
        <v>2255</v>
      </c>
      <c r="I221" s="13"/>
      <c r="J221" s="13"/>
      <c r="K221" s="13" t="s">
        <v>657</v>
      </c>
      <c r="L221" s="13" t="s">
        <v>2265</v>
      </c>
      <c r="M221" s="13"/>
    </row>
    <row r="222" customFormat="false" ht="15" hidden="false" customHeight="false" outlineLevel="0" collapsed="false">
      <c r="A222" s="13" t="s">
        <v>628</v>
      </c>
      <c r="B222" s="13" t="s">
        <v>627</v>
      </c>
      <c r="C222" s="13" t="s">
        <v>2266</v>
      </c>
      <c r="D222" s="13" t="s">
        <v>59</v>
      </c>
      <c r="E222" s="13" t="s">
        <v>782</v>
      </c>
      <c r="F222" s="13" t="s">
        <v>402</v>
      </c>
      <c r="G222" s="61" t="n">
        <v>783332056074</v>
      </c>
      <c r="H222" s="13" t="s">
        <v>2255</v>
      </c>
      <c r="I222" s="13"/>
      <c r="J222" s="13"/>
      <c r="K222" s="13" t="s">
        <v>658</v>
      </c>
      <c r="L222" s="13" t="s">
        <v>2265</v>
      </c>
      <c r="M222" s="13"/>
    </row>
    <row r="223" customFormat="false" ht="15" hidden="false" customHeight="false" outlineLevel="0" collapsed="false">
      <c r="A223" s="13" t="s">
        <v>628</v>
      </c>
      <c r="B223" s="13" t="s">
        <v>627</v>
      </c>
      <c r="C223" s="13" t="s">
        <v>2267</v>
      </c>
      <c r="D223" s="13" t="s">
        <v>59</v>
      </c>
      <c r="E223" s="13" t="s">
        <v>782</v>
      </c>
      <c r="F223" s="13" t="s">
        <v>402</v>
      </c>
      <c r="G223" s="61" t="n">
        <v>826584741908</v>
      </c>
      <c r="H223" s="13" t="s">
        <v>2255</v>
      </c>
      <c r="I223" s="13"/>
      <c r="J223" s="13"/>
      <c r="K223" s="13" t="s">
        <v>659</v>
      </c>
      <c r="L223" s="13" t="s">
        <v>2265</v>
      </c>
      <c r="M223" s="13"/>
    </row>
    <row r="224" customFormat="false" ht="15" hidden="false" customHeight="false" outlineLevel="0" collapsed="false">
      <c r="A224" s="13" t="s">
        <v>628</v>
      </c>
      <c r="B224" s="13" t="s">
        <v>627</v>
      </c>
      <c r="C224" s="13" t="s">
        <v>2254</v>
      </c>
      <c r="D224" s="13" t="s">
        <v>59</v>
      </c>
      <c r="E224" s="13" t="s">
        <v>784</v>
      </c>
      <c r="F224" s="13" t="s">
        <v>785</v>
      </c>
      <c r="G224" s="61" t="n">
        <v>0</v>
      </c>
      <c r="H224" s="13" t="s">
        <v>2255</v>
      </c>
      <c r="I224" s="13"/>
      <c r="J224" s="13"/>
      <c r="K224" s="13" t="s">
        <v>2256</v>
      </c>
      <c r="L224" s="13" t="s">
        <v>2257</v>
      </c>
      <c r="M224" s="13"/>
    </row>
    <row r="225" customFormat="false" ht="15" hidden="false" customHeight="false" outlineLevel="0" collapsed="false">
      <c r="A225" s="13" t="s">
        <v>628</v>
      </c>
      <c r="B225" s="13" t="s">
        <v>627</v>
      </c>
      <c r="C225" s="13" t="s">
        <v>2258</v>
      </c>
      <c r="D225" s="13" t="s">
        <v>59</v>
      </c>
      <c r="E225" s="13" t="s">
        <v>784</v>
      </c>
      <c r="F225" s="13" t="s">
        <v>785</v>
      </c>
      <c r="G225" s="61" t="n">
        <v>22124975124</v>
      </c>
      <c r="H225" s="13" t="s">
        <v>2255</v>
      </c>
      <c r="I225" s="13"/>
      <c r="J225" s="13"/>
      <c r="K225" s="13" t="s">
        <v>2259</v>
      </c>
      <c r="L225" s="13" t="s">
        <v>2260</v>
      </c>
      <c r="M225" s="13"/>
    </row>
    <row r="226" customFormat="false" ht="15" hidden="false" customHeight="false" outlineLevel="0" collapsed="false">
      <c r="A226" s="13" t="s">
        <v>628</v>
      </c>
      <c r="B226" s="13" t="s">
        <v>627</v>
      </c>
      <c r="C226" s="13" t="s">
        <v>2261</v>
      </c>
      <c r="D226" s="13" t="s">
        <v>59</v>
      </c>
      <c r="E226" s="13" t="s">
        <v>784</v>
      </c>
      <c r="F226" s="13" t="s">
        <v>785</v>
      </c>
      <c r="G226" s="61" t="n">
        <v>8644876453</v>
      </c>
      <c r="H226" s="13" t="s">
        <v>2255</v>
      </c>
      <c r="I226" s="13"/>
      <c r="J226" s="13"/>
      <c r="K226" s="13" t="s">
        <v>2262</v>
      </c>
      <c r="L226" s="13" t="s">
        <v>2263</v>
      </c>
      <c r="M226" s="13"/>
    </row>
    <row r="227" customFormat="false" ht="15" hidden="false" customHeight="false" outlineLevel="0" collapsed="false">
      <c r="A227" s="13" t="s">
        <v>628</v>
      </c>
      <c r="B227" s="13" t="s">
        <v>627</v>
      </c>
      <c r="C227" s="13" t="s">
        <v>2264</v>
      </c>
      <c r="D227" s="13" t="s">
        <v>59</v>
      </c>
      <c r="E227" s="13" t="s">
        <v>784</v>
      </c>
      <c r="F227" s="13" t="s">
        <v>785</v>
      </c>
      <c r="G227" s="61" t="n">
        <v>5765989760</v>
      </c>
      <c r="H227" s="13" t="s">
        <v>2255</v>
      </c>
      <c r="I227" s="13"/>
      <c r="J227" s="13"/>
      <c r="K227" s="13" t="s">
        <v>657</v>
      </c>
      <c r="L227" s="13" t="s">
        <v>2265</v>
      </c>
      <c r="M227" s="13"/>
    </row>
    <row r="228" customFormat="false" ht="15" hidden="false" customHeight="false" outlineLevel="0" collapsed="false">
      <c r="A228" s="13" t="s">
        <v>628</v>
      </c>
      <c r="B228" s="13" t="s">
        <v>627</v>
      </c>
      <c r="C228" s="13" t="s">
        <v>2266</v>
      </c>
      <c r="D228" s="13" t="s">
        <v>59</v>
      </c>
      <c r="E228" s="13" t="s">
        <v>784</v>
      </c>
      <c r="F228" s="13" t="s">
        <v>785</v>
      </c>
      <c r="G228" s="61" t="n">
        <v>3262592254</v>
      </c>
      <c r="H228" s="13" t="s">
        <v>2255</v>
      </c>
      <c r="I228" s="13"/>
      <c r="J228" s="13"/>
      <c r="K228" s="13" t="s">
        <v>658</v>
      </c>
      <c r="L228" s="13" t="s">
        <v>2265</v>
      </c>
      <c r="M228" s="13"/>
    </row>
    <row r="229" customFormat="false" ht="15" hidden="false" customHeight="false" outlineLevel="0" collapsed="false">
      <c r="A229" s="13" t="s">
        <v>628</v>
      </c>
      <c r="B229" s="13" t="s">
        <v>627</v>
      </c>
      <c r="C229" s="13" t="s">
        <v>2267</v>
      </c>
      <c r="D229" s="13" t="s">
        <v>59</v>
      </c>
      <c r="E229" s="13" t="s">
        <v>784</v>
      </c>
      <c r="F229" s="13" t="s">
        <v>785</v>
      </c>
      <c r="G229" s="61" t="n">
        <v>6519211579</v>
      </c>
      <c r="H229" s="13" t="s">
        <v>2255</v>
      </c>
      <c r="I229" s="13"/>
      <c r="J229" s="13"/>
      <c r="K229" s="13" t="s">
        <v>659</v>
      </c>
      <c r="L229" s="13" t="s">
        <v>2265</v>
      </c>
      <c r="M229" s="13"/>
    </row>
    <row r="230" customFormat="false" ht="15" hidden="false" customHeight="false" outlineLevel="0" collapsed="false">
      <c r="A230" s="13" t="s">
        <v>628</v>
      </c>
      <c r="B230" s="13" t="s">
        <v>627</v>
      </c>
      <c r="C230" s="13" t="s">
        <v>2254</v>
      </c>
      <c r="D230" s="13" t="s">
        <v>59</v>
      </c>
      <c r="E230" s="13" t="s">
        <v>787</v>
      </c>
      <c r="F230" s="13" t="s">
        <v>788</v>
      </c>
      <c r="G230" s="61" t="n">
        <v>53252999</v>
      </c>
      <c r="H230" s="13" t="s">
        <v>2255</v>
      </c>
      <c r="I230" s="13"/>
      <c r="J230" s="13"/>
      <c r="K230" s="13" t="s">
        <v>2256</v>
      </c>
      <c r="L230" s="13" t="s">
        <v>2257</v>
      </c>
      <c r="M230" s="13"/>
    </row>
    <row r="231" customFormat="false" ht="15" hidden="false" customHeight="false" outlineLevel="0" collapsed="false">
      <c r="A231" s="13" t="s">
        <v>628</v>
      </c>
      <c r="B231" s="13" t="s">
        <v>627</v>
      </c>
      <c r="C231" s="13" t="s">
        <v>2258</v>
      </c>
      <c r="D231" s="13" t="s">
        <v>59</v>
      </c>
      <c r="E231" s="13" t="s">
        <v>787</v>
      </c>
      <c r="F231" s="13" t="s">
        <v>788</v>
      </c>
      <c r="G231" s="61" t="n">
        <v>0</v>
      </c>
      <c r="H231" s="13" t="s">
        <v>2255</v>
      </c>
      <c r="I231" s="13"/>
      <c r="J231" s="13"/>
      <c r="K231" s="13" t="s">
        <v>2259</v>
      </c>
      <c r="L231" s="13" t="s">
        <v>2260</v>
      </c>
      <c r="M231" s="13"/>
    </row>
    <row r="232" customFormat="false" ht="15" hidden="false" customHeight="false" outlineLevel="0" collapsed="false">
      <c r="A232" s="13" t="s">
        <v>628</v>
      </c>
      <c r="B232" s="13" t="s">
        <v>627</v>
      </c>
      <c r="C232" s="13" t="s">
        <v>2254</v>
      </c>
      <c r="D232" s="13" t="s">
        <v>59</v>
      </c>
      <c r="E232" s="13" t="s">
        <v>790</v>
      </c>
      <c r="F232" s="13" t="s">
        <v>791</v>
      </c>
      <c r="G232" s="61" t="n">
        <v>123077327077</v>
      </c>
      <c r="H232" s="13" t="s">
        <v>2255</v>
      </c>
      <c r="I232" s="13"/>
      <c r="J232" s="13"/>
      <c r="K232" s="13" t="s">
        <v>2256</v>
      </c>
      <c r="L232" s="13" t="s">
        <v>2257</v>
      </c>
      <c r="M232" s="13"/>
    </row>
    <row r="233" customFormat="false" ht="15" hidden="false" customHeight="false" outlineLevel="0" collapsed="false">
      <c r="A233" s="13" t="s">
        <v>628</v>
      </c>
      <c r="B233" s="13" t="s">
        <v>627</v>
      </c>
      <c r="C233" s="13" t="s">
        <v>2258</v>
      </c>
      <c r="D233" s="13" t="s">
        <v>59</v>
      </c>
      <c r="E233" s="13" t="s">
        <v>790</v>
      </c>
      <c r="F233" s="13" t="s">
        <v>791</v>
      </c>
      <c r="G233" s="61" t="n">
        <v>156760305676</v>
      </c>
      <c r="H233" s="13" t="s">
        <v>2255</v>
      </c>
      <c r="I233" s="13"/>
      <c r="J233" s="13"/>
      <c r="K233" s="13" t="s">
        <v>2259</v>
      </c>
      <c r="L233" s="13" t="s">
        <v>2260</v>
      </c>
      <c r="M233" s="13"/>
    </row>
    <row r="234" customFormat="false" ht="15" hidden="false" customHeight="false" outlineLevel="0" collapsed="false">
      <c r="A234" s="13" t="s">
        <v>628</v>
      </c>
      <c r="B234" s="13" t="s">
        <v>627</v>
      </c>
      <c r="C234" s="13" t="s">
        <v>2261</v>
      </c>
      <c r="D234" s="13" t="s">
        <v>59</v>
      </c>
      <c r="E234" s="13" t="s">
        <v>790</v>
      </c>
      <c r="F234" s="13" t="s">
        <v>791</v>
      </c>
      <c r="G234" s="61" t="n">
        <v>114643521666</v>
      </c>
      <c r="H234" s="13" t="s">
        <v>2255</v>
      </c>
      <c r="I234" s="13"/>
      <c r="J234" s="13"/>
      <c r="K234" s="13" t="s">
        <v>2262</v>
      </c>
      <c r="L234" s="13" t="s">
        <v>2263</v>
      </c>
      <c r="M234" s="13"/>
    </row>
    <row r="235" customFormat="false" ht="15" hidden="false" customHeight="false" outlineLevel="0" collapsed="false">
      <c r="A235" s="13" t="s">
        <v>628</v>
      </c>
      <c r="B235" s="13" t="s">
        <v>627</v>
      </c>
      <c r="C235" s="13" t="s">
        <v>2264</v>
      </c>
      <c r="D235" s="13" t="s">
        <v>59</v>
      </c>
      <c r="E235" s="13" t="s">
        <v>790</v>
      </c>
      <c r="F235" s="13" t="s">
        <v>791</v>
      </c>
      <c r="G235" s="61" t="n">
        <v>110468662796</v>
      </c>
      <c r="H235" s="13" t="s">
        <v>2255</v>
      </c>
      <c r="I235" s="13"/>
      <c r="J235" s="13"/>
      <c r="K235" s="13" t="s">
        <v>657</v>
      </c>
      <c r="L235" s="13" t="s">
        <v>2265</v>
      </c>
      <c r="M235" s="13"/>
    </row>
    <row r="236" customFormat="false" ht="15" hidden="false" customHeight="false" outlineLevel="0" collapsed="false">
      <c r="A236" s="13" t="s">
        <v>628</v>
      </c>
      <c r="B236" s="13" t="s">
        <v>627</v>
      </c>
      <c r="C236" s="13" t="s">
        <v>2266</v>
      </c>
      <c r="D236" s="13" t="s">
        <v>59</v>
      </c>
      <c r="E236" s="13" t="s">
        <v>790</v>
      </c>
      <c r="F236" s="13" t="s">
        <v>791</v>
      </c>
      <c r="G236" s="61" t="n">
        <v>144714255906</v>
      </c>
      <c r="H236" s="13" t="s">
        <v>2255</v>
      </c>
      <c r="I236" s="13"/>
      <c r="J236" s="13"/>
      <c r="K236" s="13" t="s">
        <v>658</v>
      </c>
      <c r="L236" s="13" t="s">
        <v>2265</v>
      </c>
      <c r="M236" s="13"/>
    </row>
    <row r="237" customFormat="false" ht="15" hidden="false" customHeight="false" outlineLevel="0" collapsed="false">
      <c r="A237" s="13" t="s">
        <v>628</v>
      </c>
      <c r="B237" s="13" t="s">
        <v>627</v>
      </c>
      <c r="C237" s="13" t="s">
        <v>2267</v>
      </c>
      <c r="D237" s="13" t="s">
        <v>59</v>
      </c>
      <c r="E237" s="13" t="s">
        <v>790</v>
      </c>
      <c r="F237" s="13" t="s">
        <v>791</v>
      </c>
      <c r="G237" s="61" t="n">
        <v>161939911962</v>
      </c>
      <c r="H237" s="13" t="s">
        <v>2255</v>
      </c>
      <c r="I237" s="13"/>
      <c r="J237" s="13"/>
      <c r="K237" s="13" t="s">
        <v>659</v>
      </c>
      <c r="L237" s="13" t="s">
        <v>2265</v>
      </c>
      <c r="M237" s="13"/>
    </row>
    <row r="238" customFormat="false" ht="15" hidden="false" customHeight="false" outlineLevel="0" collapsed="false">
      <c r="A238" s="13" t="s">
        <v>628</v>
      </c>
      <c r="B238" s="13" t="s">
        <v>627</v>
      </c>
      <c r="C238" s="13" t="s">
        <v>2254</v>
      </c>
      <c r="D238" s="13" t="s">
        <v>59</v>
      </c>
      <c r="E238" s="13" t="s">
        <v>793</v>
      </c>
      <c r="F238" s="13" t="s">
        <v>794</v>
      </c>
      <c r="G238" s="61" t="n">
        <v>29780328862</v>
      </c>
      <c r="H238" s="13" t="s">
        <v>2255</v>
      </c>
      <c r="I238" s="13"/>
      <c r="J238" s="13"/>
      <c r="K238" s="13" t="s">
        <v>2256</v>
      </c>
      <c r="L238" s="13" t="s">
        <v>2257</v>
      </c>
      <c r="M238" s="13"/>
    </row>
    <row r="239" customFormat="false" ht="15" hidden="false" customHeight="false" outlineLevel="0" collapsed="false">
      <c r="A239" s="13" t="s">
        <v>628</v>
      </c>
      <c r="B239" s="13" t="s">
        <v>627</v>
      </c>
      <c r="C239" s="13" t="s">
        <v>2258</v>
      </c>
      <c r="D239" s="13" t="s">
        <v>59</v>
      </c>
      <c r="E239" s="13" t="s">
        <v>793</v>
      </c>
      <c r="F239" s="13" t="s">
        <v>794</v>
      </c>
      <c r="G239" s="61" t="n">
        <v>46888909257</v>
      </c>
      <c r="H239" s="13" t="s">
        <v>2255</v>
      </c>
      <c r="I239" s="13"/>
      <c r="J239" s="13"/>
      <c r="K239" s="13" t="s">
        <v>2259</v>
      </c>
      <c r="L239" s="13" t="s">
        <v>2260</v>
      </c>
      <c r="M239" s="13"/>
    </row>
    <row r="240" customFormat="false" ht="15" hidden="false" customHeight="false" outlineLevel="0" collapsed="false">
      <c r="A240" s="13" t="s">
        <v>628</v>
      </c>
      <c r="B240" s="13" t="s">
        <v>627</v>
      </c>
      <c r="C240" s="13" t="s">
        <v>2261</v>
      </c>
      <c r="D240" s="13" t="s">
        <v>59</v>
      </c>
      <c r="E240" s="13" t="s">
        <v>793</v>
      </c>
      <c r="F240" s="13" t="s">
        <v>794</v>
      </c>
      <c r="G240" s="61" t="n">
        <v>16045109255</v>
      </c>
      <c r="H240" s="13" t="s">
        <v>2255</v>
      </c>
      <c r="I240" s="13"/>
      <c r="J240" s="13"/>
      <c r="K240" s="13" t="s">
        <v>2262</v>
      </c>
      <c r="L240" s="13" t="s">
        <v>2263</v>
      </c>
      <c r="M240" s="13"/>
    </row>
    <row r="241" customFormat="false" ht="15" hidden="false" customHeight="false" outlineLevel="0" collapsed="false">
      <c r="A241" s="13" t="s">
        <v>628</v>
      </c>
      <c r="B241" s="13" t="s">
        <v>627</v>
      </c>
      <c r="C241" s="13" t="s">
        <v>2264</v>
      </c>
      <c r="D241" s="13" t="s">
        <v>59</v>
      </c>
      <c r="E241" s="13" t="s">
        <v>793</v>
      </c>
      <c r="F241" s="13" t="s">
        <v>794</v>
      </c>
      <c r="G241" s="61" t="n">
        <v>15239704881</v>
      </c>
      <c r="H241" s="13" t="s">
        <v>2255</v>
      </c>
      <c r="I241" s="13"/>
      <c r="J241" s="13"/>
      <c r="K241" s="13" t="s">
        <v>657</v>
      </c>
      <c r="L241" s="13" t="s">
        <v>2265</v>
      </c>
      <c r="M241" s="13"/>
    </row>
    <row r="242" customFormat="false" ht="15" hidden="false" customHeight="false" outlineLevel="0" collapsed="false">
      <c r="A242" s="13" t="s">
        <v>628</v>
      </c>
      <c r="B242" s="13" t="s">
        <v>627</v>
      </c>
      <c r="C242" s="13" t="s">
        <v>2266</v>
      </c>
      <c r="D242" s="13" t="s">
        <v>59</v>
      </c>
      <c r="E242" s="13" t="s">
        <v>793</v>
      </c>
      <c r="F242" s="13" t="s">
        <v>794</v>
      </c>
      <c r="G242" s="61" t="n">
        <v>20074879572</v>
      </c>
      <c r="H242" s="13" t="s">
        <v>2255</v>
      </c>
      <c r="I242" s="13"/>
      <c r="J242" s="13"/>
      <c r="K242" s="13" t="s">
        <v>658</v>
      </c>
      <c r="L242" s="13" t="s">
        <v>2265</v>
      </c>
      <c r="M242" s="13"/>
    </row>
    <row r="243" customFormat="false" ht="15" hidden="false" customHeight="false" outlineLevel="0" collapsed="false">
      <c r="A243" s="13" t="s">
        <v>628</v>
      </c>
      <c r="B243" s="13" t="s">
        <v>627</v>
      </c>
      <c r="C243" s="13" t="s">
        <v>2267</v>
      </c>
      <c r="D243" s="13" t="s">
        <v>59</v>
      </c>
      <c r="E243" s="13" t="s">
        <v>793</v>
      </c>
      <c r="F243" s="13" t="s">
        <v>794</v>
      </c>
      <c r="G243" s="61" t="n">
        <v>25325460858</v>
      </c>
      <c r="H243" s="13" t="s">
        <v>2255</v>
      </c>
      <c r="I243" s="13"/>
      <c r="J243" s="13"/>
      <c r="K243" s="13" t="s">
        <v>659</v>
      </c>
      <c r="L243" s="13" t="s">
        <v>2265</v>
      </c>
      <c r="M243" s="13"/>
    </row>
    <row r="244" customFormat="false" ht="15" hidden="false" customHeight="false" outlineLevel="0" collapsed="false">
      <c r="A244" s="13" t="s">
        <v>628</v>
      </c>
      <c r="B244" s="13" t="s">
        <v>627</v>
      </c>
      <c r="C244" s="13" t="s">
        <v>2254</v>
      </c>
      <c r="D244" s="13" t="s">
        <v>59</v>
      </c>
      <c r="E244" s="13" t="s">
        <v>796</v>
      </c>
      <c r="F244" s="13" t="s">
        <v>797</v>
      </c>
      <c r="G244" s="61" t="n">
        <v>7159799879</v>
      </c>
      <c r="H244" s="13" t="s">
        <v>2255</v>
      </c>
      <c r="I244" s="13"/>
      <c r="J244" s="13"/>
      <c r="K244" s="13" t="s">
        <v>2256</v>
      </c>
      <c r="L244" s="13" t="s">
        <v>2257</v>
      </c>
      <c r="M244" s="13"/>
    </row>
    <row r="245" customFormat="false" ht="15" hidden="false" customHeight="false" outlineLevel="0" collapsed="false">
      <c r="A245" s="13" t="s">
        <v>628</v>
      </c>
      <c r="B245" s="13" t="s">
        <v>627</v>
      </c>
      <c r="C245" s="13" t="s">
        <v>2258</v>
      </c>
      <c r="D245" s="13" t="s">
        <v>59</v>
      </c>
      <c r="E245" s="13" t="s">
        <v>796</v>
      </c>
      <c r="F245" s="13" t="s">
        <v>797</v>
      </c>
      <c r="G245" s="61" t="n">
        <v>5022979545</v>
      </c>
      <c r="H245" s="13" t="s">
        <v>2255</v>
      </c>
      <c r="I245" s="13"/>
      <c r="J245" s="13"/>
      <c r="K245" s="13" t="s">
        <v>2259</v>
      </c>
      <c r="L245" s="13" t="s">
        <v>2260</v>
      </c>
      <c r="M245" s="13"/>
    </row>
    <row r="246" customFormat="false" ht="15" hidden="false" customHeight="false" outlineLevel="0" collapsed="false">
      <c r="A246" s="13" t="s">
        <v>628</v>
      </c>
      <c r="B246" s="13" t="s">
        <v>627</v>
      </c>
      <c r="C246" s="13" t="s">
        <v>2261</v>
      </c>
      <c r="D246" s="13" t="s">
        <v>59</v>
      </c>
      <c r="E246" s="13" t="s">
        <v>796</v>
      </c>
      <c r="F246" s="13" t="s">
        <v>797</v>
      </c>
      <c r="G246" s="61" t="n">
        <v>19858722690</v>
      </c>
      <c r="H246" s="13" t="s">
        <v>2255</v>
      </c>
      <c r="I246" s="13"/>
      <c r="J246" s="13"/>
      <c r="K246" s="13" t="s">
        <v>2262</v>
      </c>
      <c r="L246" s="13" t="s">
        <v>2263</v>
      </c>
      <c r="M246" s="13"/>
    </row>
    <row r="247" customFormat="false" ht="15" hidden="false" customHeight="false" outlineLevel="0" collapsed="false">
      <c r="A247" s="13" t="s">
        <v>628</v>
      </c>
      <c r="B247" s="13" t="s">
        <v>627</v>
      </c>
      <c r="C247" s="13" t="s">
        <v>2264</v>
      </c>
      <c r="D247" s="13" t="s">
        <v>59</v>
      </c>
      <c r="E247" s="13" t="s">
        <v>796</v>
      </c>
      <c r="F247" s="13" t="s">
        <v>797</v>
      </c>
      <c r="G247" s="61" t="n">
        <v>11451721638</v>
      </c>
      <c r="H247" s="13" t="s">
        <v>2255</v>
      </c>
      <c r="I247" s="13"/>
      <c r="J247" s="13"/>
      <c r="K247" s="13" t="s">
        <v>657</v>
      </c>
      <c r="L247" s="13" t="s">
        <v>2265</v>
      </c>
      <c r="M247" s="13"/>
    </row>
    <row r="248" customFormat="false" ht="15" hidden="false" customHeight="false" outlineLevel="0" collapsed="false">
      <c r="A248" s="13" t="s">
        <v>628</v>
      </c>
      <c r="B248" s="13" t="s">
        <v>627</v>
      </c>
      <c r="C248" s="13" t="s">
        <v>2266</v>
      </c>
      <c r="D248" s="13" t="s">
        <v>59</v>
      </c>
      <c r="E248" s="13" t="s">
        <v>796</v>
      </c>
      <c r="F248" s="13" t="s">
        <v>797</v>
      </c>
      <c r="G248" s="61" t="n">
        <v>9970928889</v>
      </c>
      <c r="H248" s="13" t="s">
        <v>2255</v>
      </c>
      <c r="I248" s="13"/>
      <c r="J248" s="13"/>
      <c r="K248" s="13" t="s">
        <v>658</v>
      </c>
      <c r="L248" s="13" t="s">
        <v>2265</v>
      </c>
      <c r="M248" s="13"/>
    </row>
    <row r="249" customFormat="false" ht="15" hidden="false" customHeight="false" outlineLevel="0" collapsed="false">
      <c r="A249" s="13" t="s">
        <v>628</v>
      </c>
      <c r="B249" s="13" t="s">
        <v>627</v>
      </c>
      <c r="C249" s="13" t="s">
        <v>2267</v>
      </c>
      <c r="D249" s="13" t="s">
        <v>59</v>
      </c>
      <c r="E249" s="13" t="s">
        <v>796</v>
      </c>
      <c r="F249" s="13" t="s">
        <v>797</v>
      </c>
      <c r="G249" s="61" t="n">
        <v>23831602694</v>
      </c>
      <c r="H249" s="13" t="s">
        <v>2255</v>
      </c>
      <c r="I249" s="13"/>
      <c r="J249" s="13"/>
      <c r="K249" s="13" t="s">
        <v>659</v>
      </c>
      <c r="L249" s="13" t="s">
        <v>2265</v>
      </c>
      <c r="M249" s="13"/>
    </row>
    <row r="250" customFormat="false" ht="15" hidden="false" customHeight="false" outlineLevel="0" collapsed="false">
      <c r="A250" s="13" t="s">
        <v>628</v>
      </c>
      <c r="B250" s="13" t="s">
        <v>627</v>
      </c>
      <c r="C250" s="13" t="s">
        <v>2254</v>
      </c>
      <c r="D250" s="13" t="s">
        <v>59</v>
      </c>
      <c r="E250" s="13" t="s">
        <v>799</v>
      </c>
      <c r="F250" s="13" t="s">
        <v>407</v>
      </c>
      <c r="G250" s="61" t="n">
        <v>18986141553</v>
      </c>
      <c r="H250" s="13" t="s">
        <v>2255</v>
      </c>
      <c r="I250" s="13"/>
      <c r="J250" s="13"/>
      <c r="K250" s="13" t="s">
        <v>2256</v>
      </c>
      <c r="L250" s="13" t="s">
        <v>2257</v>
      </c>
      <c r="M250" s="13"/>
    </row>
    <row r="251" customFormat="false" ht="15" hidden="false" customHeight="false" outlineLevel="0" collapsed="false">
      <c r="A251" s="13" t="s">
        <v>628</v>
      </c>
      <c r="B251" s="13" t="s">
        <v>627</v>
      </c>
      <c r="C251" s="13" t="s">
        <v>2258</v>
      </c>
      <c r="D251" s="13" t="s">
        <v>59</v>
      </c>
      <c r="E251" s="13" t="s">
        <v>799</v>
      </c>
      <c r="F251" s="13" t="s">
        <v>407</v>
      </c>
      <c r="G251" s="61" t="n">
        <v>38894708132</v>
      </c>
      <c r="H251" s="13" t="s">
        <v>2255</v>
      </c>
      <c r="I251" s="13"/>
      <c r="J251" s="13"/>
      <c r="K251" s="13" t="s">
        <v>2259</v>
      </c>
      <c r="L251" s="13" t="s">
        <v>2260</v>
      </c>
      <c r="M251" s="13"/>
    </row>
    <row r="252" customFormat="false" ht="15" hidden="false" customHeight="false" outlineLevel="0" collapsed="false">
      <c r="A252" s="13" t="s">
        <v>628</v>
      </c>
      <c r="B252" s="13" t="s">
        <v>627</v>
      </c>
      <c r="C252" s="13" t="s">
        <v>2261</v>
      </c>
      <c r="D252" s="13" t="s">
        <v>59</v>
      </c>
      <c r="E252" s="13" t="s">
        <v>799</v>
      </c>
      <c r="F252" s="13" t="s">
        <v>407</v>
      </c>
      <c r="G252" s="61" t="n">
        <v>39449108364</v>
      </c>
      <c r="H252" s="13" t="s">
        <v>2255</v>
      </c>
      <c r="I252" s="13"/>
      <c r="J252" s="13"/>
      <c r="K252" s="13" t="s">
        <v>2262</v>
      </c>
      <c r="L252" s="13" t="s">
        <v>2263</v>
      </c>
      <c r="M252" s="13"/>
    </row>
    <row r="253" customFormat="false" ht="15" hidden="false" customHeight="false" outlineLevel="0" collapsed="false">
      <c r="A253" s="13" t="s">
        <v>628</v>
      </c>
      <c r="B253" s="13" t="s">
        <v>627</v>
      </c>
      <c r="C253" s="13" t="s">
        <v>2264</v>
      </c>
      <c r="D253" s="13" t="s">
        <v>59</v>
      </c>
      <c r="E253" s="13" t="s">
        <v>799</v>
      </c>
      <c r="F253" s="13" t="s">
        <v>407</v>
      </c>
      <c r="G253" s="61" t="n">
        <v>42198489975</v>
      </c>
      <c r="H253" s="13" t="s">
        <v>2255</v>
      </c>
      <c r="I253" s="13"/>
      <c r="J253" s="13"/>
      <c r="K253" s="13" t="s">
        <v>657</v>
      </c>
      <c r="L253" s="13" t="s">
        <v>2265</v>
      </c>
      <c r="M253" s="13"/>
    </row>
    <row r="254" customFormat="false" ht="15" hidden="false" customHeight="false" outlineLevel="0" collapsed="false">
      <c r="A254" s="13" t="s">
        <v>628</v>
      </c>
      <c r="B254" s="13" t="s">
        <v>627</v>
      </c>
      <c r="C254" s="13" t="s">
        <v>2266</v>
      </c>
      <c r="D254" s="13" t="s">
        <v>59</v>
      </c>
      <c r="E254" s="13" t="s">
        <v>799</v>
      </c>
      <c r="F254" s="13" t="s">
        <v>407</v>
      </c>
      <c r="G254" s="61" t="n">
        <v>47021949525</v>
      </c>
      <c r="H254" s="13" t="s">
        <v>2255</v>
      </c>
      <c r="I254" s="13"/>
      <c r="J254" s="13"/>
      <c r="K254" s="13" t="s">
        <v>658</v>
      </c>
      <c r="L254" s="13" t="s">
        <v>2265</v>
      </c>
      <c r="M254" s="13"/>
    </row>
    <row r="255" customFormat="false" ht="15" hidden="false" customHeight="false" outlineLevel="0" collapsed="false">
      <c r="A255" s="13" t="s">
        <v>628</v>
      </c>
      <c r="B255" s="13" t="s">
        <v>627</v>
      </c>
      <c r="C255" s="13" t="s">
        <v>2267</v>
      </c>
      <c r="D255" s="13" t="s">
        <v>59</v>
      </c>
      <c r="E255" s="13" t="s">
        <v>799</v>
      </c>
      <c r="F255" s="13" t="s">
        <v>407</v>
      </c>
      <c r="G255" s="61" t="n">
        <v>51620217662</v>
      </c>
      <c r="H255" s="13" t="s">
        <v>2255</v>
      </c>
      <c r="I255" s="13"/>
      <c r="J255" s="13"/>
      <c r="K255" s="13" t="s">
        <v>659</v>
      </c>
      <c r="L255" s="13" t="s">
        <v>2265</v>
      </c>
      <c r="M255" s="13"/>
    </row>
    <row r="256" customFormat="false" ht="15" hidden="false" customHeight="false" outlineLevel="0" collapsed="false">
      <c r="A256" s="13" t="s">
        <v>628</v>
      </c>
      <c r="B256" s="13" t="s">
        <v>627</v>
      </c>
      <c r="C256" s="13" t="s">
        <v>2254</v>
      </c>
      <c r="D256" s="13" t="s">
        <v>59</v>
      </c>
      <c r="E256" s="13" t="s">
        <v>801</v>
      </c>
      <c r="F256" s="13" t="s">
        <v>802</v>
      </c>
      <c r="G256" s="61" t="n">
        <v>9575528561</v>
      </c>
      <c r="H256" s="13" t="s">
        <v>2255</v>
      </c>
      <c r="I256" s="13"/>
      <c r="J256" s="13"/>
      <c r="K256" s="13" t="s">
        <v>2256</v>
      </c>
      <c r="L256" s="13" t="s">
        <v>2257</v>
      </c>
      <c r="M256" s="13"/>
    </row>
    <row r="257" customFormat="false" ht="15" hidden="false" customHeight="false" outlineLevel="0" collapsed="false">
      <c r="A257" s="13" t="s">
        <v>628</v>
      </c>
      <c r="B257" s="13" t="s">
        <v>627</v>
      </c>
      <c r="C257" s="13" t="s">
        <v>2258</v>
      </c>
      <c r="D257" s="13" t="s">
        <v>59</v>
      </c>
      <c r="E257" s="13" t="s">
        <v>801</v>
      </c>
      <c r="F257" s="13" t="s">
        <v>802</v>
      </c>
      <c r="G257" s="61" t="n">
        <v>29085852029</v>
      </c>
      <c r="H257" s="13" t="s">
        <v>2255</v>
      </c>
      <c r="I257" s="13"/>
      <c r="J257" s="13"/>
      <c r="K257" s="13" t="s">
        <v>2259</v>
      </c>
      <c r="L257" s="13" t="s">
        <v>2260</v>
      </c>
      <c r="M257" s="13"/>
    </row>
    <row r="258" customFormat="false" ht="15" hidden="false" customHeight="false" outlineLevel="0" collapsed="false">
      <c r="A258" s="13" t="s">
        <v>628</v>
      </c>
      <c r="B258" s="13" t="s">
        <v>627</v>
      </c>
      <c r="C258" s="13" t="s">
        <v>2261</v>
      </c>
      <c r="D258" s="13" t="s">
        <v>59</v>
      </c>
      <c r="E258" s="13" t="s">
        <v>801</v>
      </c>
      <c r="F258" s="13" t="s">
        <v>802</v>
      </c>
      <c r="G258" s="61" t="n">
        <v>58381514946</v>
      </c>
      <c r="H258" s="13" t="s">
        <v>2255</v>
      </c>
      <c r="I258" s="13"/>
      <c r="J258" s="13"/>
      <c r="K258" s="13" t="s">
        <v>2262</v>
      </c>
      <c r="L258" s="13" t="s">
        <v>2263</v>
      </c>
      <c r="M258" s="13"/>
    </row>
    <row r="259" customFormat="false" ht="15" hidden="false" customHeight="false" outlineLevel="0" collapsed="false">
      <c r="A259" s="13" t="s">
        <v>628</v>
      </c>
      <c r="B259" s="13" t="s">
        <v>627</v>
      </c>
      <c r="C259" s="13" t="s">
        <v>2264</v>
      </c>
      <c r="D259" s="13" t="s">
        <v>59</v>
      </c>
      <c r="E259" s="13" t="s">
        <v>801</v>
      </c>
      <c r="F259" s="13" t="s">
        <v>802</v>
      </c>
      <c r="G259" s="61" t="n">
        <v>60886480841</v>
      </c>
      <c r="H259" s="13" t="s">
        <v>2255</v>
      </c>
      <c r="I259" s="13"/>
      <c r="J259" s="13"/>
      <c r="K259" s="13" t="s">
        <v>657</v>
      </c>
      <c r="L259" s="13" t="s">
        <v>2265</v>
      </c>
      <c r="M259" s="13"/>
    </row>
    <row r="260" customFormat="false" ht="15" hidden="false" customHeight="false" outlineLevel="0" collapsed="false">
      <c r="A260" s="13" t="s">
        <v>628</v>
      </c>
      <c r="B260" s="13" t="s">
        <v>627</v>
      </c>
      <c r="C260" s="13" t="s">
        <v>2266</v>
      </c>
      <c r="D260" s="13" t="s">
        <v>59</v>
      </c>
      <c r="E260" s="13" t="s">
        <v>801</v>
      </c>
      <c r="F260" s="13" t="s">
        <v>802</v>
      </c>
      <c r="G260" s="61" t="n">
        <v>69993313658</v>
      </c>
      <c r="H260" s="13" t="s">
        <v>2255</v>
      </c>
      <c r="I260" s="13"/>
      <c r="J260" s="13"/>
      <c r="K260" s="13" t="s">
        <v>658</v>
      </c>
      <c r="L260" s="13" t="s">
        <v>2265</v>
      </c>
      <c r="M260" s="13"/>
    </row>
    <row r="261" customFormat="false" ht="15" hidden="false" customHeight="false" outlineLevel="0" collapsed="false">
      <c r="A261" s="13" t="s">
        <v>628</v>
      </c>
      <c r="B261" s="13" t="s">
        <v>627</v>
      </c>
      <c r="C261" s="13" t="s">
        <v>2267</v>
      </c>
      <c r="D261" s="13" t="s">
        <v>59</v>
      </c>
      <c r="E261" s="13" t="s">
        <v>801</v>
      </c>
      <c r="F261" s="13" t="s">
        <v>802</v>
      </c>
      <c r="G261" s="61" t="n">
        <v>100933381798</v>
      </c>
      <c r="H261" s="13" t="s">
        <v>2255</v>
      </c>
      <c r="I261" s="13"/>
      <c r="J261" s="13"/>
      <c r="K261" s="13" t="s">
        <v>659</v>
      </c>
      <c r="L261" s="13" t="s">
        <v>2265</v>
      </c>
      <c r="M261" s="13"/>
    </row>
    <row r="262" customFormat="false" ht="15" hidden="false" customHeight="false" outlineLevel="0" collapsed="false">
      <c r="A262" s="13" t="s">
        <v>628</v>
      </c>
      <c r="B262" s="13" t="s">
        <v>627</v>
      </c>
      <c r="C262" s="13" t="s">
        <v>2254</v>
      </c>
      <c r="D262" s="13" t="s">
        <v>59</v>
      </c>
      <c r="E262" s="13" t="s">
        <v>804</v>
      </c>
      <c r="F262" s="13" t="s">
        <v>805</v>
      </c>
      <c r="G262" s="61" t="n">
        <v>2115558294</v>
      </c>
      <c r="H262" s="13" t="s">
        <v>2255</v>
      </c>
      <c r="I262" s="13"/>
      <c r="J262" s="13"/>
      <c r="K262" s="13" t="s">
        <v>2256</v>
      </c>
      <c r="L262" s="13" t="s">
        <v>2257</v>
      </c>
      <c r="M262" s="13"/>
    </row>
    <row r="263" customFormat="false" ht="15" hidden="false" customHeight="false" outlineLevel="0" collapsed="false">
      <c r="A263" s="13" t="s">
        <v>628</v>
      </c>
      <c r="B263" s="13" t="s">
        <v>627</v>
      </c>
      <c r="C263" s="13" t="s">
        <v>2258</v>
      </c>
      <c r="D263" s="13" t="s">
        <v>59</v>
      </c>
      <c r="E263" s="13" t="s">
        <v>804</v>
      </c>
      <c r="F263" s="13" t="s">
        <v>805</v>
      </c>
      <c r="G263" s="61" t="n">
        <v>2566985695</v>
      </c>
      <c r="H263" s="13" t="s">
        <v>2255</v>
      </c>
      <c r="I263" s="13"/>
      <c r="J263" s="13"/>
      <c r="K263" s="13" t="s">
        <v>2259</v>
      </c>
      <c r="L263" s="13" t="s">
        <v>2260</v>
      </c>
      <c r="M263" s="13"/>
    </row>
    <row r="264" customFormat="false" ht="15" hidden="false" customHeight="false" outlineLevel="0" collapsed="false">
      <c r="A264" s="13" t="s">
        <v>628</v>
      </c>
      <c r="B264" s="13" t="s">
        <v>627</v>
      </c>
      <c r="C264" s="13" t="s">
        <v>2261</v>
      </c>
      <c r="D264" s="13" t="s">
        <v>59</v>
      </c>
      <c r="E264" s="13" t="s">
        <v>804</v>
      </c>
      <c r="F264" s="13" t="s">
        <v>805</v>
      </c>
      <c r="G264" s="61" t="n">
        <v>1529556969</v>
      </c>
      <c r="H264" s="13" t="s">
        <v>2255</v>
      </c>
      <c r="I264" s="13"/>
      <c r="J264" s="13"/>
      <c r="K264" s="13" t="s">
        <v>2262</v>
      </c>
      <c r="L264" s="13" t="s">
        <v>2263</v>
      </c>
      <c r="M264" s="13"/>
    </row>
    <row r="265" customFormat="false" ht="15" hidden="false" customHeight="false" outlineLevel="0" collapsed="false">
      <c r="A265" s="13" t="s">
        <v>628</v>
      </c>
      <c r="B265" s="13" t="s">
        <v>627</v>
      </c>
      <c r="C265" s="13" t="s">
        <v>2264</v>
      </c>
      <c r="D265" s="13" t="s">
        <v>59</v>
      </c>
      <c r="E265" s="13" t="s">
        <v>804</v>
      </c>
      <c r="F265" s="13" t="s">
        <v>805</v>
      </c>
      <c r="G265" s="61" t="n">
        <v>977102356</v>
      </c>
      <c r="H265" s="13" t="s">
        <v>2255</v>
      </c>
      <c r="I265" s="13"/>
      <c r="J265" s="13"/>
      <c r="K265" s="13" t="s">
        <v>657</v>
      </c>
      <c r="L265" s="13" t="s">
        <v>2265</v>
      </c>
      <c r="M265" s="13"/>
    </row>
    <row r="266" customFormat="false" ht="15" hidden="false" customHeight="false" outlineLevel="0" collapsed="false">
      <c r="A266" s="13" t="s">
        <v>628</v>
      </c>
      <c r="B266" s="13" t="s">
        <v>627</v>
      </c>
      <c r="C266" s="13" t="s">
        <v>2266</v>
      </c>
      <c r="D266" s="13" t="s">
        <v>59</v>
      </c>
      <c r="E266" s="13" t="s">
        <v>804</v>
      </c>
      <c r="F266" s="13" t="s">
        <v>805</v>
      </c>
      <c r="G266" s="61" t="n">
        <v>10510810074</v>
      </c>
      <c r="H266" s="13" t="s">
        <v>2255</v>
      </c>
      <c r="I266" s="13"/>
      <c r="J266" s="13"/>
      <c r="K266" s="13" t="s">
        <v>658</v>
      </c>
      <c r="L266" s="13" t="s">
        <v>2265</v>
      </c>
      <c r="M266" s="13"/>
    </row>
    <row r="267" customFormat="false" ht="15" hidden="false" customHeight="false" outlineLevel="0" collapsed="false">
      <c r="A267" s="13" t="s">
        <v>628</v>
      </c>
      <c r="B267" s="13" t="s">
        <v>627</v>
      </c>
      <c r="C267" s="13" t="s">
        <v>2267</v>
      </c>
      <c r="D267" s="13" t="s">
        <v>59</v>
      </c>
      <c r="E267" s="13" t="s">
        <v>804</v>
      </c>
      <c r="F267" s="13" t="s">
        <v>805</v>
      </c>
      <c r="G267" s="61" t="n">
        <v>13484587923</v>
      </c>
      <c r="H267" s="13" t="s">
        <v>2255</v>
      </c>
      <c r="I267" s="13"/>
      <c r="J267" s="13"/>
      <c r="K267" s="13" t="s">
        <v>659</v>
      </c>
      <c r="L267" s="13" t="s">
        <v>2265</v>
      </c>
      <c r="M267" s="13"/>
    </row>
    <row r="268" customFormat="false" ht="15" hidden="false" customHeight="false" outlineLevel="0" collapsed="false">
      <c r="A268" s="13" t="s">
        <v>628</v>
      </c>
      <c r="B268" s="13" t="s">
        <v>627</v>
      </c>
      <c r="C268" s="13" t="s">
        <v>2254</v>
      </c>
      <c r="D268" s="13" t="s">
        <v>59</v>
      </c>
      <c r="E268" s="13" t="s">
        <v>807</v>
      </c>
      <c r="F268" s="13" t="s">
        <v>412</v>
      </c>
      <c r="G268" s="61" t="n">
        <v>815734493466</v>
      </c>
      <c r="H268" s="13" t="s">
        <v>2255</v>
      </c>
      <c r="I268" s="13"/>
      <c r="J268" s="13"/>
      <c r="K268" s="13" t="s">
        <v>2256</v>
      </c>
      <c r="L268" s="13" t="s">
        <v>2257</v>
      </c>
      <c r="M268" s="13" t="s">
        <v>2268</v>
      </c>
    </row>
    <row r="269" customFormat="false" ht="15" hidden="false" customHeight="false" outlineLevel="0" collapsed="false">
      <c r="A269" s="13" t="s">
        <v>628</v>
      </c>
      <c r="B269" s="13" t="s">
        <v>627</v>
      </c>
      <c r="C269" s="13" t="s">
        <v>2258</v>
      </c>
      <c r="D269" s="13" t="s">
        <v>59</v>
      </c>
      <c r="E269" s="13" t="s">
        <v>807</v>
      </c>
      <c r="F269" s="13" t="s">
        <v>412</v>
      </c>
      <c r="G269" s="61" t="n">
        <v>1131105723933</v>
      </c>
      <c r="H269" s="13" t="s">
        <v>2255</v>
      </c>
      <c r="I269" s="13"/>
      <c r="J269" s="13"/>
      <c r="K269" s="13" t="s">
        <v>2259</v>
      </c>
      <c r="L269" s="13" t="s">
        <v>2260</v>
      </c>
      <c r="M269" s="13" t="s">
        <v>2268</v>
      </c>
    </row>
    <row r="270" customFormat="false" ht="15" hidden="false" customHeight="false" outlineLevel="0" collapsed="false">
      <c r="A270" s="13" t="s">
        <v>628</v>
      </c>
      <c r="B270" s="13" t="s">
        <v>627</v>
      </c>
      <c r="C270" s="13" t="s">
        <v>2261</v>
      </c>
      <c r="D270" s="13" t="s">
        <v>59</v>
      </c>
      <c r="E270" s="13" t="s">
        <v>807</v>
      </c>
      <c r="F270" s="13" t="s">
        <v>412</v>
      </c>
      <c r="G270" s="61" t="n">
        <v>887830081235</v>
      </c>
      <c r="H270" s="13" t="s">
        <v>2255</v>
      </c>
      <c r="I270" s="13"/>
      <c r="J270" s="13"/>
      <c r="K270" s="13" t="s">
        <v>2262</v>
      </c>
      <c r="L270" s="13" t="s">
        <v>2263</v>
      </c>
      <c r="M270" s="13" t="s">
        <v>2268</v>
      </c>
    </row>
    <row r="271" customFormat="false" ht="15" hidden="false" customHeight="false" outlineLevel="0" collapsed="false">
      <c r="A271" s="13" t="s">
        <v>628</v>
      </c>
      <c r="B271" s="13" t="s">
        <v>627</v>
      </c>
      <c r="C271" s="13" t="s">
        <v>2264</v>
      </c>
      <c r="D271" s="13" t="s">
        <v>59</v>
      </c>
      <c r="E271" s="13" t="s">
        <v>807</v>
      </c>
      <c r="F271" s="13" t="s">
        <v>412</v>
      </c>
      <c r="G271" s="61" t="n">
        <v>869046161672</v>
      </c>
      <c r="H271" s="13" t="s">
        <v>2255</v>
      </c>
      <c r="I271" s="13"/>
      <c r="J271" s="13"/>
      <c r="K271" s="13" t="s">
        <v>657</v>
      </c>
      <c r="L271" s="13" t="s">
        <v>2265</v>
      </c>
      <c r="M271" s="13" t="s">
        <v>2268</v>
      </c>
    </row>
    <row r="272" customFormat="false" ht="15" hidden="false" customHeight="false" outlineLevel="0" collapsed="false">
      <c r="A272" s="13" t="s">
        <v>628</v>
      </c>
      <c r="B272" s="13" t="s">
        <v>627</v>
      </c>
      <c r="C272" s="13" t="s">
        <v>2266</v>
      </c>
      <c r="D272" s="13" t="s">
        <v>59</v>
      </c>
      <c r="E272" s="13" t="s">
        <v>807</v>
      </c>
      <c r="F272" s="13" t="s">
        <v>412</v>
      </c>
      <c r="G272" s="61" t="n">
        <v>1088880785952</v>
      </c>
      <c r="H272" s="13" t="s">
        <v>2255</v>
      </c>
      <c r="I272" s="13"/>
      <c r="J272" s="13"/>
      <c r="K272" s="13" t="s">
        <v>658</v>
      </c>
      <c r="L272" s="13" t="s">
        <v>2265</v>
      </c>
      <c r="M272" s="13" t="s">
        <v>2268</v>
      </c>
    </row>
    <row r="273" customFormat="false" ht="15" hidden="false" customHeight="false" outlineLevel="0" collapsed="false">
      <c r="A273" s="13" t="s">
        <v>628</v>
      </c>
      <c r="B273" s="13" t="s">
        <v>627</v>
      </c>
      <c r="C273" s="13" t="s">
        <v>2267</v>
      </c>
      <c r="D273" s="13" t="s">
        <v>59</v>
      </c>
      <c r="E273" s="13" t="s">
        <v>807</v>
      </c>
      <c r="F273" s="13" t="s">
        <v>412</v>
      </c>
      <c r="G273" s="61" t="n">
        <v>1210239116384</v>
      </c>
      <c r="H273" s="13" t="s">
        <v>2255</v>
      </c>
      <c r="I273" s="13"/>
      <c r="J273" s="13"/>
      <c r="K273" s="13" t="s">
        <v>659</v>
      </c>
      <c r="L273" s="13" t="s">
        <v>2265</v>
      </c>
      <c r="M273" s="13" t="s">
        <v>2268</v>
      </c>
    </row>
    <row r="274" customFormat="false" ht="15" hidden="false" customHeight="false" outlineLevel="0" collapsed="false">
      <c r="A274" s="13" t="s">
        <v>628</v>
      </c>
      <c r="B274" s="13" t="s">
        <v>627</v>
      </c>
      <c r="C274" s="13" t="s">
        <v>2254</v>
      </c>
      <c r="D274" s="13" t="s">
        <v>59</v>
      </c>
      <c r="E274" s="13" t="s">
        <v>808</v>
      </c>
      <c r="F274" s="13" t="s">
        <v>809</v>
      </c>
      <c r="G274" s="61" t="n">
        <v>11811161479</v>
      </c>
      <c r="H274" s="13" t="s">
        <v>2255</v>
      </c>
      <c r="I274" s="13"/>
      <c r="J274" s="13"/>
      <c r="K274" s="13" t="s">
        <v>2256</v>
      </c>
      <c r="L274" s="13" t="s">
        <v>2257</v>
      </c>
      <c r="M274" s="13"/>
    </row>
    <row r="275" customFormat="false" ht="15" hidden="false" customHeight="false" outlineLevel="0" collapsed="false">
      <c r="A275" s="13" t="s">
        <v>628</v>
      </c>
      <c r="B275" s="13" t="s">
        <v>627</v>
      </c>
      <c r="C275" s="13" t="s">
        <v>2258</v>
      </c>
      <c r="D275" s="13" t="s">
        <v>59</v>
      </c>
      <c r="E275" s="13" t="s">
        <v>808</v>
      </c>
      <c r="F275" s="13" t="s">
        <v>809</v>
      </c>
      <c r="G275" s="61" t="n">
        <v>15236931143</v>
      </c>
      <c r="H275" s="13" t="s">
        <v>2255</v>
      </c>
      <c r="I275" s="13"/>
      <c r="J275" s="13"/>
      <c r="K275" s="13" t="s">
        <v>2259</v>
      </c>
      <c r="L275" s="13" t="s">
        <v>2260</v>
      </c>
      <c r="M275" s="13"/>
    </row>
    <row r="276" customFormat="false" ht="15" hidden="false" customHeight="false" outlineLevel="0" collapsed="false">
      <c r="A276" s="13" t="s">
        <v>628</v>
      </c>
      <c r="B276" s="13" t="s">
        <v>627</v>
      </c>
      <c r="C276" s="13" t="s">
        <v>2261</v>
      </c>
      <c r="D276" s="13" t="s">
        <v>59</v>
      </c>
      <c r="E276" s="13" t="s">
        <v>808</v>
      </c>
      <c r="F276" s="13" t="s">
        <v>809</v>
      </c>
      <c r="G276" s="61" t="n">
        <v>15497585903</v>
      </c>
      <c r="H276" s="13" t="s">
        <v>2255</v>
      </c>
      <c r="I276" s="13"/>
      <c r="J276" s="13"/>
      <c r="K276" s="13" t="s">
        <v>2262</v>
      </c>
      <c r="L276" s="13" t="s">
        <v>2263</v>
      </c>
      <c r="M276" s="13"/>
    </row>
    <row r="277" customFormat="false" ht="15" hidden="false" customHeight="false" outlineLevel="0" collapsed="false">
      <c r="A277" s="13" t="s">
        <v>628</v>
      </c>
      <c r="B277" s="13" t="s">
        <v>627</v>
      </c>
      <c r="C277" s="13" t="s">
        <v>2264</v>
      </c>
      <c r="D277" s="13" t="s">
        <v>59</v>
      </c>
      <c r="E277" s="13" t="s">
        <v>808</v>
      </c>
      <c r="F277" s="13" t="s">
        <v>809</v>
      </c>
      <c r="G277" s="61" t="n">
        <v>22630890720</v>
      </c>
      <c r="H277" s="13" t="s">
        <v>2255</v>
      </c>
      <c r="I277" s="13"/>
      <c r="J277" s="13"/>
      <c r="K277" s="13" t="s">
        <v>657</v>
      </c>
      <c r="L277" s="13" t="s">
        <v>2265</v>
      </c>
      <c r="M277" s="13"/>
    </row>
    <row r="278" customFormat="false" ht="15" hidden="false" customHeight="false" outlineLevel="0" collapsed="false">
      <c r="A278" s="13" t="s">
        <v>628</v>
      </c>
      <c r="B278" s="13" t="s">
        <v>627</v>
      </c>
      <c r="C278" s="13" t="s">
        <v>2266</v>
      </c>
      <c r="D278" s="13" t="s">
        <v>59</v>
      </c>
      <c r="E278" s="13" t="s">
        <v>808</v>
      </c>
      <c r="F278" s="13" t="s">
        <v>809</v>
      </c>
      <c r="G278" s="61" t="n">
        <v>25310529957</v>
      </c>
      <c r="H278" s="13" t="s">
        <v>2255</v>
      </c>
      <c r="I278" s="13"/>
      <c r="J278" s="13"/>
      <c r="K278" s="13" t="s">
        <v>658</v>
      </c>
      <c r="L278" s="13" t="s">
        <v>2265</v>
      </c>
      <c r="M278" s="13"/>
    </row>
    <row r="279" customFormat="false" ht="15" hidden="false" customHeight="false" outlineLevel="0" collapsed="false">
      <c r="A279" s="13" t="s">
        <v>628</v>
      </c>
      <c r="B279" s="13" t="s">
        <v>627</v>
      </c>
      <c r="C279" s="13" t="s">
        <v>2267</v>
      </c>
      <c r="D279" s="13" t="s">
        <v>59</v>
      </c>
      <c r="E279" s="13" t="s">
        <v>808</v>
      </c>
      <c r="F279" s="13" t="s">
        <v>809</v>
      </c>
      <c r="G279" s="61" t="n">
        <v>31691945497</v>
      </c>
      <c r="H279" s="13" t="s">
        <v>2255</v>
      </c>
      <c r="I279" s="13"/>
      <c r="J279" s="13"/>
      <c r="K279" s="13" t="s">
        <v>659</v>
      </c>
      <c r="L279" s="13" t="s">
        <v>2265</v>
      </c>
      <c r="M279" s="13"/>
    </row>
    <row r="280" customFormat="false" ht="15" hidden="false" customHeight="false" outlineLevel="0" collapsed="false">
      <c r="A280" s="13" t="s">
        <v>628</v>
      </c>
      <c r="B280" s="13" t="s">
        <v>627</v>
      </c>
      <c r="C280" s="13" t="s">
        <v>2254</v>
      </c>
      <c r="D280" s="13" t="s">
        <v>59</v>
      </c>
      <c r="E280" s="13" t="s">
        <v>811</v>
      </c>
      <c r="F280" s="13" t="s">
        <v>812</v>
      </c>
      <c r="G280" s="61" t="n">
        <v>0</v>
      </c>
      <c r="H280" s="13" t="s">
        <v>2255</v>
      </c>
      <c r="I280" s="13"/>
      <c r="J280" s="13"/>
      <c r="K280" s="13" t="s">
        <v>2256</v>
      </c>
      <c r="L280" s="13" t="s">
        <v>2257</v>
      </c>
      <c r="M280" s="13"/>
    </row>
    <row r="281" customFormat="false" ht="15" hidden="false" customHeight="false" outlineLevel="0" collapsed="false">
      <c r="A281" s="13" t="s">
        <v>628</v>
      </c>
      <c r="B281" s="13" t="s">
        <v>627</v>
      </c>
      <c r="C281" s="13" t="s">
        <v>2258</v>
      </c>
      <c r="D281" s="13" t="s">
        <v>59</v>
      </c>
      <c r="E281" s="13" t="s">
        <v>811</v>
      </c>
      <c r="F281" s="13" t="s">
        <v>812</v>
      </c>
      <c r="G281" s="61" t="n">
        <v>0</v>
      </c>
      <c r="H281" s="13" t="s">
        <v>2255</v>
      </c>
      <c r="I281" s="13"/>
      <c r="J281" s="13"/>
      <c r="K281" s="13" t="s">
        <v>2259</v>
      </c>
      <c r="L281" s="13" t="s">
        <v>2260</v>
      </c>
      <c r="M281" s="13"/>
    </row>
    <row r="282" customFormat="false" ht="15" hidden="false" customHeight="false" outlineLevel="0" collapsed="false">
      <c r="A282" s="13" t="s">
        <v>628</v>
      </c>
      <c r="B282" s="13" t="s">
        <v>627</v>
      </c>
      <c r="C282" s="13" t="s">
        <v>2261</v>
      </c>
      <c r="D282" s="13" t="s">
        <v>59</v>
      </c>
      <c r="E282" s="13" t="s">
        <v>811</v>
      </c>
      <c r="F282" s="13" t="s">
        <v>812</v>
      </c>
      <c r="G282" s="61" t="n">
        <v>0</v>
      </c>
      <c r="H282" s="13" t="s">
        <v>2255</v>
      </c>
      <c r="I282" s="13"/>
      <c r="J282" s="13"/>
      <c r="K282" s="13" t="s">
        <v>2262</v>
      </c>
      <c r="L282" s="13" t="s">
        <v>2263</v>
      </c>
      <c r="M282" s="13"/>
    </row>
    <row r="283" customFormat="false" ht="15" hidden="false" customHeight="false" outlineLevel="0" collapsed="false">
      <c r="A283" s="13" t="s">
        <v>628</v>
      </c>
      <c r="B283" s="13" t="s">
        <v>627</v>
      </c>
      <c r="C283" s="13" t="s">
        <v>2264</v>
      </c>
      <c r="D283" s="13" t="s">
        <v>59</v>
      </c>
      <c r="E283" s="13" t="s">
        <v>811</v>
      </c>
      <c r="F283" s="13" t="s">
        <v>812</v>
      </c>
      <c r="G283" s="61" t="n">
        <v>0</v>
      </c>
      <c r="H283" s="13" t="s">
        <v>2255</v>
      </c>
      <c r="I283" s="13"/>
      <c r="J283" s="13"/>
      <c r="K283" s="13" t="s">
        <v>657</v>
      </c>
      <c r="L283" s="13" t="s">
        <v>2265</v>
      </c>
      <c r="M283" s="13"/>
    </row>
    <row r="284" customFormat="false" ht="15" hidden="false" customHeight="false" outlineLevel="0" collapsed="false">
      <c r="A284" s="13" t="s">
        <v>628</v>
      </c>
      <c r="B284" s="13" t="s">
        <v>627</v>
      </c>
      <c r="C284" s="13" t="s">
        <v>2266</v>
      </c>
      <c r="D284" s="13" t="s">
        <v>59</v>
      </c>
      <c r="E284" s="13" t="s">
        <v>811</v>
      </c>
      <c r="F284" s="13" t="s">
        <v>812</v>
      </c>
      <c r="G284" s="61" t="n">
        <v>37511247</v>
      </c>
      <c r="H284" s="13" t="s">
        <v>2255</v>
      </c>
      <c r="I284" s="13"/>
      <c r="J284" s="13"/>
      <c r="K284" s="13" t="s">
        <v>658</v>
      </c>
      <c r="L284" s="13" t="s">
        <v>2265</v>
      </c>
      <c r="M284" s="13"/>
    </row>
    <row r="285" customFormat="false" ht="15" hidden="false" customHeight="false" outlineLevel="0" collapsed="false">
      <c r="A285" s="13" t="s">
        <v>628</v>
      </c>
      <c r="B285" s="13" t="s">
        <v>627</v>
      </c>
      <c r="C285" s="13" t="s">
        <v>2267</v>
      </c>
      <c r="D285" s="13" t="s">
        <v>59</v>
      </c>
      <c r="E285" s="13" t="s">
        <v>811</v>
      </c>
      <c r="F285" s="13" t="s">
        <v>812</v>
      </c>
      <c r="G285" s="61" t="n">
        <v>0</v>
      </c>
      <c r="H285" s="13" t="s">
        <v>2255</v>
      </c>
      <c r="I285" s="13"/>
      <c r="J285" s="13"/>
      <c r="K285" s="13" t="s">
        <v>659</v>
      </c>
      <c r="L285" s="13" t="s">
        <v>2265</v>
      </c>
      <c r="M285" s="13"/>
    </row>
    <row r="286" customFormat="false" ht="15" hidden="false" customHeight="false" outlineLevel="0" collapsed="false">
      <c r="A286" s="13" t="s">
        <v>628</v>
      </c>
      <c r="B286" s="13" t="s">
        <v>627</v>
      </c>
      <c r="C286" s="13" t="s">
        <v>2254</v>
      </c>
      <c r="D286" s="13" t="s">
        <v>59</v>
      </c>
      <c r="E286" s="13" t="s">
        <v>814</v>
      </c>
      <c r="F286" s="13" t="s">
        <v>815</v>
      </c>
      <c r="G286" s="61" t="n">
        <v>48542526759</v>
      </c>
      <c r="H286" s="13" t="s">
        <v>2255</v>
      </c>
      <c r="I286" s="13"/>
      <c r="J286" s="13"/>
      <c r="K286" s="13" t="s">
        <v>2256</v>
      </c>
      <c r="L286" s="13" t="s">
        <v>2257</v>
      </c>
      <c r="M286" s="13"/>
    </row>
    <row r="287" customFormat="false" ht="15" hidden="false" customHeight="false" outlineLevel="0" collapsed="false">
      <c r="A287" s="13" t="s">
        <v>628</v>
      </c>
      <c r="B287" s="13" t="s">
        <v>627</v>
      </c>
      <c r="C287" s="13" t="s">
        <v>2258</v>
      </c>
      <c r="D287" s="13" t="s">
        <v>59</v>
      </c>
      <c r="E287" s="13" t="s">
        <v>814</v>
      </c>
      <c r="F287" s="13" t="s">
        <v>815</v>
      </c>
      <c r="G287" s="61" t="n">
        <v>21495000000</v>
      </c>
      <c r="H287" s="13" t="s">
        <v>2255</v>
      </c>
      <c r="I287" s="13"/>
      <c r="J287" s="13"/>
      <c r="K287" s="13" t="s">
        <v>2259</v>
      </c>
      <c r="L287" s="13" t="s">
        <v>2260</v>
      </c>
      <c r="M287" s="13"/>
    </row>
    <row r="288" customFormat="false" ht="15" hidden="false" customHeight="false" outlineLevel="0" collapsed="false">
      <c r="A288" s="13" t="s">
        <v>628</v>
      </c>
      <c r="B288" s="13" t="s">
        <v>627</v>
      </c>
      <c r="C288" s="13" t="s">
        <v>2261</v>
      </c>
      <c r="D288" s="13" t="s">
        <v>59</v>
      </c>
      <c r="E288" s="13" t="s">
        <v>814</v>
      </c>
      <c r="F288" s="13" t="s">
        <v>815</v>
      </c>
      <c r="G288" s="61" t="n">
        <v>78689500000</v>
      </c>
      <c r="H288" s="13" t="s">
        <v>2255</v>
      </c>
      <c r="I288" s="13"/>
      <c r="J288" s="13"/>
      <c r="K288" s="13" t="s">
        <v>2262</v>
      </c>
      <c r="L288" s="13" t="s">
        <v>2263</v>
      </c>
      <c r="M288" s="13"/>
    </row>
    <row r="289" customFormat="false" ht="15" hidden="false" customHeight="false" outlineLevel="0" collapsed="false">
      <c r="A289" s="13" t="s">
        <v>628</v>
      </c>
      <c r="B289" s="13" t="s">
        <v>627</v>
      </c>
      <c r="C289" s="13" t="s">
        <v>2264</v>
      </c>
      <c r="D289" s="13" t="s">
        <v>59</v>
      </c>
      <c r="E289" s="13" t="s">
        <v>814</v>
      </c>
      <c r="F289" s="13" t="s">
        <v>815</v>
      </c>
      <c r="G289" s="61" t="n">
        <v>83195500000</v>
      </c>
      <c r="H289" s="13" t="s">
        <v>2255</v>
      </c>
      <c r="I289" s="13"/>
      <c r="J289" s="13"/>
      <c r="K289" s="13" t="s">
        <v>657</v>
      </c>
      <c r="L289" s="13" t="s">
        <v>2265</v>
      </c>
      <c r="M289" s="13"/>
    </row>
    <row r="290" customFormat="false" ht="15" hidden="false" customHeight="false" outlineLevel="0" collapsed="false">
      <c r="A290" s="13" t="s">
        <v>628</v>
      </c>
      <c r="B290" s="13" t="s">
        <v>627</v>
      </c>
      <c r="C290" s="13" t="s">
        <v>2266</v>
      </c>
      <c r="D290" s="13" t="s">
        <v>59</v>
      </c>
      <c r="E290" s="13" t="s">
        <v>814</v>
      </c>
      <c r="F290" s="13" t="s">
        <v>815</v>
      </c>
      <c r="G290" s="61" t="n">
        <v>83195500000</v>
      </c>
      <c r="H290" s="13" t="s">
        <v>2255</v>
      </c>
      <c r="I290" s="13"/>
      <c r="J290" s="13"/>
      <c r="K290" s="13" t="s">
        <v>658</v>
      </c>
      <c r="L290" s="13" t="s">
        <v>2265</v>
      </c>
      <c r="M290" s="13"/>
    </row>
    <row r="291" customFormat="false" ht="15" hidden="false" customHeight="false" outlineLevel="0" collapsed="false">
      <c r="A291" s="13" t="s">
        <v>628</v>
      </c>
      <c r="B291" s="13" t="s">
        <v>627</v>
      </c>
      <c r="C291" s="13" t="s">
        <v>2267</v>
      </c>
      <c r="D291" s="13" t="s">
        <v>59</v>
      </c>
      <c r="E291" s="13" t="s">
        <v>814</v>
      </c>
      <c r="F291" s="13" t="s">
        <v>815</v>
      </c>
      <c r="G291" s="61" t="n">
        <v>83195500000</v>
      </c>
      <c r="H291" s="13" t="s">
        <v>2255</v>
      </c>
      <c r="I291" s="13"/>
      <c r="J291" s="13"/>
      <c r="K291" s="13" t="s">
        <v>659</v>
      </c>
      <c r="L291" s="13" t="s">
        <v>2265</v>
      </c>
      <c r="M291" s="13"/>
    </row>
    <row r="292" customFormat="false" ht="15" hidden="false" customHeight="false" outlineLevel="0" collapsed="false">
      <c r="A292" s="13" t="s">
        <v>628</v>
      </c>
      <c r="B292" s="13" t="s">
        <v>627</v>
      </c>
      <c r="C292" s="13" t="s">
        <v>2254</v>
      </c>
      <c r="D292" s="13" t="s">
        <v>59</v>
      </c>
      <c r="E292" s="13" t="s">
        <v>817</v>
      </c>
      <c r="F292" s="13" t="s">
        <v>818</v>
      </c>
      <c r="G292" s="61" t="n">
        <v>1248769678311</v>
      </c>
      <c r="H292" s="13" t="s">
        <v>2255</v>
      </c>
      <c r="I292" s="13"/>
      <c r="J292" s="13"/>
      <c r="K292" s="13" t="s">
        <v>2256</v>
      </c>
      <c r="L292" s="13" t="s">
        <v>2257</v>
      </c>
      <c r="M292" s="13"/>
    </row>
    <row r="293" customFormat="false" ht="15" hidden="false" customHeight="false" outlineLevel="0" collapsed="false">
      <c r="A293" s="13" t="s">
        <v>628</v>
      </c>
      <c r="B293" s="13" t="s">
        <v>627</v>
      </c>
      <c r="C293" s="13" t="s">
        <v>2258</v>
      </c>
      <c r="D293" s="13" t="s">
        <v>59</v>
      </c>
      <c r="E293" s="13" t="s">
        <v>817</v>
      </c>
      <c r="F293" s="13" t="s">
        <v>818</v>
      </c>
      <c r="G293" s="61" t="n">
        <v>1499198307038</v>
      </c>
      <c r="H293" s="13" t="s">
        <v>2255</v>
      </c>
      <c r="I293" s="13"/>
      <c r="J293" s="13"/>
      <c r="K293" s="13" t="s">
        <v>2259</v>
      </c>
      <c r="L293" s="13" t="s">
        <v>2260</v>
      </c>
      <c r="M293" s="13"/>
    </row>
    <row r="294" customFormat="false" ht="15" hidden="false" customHeight="false" outlineLevel="0" collapsed="false">
      <c r="A294" s="13" t="s">
        <v>628</v>
      </c>
      <c r="B294" s="13" t="s">
        <v>627</v>
      </c>
      <c r="C294" s="13" t="s">
        <v>2261</v>
      </c>
      <c r="D294" s="13" t="s">
        <v>59</v>
      </c>
      <c r="E294" s="13" t="s">
        <v>817</v>
      </c>
      <c r="F294" s="13" t="s">
        <v>818</v>
      </c>
      <c r="G294" s="61" t="n">
        <v>1757540033465</v>
      </c>
      <c r="H294" s="13" t="s">
        <v>2255</v>
      </c>
      <c r="I294" s="13"/>
      <c r="J294" s="13"/>
      <c r="K294" s="13" t="s">
        <v>2262</v>
      </c>
      <c r="L294" s="13" t="s">
        <v>2263</v>
      </c>
      <c r="M294" s="13"/>
    </row>
    <row r="295" customFormat="false" ht="15" hidden="false" customHeight="false" outlineLevel="0" collapsed="false">
      <c r="A295" s="13" t="s">
        <v>628</v>
      </c>
      <c r="B295" s="13" t="s">
        <v>627</v>
      </c>
      <c r="C295" s="13" t="s">
        <v>2264</v>
      </c>
      <c r="D295" s="13" t="s">
        <v>59</v>
      </c>
      <c r="E295" s="13" t="s">
        <v>817</v>
      </c>
      <c r="F295" s="13" t="s">
        <v>818</v>
      </c>
      <c r="G295" s="61" t="n">
        <v>1863253878489</v>
      </c>
      <c r="H295" s="13" t="s">
        <v>2255</v>
      </c>
      <c r="I295" s="13"/>
      <c r="J295" s="13"/>
      <c r="K295" s="13" t="s">
        <v>657</v>
      </c>
      <c r="L295" s="13" t="s">
        <v>2265</v>
      </c>
      <c r="M295" s="13"/>
    </row>
    <row r="296" customFormat="false" ht="15" hidden="false" customHeight="false" outlineLevel="0" collapsed="false">
      <c r="A296" s="13" t="s">
        <v>628</v>
      </c>
      <c r="B296" s="13" t="s">
        <v>627</v>
      </c>
      <c r="C296" s="13" t="s">
        <v>2266</v>
      </c>
      <c r="D296" s="13" t="s">
        <v>59</v>
      </c>
      <c r="E296" s="13" t="s">
        <v>817</v>
      </c>
      <c r="F296" s="13" t="s">
        <v>818</v>
      </c>
      <c r="G296" s="61" t="n">
        <v>1934924754148</v>
      </c>
      <c r="H296" s="13" t="s">
        <v>2255</v>
      </c>
      <c r="I296" s="13"/>
      <c r="J296" s="13"/>
      <c r="K296" s="13" t="s">
        <v>658</v>
      </c>
      <c r="L296" s="13" t="s">
        <v>2265</v>
      </c>
      <c r="M296" s="13"/>
    </row>
    <row r="297" customFormat="false" ht="15" hidden="false" customHeight="false" outlineLevel="0" collapsed="false">
      <c r="A297" s="13" t="s">
        <v>628</v>
      </c>
      <c r="B297" s="13" t="s">
        <v>627</v>
      </c>
      <c r="C297" s="13" t="s">
        <v>2267</v>
      </c>
      <c r="D297" s="13" t="s">
        <v>59</v>
      </c>
      <c r="E297" s="13" t="s">
        <v>817</v>
      </c>
      <c r="F297" s="13" t="s">
        <v>818</v>
      </c>
      <c r="G297" s="61" t="n">
        <v>2363899139020</v>
      </c>
      <c r="H297" s="13" t="s">
        <v>2255</v>
      </c>
      <c r="I297" s="13"/>
      <c r="J297" s="13"/>
      <c r="K297" s="13" t="s">
        <v>659</v>
      </c>
      <c r="L297" s="13" t="s">
        <v>2265</v>
      </c>
      <c r="M297" s="13"/>
    </row>
    <row r="298" customFormat="false" ht="15" hidden="false" customHeight="false" outlineLevel="0" collapsed="false">
      <c r="A298" s="13" t="s">
        <v>628</v>
      </c>
      <c r="B298" s="13" t="s">
        <v>627</v>
      </c>
      <c r="C298" s="13" t="s">
        <v>2254</v>
      </c>
      <c r="D298" s="13" t="s">
        <v>59</v>
      </c>
      <c r="E298" s="13" t="s">
        <v>820</v>
      </c>
      <c r="F298" s="13" t="s">
        <v>416</v>
      </c>
      <c r="G298" s="61" t="n">
        <v>24249107726</v>
      </c>
      <c r="H298" s="13" t="s">
        <v>2255</v>
      </c>
      <c r="I298" s="13"/>
      <c r="J298" s="13"/>
      <c r="K298" s="13" t="s">
        <v>2256</v>
      </c>
      <c r="L298" s="13" t="s">
        <v>2257</v>
      </c>
      <c r="M298" s="13"/>
    </row>
    <row r="299" customFormat="false" ht="15" hidden="false" customHeight="false" outlineLevel="0" collapsed="false">
      <c r="A299" s="13" t="s">
        <v>628</v>
      </c>
      <c r="B299" s="13" t="s">
        <v>627</v>
      </c>
      <c r="C299" s="13" t="s">
        <v>2258</v>
      </c>
      <c r="D299" s="13" t="s">
        <v>59</v>
      </c>
      <c r="E299" s="13" t="s">
        <v>820</v>
      </c>
      <c r="F299" s="13" t="s">
        <v>416</v>
      </c>
      <c r="G299" s="61" t="n">
        <v>60480439977</v>
      </c>
      <c r="H299" s="13" t="s">
        <v>2255</v>
      </c>
      <c r="I299" s="13"/>
      <c r="J299" s="13"/>
      <c r="K299" s="13" t="s">
        <v>2259</v>
      </c>
      <c r="L299" s="13" t="s">
        <v>2260</v>
      </c>
      <c r="M299" s="13"/>
    </row>
    <row r="300" customFormat="false" ht="15" hidden="false" customHeight="false" outlineLevel="0" collapsed="false">
      <c r="A300" s="13" t="s">
        <v>628</v>
      </c>
      <c r="B300" s="13" t="s">
        <v>627</v>
      </c>
      <c r="C300" s="13" t="s">
        <v>2261</v>
      </c>
      <c r="D300" s="13" t="s">
        <v>59</v>
      </c>
      <c r="E300" s="13" t="s">
        <v>820</v>
      </c>
      <c r="F300" s="13" t="s">
        <v>416</v>
      </c>
      <c r="G300" s="61" t="n">
        <v>86574078236</v>
      </c>
      <c r="H300" s="13" t="s">
        <v>2255</v>
      </c>
      <c r="I300" s="13"/>
      <c r="J300" s="13"/>
      <c r="K300" s="13" t="s">
        <v>2262</v>
      </c>
      <c r="L300" s="13" t="s">
        <v>2263</v>
      </c>
      <c r="M300" s="13"/>
    </row>
    <row r="301" customFormat="false" ht="15" hidden="false" customHeight="false" outlineLevel="0" collapsed="false">
      <c r="A301" s="13" t="s">
        <v>628</v>
      </c>
      <c r="B301" s="13" t="s">
        <v>627</v>
      </c>
      <c r="C301" s="13" t="s">
        <v>2264</v>
      </c>
      <c r="D301" s="13" t="s">
        <v>59</v>
      </c>
      <c r="E301" s="13" t="s">
        <v>820</v>
      </c>
      <c r="F301" s="13" t="s">
        <v>416</v>
      </c>
      <c r="G301" s="61" t="n">
        <v>102986330128</v>
      </c>
      <c r="H301" s="13" t="s">
        <v>2255</v>
      </c>
      <c r="I301" s="13"/>
      <c r="J301" s="13"/>
      <c r="K301" s="13" t="s">
        <v>657</v>
      </c>
      <c r="L301" s="13" t="s">
        <v>2265</v>
      </c>
      <c r="M301" s="13"/>
    </row>
    <row r="302" customFormat="false" ht="15" hidden="false" customHeight="false" outlineLevel="0" collapsed="false">
      <c r="A302" s="13" t="s">
        <v>628</v>
      </c>
      <c r="B302" s="13" t="s">
        <v>627</v>
      </c>
      <c r="C302" s="13" t="s">
        <v>2266</v>
      </c>
      <c r="D302" s="13" t="s">
        <v>59</v>
      </c>
      <c r="E302" s="13" t="s">
        <v>820</v>
      </c>
      <c r="F302" s="13" t="s">
        <v>416</v>
      </c>
      <c r="G302" s="61" t="n">
        <v>94506359437</v>
      </c>
      <c r="H302" s="13" t="s">
        <v>2255</v>
      </c>
      <c r="I302" s="13"/>
      <c r="J302" s="13"/>
      <c r="K302" s="13" t="s">
        <v>658</v>
      </c>
      <c r="L302" s="13" t="s">
        <v>2265</v>
      </c>
      <c r="M302" s="13"/>
    </row>
    <row r="303" customFormat="false" ht="15" hidden="false" customHeight="false" outlineLevel="0" collapsed="false">
      <c r="A303" s="13" t="s">
        <v>628</v>
      </c>
      <c r="B303" s="13" t="s">
        <v>627</v>
      </c>
      <c r="C303" s="13" t="s">
        <v>2267</v>
      </c>
      <c r="D303" s="13" t="s">
        <v>59</v>
      </c>
      <c r="E303" s="13" t="s">
        <v>820</v>
      </c>
      <c r="F303" s="13" t="s">
        <v>416</v>
      </c>
      <c r="G303" s="61" t="n">
        <v>147651907371</v>
      </c>
      <c r="H303" s="13" t="s">
        <v>2255</v>
      </c>
      <c r="I303" s="13"/>
      <c r="J303" s="13"/>
      <c r="K303" s="13" t="s">
        <v>659</v>
      </c>
      <c r="L303" s="13" t="s">
        <v>2265</v>
      </c>
      <c r="M303" s="13"/>
    </row>
    <row r="304" customFormat="false" ht="15" hidden="false" customHeight="false" outlineLevel="0" collapsed="false">
      <c r="A304" s="13" t="s">
        <v>628</v>
      </c>
      <c r="B304" s="13" t="s">
        <v>627</v>
      </c>
      <c r="C304" s="13" t="s">
        <v>2254</v>
      </c>
      <c r="D304" s="13" t="s">
        <v>59</v>
      </c>
      <c r="E304" s="13" t="s">
        <v>822</v>
      </c>
      <c r="F304" s="13" t="s">
        <v>823</v>
      </c>
      <c r="G304" s="61" t="n">
        <v>0</v>
      </c>
      <c r="H304" s="13" t="s">
        <v>2255</v>
      </c>
      <c r="I304" s="13"/>
      <c r="J304" s="13"/>
      <c r="K304" s="13" t="s">
        <v>2256</v>
      </c>
      <c r="L304" s="13" t="s">
        <v>2257</v>
      </c>
      <c r="M304" s="13"/>
    </row>
    <row r="305" customFormat="false" ht="15" hidden="false" customHeight="false" outlineLevel="0" collapsed="false">
      <c r="A305" s="13" t="s">
        <v>628</v>
      </c>
      <c r="B305" s="13" t="s">
        <v>627</v>
      </c>
      <c r="C305" s="13" t="s">
        <v>2258</v>
      </c>
      <c r="D305" s="13" t="s">
        <v>59</v>
      </c>
      <c r="E305" s="13" t="s">
        <v>822</v>
      </c>
      <c r="F305" s="13" t="s">
        <v>823</v>
      </c>
      <c r="G305" s="61" t="n">
        <v>0</v>
      </c>
      <c r="H305" s="13" t="s">
        <v>2255</v>
      </c>
      <c r="I305" s="13"/>
      <c r="J305" s="13"/>
      <c r="K305" s="13" t="s">
        <v>2259</v>
      </c>
      <c r="L305" s="13" t="s">
        <v>2260</v>
      </c>
      <c r="M305" s="13"/>
    </row>
    <row r="306" customFormat="false" ht="15" hidden="false" customHeight="false" outlineLevel="0" collapsed="false">
      <c r="A306" s="13" t="s">
        <v>628</v>
      </c>
      <c r="B306" s="13" t="s">
        <v>627</v>
      </c>
      <c r="C306" s="13" t="s">
        <v>2261</v>
      </c>
      <c r="D306" s="13" t="s">
        <v>59</v>
      </c>
      <c r="E306" s="13" t="s">
        <v>822</v>
      </c>
      <c r="F306" s="13" t="s">
        <v>823</v>
      </c>
      <c r="G306" s="61" t="n">
        <v>0</v>
      </c>
      <c r="H306" s="13" t="s">
        <v>2255</v>
      </c>
      <c r="I306" s="13"/>
      <c r="J306" s="13"/>
      <c r="K306" s="13" t="s">
        <v>2262</v>
      </c>
      <c r="L306" s="13" t="s">
        <v>2263</v>
      </c>
      <c r="M306" s="13"/>
    </row>
    <row r="307" customFormat="false" ht="15" hidden="false" customHeight="false" outlineLevel="0" collapsed="false">
      <c r="A307" s="13" t="s">
        <v>628</v>
      </c>
      <c r="B307" s="13" t="s">
        <v>627</v>
      </c>
      <c r="C307" s="13" t="s">
        <v>2264</v>
      </c>
      <c r="D307" s="13" t="s">
        <v>59</v>
      </c>
      <c r="E307" s="13" t="s">
        <v>822</v>
      </c>
      <c r="F307" s="13" t="s">
        <v>823</v>
      </c>
      <c r="G307" s="61" t="n">
        <v>0</v>
      </c>
      <c r="H307" s="13" t="s">
        <v>2255</v>
      </c>
      <c r="I307" s="13"/>
      <c r="J307" s="13"/>
      <c r="K307" s="13" t="s">
        <v>657</v>
      </c>
      <c r="L307" s="13" t="s">
        <v>2265</v>
      </c>
      <c r="M307" s="13"/>
    </row>
    <row r="308" customFormat="false" ht="15" hidden="false" customHeight="false" outlineLevel="0" collapsed="false">
      <c r="A308" s="13" t="s">
        <v>628</v>
      </c>
      <c r="B308" s="13" t="s">
        <v>627</v>
      </c>
      <c r="C308" s="13" t="s">
        <v>2266</v>
      </c>
      <c r="D308" s="13" t="s">
        <v>59</v>
      </c>
      <c r="E308" s="13" t="s">
        <v>822</v>
      </c>
      <c r="F308" s="13" t="s">
        <v>823</v>
      </c>
      <c r="G308" s="61" t="n">
        <v>6581452803</v>
      </c>
      <c r="H308" s="13" t="s">
        <v>2255</v>
      </c>
      <c r="I308" s="13"/>
      <c r="J308" s="13"/>
      <c r="K308" s="13" t="s">
        <v>658</v>
      </c>
      <c r="L308" s="13" t="s">
        <v>2265</v>
      </c>
      <c r="M308" s="13"/>
    </row>
    <row r="309" customFormat="false" ht="15" hidden="false" customHeight="false" outlineLevel="0" collapsed="false">
      <c r="A309" s="13" t="s">
        <v>628</v>
      </c>
      <c r="B309" s="13" t="s">
        <v>627</v>
      </c>
      <c r="C309" s="13" t="s">
        <v>2267</v>
      </c>
      <c r="D309" s="13" t="s">
        <v>59</v>
      </c>
      <c r="E309" s="13" t="s">
        <v>822</v>
      </c>
      <c r="F309" s="13" t="s">
        <v>823</v>
      </c>
      <c r="G309" s="61" t="n">
        <v>4271939744</v>
      </c>
      <c r="H309" s="13" t="s">
        <v>2255</v>
      </c>
      <c r="I309" s="13"/>
      <c r="J309" s="13"/>
      <c r="K309" s="13" t="s">
        <v>659</v>
      </c>
      <c r="L309" s="13" t="s">
        <v>2265</v>
      </c>
      <c r="M309" s="13"/>
    </row>
    <row r="310" customFormat="false" ht="15" hidden="false" customHeight="false" outlineLevel="0" collapsed="false">
      <c r="A310" s="13" t="s">
        <v>628</v>
      </c>
      <c r="B310" s="13" t="s">
        <v>627</v>
      </c>
      <c r="C310" s="13" t="s">
        <v>2254</v>
      </c>
      <c r="D310" s="13" t="s">
        <v>59</v>
      </c>
      <c r="E310" s="13" t="s">
        <v>825</v>
      </c>
      <c r="F310" s="13" t="s">
        <v>826</v>
      </c>
      <c r="G310" s="61" t="n">
        <v>0</v>
      </c>
      <c r="H310" s="13" t="s">
        <v>2255</v>
      </c>
      <c r="I310" s="13"/>
      <c r="J310" s="13"/>
      <c r="K310" s="13" t="s">
        <v>2256</v>
      </c>
      <c r="L310" s="13" t="s">
        <v>2257</v>
      </c>
      <c r="M310" s="13"/>
    </row>
    <row r="311" customFormat="false" ht="15" hidden="false" customHeight="false" outlineLevel="0" collapsed="false">
      <c r="A311" s="13" t="s">
        <v>628</v>
      </c>
      <c r="B311" s="13" t="s">
        <v>627</v>
      </c>
      <c r="C311" s="13" t="s">
        <v>2258</v>
      </c>
      <c r="D311" s="13" t="s">
        <v>59</v>
      </c>
      <c r="E311" s="13" t="s">
        <v>825</v>
      </c>
      <c r="F311" s="13" t="s">
        <v>826</v>
      </c>
      <c r="G311" s="61" t="n">
        <v>50811634395</v>
      </c>
      <c r="H311" s="13" t="s">
        <v>2255</v>
      </c>
      <c r="I311" s="13"/>
      <c r="J311" s="13"/>
      <c r="K311" s="13" t="s">
        <v>2259</v>
      </c>
      <c r="L311" s="13" t="s">
        <v>2260</v>
      </c>
      <c r="M311" s="13"/>
    </row>
    <row r="312" customFormat="false" ht="15" hidden="false" customHeight="false" outlineLevel="0" collapsed="false">
      <c r="A312" s="13" t="s">
        <v>628</v>
      </c>
      <c r="B312" s="13" t="s">
        <v>627</v>
      </c>
      <c r="C312" s="13" t="s">
        <v>2261</v>
      </c>
      <c r="D312" s="13" t="s">
        <v>59</v>
      </c>
      <c r="E312" s="13" t="s">
        <v>825</v>
      </c>
      <c r="F312" s="13" t="s">
        <v>826</v>
      </c>
      <c r="G312" s="61" t="n">
        <v>94793507471</v>
      </c>
      <c r="H312" s="13" t="s">
        <v>2255</v>
      </c>
      <c r="I312" s="13"/>
      <c r="J312" s="13"/>
      <c r="K312" s="13" t="s">
        <v>2262</v>
      </c>
      <c r="L312" s="13" t="s">
        <v>2263</v>
      </c>
      <c r="M312" s="13"/>
    </row>
    <row r="313" customFormat="false" ht="15" hidden="false" customHeight="false" outlineLevel="0" collapsed="false">
      <c r="A313" s="13" t="s">
        <v>628</v>
      </c>
      <c r="B313" s="13" t="s">
        <v>627</v>
      </c>
      <c r="C313" s="13" t="s">
        <v>2264</v>
      </c>
      <c r="D313" s="13" t="s">
        <v>59</v>
      </c>
      <c r="E313" s="13" t="s">
        <v>825</v>
      </c>
      <c r="F313" s="13" t="s">
        <v>826</v>
      </c>
      <c r="G313" s="61" t="n">
        <v>94793507471</v>
      </c>
      <c r="H313" s="13" t="s">
        <v>2255</v>
      </c>
      <c r="I313" s="13"/>
      <c r="J313" s="13"/>
      <c r="K313" s="13" t="s">
        <v>657</v>
      </c>
      <c r="L313" s="13" t="s">
        <v>2265</v>
      </c>
      <c r="M313" s="13"/>
    </row>
    <row r="314" customFormat="false" ht="15" hidden="false" customHeight="false" outlineLevel="0" collapsed="false">
      <c r="A314" s="13" t="s">
        <v>628</v>
      </c>
      <c r="B314" s="13" t="s">
        <v>627</v>
      </c>
      <c r="C314" s="13" t="s">
        <v>2266</v>
      </c>
      <c r="D314" s="13" t="s">
        <v>59</v>
      </c>
      <c r="E314" s="13" t="s">
        <v>825</v>
      </c>
      <c r="F314" s="13" t="s">
        <v>826</v>
      </c>
      <c r="G314" s="61" t="n">
        <v>94793507471</v>
      </c>
      <c r="H314" s="13" t="s">
        <v>2255</v>
      </c>
      <c r="I314" s="13"/>
      <c r="J314" s="13"/>
      <c r="K314" s="13" t="s">
        <v>658</v>
      </c>
      <c r="L314" s="13" t="s">
        <v>2265</v>
      </c>
      <c r="M314" s="13"/>
    </row>
    <row r="315" customFormat="false" ht="15" hidden="false" customHeight="false" outlineLevel="0" collapsed="false">
      <c r="A315" s="13" t="s">
        <v>628</v>
      </c>
      <c r="B315" s="13" t="s">
        <v>627</v>
      </c>
      <c r="C315" s="13" t="s">
        <v>2267</v>
      </c>
      <c r="D315" s="13" t="s">
        <v>59</v>
      </c>
      <c r="E315" s="13" t="s">
        <v>825</v>
      </c>
      <c r="F315" s="13" t="s">
        <v>826</v>
      </c>
      <c r="G315" s="61" t="n">
        <v>94793507471</v>
      </c>
      <c r="H315" s="13" t="s">
        <v>2255</v>
      </c>
      <c r="I315" s="13"/>
      <c r="J315" s="13"/>
      <c r="K315" s="13" t="s">
        <v>659</v>
      </c>
      <c r="L315" s="13" t="s">
        <v>2265</v>
      </c>
      <c r="M315" s="13"/>
    </row>
    <row r="316" customFormat="false" ht="15" hidden="false" customHeight="false" outlineLevel="0" collapsed="false">
      <c r="A316" s="13" t="s">
        <v>628</v>
      </c>
      <c r="B316" s="13" t="s">
        <v>627</v>
      </c>
      <c r="C316" s="13" t="s">
        <v>2254</v>
      </c>
      <c r="D316" s="13" t="s">
        <v>59</v>
      </c>
      <c r="E316" s="13" t="s">
        <v>828</v>
      </c>
      <c r="F316" s="13" t="s">
        <v>829</v>
      </c>
      <c r="G316" s="61" t="n">
        <v>0</v>
      </c>
      <c r="H316" s="13" t="s">
        <v>2255</v>
      </c>
      <c r="I316" s="13"/>
      <c r="J316" s="13"/>
      <c r="K316" s="13" t="s">
        <v>2256</v>
      </c>
      <c r="L316" s="13" t="s">
        <v>2257</v>
      </c>
      <c r="M316" s="13"/>
    </row>
    <row r="317" customFormat="false" ht="15" hidden="false" customHeight="false" outlineLevel="0" collapsed="false">
      <c r="A317" s="13" t="s">
        <v>628</v>
      </c>
      <c r="B317" s="13" t="s">
        <v>627</v>
      </c>
      <c r="C317" s="13" t="s">
        <v>2258</v>
      </c>
      <c r="D317" s="13" t="s">
        <v>59</v>
      </c>
      <c r="E317" s="13" t="s">
        <v>828</v>
      </c>
      <c r="F317" s="13" t="s">
        <v>829</v>
      </c>
      <c r="G317" s="61" t="n">
        <v>0</v>
      </c>
      <c r="H317" s="13" t="s">
        <v>2255</v>
      </c>
      <c r="I317" s="13"/>
      <c r="J317" s="13"/>
      <c r="K317" s="13" t="s">
        <v>2259</v>
      </c>
      <c r="L317" s="13" t="s">
        <v>2260</v>
      </c>
      <c r="M317" s="13"/>
    </row>
    <row r="318" customFormat="false" ht="15" hidden="false" customHeight="false" outlineLevel="0" collapsed="false">
      <c r="A318" s="13" t="s">
        <v>628</v>
      </c>
      <c r="B318" s="13" t="s">
        <v>627</v>
      </c>
      <c r="C318" s="13" t="s">
        <v>2261</v>
      </c>
      <c r="D318" s="13" t="s">
        <v>59</v>
      </c>
      <c r="E318" s="13" t="s">
        <v>828</v>
      </c>
      <c r="F318" s="13" t="s">
        <v>829</v>
      </c>
      <c r="G318" s="61" t="n">
        <v>8241426422</v>
      </c>
      <c r="H318" s="13" t="s">
        <v>2255</v>
      </c>
      <c r="I318" s="13"/>
      <c r="J318" s="13"/>
      <c r="K318" s="13" t="s">
        <v>2262</v>
      </c>
      <c r="L318" s="13" t="s">
        <v>2263</v>
      </c>
      <c r="M318" s="13"/>
    </row>
    <row r="319" customFormat="false" ht="15" hidden="false" customHeight="false" outlineLevel="0" collapsed="false">
      <c r="A319" s="13" t="s">
        <v>628</v>
      </c>
      <c r="B319" s="13" t="s">
        <v>627</v>
      </c>
      <c r="C319" s="13" t="s">
        <v>2264</v>
      </c>
      <c r="D319" s="13" t="s">
        <v>59</v>
      </c>
      <c r="E319" s="13" t="s">
        <v>828</v>
      </c>
      <c r="F319" s="13" t="s">
        <v>829</v>
      </c>
      <c r="G319" s="61" t="n">
        <v>13099723470</v>
      </c>
      <c r="H319" s="13" t="s">
        <v>2255</v>
      </c>
      <c r="I319" s="13"/>
      <c r="J319" s="13"/>
      <c r="K319" s="13" t="s">
        <v>657</v>
      </c>
      <c r="L319" s="13" t="s">
        <v>2265</v>
      </c>
      <c r="M319" s="13"/>
    </row>
    <row r="320" customFormat="false" ht="15" hidden="false" customHeight="false" outlineLevel="0" collapsed="false">
      <c r="A320" s="13" t="s">
        <v>628</v>
      </c>
      <c r="B320" s="13" t="s">
        <v>627</v>
      </c>
      <c r="C320" s="13" t="s">
        <v>2266</v>
      </c>
      <c r="D320" s="13" t="s">
        <v>59</v>
      </c>
      <c r="E320" s="13" t="s">
        <v>828</v>
      </c>
      <c r="F320" s="13" t="s">
        <v>829</v>
      </c>
      <c r="G320" s="61" t="n">
        <v>78055515818</v>
      </c>
      <c r="H320" s="13" t="s">
        <v>2255</v>
      </c>
      <c r="I320" s="13"/>
      <c r="J320" s="13"/>
      <c r="K320" s="13" t="s">
        <v>658</v>
      </c>
      <c r="L320" s="13" t="s">
        <v>2265</v>
      </c>
      <c r="M320" s="13"/>
    </row>
    <row r="321" customFormat="false" ht="15" hidden="false" customHeight="false" outlineLevel="0" collapsed="false">
      <c r="A321" s="13" t="s">
        <v>628</v>
      </c>
      <c r="B321" s="13" t="s">
        <v>627</v>
      </c>
      <c r="C321" s="13" t="s">
        <v>2267</v>
      </c>
      <c r="D321" s="13" t="s">
        <v>59</v>
      </c>
      <c r="E321" s="13" t="s">
        <v>828</v>
      </c>
      <c r="F321" s="13" t="s">
        <v>829</v>
      </c>
      <c r="G321" s="61" t="n">
        <v>44571957697</v>
      </c>
      <c r="H321" s="13" t="s">
        <v>2255</v>
      </c>
      <c r="I321" s="13"/>
      <c r="J321" s="13"/>
      <c r="K321" s="13" t="s">
        <v>659</v>
      </c>
      <c r="L321" s="13" t="s">
        <v>2265</v>
      </c>
      <c r="M321" s="13"/>
    </row>
    <row r="322" customFormat="false" ht="15" hidden="false" customHeight="false" outlineLevel="0" collapsed="false">
      <c r="A322" s="13" t="s">
        <v>628</v>
      </c>
      <c r="B322" s="13" t="s">
        <v>627</v>
      </c>
      <c r="C322" s="13" t="s">
        <v>2254</v>
      </c>
      <c r="D322" s="13" t="s">
        <v>59</v>
      </c>
      <c r="E322" s="13" t="s">
        <v>831</v>
      </c>
      <c r="F322" s="13" t="s">
        <v>418</v>
      </c>
      <c r="G322" s="61" t="n">
        <v>13429866724</v>
      </c>
      <c r="H322" s="13" t="s">
        <v>2255</v>
      </c>
      <c r="I322" s="13"/>
      <c r="J322" s="13"/>
      <c r="K322" s="13" t="s">
        <v>2256</v>
      </c>
      <c r="L322" s="13" t="s">
        <v>2257</v>
      </c>
      <c r="M322" s="13"/>
    </row>
    <row r="323" customFormat="false" ht="15" hidden="false" customHeight="false" outlineLevel="0" collapsed="false">
      <c r="A323" s="13" t="s">
        <v>628</v>
      </c>
      <c r="B323" s="13" t="s">
        <v>627</v>
      </c>
      <c r="C323" s="13" t="s">
        <v>2258</v>
      </c>
      <c r="D323" s="13" t="s">
        <v>59</v>
      </c>
      <c r="E323" s="13" t="s">
        <v>831</v>
      </c>
      <c r="F323" s="13" t="s">
        <v>418</v>
      </c>
      <c r="G323" s="61" t="n">
        <v>35368485942</v>
      </c>
      <c r="H323" s="13" t="s">
        <v>2255</v>
      </c>
      <c r="I323" s="13"/>
      <c r="J323" s="13"/>
      <c r="K323" s="13" t="s">
        <v>2259</v>
      </c>
      <c r="L323" s="13" t="s">
        <v>2260</v>
      </c>
      <c r="M323" s="13"/>
    </row>
    <row r="324" customFormat="false" ht="15" hidden="false" customHeight="false" outlineLevel="0" collapsed="false">
      <c r="A324" s="13" t="s">
        <v>628</v>
      </c>
      <c r="B324" s="13" t="s">
        <v>627</v>
      </c>
      <c r="C324" s="13" t="s">
        <v>2261</v>
      </c>
      <c r="D324" s="13" t="s">
        <v>59</v>
      </c>
      <c r="E324" s="13" t="s">
        <v>831</v>
      </c>
      <c r="F324" s="13" t="s">
        <v>418</v>
      </c>
      <c r="G324" s="61" t="n">
        <v>9443936258</v>
      </c>
      <c r="H324" s="13" t="s">
        <v>2255</v>
      </c>
      <c r="I324" s="13"/>
      <c r="J324" s="13"/>
      <c r="K324" s="13" t="s">
        <v>2262</v>
      </c>
      <c r="L324" s="13" t="s">
        <v>2263</v>
      </c>
      <c r="M324" s="13"/>
    </row>
    <row r="325" customFormat="false" ht="15" hidden="false" customHeight="false" outlineLevel="0" collapsed="false">
      <c r="A325" s="13" t="s">
        <v>628</v>
      </c>
      <c r="B325" s="13" t="s">
        <v>627</v>
      </c>
      <c r="C325" s="13" t="s">
        <v>2264</v>
      </c>
      <c r="D325" s="13" t="s">
        <v>59</v>
      </c>
      <c r="E325" s="13" t="s">
        <v>831</v>
      </c>
      <c r="F325" s="13" t="s">
        <v>418</v>
      </c>
      <c r="G325" s="61" t="n">
        <v>34156042498</v>
      </c>
      <c r="H325" s="13" t="s">
        <v>2255</v>
      </c>
      <c r="I325" s="13"/>
      <c r="J325" s="13"/>
      <c r="K325" s="13" t="s">
        <v>657</v>
      </c>
      <c r="L325" s="13" t="s">
        <v>2265</v>
      </c>
      <c r="M325" s="13"/>
    </row>
    <row r="326" customFormat="false" ht="15" hidden="false" customHeight="false" outlineLevel="0" collapsed="false">
      <c r="A326" s="13" t="s">
        <v>628</v>
      </c>
      <c r="B326" s="13" t="s">
        <v>627</v>
      </c>
      <c r="C326" s="13" t="s">
        <v>2266</v>
      </c>
      <c r="D326" s="13" t="s">
        <v>59</v>
      </c>
      <c r="E326" s="13" t="s">
        <v>831</v>
      </c>
      <c r="F326" s="13" t="s">
        <v>418</v>
      </c>
      <c r="G326" s="61" t="n">
        <v>40074986915</v>
      </c>
      <c r="H326" s="13" t="s">
        <v>2255</v>
      </c>
      <c r="I326" s="13"/>
      <c r="J326" s="13"/>
      <c r="K326" s="13" t="s">
        <v>658</v>
      </c>
      <c r="L326" s="13" t="s">
        <v>2265</v>
      </c>
      <c r="M326" s="13"/>
    </row>
    <row r="327" customFormat="false" ht="15" hidden="false" customHeight="false" outlineLevel="0" collapsed="false">
      <c r="A327" s="13" t="s">
        <v>628</v>
      </c>
      <c r="B327" s="13" t="s">
        <v>627</v>
      </c>
      <c r="C327" s="13" t="s">
        <v>2267</v>
      </c>
      <c r="D327" s="13" t="s">
        <v>59</v>
      </c>
      <c r="E327" s="13" t="s">
        <v>831</v>
      </c>
      <c r="F327" s="13" t="s">
        <v>418</v>
      </c>
      <c r="G327" s="61" t="n">
        <v>36114421959</v>
      </c>
      <c r="H327" s="13" t="s">
        <v>2255</v>
      </c>
      <c r="I327" s="13"/>
      <c r="J327" s="13"/>
      <c r="K327" s="13" t="s">
        <v>659</v>
      </c>
      <c r="L327" s="13" t="s">
        <v>2265</v>
      </c>
      <c r="M327" s="13"/>
    </row>
    <row r="328" customFormat="false" ht="15" hidden="false" customHeight="false" outlineLevel="0" collapsed="false">
      <c r="A328" s="13" t="s">
        <v>628</v>
      </c>
      <c r="B328" s="13" t="s">
        <v>627</v>
      </c>
      <c r="C328" s="13" t="s">
        <v>2254</v>
      </c>
      <c r="D328" s="13" t="s">
        <v>59</v>
      </c>
      <c r="E328" s="13" t="s">
        <v>833</v>
      </c>
      <c r="F328" s="13" t="s">
        <v>421</v>
      </c>
      <c r="G328" s="61" t="n">
        <v>1346802340999</v>
      </c>
      <c r="H328" s="13" t="s">
        <v>2255</v>
      </c>
      <c r="I328" s="13"/>
      <c r="J328" s="13"/>
      <c r="K328" s="13" t="s">
        <v>2256</v>
      </c>
      <c r="L328" s="13" t="s">
        <v>2257</v>
      </c>
      <c r="M328" s="13" t="s">
        <v>2268</v>
      </c>
    </row>
    <row r="329" customFormat="false" ht="15" hidden="false" customHeight="false" outlineLevel="0" collapsed="false">
      <c r="A329" s="13" t="s">
        <v>628</v>
      </c>
      <c r="B329" s="13" t="s">
        <v>627</v>
      </c>
      <c r="C329" s="13" t="s">
        <v>2258</v>
      </c>
      <c r="D329" s="13" t="s">
        <v>59</v>
      </c>
      <c r="E329" s="13" t="s">
        <v>833</v>
      </c>
      <c r="F329" s="13" t="s">
        <v>421</v>
      </c>
      <c r="G329" s="61" t="n">
        <v>1682590798495</v>
      </c>
      <c r="H329" s="13" t="s">
        <v>2255</v>
      </c>
      <c r="I329" s="13"/>
      <c r="J329" s="13"/>
      <c r="K329" s="13" t="s">
        <v>2259</v>
      </c>
      <c r="L329" s="13" t="s">
        <v>2260</v>
      </c>
      <c r="M329" s="13" t="s">
        <v>2268</v>
      </c>
    </row>
    <row r="330" customFormat="false" ht="15" hidden="false" customHeight="false" outlineLevel="0" collapsed="false">
      <c r="A330" s="13" t="s">
        <v>628</v>
      </c>
      <c r="B330" s="13" t="s">
        <v>627</v>
      </c>
      <c r="C330" s="13" t="s">
        <v>2261</v>
      </c>
      <c r="D330" s="13" t="s">
        <v>59</v>
      </c>
      <c r="E330" s="13" t="s">
        <v>833</v>
      </c>
      <c r="F330" s="13" t="s">
        <v>421</v>
      </c>
      <c r="G330" s="61" t="n">
        <v>2050780067755</v>
      </c>
      <c r="H330" s="13" t="s">
        <v>2255</v>
      </c>
      <c r="I330" s="13"/>
      <c r="J330" s="13"/>
      <c r="K330" s="13" t="s">
        <v>2262</v>
      </c>
      <c r="L330" s="13" t="s">
        <v>2263</v>
      </c>
      <c r="M330" s="13" t="s">
        <v>2268</v>
      </c>
    </row>
    <row r="331" customFormat="false" ht="15" hidden="false" customHeight="false" outlineLevel="0" collapsed="false">
      <c r="A331" s="13" t="s">
        <v>628</v>
      </c>
      <c r="B331" s="13" t="s">
        <v>627</v>
      </c>
      <c r="C331" s="13" t="s">
        <v>2264</v>
      </c>
      <c r="D331" s="13" t="s">
        <v>59</v>
      </c>
      <c r="E331" s="13" t="s">
        <v>833</v>
      </c>
      <c r="F331" s="13" t="s">
        <v>421</v>
      </c>
      <c r="G331" s="61" t="n">
        <v>2214115872776</v>
      </c>
      <c r="H331" s="13" t="s">
        <v>2255</v>
      </c>
      <c r="I331" s="13"/>
      <c r="J331" s="13"/>
      <c r="K331" s="13" t="s">
        <v>657</v>
      </c>
      <c r="L331" s="13" t="s">
        <v>2265</v>
      </c>
      <c r="M331" s="13" t="s">
        <v>2268</v>
      </c>
    </row>
    <row r="332" customFormat="false" ht="15" hidden="false" customHeight="false" outlineLevel="0" collapsed="false">
      <c r="A332" s="13" t="s">
        <v>628</v>
      </c>
      <c r="B332" s="13" t="s">
        <v>627</v>
      </c>
      <c r="C332" s="13" t="s">
        <v>2266</v>
      </c>
      <c r="D332" s="13" t="s">
        <v>59</v>
      </c>
      <c r="E332" s="13" t="s">
        <v>833</v>
      </c>
      <c r="F332" s="13" t="s">
        <v>421</v>
      </c>
      <c r="G332" s="61" t="n">
        <v>2357480117796</v>
      </c>
      <c r="H332" s="13" t="s">
        <v>2255</v>
      </c>
      <c r="I332" s="13"/>
      <c r="J332" s="13"/>
      <c r="K332" s="13" t="s">
        <v>658</v>
      </c>
      <c r="L332" s="13" t="s">
        <v>2265</v>
      </c>
      <c r="M332" s="13" t="s">
        <v>2268</v>
      </c>
    </row>
    <row r="333" customFormat="false" ht="15" hidden="false" customHeight="false" outlineLevel="0" collapsed="false">
      <c r="A333" s="13" t="s">
        <v>628</v>
      </c>
      <c r="B333" s="13" t="s">
        <v>627</v>
      </c>
      <c r="C333" s="13" t="s">
        <v>2267</v>
      </c>
      <c r="D333" s="13" t="s">
        <v>59</v>
      </c>
      <c r="E333" s="13" t="s">
        <v>833</v>
      </c>
      <c r="F333" s="13" t="s">
        <v>421</v>
      </c>
      <c r="G333" s="61" t="n">
        <v>2806190318759</v>
      </c>
      <c r="H333" s="13" t="s">
        <v>2255</v>
      </c>
      <c r="I333" s="13"/>
      <c r="J333" s="13"/>
      <c r="K333" s="13" t="s">
        <v>659</v>
      </c>
      <c r="L333" s="13" t="s">
        <v>2265</v>
      </c>
      <c r="M333" s="13" t="s">
        <v>2268</v>
      </c>
    </row>
    <row r="334" customFormat="false" ht="15" hidden="false" customHeight="false" outlineLevel="0" collapsed="false">
      <c r="A334" s="13" t="s">
        <v>628</v>
      </c>
      <c r="B334" s="13" t="s">
        <v>627</v>
      </c>
      <c r="C334" s="13" t="s">
        <v>2254</v>
      </c>
      <c r="D334" s="13" t="s">
        <v>59</v>
      </c>
      <c r="E334" s="13" t="s">
        <v>834</v>
      </c>
      <c r="F334" s="13" t="s">
        <v>423</v>
      </c>
      <c r="G334" s="61" t="n">
        <v>2162536834465</v>
      </c>
      <c r="H334" s="13" t="s">
        <v>2255</v>
      </c>
      <c r="I334" s="13"/>
      <c r="J334" s="13"/>
      <c r="K334" s="13" t="s">
        <v>2256</v>
      </c>
      <c r="L334" s="13" t="s">
        <v>2257</v>
      </c>
      <c r="M334" s="13" t="s">
        <v>2268</v>
      </c>
    </row>
    <row r="335" customFormat="false" ht="15" hidden="false" customHeight="false" outlineLevel="0" collapsed="false">
      <c r="A335" s="13" t="s">
        <v>628</v>
      </c>
      <c r="B335" s="13" t="s">
        <v>627</v>
      </c>
      <c r="C335" s="13" t="s">
        <v>2258</v>
      </c>
      <c r="D335" s="13" t="s">
        <v>59</v>
      </c>
      <c r="E335" s="13" t="s">
        <v>834</v>
      </c>
      <c r="F335" s="13" t="s">
        <v>423</v>
      </c>
      <c r="G335" s="61" t="n">
        <v>2813696522428</v>
      </c>
      <c r="H335" s="13" t="s">
        <v>2255</v>
      </c>
      <c r="I335" s="13"/>
      <c r="J335" s="13"/>
      <c r="K335" s="13" t="s">
        <v>2259</v>
      </c>
      <c r="L335" s="13" t="s">
        <v>2260</v>
      </c>
      <c r="M335" s="13" t="s">
        <v>2268</v>
      </c>
    </row>
    <row r="336" customFormat="false" ht="15" hidden="false" customHeight="false" outlineLevel="0" collapsed="false">
      <c r="A336" s="13" t="s">
        <v>628</v>
      </c>
      <c r="B336" s="13" t="s">
        <v>627</v>
      </c>
      <c r="C336" s="13" t="s">
        <v>2261</v>
      </c>
      <c r="D336" s="13" t="s">
        <v>59</v>
      </c>
      <c r="E336" s="13" t="s">
        <v>834</v>
      </c>
      <c r="F336" s="13" t="s">
        <v>423</v>
      </c>
      <c r="G336" s="61" t="n">
        <v>2938610148990</v>
      </c>
      <c r="H336" s="13" t="s">
        <v>2255</v>
      </c>
      <c r="I336" s="13"/>
      <c r="J336" s="13"/>
      <c r="K336" s="13" t="s">
        <v>2262</v>
      </c>
      <c r="L336" s="13" t="s">
        <v>2263</v>
      </c>
      <c r="M336" s="13" t="s">
        <v>2268</v>
      </c>
    </row>
    <row r="337" customFormat="false" ht="15" hidden="false" customHeight="false" outlineLevel="0" collapsed="false">
      <c r="A337" s="13" t="s">
        <v>628</v>
      </c>
      <c r="B337" s="13" t="s">
        <v>627</v>
      </c>
      <c r="C337" s="13" t="s">
        <v>2264</v>
      </c>
      <c r="D337" s="13" t="s">
        <v>59</v>
      </c>
      <c r="E337" s="13" t="s">
        <v>834</v>
      </c>
      <c r="F337" s="13" t="s">
        <v>423</v>
      </c>
      <c r="G337" s="61" t="n">
        <v>3083162034448</v>
      </c>
      <c r="H337" s="13" t="s">
        <v>2255</v>
      </c>
      <c r="I337" s="13"/>
      <c r="J337" s="13"/>
      <c r="K337" s="13" t="s">
        <v>657</v>
      </c>
      <c r="L337" s="13" t="s">
        <v>2265</v>
      </c>
      <c r="M337" s="13" t="s">
        <v>2268</v>
      </c>
    </row>
    <row r="338" customFormat="false" ht="15" hidden="false" customHeight="false" outlineLevel="0" collapsed="false">
      <c r="A338" s="13" t="s">
        <v>628</v>
      </c>
      <c r="B338" s="13" t="s">
        <v>627</v>
      </c>
      <c r="C338" s="13" t="s">
        <v>2266</v>
      </c>
      <c r="D338" s="13" t="s">
        <v>59</v>
      </c>
      <c r="E338" s="13" t="s">
        <v>834</v>
      </c>
      <c r="F338" s="13" t="s">
        <v>423</v>
      </c>
      <c r="G338" s="61" t="n">
        <v>3446360903748</v>
      </c>
      <c r="H338" s="13" t="s">
        <v>2255</v>
      </c>
      <c r="I338" s="13"/>
      <c r="J338" s="13"/>
      <c r="K338" s="13" t="s">
        <v>658</v>
      </c>
      <c r="L338" s="13" t="s">
        <v>2265</v>
      </c>
      <c r="M338" s="13" t="s">
        <v>2268</v>
      </c>
    </row>
    <row r="339" customFormat="false" ht="15" hidden="false" customHeight="false" outlineLevel="0" collapsed="false">
      <c r="A339" s="13" t="s">
        <v>628</v>
      </c>
      <c r="B339" s="13" t="s">
        <v>627</v>
      </c>
      <c r="C339" s="13" t="s">
        <v>2267</v>
      </c>
      <c r="D339" s="13" t="s">
        <v>59</v>
      </c>
      <c r="E339" s="13" t="s">
        <v>834</v>
      </c>
      <c r="F339" s="13" t="s">
        <v>423</v>
      </c>
      <c r="G339" s="61" t="n">
        <v>4016429435143</v>
      </c>
      <c r="H339" s="13" t="s">
        <v>2255</v>
      </c>
      <c r="I339" s="13"/>
      <c r="J339" s="13"/>
      <c r="K339" s="13" t="s">
        <v>659</v>
      </c>
      <c r="L339" s="13" t="s">
        <v>2265</v>
      </c>
      <c r="M339" s="13" t="s">
        <v>2268</v>
      </c>
    </row>
    <row r="340" customFormat="false" ht="15" hidden="false" customHeight="false" outlineLevel="0" collapsed="false">
      <c r="A340" s="13" t="s">
        <v>628</v>
      </c>
      <c r="B340" s="13" t="s">
        <v>627</v>
      </c>
      <c r="C340" s="13" t="s">
        <v>2254</v>
      </c>
      <c r="D340" s="13" t="s">
        <v>59</v>
      </c>
      <c r="E340" s="13" t="s">
        <v>835</v>
      </c>
      <c r="F340" s="13" t="s">
        <v>836</v>
      </c>
      <c r="G340" s="61" t="n">
        <v>391717789095</v>
      </c>
      <c r="H340" s="13" t="s">
        <v>2255</v>
      </c>
      <c r="I340" s="13"/>
      <c r="J340" s="13"/>
      <c r="K340" s="13" t="s">
        <v>2256</v>
      </c>
      <c r="L340" s="13" t="s">
        <v>2257</v>
      </c>
      <c r="M340" s="13"/>
    </row>
    <row r="341" customFormat="false" ht="15" hidden="false" customHeight="false" outlineLevel="0" collapsed="false">
      <c r="A341" s="13" t="s">
        <v>628</v>
      </c>
      <c r="B341" s="13" t="s">
        <v>627</v>
      </c>
      <c r="C341" s="13" t="s">
        <v>2258</v>
      </c>
      <c r="D341" s="13" t="s">
        <v>59</v>
      </c>
      <c r="E341" s="13" t="s">
        <v>835</v>
      </c>
      <c r="F341" s="13" t="s">
        <v>836</v>
      </c>
      <c r="G341" s="61" t="n">
        <v>391717789095</v>
      </c>
      <c r="H341" s="13" t="s">
        <v>2255</v>
      </c>
      <c r="I341" s="13"/>
      <c r="J341" s="13"/>
      <c r="K341" s="13" t="s">
        <v>2259</v>
      </c>
      <c r="L341" s="13" t="s">
        <v>2260</v>
      </c>
      <c r="M341" s="13"/>
    </row>
    <row r="342" customFormat="false" ht="15" hidden="false" customHeight="false" outlineLevel="0" collapsed="false">
      <c r="A342" s="13" t="s">
        <v>628</v>
      </c>
      <c r="B342" s="13" t="s">
        <v>627</v>
      </c>
      <c r="C342" s="13" t="s">
        <v>2261</v>
      </c>
      <c r="D342" s="13" t="s">
        <v>59</v>
      </c>
      <c r="E342" s="13" t="s">
        <v>835</v>
      </c>
      <c r="F342" s="13" t="s">
        <v>836</v>
      </c>
      <c r="G342" s="61" t="n">
        <v>391717789095</v>
      </c>
      <c r="H342" s="13" t="s">
        <v>2255</v>
      </c>
      <c r="I342" s="13"/>
      <c r="J342" s="13"/>
      <c r="K342" s="13" t="s">
        <v>2262</v>
      </c>
      <c r="L342" s="13" t="s">
        <v>2263</v>
      </c>
      <c r="M342" s="13"/>
    </row>
    <row r="343" customFormat="false" ht="15" hidden="false" customHeight="false" outlineLevel="0" collapsed="false">
      <c r="A343" s="13" t="s">
        <v>628</v>
      </c>
      <c r="B343" s="13" t="s">
        <v>627</v>
      </c>
      <c r="C343" s="13" t="s">
        <v>2264</v>
      </c>
      <c r="D343" s="13" t="s">
        <v>59</v>
      </c>
      <c r="E343" s="13" t="s">
        <v>835</v>
      </c>
      <c r="F343" s="13" t="s">
        <v>836</v>
      </c>
      <c r="G343" s="61" t="n">
        <v>411753242245</v>
      </c>
      <c r="H343" s="13" t="s">
        <v>2255</v>
      </c>
      <c r="I343" s="13"/>
      <c r="J343" s="13"/>
      <c r="K343" s="13" t="s">
        <v>657</v>
      </c>
      <c r="L343" s="13" t="s">
        <v>2265</v>
      </c>
      <c r="M343" s="13"/>
    </row>
    <row r="344" customFormat="false" ht="15" hidden="false" customHeight="false" outlineLevel="0" collapsed="false">
      <c r="A344" s="13" t="s">
        <v>628</v>
      </c>
      <c r="B344" s="13" t="s">
        <v>627</v>
      </c>
      <c r="C344" s="13" t="s">
        <v>2266</v>
      </c>
      <c r="D344" s="13" t="s">
        <v>59</v>
      </c>
      <c r="E344" s="13" t="s">
        <v>835</v>
      </c>
      <c r="F344" s="13" t="s">
        <v>836</v>
      </c>
      <c r="G344" s="61" t="n">
        <v>440600262935</v>
      </c>
      <c r="H344" s="13" t="s">
        <v>2255</v>
      </c>
      <c r="I344" s="13"/>
      <c r="J344" s="13"/>
      <c r="K344" s="13" t="s">
        <v>658</v>
      </c>
      <c r="L344" s="13" t="s">
        <v>2265</v>
      </c>
      <c r="M344" s="13"/>
    </row>
    <row r="345" customFormat="false" ht="15" hidden="false" customHeight="false" outlineLevel="0" collapsed="false">
      <c r="A345" s="13" t="s">
        <v>628</v>
      </c>
      <c r="B345" s="13" t="s">
        <v>627</v>
      </c>
      <c r="C345" s="13" t="s">
        <v>2267</v>
      </c>
      <c r="D345" s="13" t="s">
        <v>59</v>
      </c>
      <c r="E345" s="13" t="s">
        <v>835</v>
      </c>
      <c r="F345" s="13" t="s">
        <v>836</v>
      </c>
      <c r="G345" s="61" t="n">
        <v>445816762935</v>
      </c>
      <c r="H345" s="13" t="s">
        <v>2255</v>
      </c>
      <c r="I345" s="13"/>
      <c r="J345" s="13"/>
      <c r="K345" s="13" t="s">
        <v>659</v>
      </c>
      <c r="L345" s="13" t="s">
        <v>2265</v>
      </c>
      <c r="M345" s="13"/>
    </row>
    <row r="346" customFormat="false" ht="15" hidden="false" customHeight="false" outlineLevel="0" collapsed="false">
      <c r="A346" s="13" t="s">
        <v>628</v>
      </c>
      <c r="B346" s="13" t="s">
        <v>627</v>
      </c>
      <c r="C346" s="13" t="s">
        <v>2254</v>
      </c>
      <c r="D346" s="13" t="s">
        <v>59</v>
      </c>
      <c r="E346" s="13" t="s">
        <v>838</v>
      </c>
      <c r="F346" s="13" t="s">
        <v>839</v>
      </c>
      <c r="G346" s="61" t="n">
        <v>26709213177</v>
      </c>
      <c r="H346" s="13" t="s">
        <v>2255</v>
      </c>
      <c r="I346" s="13"/>
      <c r="J346" s="13"/>
      <c r="K346" s="13" t="s">
        <v>2256</v>
      </c>
      <c r="L346" s="13" t="s">
        <v>2257</v>
      </c>
      <c r="M346" s="13"/>
    </row>
    <row r="347" customFormat="false" ht="15" hidden="false" customHeight="false" outlineLevel="0" collapsed="false">
      <c r="A347" s="13" t="s">
        <v>628</v>
      </c>
      <c r="B347" s="13" t="s">
        <v>627</v>
      </c>
      <c r="C347" s="13" t="s">
        <v>2258</v>
      </c>
      <c r="D347" s="13" t="s">
        <v>59</v>
      </c>
      <c r="E347" s="13" t="s">
        <v>838</v>
      </c>
      <c r="F347" s="13" t="s">
        <v>839</v>
      </c>
      <c r="G347" s="61" t="n">
        <v>0</v>
      </c>
      <c r="H347" s="13" t="s">
        <v>2255</v>
      </c>
      <c r="I347" s="13"/>
      <c r="J347" s="13"/>
      <c r="K347" s="13" t="s">
        <v>2259</v>
      </c>
      <c r="L347" s="13" t="s">
        <v>2260</v>
      </c>
      <c r="M347" s="13"/>
    </row>
    <row r="348" customFormat="false" ht="15" hidden="false" customHeight="false" outlineLevel="0" collapsed="false">
      <c r="A348" s="13" t="s">
        <v>628</v>
      </c>
      <c r="B348" s="13" t="s">
        <v>627</v>
      </c>
      <c r="C348" s="13" t="s">
        <v>2254</v>
      </c>
      <c r="D348" s="13" t="s">
        <v>59</v>
      </c>
      <c r="E348" s="13" t="s">
        <v>841</v>
      </c>
      <c r="F348" s="13" t="s">
        <v>842</v>
      </c>
      <c r="G348" s="61" t="n">
        <v>93416109618</v>
      </c>
      <c r="H348" s="13" t="s">
        <v>2255</v>
      </c>
      <c r="I348" s="13"/>
      <c r="J348" s="13"/>
      <c r="K348" s="13" t="s">
        <v>2256</v>
      </c>
      <c r="L348" s="13" t="s">
        <v>2257</v>
      </c>
      <c r="M348" s="13"/>
    </row>
    <row r="349" customFormat="false" ht="15" hidden="false" customHeight="false" outlineLevel="0" collapsed="false">
      <c r="A349" s="13" t="s">
        <v>628</v>
      </c>
      <c r="B349" s="13" t="s">
        <v>627</v>
      </c>
      <c r="C349" s="13" t="s">
        <v>2258</v>
      </c>
      <c r="D349" s="13" t="s">
        <v>59</v>
      </c>
      <c r="E349" s="13" t="s">
        <v>841</v>
      </c>
      <c r="F349" s="13" t="s">
        <v>842</v>
      </c>
      <c r="G349" s="61" t="n">
        <v>119160438932</v>
      </c>
      <c r="H349" s="13" t="s">
        <v>2255</v>
      </c>
      <c r="I349" s="13"/>
      <c r="J349" s="13"/>
      <c r="K349" s="13" t="s">
        <v>2259</v>
      </c>
      <c r="L349" s="13" t="s">
        <v>2260</v>
      </c>
      <c r="M349" s="13"/>
    </row>
    <row r="350" customFormat="false" ht="15" hidden="false" customHeight="false" outlineLevel="0" collapsed="false">
      <c r="A350" s="13" t="s">
        <v>628</v>
      </c>
      <c r="B350" s="13" t="s">
        <v>627</v>
      </c>
      <c r="C350" s="13" t="s">
        <v>2261</v>
      </c>
      <c r="D350" s="13" t="s">
        <v>59</v>
      </c>
      <c r="E350" s="13" t="s">
        <v>841</v>
      </c>
      <c r="F350" s="13" t="s">
        <v>842</v>
      </c>
      <c r="G350" s="61" t="n">
        <v>91788261047</v>
      </c>
      <c r="H350" s="13" t="s">
        <v>2255</v>
      </c>
      <c r="I350" s="13"/>
      <c r="J350" s="13"/>
      <c r="K350" s="13" t="s">
        <v>2262</v>
      </c>
      <c r="L350" s="13" t="s">
        <v>2263</v>
      </c>
      <c r="M350" s="13"/>
    </row>
    <row r="351" customFormat="false" ht="15" hidden="false" customHeight="false" outlineLevel="0" collapsed="false">
      <c r="A351" s="13" t="s">
        <v>628</v>
      </c>
      <c r="B351" s="13" t="s">
        <v>627</v>
      </c>
      <c r="C351" s="13" t="s">
        <v>2264</v>
      </c>
      <c r="D351" s="13" t="s">
        <v>59</v>
      </c>
      <c r="E351" s="13" t="s">
        <v>841</v>
      </c>
      <c r="F351" s="13" t="s">
        <v>842</v>
      </c>
      <c r="G351" s="61" t="n">
        <v>55770943580</v>
      </c>
      <c r="H351" s="13" t="s">
        <v>2255</v>
      </c>
      <c r="I351" s="13"/>
      <c r="J351" s="13"/>
      <c r="K351" s="13" t="s">
        <v>657</v>
      </c>
      <c r="L351" s="13" t="s">
        <v>2265</v>
      </c>
      <c r="M351" s="13"/>
    </row>
    <row r="352" customFormat="false" ht="15" hidden="false" customHeight="false" outlineLevel="0" collapsed="false">
      <c r="A352" s="13" t="s">
        <v>628</v>
      </c>
      <c r="B352" s="13" t="s">
        <v>627</v>
      </c>
      <c r="C352" s="13" t="s">
        <v>2266</v>
      </c>
      <c r="D352" s="13" t="s">
        <v>59</v>
      </c>
      <c r="E352" s="13" t="s">
        <v>841</v>
      </c>
      <c r="F352" s="13" t="s">
        <v>842</v>
      </c>
      <c r="G352" s="61" t="n">
        <v>30881579952</v>
      </c>
      <c r="H352" s="13" t="s">
        <v>2255</v>
      </c>
      <c r="I352" s="13"/>
      <c r="J352" s="13"/>
      <c r="K352" s="13" t="s">
        <v>658</v>
      </c>
      <c r="L352" s="13" t="s">
        <v>2265</v>
      </c>
      <c r="M352" s="13"/>
    </row>
    <row r="353" customFormat="false" ht="15" hidden="false" customHeight="false" outlineLevel="0" collapsed="false">
      <c r="A353" s="13" t="s">
        <v>628</v>
      </c>
      <c r="B353" s="13" t="s">
        <v>627</v>
      </c>
      <c r="C353" s="13" t="s">
        <v>2267</v>
      </c>
      <c r="D353" s="13" t="s">
        <v>59</v>
      </c>
      <c r="E353" s="13" t="s">
        <v>841</v>
      </c>
      <c r="F353" s="13" t="s">
        <v>842</v>
      </c>
      <c r="G353" s="61" t="n">
        <v>81660213509</v>
      </c>
      <c r="H353" s="13" t="s">
        <v>2255</v>
      </c>
      <c r="I353" s="13"/>
      <c r="J353" s="13"/>
      <c r="K353" s="13" t="s">
        <v>659</v>
      </c>
      <c r="L353" s="13" t="s">
        <v>2265</v>
      </c>
      <c r="M353" s="13"/>
    </row>
    <row r="354" customFormat="false" ht="15" hidden="false" customHeight="false" outlineLevel="0" collapsed="false">
      <c r="A354" s="13" t="s">
        <v>628</v>
      </c>
      <c r="B354" s="13" t="s">
        <v>627</v>
      </c>
      <c r="C354" s="13" t="s">
        <v>2254</v>
      </c>
      <c r="D354" s="13" t="s">
        <v>59</v>
      </c>
      <c r="E354" s="13" t="s">
        <v>844</v>
      </c>
      <c r="F354" s="13" t="s">
        <v>845</v>
      </c>
      <c r="G354" s="61" t="n">
        <v>5104663500</v>
      </c>
      <c r="H354" s="13" t="s">
        <v>2255</v>
      </c>
      <c r="I354" s="13"/>
      <c r="J354" s="13"/>
      <c r="K354" s="13" t="s">
        <v>2256</v>
      </c>
      <c r="L354" s="13" t="s">
        <v>2257</v>
      </c>
      <c r="M354" s="13"/>
    </row>
    <row r="355" customFormat="false" ht="15" hidden="false" customHeight="false" outlineLevel="0" collapsed="false">
      <c r="A355" s="13" t="s">
        <v>628</v>
      </c>
      <c r="B355" s="13" t="s">
        <v>627</v>
      </c>
      <c r="C355" s="13" t="s">
        <v>2258</v>
      </c>
      <c r="D355" s="13" t="s">
        <v>59</v>
      </c>
      <c r="E355" s="13" t="s">
        <v>844</v>
      </c>
      <c r="F355" s="13" t="s">
        <v>845</v>
      </c>
      <c r="G355" s="61" t="n">
        <v>3243418748</v>
      </c>
      <c r="H355" s="13" t="s">
        <v>2255</v>
      </c>
      <c r="I355" s="13"/>
      <c r="J355" s="13"/>
      <c r="K355" s="13" t="s">
        <v>2259</v>
      </c>
      <c r="L355" s="13" t="s">
        <v>2260</v>
      </c>
      <c r="M355" s="13"/>
    </row>
    <row r="356" customFormat="false" ht="15" hidden="false" customHeight="false" outlineLevel="0" collapsed="false">
      <c r="A356" s="13" t="s">
        <v>628</v>
      </c>
      <c r="B356" s="13" t="s">
        <v>627</v>
      </c>
      <c r="C356" s="13" t="s">
        <v>2261</v>
      </c>
      <c r="D356" s="13" t="s">
        <v>59</v>
      </c>
      <c r="E356" s="13" t="s">
        <v>844</v>
      </c>
      <c r="F356" s="13" t="s">
        <v>845</v>
      </c>
      <c r="G356" s="61" t="n">
        <v>0</v>
      </c>
      <c r="H356" s="13" t="s">
        <v>2255</v>
      </c>
      <c r="I356" s="13"/>
      <c r="J356" s="13"/>
      <c r="K356" s="13" t="s">
        <v>2262</v>
      </c>
      <c r="L356" s="13" t="s">
        <v>2263</v>
      </c>
      <c r="M356" s="13"/>
    </row>
    <row r="357" customFormat="false" ht="15" hidden="false" customHeight="false" outlineLevel="0" collapsed="false">
      <c r="A357" s="13" t="s">
        <v>628</v>
      </c>
      <c r="B357" s="13" t="s">
        <v>627</v>
      </c>
      <c r="C357" s="13" t="s">
        <v>2264</v>
      </c>
      <c r="D357" s="13" t="s">
        <v>59</v>
      </c>
      <c r="E357" s="13" t="s">
        <v>844</v>
      </c>
      <c r="F357" s="13" t="s">
        <v>845</v>
      </c>
      <c r="G357" s="61" t="n">
        <v>460175720</v>
      </c>
      <c r="H357" s="13" t="s">
        <v>2255</v>
      </c>
      <c r="I357" s="13"/>
      <c r="J357" s="13"/>
      <c r="K357" s="13" t="s">
        <v>657</v>
      </c>
      <c r="L357" s="13" t="s">
        <v>2265</v>
      </c>
      <c r="M357" s="13"/>
    </row>
    <row r="358" customFormat="false" ht="15" hidden="false" customHeight="false" outlineLevel="0" collapsed="false">
      <c r="A358" s="13" t="s">
        <v>628</v>
      </c>
      <c r="B358" s="13" t="s">
        <v>627</v>
      </c>
      <c r="C358" s="13" t="s">
        <v>2254</v>
      </c>
      <c r="D358" s="13" t="s">
        <v>59</v>
      </c>
      <c r="E358" s="13" t="s">
        <v>847</v>
      </c>
      <c r="F358" s="13" t="s">
        <v>848</v>
      </c>
      <c r="G358" s="61" t="n">
        <v>12650937706</v>
      </c>
      <c r="H358" s="13" t="s">
        <v>2255</v>
      </c>
      <c r="I358" s="13"/>
      <c r="J358" s="13"/>
      <c r="K358" s="13" t="s">
        <v>2256</v>
      </c>
      <c r="L358" s="13" t="s">
        <v>2257</v>
      </c>
      <c r="M358" s="13"/>
    </row>
    <row r="359" customFormat="false" ht="15" hidden="false" customHeight="false" outlineLevel="0" collapsed="false">
      <c r="A359" s="13" t="s">
        <v>628</v>
      </c>
      <c r="B359" s="13" t="s">
        <v>627</v>
      </c>
      <c r="C359" s="13" t="s">
        <v>2258</v>
      </c>
      <c r="D359" s="13" t="s">
        <v>59</v>
      </c>
      <c r="E359" s="13" t="s">
        <v>847</v>
      </c>
      <c r="F359" s="13" t="s">
        <v>848</v>
      </c>
      <c r="G359" s="61" t="n">
        <v>4730904801</v>
      </c>
      <c r="H359" s="13" t="s">
        <v>2255</v>
      </c>
      <c r="I359" s="13"/>
      <c r="J359" s="13"/>
      <c r="K359" s="13" t="s">
        <v>2259</v>
      </c>
      <c r="L359" s="13" t="s">
        <v>2260</v>
      </c>
      <c r="M359" s="13"/>
    </row>
    <row r="360" customFormat="false" ht="15" hidden="false" customHeight="false" outlineLevel="0" collapsed="false">
      <c r="A360" s="13" t="s">
        <v>628</v>
      </c>
      <c r="B360" s="13" t="s">
        <v>627</v>
      </c>
      <c r="C360" s="13" t="s">
        <v>2261</v>
      </c>
      <c r="D360" s="13" t="s">
        <v>59</v>
      </c>
      <c r="E360" s="13" t="s">
        <v>847</v>
      </c>
      <c r="F360" s="13" t="s">
        <v>848</v>
      </c>
      <c r="G360" s="61" t="n">
        <v>6772289976</v>
      </c>
      <c r="H360" s="13" t="s">
        <v>2255</v>
      </c>
      <c r="I360" s="13"/>
      <c r="J360" s="13"/>
      <c r="K360" s="13" t="s">
        <v>2262</v>
      </c>
      <c r="L360" s="13" t="s">
        <v>2263</v>
      </c>
      <c r="M360" s="13"/>
    </row>
    <row r="361" customFormat="false" ht="15" hidden="false" customHeight="false" outlineLevel="0" collapsed="false">
      <c r="A361" s="13" t="s">
        <v>628</v>
      </c>
      <c r="B361" s="13" t="s">
        <v>627</v>
      </c>
      <c r="C361" s="13" t="s">
        <v>2264</v>
      </c>
      <c r="D361" s="13" t="s">
        <v>59</v>
      </c>
      <c r="E361" s="13" t="s">
        <v>847</v>
      </c>
      <c r="F361" s="13" t="s">
        <v>848</v>
      </c>
      <c r="G361" s="61" t="n">
        <v>16449688543</v>
      </c>
      <c r="H361" s="13" t="s">
        <v>2255</v>
      </c>
      <c r="I361" s="13"/>
      <c r="J361" s="13"/>
      <c r="K361" s="13" t="s">
        <v>657</v>
      </c>
      <c r="L361" s="13" t="s">
        <v>2265</v>
      </c>
      <c r="M361" s="13"/>
    </row>
    <row r="362" customFormat="false" ht="15" hidden="false" customHeight="false" outlineLevel="0" collapsed="false">
      <c r="A362" s="13" t="s">
        <v>628</v>
      </c>
      <c r="B362" s="13" t="s">
        <v>627</v>
      </c>
      <c r="C362" s="13" t="s">
        <v>2266</v>
      </c>
      <c r="D362" s="13" t="s">
        <v>59</v>
      </c>
      <c r="E362" s="13" t="s">
        <v>847</v>
      </c>
      <c r="F362" s="13" t="s">
        <v>848</v>
      </c>
      <c r="G362" s="61" t="n">
        <v>14708865083</v>
      </c>
      <c r="H362" s="13" t="s">
        <v>2255</v>
      </c>
      <c r="I362" s="13"/>
      <c r="J362" s="13"/>
      <c r="K362" s="13" t="s">
        <v>658</v>
      </c>
      <c r="L362" s="13" t="s">
        <v>2265</v>
      </c>
      <c r="M362" s="13"/>
    </row>
    <row r="363" customFormat="false" ht="15" hidden="false" customHeight="false" outlineLevel="0" collapsed="false">
      <c r="A363" s="13" t="s">
        <v>628</v>
      </c>
      <c r="B363" s="13" t="s">
        <v>627</v>
      </c>
      <c r="C363" s="13" t="s">
        <v>2267</v>
      </c>
      <c r="D363" s="13" t="s">
        <v>59</v>
      </c>
      <c r="E363" s="13" t="s">
        <v>847</v>
      </c>
      <c r="F363" s="13" t="s">
        <v>848</v>
      </c>
      <c r="G363" s="61" t="n">
        <v>23743315736</v>
      </c>
      <c r="H363" s="13" t="s">
        <v>2255</v>
      </c>
      <c r="I363" s="13"/>
      <c r="J363" s="13"/>
      <c r="K363" s="13" t="s">
        <v>659</v>
      </c>
      <c r="L363" s="13" t="s">
        <v>2265</v>
      </c>
      <c r="M363" s="13"/>
    </row>
    <row r="364" customFormat="false" ht="15" hidden="false" customHeight="false" outlineLevel="0" collapsed="false">
      <c r="A364" s="13" t="s">
        <v>628</v>
      </c>
      <c r="B364" s="13" t="s">
        <v>627</v>
      </c>
      <c r="C364" s="13" t="s">
        <v>2254</v>
      </c>
      <c r="D364" s="13" t="s">
        <v>59</v>
      </c>
      <c r="E364" s="13" t="s">
        <v>850</v>
      </c>
      <c r="F364" s="13" t="s">
        <v>851</v>
      </c>
      <c r="G364" s="61" t="n">
        <v>61107462440</v>
      </c>
      <c r="H364" s="13" t="s">
        <v>2255</v>
      </c>
      <c r="I364" s="13"/>
      <c r="J364" s="13"/>
      <c r="K364" s="13" t="s">
        <v>2256</v>
      </c>
      <c r="L364" s="13" t="s">
        <v>2257</v>
      </c>
      <c r="M364" s="13"/>
    </row>
    <row r="365" customFormat="false" ht="15" hidden="false" customHeight="false" outlineLevel="0" collapsed="false">
      <c r="A365" s="13" t="s">
        <v>628</v>
      </c>
      <c r="B365" s="13" t="s">
        <v>627</v>
      </c>
      <c r="C365" s="13" t="s">
        <v>2258</v>
      </c>
      <c r="D365" s="13" t="s">
        <v>59</v>
      </c>
      <c r="E365" s="13" t="s">
        <v>850</v>
      </c>
      <c r="F365" s="13" t="s">
        <v>851</v>
      </c>
      <c r="G365" s="61" t="n">
        <v>32836740934</v>
      </c>
      <c r="H365" s="13" t="s">
        <v>2255</v>
      </c>
      <c r="I365" s="13"/>
      <c r="J365" s="13"/>
      <c r="K365" s="13" t="s">
        <v>2259</v>
      </c>
      <c r="L365" s="13" t="s">
        <v>2260</v>
      </c>
      <c r="M365" s="13"/>
    </row>
    <row r="366" customFormat="false" ht="15" hidden="false" customHeight="false" outlineLevel="0" collapsed="false">
      <c r="A366" s="13" t="s">
        <v>628</v>
      </c>
      <c r="B366" s="13" t="s">
        <v>627</v>
      </c>
      <c r="C366" s="13" t="s">
        <v>2261</v>
      </c>
      <c r="D366" s="13" t="s">
        <v>59</v>
      </c>
      <c r="E366" s="13" t="s">
        <v>850</v>
      </c>
      <c r="F366" s="13" t="s">
        <v>851</v>
      </c>
      <c r="G366" s="61" t="n">
        <v>23572537474</v>
      </c>
      <c r="H366" s="13" t="s">
        <v>2255</v>
      </c>
      <c r="I366" s="13"/>
      <c r="J366" s="13"/>
      <c r="K366" s="13" t="s">
        <v>2262</v>
      </c>
      <c r="L366" s="13" t="s">
        <v>2263</v>
      </c>
      <c r="M366" s="13"/>
    </row>
    <row r="367" customFormat="false" ht="15" hidden="false" customHeight="false" outlineLevel="0" collapsed="false">
      <c r="A367" s="13" t="s">
        <v>628</v>
      </c>
      <c r="B367" s="13" t="s">
        <v>627</v>
      </c>
      <c r="C367" s="13" t="s">
        <v>2264</v>
      </c>
      <c r="D367" s="13" t="s">
        <v>59</v>
      </c>
      <c r="E367" s="13" t="s">
        <v>850</v>
      </c>
      <c r="F367" s="13" t="s">
        <v>851</v>
      </c>
      <c r="G367" s="61" t="n">
        <v>16128774673</v>
      </c>
      <c r="H367" s="13" t="s">
        <v>2255</v>
      </c>
      <c r="I367" s="13"/>
      <c r="J367" s="13"/>
      <c r="K367" s="13" t="s">
        <v>657</v>
      </c>
      <c r="L367" s="13" t="s">
        <v>2265</v>
      </c>
      <c r="M367" s="13"/>
    </row>
    <row r="368" customFormat="false" ht="15" hidden="false" customHeight="false" outlineLevel="0" collapsed="false">
      <c r="A368" s="13" t="s">
        <v>628</v>
      </c>
      <c r="B368" s="13" t="s">
        <v>627</v>
      </c>
      <c r="C368" s="13" t="s">
        <v>2266</v>
      </c>
      <c r="D368" s="13" t="s">
        <v>59</v>
      </c>
      <c r="E368" s="13" t="s">
        <v>850</v>
      </c>
      <c r="F368" s="13" t="s">
        <v>851</v>
      </c>
      <c r="G368" s="61" t="n">
        <v>21248355658</v>
      </c>
      <c r="H368" s="13" t="s">
        <v>2255</v>
      </c>
      <c r="I368" s="13"/>
      <c r="J368" s="13"/>
      <c r="K368" s="13" t="s">
        <v>658</v>
      </c>
      <c r="L368" s="13" t="s">
        <v>2265</v>
      </c>
      <c r="M368" s="13"/>
    </row>
    <row r="369" customFormat="false" ht="15" hidden="false" customHeight="false" outlineLevel="0" collapsed="false">
      <c r="A369" s="13" t="s">
        <v>628</v>
      </c>
      <c r="B369" s="13" t="s">
        <v>627</v>
      </c>
      <c r="C369" s="13" t="s">
        <v>2267</v>
      </c>
      <c r="D369" s="13" t="s">
        <v>59</v>
      </c>
      <c r="E369" s="13" t="s">
        <v>850</v>
      </c>
      <c r="F369" s="13" t="s">
        <v>851</v>
      </c>
      <c r="G369" s="61" t="n">
        <v>33551746321</v>
      </c>
      <c r="H369" s="13" t="s">
        <v>2255</v>
      </c>
      <c r="I369" s="13"/>
      <c r="J369" s="13"/>
      <c r="K369" s="13" t="s">
        <v>659</v>
      </c>
      <c r="L369" s="13" t="s">
        <v>2265</v>
      </c>
      <c r="M369" s="13"/>
    </row>
    <row r="370" customFormat="false" ht="15" hidden="false" customHeight="false" outlineLevel="0" collapsed="false">
      <c r="A370" s="13" t="s">
        <v>628</v>
      </c>
      <c r="B370" s="13" t="s">
        <v>627</v>
      </c>
      <c r="C370" s="13" t="s">
        <v>2254</v>
      </c>
      <c r="D370" s="13" t="s">
        <v>59</v>
      </c>
      <c r="E370" s="13" t="s">
        <v>853</v>
      </c>
      <c r="F370" s="13" t="s">
        <v>854</v>
      </c>
      <c r="G370" s="61" t="n">
        <v>28134321068</v>
      </c>
      <c r="H370" s="13" t="s">
        <v>2255</v>
      </c>
      <c r="I370" s="13"/>
      <c r="J370" s="13"/>
      <c r="K370" s="13" t="s">
        <v>2256</v>
      </c>
      <c r="L370" s="13" t="s">
        <v>2257</v>
      </c>
      <c r="M370" s="13"/>
    </row>
    <row r="371" customFormat="false" ht="15" hidden="false" customHeight="false" outlineLevel="0" collapsed="false">
      <c r="A371" s="13" t="s">
        <v>628</v>
      </c>
      <c r="B371" s="13" t="s">
        <v>627</v>
      </c>
      <c r="C371" s="13" t="s">
        <v>2258</v>
      </c>
      <c r="D371" s="13" t="s">
        <v>59</v>
      </c>
      <c r="E371" s="13" t="s">
        <v>853</v>
      </c>
      <c r="F371" s="13" t="s">
        <v>854</v>
      </c>
      <c r="G371" s="61" t="n">
        <v>43395716407</v>
      </c>
      <c r="H371" s="13" t="s">
        <v>2255</v>
      </c>
      <c r="I371" s="13"/>
      <c r="J371" s="13"/>
      <c r="K371" s="13" t="s">
        <v>2259</v>
      </c>
      <c r="L371" s="13" t="s">
        <v>2260</v>
      </c>
      <c r="M371" s="13"/>
    </row>
    <row r="372" customFormat="false" ht="15" hidden="false" customHeight="false" outlineLevel="0" collapsed="false">
      <c r="A372" s="13" t="s">
        <v>628</v>
      </c>
      <c r="B372" s="13" t="s">
        <v>627</v>
      </c>
      <c r="C372" s="13" t="s">
        <v>2261</v>
      </c>
      <c r="D372" s="13" t="s">
        <v>59</v>
      </c>
      <c r="E372" s="13" t="s">
        <v>853</v>
      </c>
      <c r="F372" s="13" t="s">
        <v>854</v>
      </c>
      <c r="G372" s="61" t="n">
        <v>27024933340</v>
      </c>
      <c r="H372" s="13" t="s">
        <v>2255</v>
      </c>
      <c r="I372" s="13"/>
      <c r="J372" s="13"/>
      <c r="K372" s="13" t="s">
        <v>2262</v>
      </c>
      <c r="L372" s="13" t="s">
        <v>2263</v>
      </c>
      <c r="M372" s="13"/>
    </row>
    <row r="373" customFormat="false" ht="15" hidden="false" customHeight="false" outlineLevel="0" collapsed="false">
      <c r="A373" s="13" t="s">
        <v>628</v>
      </c>
      <c r="B373" s="13" t="s">
        <v>627</v>
      </c>
      <c r="C373" s="13" t="s">
        <v>2264</v>
      </c>
      <c r="D373" s="13" t="s">
        <v>59</v>
      </c>
      <c r="E373" s="13" t="s">
        <v>853</v>
      </c>
      <c r="F373" s="13" t="s">
        <v>854</v>
      </c>
      <c r="G373" s="61" t="n">
        <v>30344679306</v>
      </c>
      <c r="H373" s="13" t="s">
        <v>2255</v>
      </c>
      <c r="I373" s="13"/>
      <c r="J373" s="13"/>
      <c r="K373" s="13" t="s">
        <v>657</v>
      </c>
      <c r="L373" s="13" t="s">
        <v>2265</v>
      </c>
      <c r="M373" s="13"/>
    </row>
    <row r="374" customFormat="false" ht="15" hidden="false" customHeight="false" outlineLevel="0" collapsed="false">
      <c r="A374" s="13" t="s">
        <v>628</v>
      </c>
      <c r="B374" s="13" t="s">
        <v>627</v>
      </c>
      <c r="C374" s="13" t="s">
        <v>2266</v>
      </c>
      <c r="D374" s="13" t="s">
        <v>59</v>
      </c>
      <c r="E374" s="13" t="s">
        <v>853</v>
      </c>
      <c r="F374" s="13" t="s">
        <v>854</v>
      </c>
      <c r="G374" s="61" t="n">
        <v>28573978375</v>
      </c>
      <c r="H374" s="13" t="s">
        <v>2255</v>
      </c>
      <c r="I374" s="13"/>
      <c r="J374" s="13"/>
      <c r="K374" s="13" t="s">
        <v>658</v>
      </c>
      <c r="L374" s="13" t="s">
        <v>2265</v>
      </c>
      <c r="M374" s="13"/>
    </row>
    <row r="375" customFormat="false" ht="15" hidden="false" customHeight="false" outlineLevel="0" collapsed="false">
      <c r="A375" s="13" t="s">
        <v>628</v>
      </c>
      <c r="B375" s="13" t="s">
        <v>627</v>
      </c>
      <c r="C375" s="13" t="s">
        <v>2267</v>
      </c>
      <c r="D375" s="13" t="s">
        <v>59</v>
      </c>
      <c r="E375" s="13" t="s">
        <v>853</v>
      </c>
      <c r="F375" s="13" t="s">
        <v>854</v>
      </c>
      <c r="G375" s="61" t="n">
        <v>72836181464</v>
      </c>
      <c r="H375" s="13" t="s">
        <v>2255</v>
      </c>
      <c r="I375" s="13"/>
      <c r="J375" s="13"/>
      <c r="K375" s="13" t="s">
        <v>659</v>
      </c>
      <c r="L375" s="13" t="s">
        <v>2265</v>
      </c>
      <c r="M375" s="13"/>
    </row>
    <row r="376" customFormat="false" ht="15" hidden="false" customHeight="false" outlineLevel="0" collapsed="false">
      <c r="A376" s="13" t="s">
        <v>628</v>
      </c>
      <c r="B376" s="13" t="s">
        <v>627</v>
      </c>
      <c r="C376" s="13" t="s">
        <v>2254</v>
      </c>
      <c r="D376" s="13" t="s">
        <v>59</v>
      </c>
      <c r="E376" s="13" t="s">
        <v>856</v>
      </c>
      <c r="F376" s="13" t="s">
        <v>857</v>
      </c>
      <c r="G376" s="61" t="n">
        <v>29948775768</v>
      </c>
      <c r="H376" s="13" t="s">
        <v>2255</v>
      </c>
      <c r="I376" s="13"/>
      <c r="J376" s="13"/>
      <c r="K376" s="13" t="s">
        <v>2256</v>
      </c>
      <c r="L376" s="13" t="s">
        <v>2257</v>
      </c>
      <c r="M376" s="13"/>
    </row>
    <row r="377" customFormat="false" ht="15" hidden="false" customHeight="false" outlineLevel="0" collapsed="false">
      <c r="A377" s="13" t="s">
        <v>628</v>
      </c>
      <c r="B377" s="13" t="s">
        <v>627</v>
      </c>
      <c r="C377" s="13" t="s">
        <v>2258</v>
      </c>
      <c r="D377" s="13" t="s">
        <v>59</v>
      </c>
      <c r="E377" s="13" t="s">
        <v>856</v>
      </c>
      <c r="F377" s="13" t="s">
        <v>857</v>
      </c>
      <c r="G377" s="61" t="n">
        <v>90492583600</v>
      </c>
      <c r="H377" s="13" t="s">
        <v>2255</v>
      </c>
      <c r="I377" s="13"/>
      <c r="J377" s="13"/>
      <c r="K377" s="13" t="s">
        <v>2259</v>
      </c>
      <c r="L377" s="13" t="s">
        <v>2260</v>
      </c>
      <c r="M377" s="13"/>
    </row>
    <row r="378" customFormat="false" ht="15" hidden="false" customHeight="false" outlineLevel="0" collapsed="false">
      <c r="A378" s="13" t="s">
        <v>628</v>
      </c>
      <c r="B378" s="13" t="s">
        <v>627</v>
      </c>
      <c r="C378" s="13" t="s">
        <v>2261</v>
      </c>
      <c r="D378" s="13" t="s">
        <v>59</v>
      </c>
      <c r="E378" s="13" t="s">
        <v>856</v>
      </c>
      <c r="F378" s="13" t="s">
        <v>857</v>
      </c>
      <c r="G378" s="61" t="n">
        <v>21247052976</v>
      </c>
      <c r="H378" s="13" t="s">
        <v>2255</v>
      </c>
      <c r="I378" s="13"/>
      <c r="J378" s="13"/>
      <c r="K378" s="13" t="s">
        <v>2262</v>
      </c>
      <c r="L378" s="13" t="s">
        <v>2263</v>
      </c>
      <c r="M378" s="13"/>
    </row>
    <row r="379" customFormat="false" ht="15" hidden="false" customHeight="false" outlineLevel="0" collapsed="false">
      <c r="A379" s="13" t="s">
        <v>628</v>
      </c>
      <c r="B379" s="13" t="s">
        <v>627</v>
      </c>
      <c r="C379" s="13" t="s">
        <v>2264</v>
      </c>
      <c r="D379" s="13" t="s">
        <v>59</v>
      </c>
      <c r="E379" s="13" t="s">
        <v>856</v>
      </c>
      <c r="F379" s="13" t="s">
        <v>857</v>
      </c>
      <c r="G379" s="61" t="n">
        <v>18954459126</v>
      </c>
      <c r="H379" s="13" t="s">
        <v>2255</v>
      </c>
      <c r="I379" s="13"/>
      <c r="J379" s="13"/>
      <c r="K379" s="13" t="s">
        <v>657</v>
      </c>
      <c r="L379" s="13" t="s">
        <v>2265</v>
      </c>
      <c r="M379" s="13"/>
    </row>
    <row r="380" customFormat="false" ht="15" hidden="false" customHeight="false" outlineLevel="0" collapsed="false">
      <c r="A380" s="13" t="s">
        <v>628</v>
      </c>
      <c r="B380" s="13" t="s">
        <v>627</v>
      </c>
      <c r="C380" s="13" t="s">
        <v>2266</v>
      </c>
      <c r="D380" s="13" t="s">
        <v>59</v>
      </c>
      <c r="E380" s="13" t="s">
        <v>856</v>
      </c>
      <c r="F380" s="13" t="s">
        <v>857</v>
      </c>
      <c r="G380" s="61" t="n">
        <v>9015649284</v>
      </c>
      <c r="H380" s="13" t="s">
        <v>2255</v>
      </c>
      <c r="I380" s="13"/>
      <c r="J380" s="13"/>
      <c r="K380" s="13" t="s">
        <v>658</v>
      </c>
      <c r="L380" s="13" t="s">
        <v>2265</v>
      </c>
      <c r="M380" s="13"/>
    </row>
    <row r="381" customFormat="false" ht="15" hidden="false" customHeight="false" outlineLevel="0" collapsed="false">
      <c r="A381" s="13" t="s">
        <v>628</v>
      </c>
      <c r="B381" s="13" t="s">
        <v>627</v>
      </c>
      <c r="C381" s="13" t="s">
        <v>2267</v>
      </c>
      <c r="D381" s="13" t="s">
        <v>59</v>
      </c>
      <c r="E381" s="13" t="s">
        <v>856</v>
      </c>
      <c r="F381" s="13" t="s">
        <v>857</v>
      </c>
      <c r="G381" s="61" t="n">
        <v>18732279932</v>
      </c>
      <c r="H381" s="13" t="s">
        <v>2255</v>
      </c>
      <c r="I381" s="13"/>
      <c r="J381" s="13"/>
      <c r="K381" s="13" t="s">
        <v>659</v>
      </c>
      <c r="L381" s="13" t="s">
        <v>2265</v>
      </c>
      <c r="M381" s="13"/>
    </row>
    <row r="382" customFormat="false" ht="15" hidden="false" customHeight="false" outlineLevel="0" collapsed="false">
      <c r="A382" s="13" t="s">
        <v>628</v>
      </c>
      <c r="B382" s="13" t="s">
        <v>627</v>
      </c>
      <c r="C382" s="13" t="s">
        <v>2254</v>
      </c>
      <c r="D382" s="13" t="s">
        <v>59</v>
      </c>
      <c r="E382" s="13" t="s">
        <v>859</v>
      </c>
      <c r="F382" s="13" t="s">
        <v>860</v>
      </c>
      <c r="G382" s="61" t="n">
        <v>21295199457</v>
      </c>
      <c r="H382" s="13" t="s">
        <v>2255</v>
      </c>
      <c r="I382" s="13"/>
      <c r="J382" s="13"/>
      <c r="K382" s="13" t="s">
        <v>2256</v>
      </c>
      <c r="L382" s="13" t="s">
        <v>2257</v>
      </c>
      <c r="M382" s="13"/>
    </row>
    <row r="383" customFormat="false" ht="15" hidden="false" customHeight="false" outlineLevel="0" collapsed="false">
      <c r="A383" s="13" t="s">
        <v>628</v>
      </c>
      <c r="B383" s="13" t="s">
        <v>627</v>
      </c>
      <c r="C383" s="13" t="s">
        <v>2258</v>
      </c>
      <c r="D383" s="13" t="s">
        <v>59</v>
      </c>
      <c r="E383" s="13" t="s">
        <v>859</v>
      </c>
      <c r="F383" s="13" t="s">
        <v>860</v>
      </c>
      <c r="G383" s="61" t="n">
        <v>28275076891</v>
      </c>
      <c r="H383" s="13" t="s">
        <v>2255</v>
      </c>
      <c r="I383" s="13"/>
      <c r="J383" s="13"/>
      <c r="K383" s="13" t="s">
        <v>2259</v>
      </c>
      <c r="L383" s="13" t="s">
        <v>2260</v>
      </c>
      <c r="M383" s="13"/>
    </row>
    <row r="384" customFormat="false" ht="15" hidden="false" customHeight="false" outlineLevel="0" collapsed="false">
      <c r="A384" s="13" t="s">
        <v>628</v>
      </c>
      <c r="B384" s="13" t="s">
        <v>627</v>
      </c>
      <c r="C384" s="13" t="s">
        <v>2261</v>
      </c>
      <c r="D384" s="13" t="s">
        <v>59</v>
      </c>
      <c r="E384" s="13" t="s">
        <v>859</v>
      </c>
      <c r="F384" s="13" t="s">
        <v>860</v>
      </c>
      <c r="G384" s="61" t="n">
        <v>60501895336</v>
      </c>
      <c r="H384" s="13" t="s">
        <v>2255</v>
      </c>
      <c r="I384" s="13"/>
      <c r="J384" s="13"/>
      <c r="K384" s="13" t="s">
        <v>2262</v>
      </c>
      <c r="L384" s="13" t="s">
        <v>2263</v>
      </c>
      <c r="M384" s="13"/>
    </row>
    <row r="385" customFormat="false" ht="15" hidden="false" customHeight="false" outlineLevel="0" collapsed="false">
      <c r="A385" s="13" t="s">
        <v>628</v>
      </c>
      <c r="B385" s="13" t="s">
        <v>627</v>
      </c>
      <c r="C385" s="13" t="s">
        <v>2264</v>
      </c>
      <c r="D385" s="13" t="s">
        <v>59</v>
      </c>
      <c r="E385" s="13" t="s">
        <v>859</v>
      </c>
      <c r="F385" s="13" t="s">
        <v>860</v>
      </c>
      <c r="G385" s="61" t="n">
        <v>4427592447</v>
      </c>
      <c r="H385" s="13" t="s">
        <v>2255</v>
      </c>
      <c r="I385" s="13"/>
      <c r="J385" s="13"/>
      <c r="K385" s="13" t="s">
        <v>657</v>
      </c>
      <c r="L385" s="13" t="s">
        <v>2265</v>
      </c>
      <c r="M385" s="13"/>
    </row>
    <row r="386" customFormat="false" ht="15" hidden="false" customHeight="false" outlineLevel="0" collapsed="false">
      <c r="A386" s="13" t="s">
        <v>628</v>
      </c>
      <c r="B386" s="13" t="s">
        <v>627</v>
      </c>
      <c r="C386" s="13" t="s">
        <v>2266</v>
      </c>
      <c r="D386" s="13" t="s">
        <v>59</v>
      </c>
      <c r="E386" s="13" t="s">
        <v>859</v>
      </c>
      <c r="F386" s="13" t="s">
        <v>860</v>
      </c>
      <c r="G386" s="61" t="n">
        <v>3886703167</v>
      </c>
      <c r="H386" s="13" t="s">
        <v>2255</v>
      </c>
      <c r="I386" s="13"/>
      <c r="J386" s="13"/>
      <c r="K386" s="13" t="s">
        <v>658</v>
      </c>
      <c r="L386" s="13" t="s">
        <v>2265</v>
      </c>
      <c r="M386" s="13"/>
    </row>
    <row r="387" customFormat="false" ht="15" hidden="false" customHeight="false" outlineLevel="0" collapsed="false">
      <c r="A387" s="13" t="s">
        <v>628</v>
      </c>
      <c r="B387" s="13" t="s">
        <v>627</v>
      </c>
      <c r="C387" s="13" t="s">
        <v>2267</v>
      </c>
      <c r="D387" s="13" t="s">
        <v>59</v>
      </c>
      <c r="E387" s="13" t="s">
        <v>859</v>
      </c>
      <c r="F387" s="13" t="s">
        <v>860</v>
      </c>
      <c r="G387" s="61" t="n">
        <v>47931990928</v>
      </c>
      <c r="H387" s="13" t="s">
        <v>2255</v>
      </c>
      <c r="I387" s="13"/>
      <c r="J387" s="13"/>
      <c r="K387" s="13" t="s">
        <v>659</v>
      </c>
      <c r="L387" s="13" t="s">
        <v>2265</v>
      </c>
      <c r="M387" s="13"/>
    </row>
    <row r="388" customFormat="false" ht="15" hidden="false" customHeight="false" outlineLevel="0" collapsed="false">
      <c r="A388" s="13" t="s">
        <v>628</v>
      </c>
      <c r="B388" s="13" t="s">
        <v>627</v>
      </c>
      <c r="C388" s="13" t="s">
        <v>2254</v>
      </c>
      <c r="D388" s="13" t="s">
        <v>59</v>
      </c>
      <c r="E388" s="13" t="s">
        <v>862</v>
      </c>
      <c r="F388" s="13" t="s">
        <v>863</v>
      </c>
      <c r="G388" s="61" t="n">
        <v>13131353419</v>
      </c>
      <c r="H388" s="13" t="s">
        <v>2255</v>
      </c>
      <c r="I388" s="13"/>
      <c r="J388" s="13"/>
      <c r="K388" s="13" t="s">
        <v>2256</v>
      </c>
      <c r="L388" s="13" t="s">
        <v>2257</v>
      </c>
      <c r="M388" s="13"/>
    </row>
    <row r="389" customFormat="false" ht="15" hidden="false" customHeight="false" outlineLevel="0" collapsed="false">
      <c r="A389" s="13" t="s">
        <v>628</v>
      </c>
      <c r="B389" s="13" t="s">
        <v>627</v>
      </c>
      <c r="C389" s="13" t="s">
        <v>2258</v>
      </c>
      <c r="D389" s="13" t="s">
        <v>59</v>
      </c>
      <c r="E389" s="13" t="s">
        <v>862</v>
      </c>
      <c r="F389" s="13" t="s">
        <v>863</v>
      </c>
      <c r="G389" s="61" t="n">
        <v>22644455428</v>
      </c>
      <c r="H389" s="13" t="s">
        <v>2255</v>
      </c>
      <c r="I389" s="13"/>
      <c r="J389" s="13"/>
      <c r="K389" s="13" t="s">
        <v>2259</v>
      </c>
      <c r="L389" s="13" t="s">
        <v>2260</v>
      </c>
      <c r="M389" s="13"/>
    </row>
    <row r="390" customFormat="false" ht="15" hidden="false" customHeight="false" outlineLevel="0" collapsed="false">
      <c r="A390" s="13" t="s">
        <v>628</v>
      </c>
      <c r="B390" s="13" t="s">
        <v>627</v>
      </c>
      <c r="C390" s="13" t="s">
        <v>2261</v>
      </c>
      <c r="D390" s="13" t="s">
        <v>59</v>
      </c>
      <c r="E390" s="13" t="s">
        <v>862</v>
      </c>
      <c r="F390" s="13" t="s">
        <v>863</v>
      </c>
      <c r="G390" s="61" t="n">
        <v>21237249027</v>
      </c>
      <c r="H390" s="13" t="s">
        <v>2255</v>
      </c>
      <c r="I390" s="13"/>
      <c r="J390" s="13"/>
      <c r="K390" s="13" t="s">
        <v>2262</v>
      </c>
      <c r="L390" s="13" t="s">
        <v>2263</v>
      </c>
      <c r="M390" s="13"/>
    </row>
    <row r="391" customFormat="false" ht="15" hidden="false" customHeight="false" outlineLevel="0" collapsed="false">
      <c r="A391" s="13" t="s">
        <v>628</v>
      </c>
      <c r="B391" s="13" t="s">
        <v>627</v>
      </c>
      <c r="C391" s="13" t="s">
        <v>2264</v>
      </c>
      <c r="D391" s="13" t="s">
        <v>59</v>
      </c>
      <c r="E391" s="13" t="s">
        <v>862</v>
      </c>
      <c r="F391" s="13" t="s">
        <v>863</v>
      </c>
      <c r="G391" s="61" t="n">
        <v>15341991373</v>
      </c>
      <c r="H391" s="13" t="s">
        <v>2255</v>
      </c>
      <c r="I391" s="13"/>
      <c r="J391" s="13"/>
      <c r="K391" s="13" t="s">
        <v>657</v>
      </c>
      <c r="L391" s="13" t="s">
        <v>2265</v>
      </c>
      <c r="M391" s="13"/>
    </row>
    <row r="392" customFormat="false" ht="15" hidden="false" customHeight="false" outlineLevel="0" collapsed="false">
      <c r="A392" s="13" t="s">
        <v>628</v>
      </c>
      <c r="B392" s="13" t="s">
        <v>627</v>
      </c>
      <c r="C392" s="13" t="s">
        <v>2266</v>
      </c>
      <c r="D392" s="13" t="s">
        <v>59</v>
      </c>
      <c r="E392" s="13" t="s">
        <v>862</v>
      </c>
      <c r="F392" s="13" t="s">
        <v>863</v>
      </c>
      <c r="G392" s="61" t="n">
        <v>19500574022</v>
      </c>
      <c r="H392" s="13" t="s">
        <v>2255</v>
      </c>
      <c r="I392" s="13"/>
      <c r="J392" s="13"/>
      <c r="K392" s="13" t="s">
        <v>658</v>
      </c>
      <c r="L392" s="13" t="s">
        <v>2265</v>
      </c>
      <c r="M392" s="13"/>
    </row>
    <row r="393" customFormat="false" ht="15" hidden="false" customHeight="false" outlineLevel="0" collapsed="false">
      <c r="A393" s="13" t="s">
        <v>628</v>
      </c>
      <c r="B393" s="13" t="s">
        <v>627</v>
      </c>
      <c r="C393" s="13" t="s">
        <v>2267</v>
      </c>
      <c r="D393" s="13" t="s">
        <v>59</v>
      </c>
      <c r="E393" s="13" t="s">
        <v>862</v>
      </c>
      <c r="F393" s="13" t="s">
        <v>863</v>
      </c>
      <c r="G393" s="61" t="n">
        <v>21812380174</v>
      </c>
      <c r="H393" s="13" t="s">
        <v>2255</v>
      </c>
      <c r="I393" s="13"/>
      <c r="J393" s="13"/>
      <c r="K393" s="13" t="s">
        <v>659</v>
      </c>
      <c r="L393" s="13" t="s">
        <v>2265</v>
      </c>
      <c r="M393" s="13"/>
    </row>
    <row r="394" customFormat="false" ht="15" hidden="false" customHeight="false" outlineLevel="0" collapsed="false">
      <c r="A394" s="13" t="s">
        <v>628</v>
      </c>
      <c r="B394" s="13" t="s">
        <v>627</v>
      </c>
      <c r="C394" s="13" t="s">
        <v>2254</v>
      </c>
      <c r="D394" s="13" t="s">
        <v>59</v>
      </c>
      <c r="E394" s="13" t="s">
        <v>865</v>
      </c>
      <c r="F394" s="13" t="s">
        <v>866</v>
      </c>
      <c r="G394" s="61" t="n">
        <v>683215825248</v>
      </c>
      <c r="H394" s="13" t="s">
        <v>2255</v>
      </c>
      <c r="I394" s="13"/>
      <c r="J394" s="13"/>
      <c r="K394" s="13" t="s">
        <v>2256</v>
      </c>
      <c r="L394" s="13" t="s">
        <v>2257</v>
      </c>
      <c r="M394" s="13" t="s">
        <v>2268</v>
      </c>
    </row>
    <row r="395" customFormat="false" ht="15" hidden="false" customHeight="false" outlineLevel="0" collapsed="false">
      <c r="A395" s="13" t="s">
        <v>628</v>
      </c>
      <c r="B395" s="13" t="s">
        <v>627</v>
      </c>
      <c r="C395" s="13" t="s">
        <v>2258</v>
      </c>
      <c r="D395" s="13" t="s">
        <v>59</v>
      </c>
      <c r="E395" s="13" t="s">
        <v>865</v>
      </c>
      <c r="F395" s="13" t="s">
        <v>866</v>
      </c>
      <c r="G395" s="61" t="n">
        <v>736497124836</v>
      </c>
      <c r="H395" s="13" t="s">
        <v>2255</v>
      </c>
      <c r="I395" s="13"/>
      <c r="J395" s="13"/>
      <c r="K395" s="13" t="s">
        <v>2259</v>
      </c>
      <c r="L395" s="13" t="s">
        <v>2260</v>
      </c>
      <c r="M395" s="13" t="s">
        <v>2268</v>
      </c>
    </row>
    <row r="396" customFormat="false" ht="15" hidden="false" customHeight="false" outlineLevel="0" collapsed="false">
      <c r="A396" s="13" t="s">
        <v>628</v>
      </c>
      <c r="B396" s="13" t="s">
        <v>627</v>
      </c>
      <c r="C396" s="13" t="s">
        <v>2261</v>
      </c>
      <c r="D396" s="13" t="s">
        <v>59</v>
      </c>
      <c r="E396" s="13" t="s">
        <v>865</v>
      </c>
      <c r="F396" s="13" t="s">
        <v>866</v>
      </c>
      <c r="G396" s="61" t="n">
        <v>643862008271</v>
      </c>
      <c r="H396" s="13" t="s">
        <v>2255</v>
      </c>
      <c r="I396" s="13"/>
      <c r="J396" s="13"/>
      <c r="K396" s="13" t="s">
        <v>2262</v>
      </c>
      <c r="L396" s="13" t="s">
        <v>2263</v>
      </c>
      <c r="M396" s="13" t="s">
        <v>2268</v>
      </c>
    </row>
    <row r="397" customFormat="false" ht="15" hidden="false" customHeight="false" outlineLevel="0" collapsed="false">
      <c r="A397" s="13" t="s">
        <v>628</v>
      </c>
      <c r="B397" s="13" t="s">
        <v>627</v>
      </c>
      <c r="C397" s="13" t="s">
        <v>2264</v>
      </c>
      <c r="D397" s="13" t="s">
        <v>59</v>
      </c>
      <c r="E397" s="13" t="s">
        <v>865</v>
      </c>
      <c r="F397" s="13" t="s">
        <v>866</v>
      </c>
      <c r="G397" s="61" t="n">
        <v>569631547013</v>
      </c>
      <c r="H397" s="13" t="s">
        <v>2255</v>
      </c>
      <c r="I397" s="13"/>
      <c r="J397" s="13"/>
      <c r="K397" s="13" t="s">
        <v>657</v>
      </c>
      <c r="L397" s="13" t="s">
        <v>2265</v>
      </c>
      <c r="M397" s="13" t="s">
        <v>2268</v>
      </c>
    </row>
    <row r="398" customFormat="false" ht="15" hidden="false" customHeight="false" outlineLevel="0" collapsed="false">
      <c r="A398" s="13" t="s">
        <v>628</v>
      </c>
      <c r="B398" s="13" t="s">
        <v>627</v>
      </c>
      <c r="C398" s="13" t="s">
        <v>2266</v>
      </c>
      <c r="D398" s="13" t="s">
        <v>59</v>
      </c>
      <c r="E398" s="13" t="s">
        <v>865</v>
      </c>
      <c r="F398" s="13" t="s">
        <v>866</v>
      </c>
      <c r="G398" s="61" t="n">
        <v>568415968476</v>
      </c>
      <c r="H398" s="13" t="s">
        <v>2255</v>
      </c>
      <c r="I398" s="13"/>
      <c r="J398" s="13"/>
      <c r="K398" s="13" t="s">
        <v>658</v>
      </c>
      <c r="L398" s="13" t="s">
        <v>2265</v>
      </c>
      <c r="M398" s="13" t="s">
        <v>2268</v>
      </c>
    </row>
    <row r="399" customFormat="false" ht="15" hidden="false" customHeight="false" outlineLevel="0" collapsed="false">
      <c r="A399" s="13" t="s">
        <v>628</v>
      </c>
      <c r="B399" s="13" t="s">
        <v>627</v>
      </c>
      <c r="C399" s="13" t="s">
        <v>2267</v>
      </c>
      <c r="D399" s="13" t="s">
        <v>59</v>
      </c>
      <c r="E399" s="13" t="s">
        <v>865</v>
      </c>
      <c r="F399" s="13" t="s">
        <v>866</v>
      </c>
      <c r="G399" s="61" t="n">
        <v>746084870999</v>
      </c>
      <c r="H399" s="13" t="s">
        <v>2255</v>
      </c>
      <c r="I399" s="13"/>
      <c r="J399" s="13"/>
      <c r="K399" s="13" t="s">
        <v>659</v>
      </c>
      <c r="L399" s="13" t="s">
        <v>2265</v>
      </c>
      <c r="M399" s="13" t="s">
        <v>2268</v>
      </c>
    </row>
    <row r="400" customFormat="false" ht="15" hidden="false" customHeight="false" outlineLevel="0" collapsed="false">
      <c r="A400" s="13" t="s">
        <v>628</v>
      </c>
      <c r="B400" s="13" t="s">
        <v>627</v>
      </c>
      <c r="C400" s="13" t="s">
        <v>2254</v>
      </c>
      <c r="D400" s="13" t="s">
        <v>59</v>
      </c>
      <c r="E400" s="13" t="s">
        <v>867</v>
      </c>
      <c r="F400" s="13" t="s">
        <v>868</v>
      </c>
      <c r="G400" s="61" t="n">
        <v>114698348</v>
      </c>
      <c r="H400" s="13" t="s">
        <v>2255</v>
      </c>
      <c r="I400" s="13"/>
      <c r="J400" s="13"/>
      <c r="K400" s="13" t="s">
        <v>2256</v>
      </c>
      <c r="L400" s="13" t="s">
        <v>2257</v>
      </c>
      <c r="M400" s="13"/>
    </row>
    <row r="401" customFormat="false" ht="15" hidden="false" customHeight="false" outlineLevel="0" collapsed="false">
      <c r="A401" s="13" t="s">
        <v>628</v>
      </c>
      <c r="B401" s="13" t="s">
        <v>627</v>
      </c>
      <c r="C401" s="13" t="s">
        <v>2258</v>
      </c>
      <c r="D401" s="13" t="s">
        <v>59</v>
      </c>
      <c r="E401" s="13" t="s">
        <v>867</v>
      </c>
      <c r="F401" s="13" t="s">
        <v>868</v>
      </c>
      <c r="G401" s="61" t="n">
        <v>136472211</v>
      </c>
      <c r="H401" s="13" t="s">
        <v>2255</v>
      </c>
      <c r="I401" s="13"/>
      <c r="J401" s="13"/>
      <c r="K401" s="13" t="s">
        <v>2259</v>
      </c>
      <c r="L401" s="13" t="s">
        <v>2260</v>
      </c>
      <c r="M401" s="13"/>
    </row>
    <row r="402" customFormat="false" ht="15" hidden="false" customHeight="false" outlineLevel="0" collapsed="false">
      <c r="A402" s="13" t="s">
        <v>628</v>
      </c>
      <c r="B402" s="13" t="s">
        <v>627</v>
      </c>
      <c r="C402" s="13" t="s">
        <v>2261</v>
      </c>
      <c r="D402" s="13" t="s">
        <v>59</v>
      </c>
      <c r="E402" s="13" t="s">
        <v>867</v>
      </c>
      <c r="F402" s="13" t="s">
        <v>868</v>
      </c>
      <c r="G402" s="61" t="n">
        <v>18370139</v>
      </c>
      <c r="H402" s="13" t="s">
        <v>2255</v>
      </c>
      <c r="I402" s="13"/>
      <c r="J402" s="13"/>
      <c r="K402" s="13" t="s">
        <v>2262</v>
      </c>
      <c r="L402" s="13" t="s">
        <v>2263</v>
      </c>
      <c r="M402" s="13"/>
    </row>
    <row r="403" customFormat="false" ht="15" hidden="false" customHeight="false" outlineLevel="0" collapsed="false">
      <c r="A403" s="13" t="s">
        <v>628</v>
      </c>
      <c r="B403" s="13" t="s">
        <v>627</v>
      </c>
      <c r="C403" s="13" t="s">
        <v>2264</v>
      </c>
      <c r="D403" s="13" t="s">
        <v>59</v>
      </c>
      <c r="E403" s="13" t="s">
        <v>867</v>
      </c>
      <c r="F403" s="13" t="s">
        <v>868</v>
      </c>
      <c r="G403" s="61" t="n">
        <v>0</v>
      </c>
      <c r="H403" s="13" t="s">
        <v>2255</v>
      </c>
      <c r="I403" s="13"/>
      <c r="J403" s="13"/>
      <c r="K403" s="13" t="s">
        <v>657</v>
      </c>
      <c r="L403" s="13" t="s">
        <v>2265</v>
      </c>
      <c r="M403" s="13"/>
    </row>
    <row r="404" customFormat="false" ht="15" hidden="false" customHeight="false" outlineLevel="0" collapsed="false">
      <c r="A404" s="13" t="s">
        <v>628</v>
      </c>
      <c r="B404" s="13" t="s">
        <v>627</v>
      </c>
      <c r="C404" s="13" t="s">
        <v>2266</v>
      </c>
      <c r="D404" s="13" t="s">
        <v>59</v>
      </c>
      <c r="E404" s="13" t="s">
        <v>867</v>
      </c>
      <c r="F404" s="13" t="s">
        <v>868</v>
      </c>
      <c r="G404" s="61" t="n">
        <v>641176357</v>
      </c>
      <c r="H404" s="13" t="s">
        <v>2255</v>
      </c>
      <c r="I404" s="13"/>
      <c r="J404" s="13"/>
      <c r="K404" s="13" t="s">
        <v>658</v>
      </c>
      <c r="L404" s="13" t="s">
        <v>2265</v>
      </c>
      <c r="M404" s="13"/>
    </row>
    <row r="405" customFormat="false" ht="15" hidden="false" customHeight="false" outlineLevel="0" collapsed="false">
      <c r="A405" s="13" t="s">
        <v>628</v>
      </c>
      <c r="B405" s="13" t="s">
        <v>627</v>
      </c>
      <c r="C405" s="13" t="s">
        <v>2267</v>
      </c>
      <c r="D405" s="13" t="s">
        <v>59</v>
      </c>
      <c r="E405" s="13" t="s">
        <v>867</v>
      </c>
      <c r="F405" s="13" t="s">
        <v>868</v>
      </c>
      <c r="G405" s="61" t="n">
        <v>1059029647</v>
      </c>
      <c r="H405" s="13" t="s">
        <v>2255</v>
      </c>
      <c r="I405" s="13"/>
      <c r="J405" s="13"/>
      <c r="K405" s="13" t="s">
        <v>659</v>
      </c>
      <c r="L405" s="13" t="s">
        <v>2265</v>
      </c>
      <c r="M405" s="13"/>
    </row>
    <row r="406" customFormat="false" ht="15" hidden="false" customHeight="false" outlineLevel="0" collapsed="false">
      <c r="A406" s="13" t="s">
        <v>628</v>
      </c>
      <c r="B406" s="13" t="s">
        <v>627</v>
      </c>
      <c r="C406" s="13" t="s">
        <v>2254</v>
      </c>
      <c r="D406" s="13" t="s">
        <v>59</v>
      </c>
      <c r="E406" s="13" t="s">
        <v>870</v>
      </c>
      <c r="F406" s="13" t="s">
        <v>871</v>
      </c>
      <c r="G406" s="61" t="n">
        <v>301000000000</v>
      </c>
      <c r="H406" s="13" t="s">
        <v>2255</v>
      </c>
      <c r="I406" s="13"/>
      <c r="J406" s="13"/>
      <c r="K406" s="13" t="s">
        <v>2256</v>
      </c>
      <c r="L406" s="13" t="s">
        <v>2257</v>
      </c>
      <c r="M406" s="13"/>
    </row>
    <row r="407" customFormat="false" ht="15" hidden="false" customHeight="false" outlineLevel="0" collapsed="false">
      <c r="A407" s="13" t="s">
        <v>628</v>
      </c>
      <c r="B407" s="13" t="s">
        <v>627</v>
      </c>
      <c r="C407" s="13" t="s">
        <v>2258</v>
      </c>
      <c r="D407" s="13" t="s">
        <v>59</v>
      </c>
      <c r="E407" s="13" t="s">
        <v>870</v>
      </c>
      <c r="F407" s="13" t="s">
        <v>871</v>
      </c>
      <c r="G407" s="61" t="n">
        <v>0</v>
      </c>
      <c r="H407" s="13" t="s">
        <v>2255</v>
      </c>
      <c r="I407" s="13"/>
      <c r="J407" s="13"/>
      <c r="K407" s="13" t="s">
        <v>2259</v>
      </c>
      <c r="L407" s="13" t="s">
        <v>2260</v>
      </c>
      <c r="M407" s="13"/>
    </row>
    <row r="408" customFormat="false" ht="15" hidden="false" customHeight="false" outlineLevel="0" collapsed="false">
      <c r="A408" s="13" t="s">
        <v>628</v>
      </c>
      <c r="B408" s="13" t="s">
        <v>627</v>
      </c>
      <c r="C408" s="13" t="s">
        <v>2254</v>
      </c>
      <c r="D408" s="13" t="s">
        <v>59</v>
      </c>
      <c r="E408" s="13" t="s">
        <v>873</v>
      </c>
      <c r="F408" s="13" t="s">
        <v>874</v>
      </c>
      <c r="G408" s="61" t="n">
        <v>43497624626</v>
      </c>
      <c r="H408" s="13" t="s">
        <v>2255</v>
      </c>
      <c r="I408" s="13"/>
      <c r="J408" s="13"/>
      <c r="K408" s="13" t="s">
        <v>2256</v>
      </c>
      <c r="L408" s="13" t="s">
        <v>2257</v>
      </c>
      <c r="M408" s="13"/>
    </row>
    <row r="409" customFormat="false" ht="15" hidden="false" customHeight="false" outlineLevel="0" collapsed="false">
      <c r="A409" s="13" t="s">
        <v>628</v>
      </c>
      <c r="B409" s="13" t="s">
        <v>627</v>
      </c>
      <c r="C409" s="13" t="s">
        <v>2258</v>
      </c>
      <c r="D409" s="13" t="s">
        <v>59</v>
      </c>
      <c r="E409" s="13" t="s">
        <v>873</v>
      </c>
      <c r="F409" s="13" t="s">
        <v>874</v>
      </c>
      <c r="G409" s="61" t="n">
        <v>51410006855</v>
      </c>
      <c r="H409" s="13" t="s">
        <v>2255</v>
      </c>
      <c r="I409" s="13"/>
      <c r="J409" s="13"/>
      <c r="K409" s="13" t="s">
        <v>2259</v>
      </c>
      <c r="L409" s="13" t="s">
        <v>2260</v>
      </c>
      <c r="M409" s="13"/>
    </row>
    <row r="410" customFormat="false" ht="15" hidden="false" customHeight="false" outlineLevel="0" collapsed="false">
      <c r="A410" s="13" t="s">
        <v>628</v>
      </c>
      <c r="B410" s="13" t="s">
        <v>627</v>
      </c>
      <c r="C410" s="13" t="s">
        <v>2261</v>
      </c>
      <c r="D410" s="13" t="s">
        <v>59</v>
      </c>
      <c r="E410" s="13" t="s">
        <v>873</v>
      </c>
      <c r="F410" s="13" t="s">
        <v>874</v>
      </c>
      <c r="G410" s="61" t="n">
        <v>28534604984</v>
      </c>
      <c r="H410" s="13" t="s">
        <v>2255</v>
      </c>
      <c r="I410" s="13"/>
      <c r="J410" s="13"/>
      <c r="K410" s="13" t="s">
        <v>2262</v>
      </c>
      <c r="L410" s="13" t="s">
        <v>2263</v>
      </c>
      <c r="M410" s="13"/>
    </row>
    <row r="411" customFormat="false" ht="15" hidden="false" customHeight="false" outlineLevel="0" collapsed="false">
      <c r="A411" s="13" t="s">
        <v>628</v>
      </c>
      <c r="B411" s="13" t="s">
        <v>627</v>
      </c>
      <c r="C411" s="13" t="s">
        <v>2264</v>
      </c>
      <c r="D411" s="13" t="s">
        <v>59</v>
      </c>
      <c r="E411" s="13" t="s">
        <v>873</v>
      </c>
      <c r="F411" s="13" t="s">
        <v>874</v>
      </c>
      <c r="G411" s="61" t="n">
        <v>25063931536</v>
      </c>
      <c r="H411" s="13" t="s">
        <v>2255</v>
      </c>
      <c r="I411" s="13"/>
      <c r="J411" s="13"/>
      <c r="K411" s="13" t="s">
        <v>657</v>
      </c>
      <c r="L411" s="13" t="s">
        <v>2265</v>
      </c>
      <c r="M411" s="13"/>
    </row>
    <row r="412" customFormat="false" ht="15" hidden="false" customHeight="false" outlineLevel="0" collapsed="false">
      <c r="A412" s="13" t="s">
        <v>628</v>
      </c>
      <c r="B412" s="13" t="s">
        <v>627</v>
      </c>
      <c r="C412" s="13" t="s">
        <v>2266</v>
      </c>
      <c r="D412" s="13" t="s">
        <v>59</v>
      </c>
      <c r="E412" s="13" t="s">
        <v>873</v>
      </c>
      <c r="F412" s="13" t="s">
        <v>874</v>
      </c>
      <c r="G412" s="61" t="n">
        <v>29627155160</v>
      </c>
      <c r="H412" s="13" t="s">
        <v>2255</v>
      </c>
      <c r="I412" s="13"/>
      <c r="J412" s="13"/>
      <c r="K412" s="13" t="s">
        <v>658</v>
      </c>
      <c r="L412" s="13" t="s">
        <v>2265</v>
      </c>
      <c r="M412" s="13"/>
    </row>
    <row r="413" customFormat="false" ht="15" hidden="false" customHeight="false" outlineLevel="0" collapsed="false">
      <c r="A413" s="13" t="s">
        <v>628</v>
      </c>
      <c r="B413" s="13" t="s">
        <v>627</v>
      </c>
      <c r="C413" s="13" t="s">
        <v>2267</v>
      </c>
      <c r="D413" s="13" t="s">
        <v>59</v>
      </c>
      <c r="E413" s="13" t="s">
        <v>873</v>
      </c>
      <c r="F413" s="13" t="s">
        <v>874</v>
      </c>
      <c r="G413" s="61" t="n">
        <v>34552286808</v>
      </c>
      <c r="H413" s="13" t="s">
        <v>2255</v>
      </c>
      <c r="I413" s="13"/>
      <c r="J413" s="13"/>
      <c r="K413" s="13" t="s">
        <v>659</v>
      </c>
      <c r="L413" s="13" t="s">
        <v>2265</v>
      </c>
      <c r="M413" s="13"/>
    </row>
    <row r="414" customFormat="false" ht="15" hidden="false" customHeight="false" outlineLevel="0" collapsed="false">
      <c r="A414" s="13" t="s">
        <v>628</v>
      </c>
      <c r="B414" s="13" t="s">
        <v>627</v>
      </c>
      <c r="C414" s="13" t="s">
        <v>2254</v>
      </c>
      <c r="D414" s="13" t="s">
        <v>59</v>
      </c>
      <c r="E414" s="13" t="s">
        <v>876</v>
      </c>
      <c r="F414" s="13" t="s">
        <v>877</v>
      </c>
      <c r="G414" s="61" t="n">
        <v>76775120888</v>
      </c>
      <c r="H414" s="13" t="s">
        <v>2255</v>
      </c>
      <c r="I414" s="13"/>
      <c r="J414" s="13"/>
      <c r="K414" s="13" t="s">
        <v>2256</v>
      </c>
      <c r="L414" s="13" t="s">
        <v>2257</v>
      </c>
      <c r="M414" s="13"/>
    </row>
    <row r="415" customFormat="false" ht="15" hidden="false" customHeight="false" outlineLevel="0" collapsed="false">
      <c r="A415" s="13" t="s">
        <v>628</v>
      </c>
      <c r="B415" s="13" t="s">
        <v>627</v>
      </c>
      <c r="C415" s="13" t="s">
        <v>2258</v>
      </c>
      <c r="D415" s="13" t="s">
        <v>59</v>
      </c>
      <c r="E415" s="13" t="s">
        <v>876</v>
      </c>
      <c r="F415" s="13" t="s">
        <v>877</v>
      </c>
      <c r="G415" s="61" t="n">
        <v>193498426984</v>
      </c>
      <c r="H415" s="13" t="s">
        <v>2255</v>
      </c>
      <c r="I415" s="13"/>
      <c r="J415" s="13"/>
      <c r="K415" s="13" t="s">
        <v>2259</v>
      </c>
      <c r="L415" s="13" t="s">
        <v>2260</v>
      </c>
      <c r="M415" s="13"/>
    </row>
    <row r="416" customFormat="false" ht="15" hidden="false" customHeight="false" outlineLevel="0" collapsed="false">
      <c r="A416" s="13" t="s">
        <v>628</v>
      </c>
      <c r="B416" s="13" t="s">
        <v>627</v>
      </c>
      <c r="C416" s="13" t="s">
        <v>2261</v>
      </c>
      <c r="D416" s="13" t="s">
        <v>59</v>
      </c>
      <c r="E416" s="13" t="s">
        <v>876</v>
      </c>
      <c r="F416" s="13" t="s">
        <v>877</v>
      </c>
      <c r="G416" s="61" t="n">
        <v>402935937334</v>
      </c>
      <c r="H416" s="13" t="s">
        <v>2255</v>
      </c>
      <c r="I416" s="13"/>
      <c r="J416" s="13"/>
      <c r="K416" s="13" t="s">
        <v>2262</v>
      </c>
      <c r="L416" s="13" t="s">
        <v>2263</v>
      </c>
      <c r="M416" s="13"/>
    </row>
    <row r="417" customFormat="false" ht="15" hidden="false" customHeight="false" outlineLevel="0" collapsed="false">
      <c r="A417" s="13" t="s">
        <v>628</v>
      </c>
      <c r="B417" s="13" t="s">
        <v>627</v>
      </c>
      <c r="C417" s="13" t="s">
        <v>2264</v>
      </c>
      <c r="D417" s="13" t="s">
        <v>59</v>
      </c>
      <c r="E417" s="13" t="s">
        <v>876</v>
      </c>
      <c r="F417" s="13" t="s">
        <v>877</v>
      </c>
      <c r="G417" s="61" t="n">
        <v>610997380701</v>
      </c>
      <c r="H417" s="13" t="s">
        <v>2255</v>
      </c>
      <c r="I417" s="13"/>
      <c r="J417" s="13"/>
      <c r="K417" s="13" t="s">
        <v>657</v>
      </c>
      <c r="L417" s="13" t="s">
        <v>2265</v>
      </c>
      <c r="M417" s="13"/>
    </row>
    <row r="418" customFormat="false" ht="15" hidden="false" customHeight="false" outlineLevel="0" collapsed="false">
      <c r="A418" s="13" t="s">
        <v>628</v>
      </c>
      <c r="B418" s="13" t="s">
        <v>627</v>
      </c>
      <c r="C418" s="13" t="s">
        <v>2266</v>
      </c>
      <c r="D418" s="13" t="s">
        <v>59</v>
      </c>
      <c r="E418" s="13" t="s">
        <v>876</v>
      </c>
      <c r="F418" s="13" t="s">
        <v>877</v>
      </c>
      <c r="G418" s="61" t="n">
        <v>646409321168</v>
      </c>
      <c r="H418" s="13" t="s">
        <v>2255</v>
      </c>
      <c r="I418" s="13"/>
      <c r="J418" s="13"/>
      <c r="K418" s="13" t="s">
        <v>658</v>
      </c>
      <c r="L418" s="13" t="s">
        <v>2265</v>
      </c>
      <c r="M418" s="13"/>
    </row>
    <row r="419" customFormat="false" ht="15" hidden="false" customHeight="false" outlineLevel="0" collapsed="false">
      <c r="A419" s="13" t="s">
        <v>628</v>
      </c>
      <c r="B419" s="13" t="s">
        <v>627</v>
      </c>
      <c r="C419" s="13" t="s">
        <v>2267</v>
      </c>
      <c r="D419" s="13" t="s">
        <v>59</v>
      </c>
      <c r="E419" s="13" t="s">
        <v>876</v>
      </c>
      <c r="F419" s="13" t="s">
        <v>877</v>
      </c>
      <c r="G419" s="61" t="n">
        <v>721891312883</v>
      </c>
      <c r="H419" s="13" t="s">
        <v>2255</v>
      </c>
      <c r="I419" s="13"/>
      <c r="J419" s="13"/>
      <c r="K419" s="13" t="s">
        <v>659</v>
      </c>
      <c r="L419" s="13" t="s">
        <v>2265</v>
      </c>
      <c r="M419" s="13"/>
    </row>
    <row r="420" customFormat="false" ht="15" hidden="false" customHeight="false" outlineLevel="0" collapsed="false">
      <c r="A420" s="13" t="s">
        <v>628</v>
      </c>
      <c r="B420" s="13" t="s">
        <v>627</v>
      </c>
      <c r="C420" s="13" t="s">
        <v>2254</v>
      </c>
      <c r="D420" s="13" t="s">
        <v>59</v>
      </c>
      <c r="E420" s="13" t="s">
        <v>879</v>
      </c>
      <c r="F420" s="13" t="s">
        <v>880</v>
      </c>
      <c r="G420" s="61" t="n">
        <v>8234179743</v>
      </c>
      <c r="H420" s="13" t="s">
        <v>2255</v>
      </c>
      <c r="I420" s="13"/>
      <c r="J420" s="13"/>
      <c r="K420" s="13" t="s">
        <v>2256</v>
      </c>
      <c r="L420" s="13" t="s">
        <v>2257</v>
      </c>
      <c r="M420" s="13"/>
    </row>
    <row r="421" customFormat="false" ht="15" hidden="false" customHeight="false" outlineLevel="0" collapsed="false">
      <c r="A421" s="13" t="s">
        <v>628</v>
      </c>
      <c r="B421" s="13" t="s">
        <v>627</v>
      </c>
      <c r="C421" s="13" t="s">
        <v>2258</v>
      </c>
      <c r="D421" s="13" t="s">
        <v>59</v>
      </c>
      <c r="E421" s="13" t="s">
        <v>879</v>
      </c>
      <c r="F421" s="13" t="s">
        <v>880</v>
      </c>
      <c r="G421" s="61" t="n">
        <v>35938489892</v>
      </c>
      <c r="H421" s="13" t="s">
        <v>2255</v>
      </c>
      <c r="I421" s="13"/>
      <c r="J421" s="13"/>
      <c r="K421" s="13" t="s">
        <v>2259</v>
      </c>
      <c r="L421" s="13" t="s">
        <v>2260</v>
      </c>
      <c r="M421" s="13"/>
    </row>
    <row r="422" customFormat="false" ht="15" hidden="false" customHeight="false" outlineLevel="0" collapsed="false">
      <c r="A422" s="13" t="s">
        <v>628</v>
      </c>
      <c r="B422" s="13" t="s">
        <v>627</v>
      </c>
      <c r="C422" s="13" t="s">
        <v>2261</v>
      </c>
      <c r="D422" s="13" t="s">
        <v>59</v>
      </c>
      <c r="E422" s="13" t="s">
        <v>879</v>
      </c>
      <c r="F422" s="13" t="s">
        <v>880</v>
      </c>
      <c r="G422" s="61" t="n">
        <v>55026783857</v>
      </c>
      <c r="H422" s="13" t="s">
        <v>2255</v>
      </c>
      <c r="I422" s="13"/>
      <c r="J422" s="13"/>
      <c r="K422" s="13" t="s">
        <v>2262</v>
      </c>
      <c r="L422" s="13" t="s">
        <v>2263</v>
      </c>
      <c r="M422" s="13"/>
    </row>
    <row r="423" customFormat="false" ht="15" hidden="false" customHeight="false" outlineLevel="0" collapsed="false">
      <c r="A423" s="13" t="s">
        <v>628</v>
      </c>
      <c r="B423" s="13" t="s">
        <v>627</v>
      </c>
      <c r="C423" s="13" t="s">
        <v>2264</v>
      </c>
      <c r="D423" s="13" t="s">
        <v>59</v>
      </c>
      <c r="E423" s="13" t="s">
        <v>879</v>
      </c>
      <c r="F423" s="13" t="s">
        <v>880</v>
      </c>
      <c r="G423" s="61" t="n">
        <v>77433266746</v>
      </c>
      <c r="H423" s="13" t="s">
        <v>2255</v>
      </c>
      <c r="I423" s="13"/>
      <c r="J423" s="13"/>
      <c r="K423" s="13" t="s">
        <v>657</v>
      </c>
      <c r="L423" s="13" t="s">
        <v>2265</v>
      </c>
      <c r="M423" s="13"/>
    </row>
    <row r="424" customFormat="false" ht="15" hidden="false" customHeight="false" outlineLevel="0" collapsed="false">
      <c r="A424" s="13" t="s">
        <v>628</v>
      </c>
      <c r="B424" s="13" t="s">
        <v>627</v>
      </c>
      <c r="C424" s="13" t="s">
        <v>2266</v>
      </c>
      <c r="D424" s="13" t="s">
        <v>59</v>
      </c>
      <c r="E424" s="13" t="s">
        <v>879</v>
      </c>
      <c r="F424" s="13" t="s">
        <v>880</v>
      </c>
      <c r="G424" s="61" t="n">
        <v>53531597866</v>
      </c>
      <c r="H424" s="13" t="s">
        <v>2255</v>
      </c>
      <c r="I424" s="13"/>
      <c r="J424" s="13"/>
      <c r="K424" s="13" t="s">
        <v>658</v>
      </c>
      <c r="L424" s="13" t="s">
        <v>2265</v>
      </c>
      <c r="M424" s="13"/>
    </row>
    <row r="425" customFormat="false" ht="15" hidden="false" customHeight="false" outlineLevel="0" collapsed="false">
      <c r="A425" s="13" t="s">
        <v>628</v>
      </c>
      <c r="B425" s="13" t="s">
        <v>627</v>
      </c>
      <c r="C425" s="13" t="s">
        <v>2267</v>
      </c>
      <c r="D425" s="13" t="s">
        <v>59</v>
      </c>
      <c r="E425" s="13" t="s">
        <v>879</v>
      </c>
      <c r="F425" s="13" t="s">
        <v>880</v>
      </c>
      <c r="G425" s="61" t="n">
        <v>118334918295</v>
      </c>
      <c r="H425" s="13" t="s">
        <v>2255</v>
      </c>
      <c r="I425" s="13"/>
      <c r="J425" s="13"/>
      <c r="K425" s="13" t="s">
        <v>659</v>
      </c>
      <c r="L425" s="13" t="s">
        <v>2265</v>
      </c>
      <c r="M425" s="13"/>
    </row>
    <row r="426" customFormat="false" ht="15" hidden="false" customHeight="false" outlineLevel="0" collapsed="false">
      <c r="A426" s="13" t="s">
        <v>628</v>
      </c>
      <c r="B426" s="13" t="s">
        <v>627</v>
      </c>
      <c r="C426" s="13" t="s">
        <v>2254</v>
      </c>
      <c r="D426" s="13" t="s">
        <v>59</v>
      </c>
      <c r="E426" s="13" t="s">
        <v>882</v>
      </c>
      <c r="F426" s="13" t="s">
        <v>883</v>
      </c>
      <c r="G426" s="61" t="n">
        <v>429621623605</v>
      </c>
      <c r="H426" s="13" t="s">
        <v>2255</v>
      </c>
      <c r="I426" s="13"/>
      <c r="J426" s="13"/>
      <c r="K426" s="13" t="s">
        <v>2256</v>
      </c>
      <c r="L426" s="13" t="s">
        <v>2257</v>
      </c>
      <c r="M426" s="13" t="s">
        <v>2268</v>
      </c>
    </row>
    <row r="427" customFormat="false" ht="15" hidden="false" customHeight="false" outlineLevel="0" collapsed="false">
      <c r="A427" s="13" t="s">
        <v>628</v>
      </c>
      <c r="B427" s="13" t="s">
        <v>627</v>
      </c>
      <c r="C427" s="13" t="s">
        <v>2258</v>
      </c>
      <c r="D427" s="13" t="s">
        <v>59</v>
      </c>
      <c r="E427" s="13" t="s">
        <v>882</v>
      </c>
      <c r="F427" s="13" t="s">
        <v>883</v>
      </c>
      <c r="G427" s="61" t="n">
        <v>280983395942</v>
      </c>
      <c r="H427" s="13" t="s">
        <v>2255</v>
      </c>
      <c r="I427" s="13"/>
      <c r="J427" s="13"/>
      <c r="K427" s="13" t="s">
        <v>2259</v>
      </c>
      <c r="L427" s="13" t="s">
        <v>2260</v>
      </c>
      <c r="M427" s="13" t="s">
        <v>2268</v>
      </c>
    </row>
    <row r="428" customFormat="false" ht="15" hidden="false" customHeight="false" outlineLevel="0" collapsed="false">
      <c r="A428" s="13" t="s">
        <v>628</v>
      </c>
      <c r="B428" s="13" t="s">
        <v>627</v>
      </c>
      <c r="C428" s="13" t="s">
        <v>2261</v>
      </c>
      <c r="D428" s="13" t="s">
        <v>59</v>
      </c>
      <c r="E428" s="13" t="s">
        <v>882</v>
      </c>
      <c r="F428" s="13" t="s">
        <v>883</v>
      </c>
      <c r="G428" s="61" t="n">
        <v>486515696314</v>
      </c>
      <c r="H428" s="13" t="s">
        <v>2255</v>
      </c>
      <c r="I428" s="13"/>
      <c r="J428" s="13"/>
      <c r="K428" s="13" t="s">
        <v>2262</v>
      </c>
      <c r="L428" s="13" t="s">
        <v>2263</v>
      </c>
      <c r="M428" s="13" t="s">
        <v>2268</v>
      </c>
    </row>
    <row r="429" customFormat="false" ht="15" hidden="false" customHeight="false" outlineLevel="0" collapsed="false">
      <c r="A429" s="13" t="s">
        <v>628</v>
      </c>
      <c r="B429" s="13" t="s">
        <v>627</v>
      </c>
      <c r="C429" s="13" t="s">
        <v>2264</v>
      </c>
      <c r="D429" s="13" t="s">
        <v>59</v>
      </c>
      <c r="E429" s="13" t="s">
        <v>882</v>
      </c>
      <c r="F429" s="13" t="s">
        <v>883</v>
      </c>
      <c r="G429" s="61" t="n">
        <v>713494578983</v>
      </c>
      <c r="H429" s="13" t="s">
        <v>2255</v>
      </c>
      <c r="I429" s="13"/>
      <c r="J429" s="13"/>
      <c r="K429" s="13" t="s">
        <v>657</v>
      </c>
      <c r="L429" s="13" t="s">
        <v>2265</v>
      </c>
      <c r="M429" s="13" t="s">
        <v>2268</v>
      </c>
    </row>
    <row r="430" customFormat="false" ht="15" hidden="false" customHeight="false" outlineLevel="0" collapsed="false">
      <c r="A430" s="13" t="s">
        <v>628</v>
      </c>
      <c r="B430" s="13" t="s">
        <v>627</v>
      </c>
      <c r="C430" s="13" t="s">
        <v>2266</v>
      </c>
      <c r="D430" s="13" t="s">
        <v>59</v>
      </c>
      <c r="E430" s="13" t="s">
        <v>882</v>
      </c>
      <c r="F430" s="13" t="s">
        <v>883</v>
      </c>
      <c r="G430" s="61" t="n">
        <v>730209250551</v>
      </c>
      <c r="H430" s="13" t="s">
        <v>2255</v>
      </c>
      <c r="I430" s="13"/>
      <c r="J430" s="13"/>
      <c r="K430" s="13" t="s">
        <v>658</v>
      </c>
      <c r="L430" s="13" t="s">
        <v>2265</v>
      </c>
      <c r="M430" s="13" t="s">
        <v>2268</v>
      </c>
    </row>
    <row r="431" customFormat="false" ht="15" hidden="false" customHeight="false" outlineLevel="0" collapsed="false">
      <c r="A431" s="13" t="s">
        <v>628</v>
      </c>
      <c r="B431" s="13" t="s">
        <v>627</v>
      </c>
      <c r="C431" s="13" t="s">
        <v>2267</v>
      </c>
      <c r="D431" s="13" t="s">
        <v>59</v>
      </c>
      <c r="E431" s="13" t="s">
        <v>882</v>
      </c>
      <c r="F431" s="13" t="s">
        <v>883</v>
      </c>
      <c r="G431" s="61" t="n">
        <v>875837547633</v>
      </c>
      <c r="H431" s="13" t="s">
        <v>2255</v>
      </c>
      <c r="I431" s="13"/>
      <c r="J431" s="13"/>
      <c r="K431" s="13" t="s">
        <v>659</v>
      </c>
      <c r="L431" s="13" t="s">
        <v>2265</v>
      </c>
      <c r="M431" s="13" t="s">
        <v>2268</v>
      </c>
    </row>
    <row r="432" customFormat="false" ht="15" hidden="false" customHeight="false" outlineLevel="0" collapsed="false">
      <c r="A432" s="13" t="s">
        <v>628</v>
      </c>
      <c r="B432" s="13" t="s">
        <v>627</v>
      </c>
      <c r="C432" s="13" t="s">
        <v>2254</v>
      </c>
      <c r="D432" s="13" t="s">
        <v>59</v>
      </c>
      <c r="E432" s="13" t="s">
        <v>884</v>
      </c>
      <c r="F432" s="13" t="s">
        <v>438</v>
      </c>
      <c r="G432" s="61" t="n">
        <v>1112837448853</v>
      </c>
      <c r="H432" s="13" t="s">
        <v>2255</v>
      </c>
      <c r="I432" s="13"/>
      <c r="J432" s="13"/>
      <c r="K432" s="13" t="s">
        <v>2256</v>
      </c>
      <c r="L432" s="13" t="s">
        <v>2257</v>
      </c>
      <c r="M432" s="13" t="s">
        <v>2268</v>
      </c>
    </row>
    <row r="433" customFormat="false" ht="15" hidden="false" customHeight="false" outlineLevel="0" collapsed="false">
      <c r="A433" s="13" t="s">
        <v>628</v>
      </c>
      <c r="B433" s="13" t="s">
        <v>627</v>
      </c>
      <c r="C433" s="13" t="s">
        <v>2258</v>
      </c>
      <c r="D433" s="13" t="s">
        <v>59</v>
      </c>
      <c r="E433" s="13" t="s">
        <v>884</v>
      </c>
      <c r="F433" s="13" t="s">
        <v>438</v>
      </c>
      <c r="G433" s="61" t="n">
        <v>1017480520778</v>
      </c>
      <c r="H433" s="13" t="s">
        <v>2255</v>
      </c>
      <c r="I433" s="13"/>
      <c r="J433" s="13"/>
      <c r="K433" s="13" t="s">
        <v>2259</v>
      </c>
      <c r="L433" s="13" t="s">
        <v>2260</v>
      </c>
      <c r="M433" s="13" t="s">
        <v>2268</v>
      </c>
    </row>
    <row r="434" customFormat="false" ht="15" hidden="false" customHeight="false" outlineLevel="0" collapsed="false">
      <c r="A434" s="13" t="s">
        <v>628</v>
      </c>
      <c r="B434" s="13" t="s">
        <v>627</v>
      </c>
      <c r="C434" s="13" t="s">
        <v>2261</v>
      </c>
      <c r="D434" s="13" t="s">
        <v>59</v>
      </c>
      <c r="E434" s="13" t="s">
        <v>884</v>
      </c>
      <c r="F434" s="13" t="s">
        <v>438</v>
      </c>
      <c r="G434" s="61" t="n">
        <v>1130377704585</v>
      </c>
      <c r="H434" s="13" t="s">
        <v>2255</v>
      </c>
      <c r="I434" s="13"/>
      <c r="J434" s="13"/>
      <c r="K434" s="13" t="s">
        <v>2262</v>
      </c>
      <c r="L434" s="13" t="s">
        <v>2263</v>
      </c>
      <c r="M434" s="13" t="s">
        <v>2268</v>
      </c>
    </row>
    <row r="435" customFormat="false" ht="15" hidden="false" customHeight="false" outlineLevel="0" collapsed="false">
      <c r="A435" s="13" t="s">
        <v>628</v>
      </c>
      <c r="B435" s="13" t="s">
        <v>627</v>
      </c>
      <c r="C435" s="13" t="s">
        <v>2264</v>
      </c>
      <c r="D435" s="13" t="s">
        <v>59</v>
      </c>
      <c r="E435" s="13" t="s">
        <v>884</v>
      </c>
      <c r="F435" s="13" t="s">
        <v>438</v>
      </c>
      <c r="G435" s="61" t="n">
        <v>1283126125996</v>
      </c>
      <c r="H435" s="13" t="s">
        <v>2255</v>
      </c>
      <c r="I435" s="13"/>
      <c r="J435" s="13"/>
      <c r="K435" s="13" t="s">
        <v>657</v>
      </c>
      <c r="L435" s="13" t="s">
        <v>2265</v>
      </c>
      <c r="M435" s="13" t="s">
        <v>2268</v>
      </c>
    </row>
    <row r="436" customFormat="false" ht="15" hidden="false" customHeight="false" outlineLevel="0" collapsed="false">
      <c r="A436" s="13" t="s">
        <v>628</v>
      </c>
      <c r="B436" s="13" t="s">
        <v>627</v>
      </c>
      <c r="C436" s="13" t="s">
        <v>2266</v>
      </c>
      <c r="D436" s="13" t="s">
        <v>59</v>
      </c>
      <c r="E436" s="13" t="s">
        <v>884</v>
      </c>
      <c r="F436" s="13" t="s">
        <v>438</v>
      </c>
      <c r="G436" s="61" t="n">
        <v>1298625219027</v>
      </c>
      <c r="H436" s="13" t="s">
        <v>2255</v>
      </c>
      <c r="I436" s="13"/>
      <c r="J436" s="13"/>
      <c r="K436" s="13" t="s">
        <v>658</v>
      </c>
      <c r="L436" s="13" t="s">
        <v>2265</v>
      </c>
      <c r="M436" s="13" t="s">
        <v>2268</v>
      </c>
    </row>
    <row r="437" customFormat="false" ht="15" hidden="false" customHeight="false" outlineLevel="0" collapsed="false">
      <c r="A437" s="13" t="s">
        <v>628</v>
      </c>
      <c r="B437" s="13" t="s">
        <v>627</v>
      </c>
      <c r="C437" s="13" t="s">
        <v>2267</v>
      </c>
      <c r="D437" s="13" t="s">
        <v>59</v>
      </c>
      <c r="E437" s="13" t="s">
        <v>884</v>
      </c>
      <c r="F437" s="13" t="s">
        <v>438</v>
      </c>
      <c r="G437" s="61" t="n">
        <v>1621922418632</v>
      </c>
      <c r="H437" s="13" t="s">
        <v>2255</v>
      </c>
      <c r="I437" s="13"/>
      <c r="J437" s="13"/>
      <c r="K437" s="13" t="s">
        <v>659</v>
      </c>
      <c r="L437" s="13" t="s">
        <v>2265</v>
      </c>
      <c r="M437" s="13" t="s">
        <v>2268</v>
      </c>
    </row>
    <row r="438" customFormat="false" ht="15" hidden="false" customHeight="false" outlineLevel="0" collapsed="false">
      <c r="A438" s="13" t="s">
        <v>628</v>
      </c>
      <c r="B438" s="13" t="s">
        <v>627</v>
      </c>
      <c r="C438" s="13" t="s">
        <v>2254</v>
      </c>
      <c r="D438" s="13" t="s">
        <v>59</v>
      </c>
      <c r="E438" s="13" t="s">
        <v>885</v>
      </c>
      <c r="F438" s="13" t="s">
        <v>886</v>
      </c>
      <c r="G438" s="61" t="n">
        <v>150000000000</v>
      </c>
      <c r="H438" s="13" t="s">
        <v>2255</v>
      </c>
      <c r="I438" s="13"/>
      <c r="J438" s="13"/>
      <c r="K438" s="13" t="s">
        <v>2256</v>
      </c>
      <c r="L438" s="13" t="s">
        <v>2257</v>
      </c>
      <c r="M438" s="13"/>
    </row>
    <row r="439" customFormat="false" ht="15" hidden="false" customHeight="false" outlineLevel="0" collapsed="false">
      <c r="A439" s="13" t="s">
        <v>628</v>
      </c>
      <c r="B439" s="13" t="s">
        <v>627</v>
      </c>
      <c r="C439" s="13" t="s">
        <v>2258</v>
      </c>
      <c r="D439" s="13" t="s">
        <v>59</v>
      </c>
      <c r="E439" s="13" t="s">
        <v>885</v>
      </c>
      <c r="F439" s="13" t="s">
        <v>886</v>
      </c>
      <c r="G439" s="61" t="n">
        <v>172068323520</v>
      </c>
      <c r="H439" s="13" t="s">
        <v>2255</v>
      </c>
      <c r="I439" s="13"/>
      <c r="J439" s="13"/>
      <c r="K439" s="13" t="s">
        <v>2259</v>
      </c>
      <c r="L439" s="13" t="s">
        <v>2260</v>
      </c>
      <c r="M439" s="13"/>
    </row>
    <row r="440" customFormat="false" ht="15" hidden="false" customHeight="false" outlineLevel="0" collapsed="false">
      <c r="A440" s="13" t="s">
        <v>628</v>
      </c>
      <c r="B440" s="13" t="s">
        <v>627</v>
      </c>
      <c r="C440" s="13" t="s">
        <v>2261</v>
      </c>
      <c r="D440" s="13" t="s">
        <v>59</v>
      </c>
      <c r="E440" s="13" t="s">
        <v>885</v>
      </c>
      <c r="F440" s="13" t="s">
        <v>886</v>
      </c>
      <c r="G440" s="61" t="n">
        <v>172068323520</v>
      </c>
      <c r="H440" s="13" t="s">
        <v>2255</v>
      </c>
      <c r="I440" s="13"/>
      <c r="J440" s="13"/>
      <c r="K440" s="13" t="s">
        <v>2262</v>
      </c>
      <c r="L440" s="13" t="s">
        <v>2263</v>
      </c>
      <c r="M440" s="13"/>
    </row>
    <row r="441" customFormat="false" ht="15" hidden="false" customHeight="false" outlineLevel="0" collapsed="false">
      <c r="A441" s="13" t="s">
        <v>628</v>
      </c>
      <c r="B441" s="13" t="s">
        <v>627</v>
      </c>
      <c r="C441" s="13" t="s">
        <v>2264</v>
      </c>
      <c r="D441" s="13" t="s">
        <v>59</v>
      </c>
      <c r="E441" s="13" t="s">
        <v>885</v>
      </c>
      <c r="F441" s="13" t="s">
        <v>886</v>
      </c>
      <c r="G441" s="61" t="n">
        <v>172068323520</v>
      </c>
      <c r="H441" s="13" t="s">
        <v>2255</v>
      </c>
      <c r="I441" s="13"/>
      <c r="J441" s="13"/>
      <c r="K441" s="13" t="s">
        <v>657</v>
      </c>
      <c r="L441" s="13" t="s">
        <v>2265</v>
      </c>
      <c r="M441" s="13"/>
    </row>
    <row r="442" customFormat="false" ht="15" hidden="false" customHeight="false" outlineLevel="0" collapsed="false">
      <c r="A442" s="13" t="s">
        <v>628</v>
      </c>
      <c r="B442" s="13" t="s">
        <v>627</v>
      </c>
      <c r="C442" s="13" t="s">
        <v>2266</v>
      </c>
      <c r="D442" s="13" t="s">
        <v>59</v>
      </c>
      <c r="E442" s="13" t="s">
        <v>885</v>
      </c>
      <c r="F442" s="13" t="s">
        <v>886</v>
      </c>
      <c r="G442" s="61" t="n">
        <v>172068323520</v>
      </c>
      <c r="H442" s="13" t="s">
        <v>2255</v>
      </c>
      <c r="I442" s="13"/>
      <c r="J442" s="13"/>
      <c r="K442" s="13" t="s">
        <v>658</v>
      </c>
      <c r="L442" s="13" t="s">
        <v>2265</v>
      </c>
      <c r="M442" s="13"/>
    </row>
    <row r="443" customFormat="false" ht="15" hidden="false" customHeight="false" outlineLevel="0" collapsed="false">
      <c r="A443" s="13" t="s">
        <v>628</v>
      </c>
      <c r="B443" s="13" t="s">
        <v>627</v>
      </c>
      <c r="C443" s="13" t="s">
        <v>2267</v>
      </c>
      <c r="D443" s="13" t="s">
        <v>59</v>
      </c>
      <c r="E443" s="13" t="s">
        <v>885</v>
      </c>
      <c r="F443" s="13" t="s">
        <v>886</v>
      </c>
      <c r="G443" s="61" t="n">
        <v>172068323520</v>
      </c>
      <c r="H443" s="13" t="s">
        <v>2255</v>
      </c>
      <c r="I443" s="13"/>
      <c r="J443" s="13"/>
      <c r="K443" s="13" t="s">
        <v>659</v>
      </c>
      <c r="L443" s="13" t="s">
        <v>2265</v>
      </c>
      <c r="M443" s="13"/>
    </row>
    <row r="444" customFormat="false" ht="15" hidden="false" customHeight="false" outlineLevel="0" collapsed="false">
      <c r="A444" s="13" t="s">
        <v>628</v>
      </c>
      <c r="B444" s="13" t="s">
        <v>627</v>
      </c>
      <c r="C444" s="13" t="s">
        <v>2254</v>
      </c>
      <c r="D444" s="13" t="s">
        <v>59</v>
      </c>
      <c r="E444" s="13" t="s">
        <v>888</v>
      </c>
      <c r="F444" s="13" t="s">
        <v>889</v>
      </c>
      <c r="G444" s="61" t="n">
        <v>74440819965</v>
      </c>
      <c r="H444" s="13" t="s">
        <v>2255</v>
      </c>
      <c r="I444" s="13"/>
      <c r="J444" s="13"/>
      <c r="K444" s="13" t="s">
        <v>2256</v>
      </c>
      <c r="L444" s="13" t="s">
        <v>2257</v>
      </c>
      <c r="M444" s="13"/>
    </row>
    <row r="445" customFormat="false" ht="15" hidden="false" customHeight="false" outlineLevel="0" collapsed="false">
      <c r="A445" s="13" t="s">
        <v>628</v>
      </c>
      <c r="B445" s="13" t="s">
        <v>627</v>
      </c>
      <c r="C445" s="13" t="s">
        <v>2258</v>
      </c>
      <c r="D445" s="13" t="s">
        <v>59</v>
      </c>
      <c r="E445" s="13" t="s">
        <v>888</v>
      </c>
      <c r="F445" s="13" t="s">
        <v>889</v>
      </c>
      <c r="G445" s="61" t="n">
        <v>449168394522</v>
      </c>
      <c r="H445" s="13" t="s">
        <v>2255</v>
      </c>
      <c r="I445" s="13"/>
      <c r="J445" s="13"/>
      <c r="K445" s="13" t="s">
        <v>2259</v>
      </c>
      <c r="L445" s="13" t="s">
        <v>2260</v>
      </c>
      <c r="M445" s="13"/>
    </row>
    <row r="446" customFormat="false" ht="15" hidden="false" customHeight="false" outlineLevel="0" collapsed="false">
      <c r="A446" s="13" t="s">
        <v>628</v>
      </c>
      <c r="B446" s="13" t="s">
        <v>627</v>
      </c>
      <c r="C446" s="13" t="s">
        <v>2261</v>
      </c>
      <c r="D446" s="13" t="s">
        <v>59</v>
      </c>
      <c r="E446" s="13" t="s">
        <v>888</v>
      </c>
      <c r="F446" s="13" t="s">
        <v>889</v>
      </c>
      <c r="G446" s="61" t="n">
        <v>437383152743</v>
      </c>
      <c r="H446" s="13" t="s">
        <v>2255</v>
      </c>
      <c r="I446" s="13"/>
      <c r="J446" s="13"/>
      <c r="K446" s="13" t="s">
        <v>2262</v>
      </c>
      <c r="L446" s="13" t="s">
        <v>2263</v>
      </c>
      <c r="M446" s="13"/>
    </row>
    <row r="447" customFormat="false" ht="15" hidden="false" customHeight="false" outlineLevel="0" collapsed="false">
      <c r="A447" s="13" t="s">
        <v>628</v>
      </c>
      <c r="B447" s="13" t="s">
        <v>627</v>
      </c>
      <c r="C447" s="13" t="s">
        <v>2264</v>
      </c>
      <c r="D447" s="13" t="s">
        <v>59</v>
      </c>
      <c r="E447" s="13" t="s">
        <v>888</v>
      </c>
      <c r="F447" s="13" t="s">
        <v>889</v>
      </c>
      <c r="G447" s="61" t="n">
        <v>437383152743</v>
      </c>
      <c r="H447" s="13" t="s">
        <v>2255</v>
      </c>
      <c r="I447" s="13"/>
      <c r="J447" s="13"/>
      <c r="K447" s="13" t="s">
        <v>657</v>
      </c>
      <c r="L447" s="13" t="s">
        <v>2265</v>
      </c>
      <c r="M447" s="13"/>
    </row>
    <row r="448" customFormat="false" ht="15" hidden="false" customHeight="false" outlineLevel="0" collapsed="false">
      <c r="A448" s="13" t="s">
        <v>628</v>
      </c>
      <c r="B448" s="13" t="s">
        <v>627</v>
      </c>
      <c r="C448" s="13" t="s">
        <v>2266</v>
      </c>
      <c r="D448" s="13" t="s">
        <v>59</v>
      </c>
      <c r="E448" s="13" t="s">
        <v>888</v>
      </c>
      <c r="F448" s="13" t="s">
        <v>889</v>
      </c>
      <c r="G448" s="61" t="n">
        <v>556675032353</v>
      </c>
      <c r="H448" s="13" t="s">
        <v>2255</v>
      </c>
      <c r="I448" s="13"/>
      <c r="J448" s="13"/>
      <c r="K448" s="13" t="s">
        <v>658</v>
      </c>
      <c r="L448" s="13" t="s">
        <v>2265</v>
      </c>
      <c r="M448" s="13"/>
    </row>
    <row r="449" customFormat="false" ht="15" hidden="false" customHeight="false" outlineLevel="0" collapsed="false">
      <c r="A449" s="13" t="s">
        <v>628</v>
      </c>
      <c r="B449" s="13" t="s">
        <v>627</v>
      </c>
      <c r="C449" s="13" t="s">
        <v>2267</v>
      </c>
      <c r="D449" s="13" t="s">
        <v>59</v>
      </c>
      <c r="E449" s="13" t="s">
        <v>888</v>
      </c>
      <c r="F449" s="13" t="s">
        <v>889</v>
      </c>
      <c r="G449" s="61" t="n">
        <v>556636429244</v>
      </c>
      <c r="H449" s="13" t="s">
        <v>2255</v>
      </c>
      <c r="I449" s="13"/>
      <c r="J449" s="13"/>
      <c r="K449" s="13" t="s">
        <v>659</v>
      </c>
      <c r="L449" s="13" t="s">
        <v>2265</v>
      </c>
      <c r="M449" s="13"/>
    </row>
    <row r="450" customFormat="false" ht="15" hidden="false" customHeight="false" outlineLevel="0" collapsed="false">
      <c r="A450" s="13" t="s">
        <v>628</v>
      </c>
      <c r="B450" s="13" t="s">
        <v>627</v>
      </c>
      <c r="C450" s="13" t="s">
        <v>2254</v>
      </c>
      <c r="D450" s="13" t="s">
        <v>59</v>
      </c>
      <c r="E450" s="13" t="s">
        <v>891</v>
      </c>
      <c r="F450" s="13" t="s">
        <v>892</v>
      </c>
      <c r="G450" s="61" t="n">
        <v>0</v>
      </c>
      <c r="H450" s="13" t="s">
        <v>2255</v>
      </c>
      <c r="I450" s="13"/>
      <c r="J450" s="13"/>
      <c r="K450" s="13" t="s">
        <v>2256</v>
      </c>
      <c r="L450" s="13" t="s">
        <v>2257</v>
      </c>
      <c r="M450" s="13"/>
    </row>
    <row r="451" customFormat="false" ht="15" hidden="false" customHeight="false" outlineLevel="0" collapsed="false">
      <c r="A451" s="13" t="s">
        <v>628</v>
      </c>
      <c r="B451" s="13" t="s">
        <v>627</v>
      </c>
      <c r="C451" s="13" t="s">
        <v>2258</v>
      </c>
      <c r="D451" s="13" t="s">
        <v>59</v>
      </c>
      <c r="E451" s="13" t="s">
        <v>891</v>
      </c>
      <c r="F451" s="13" t="s">
        <v>892</v>
      </c>
      <c r="G451" s="61" t="n">
        <v>0</v>
      </c>
      <c r="H451" s="13" t="s">
        <v>2255</v>
      </c>
      <c r="I451" s="13"/>
      <c r="J451" s="13"/>
      <c r="K451" s="13" t="s">
        <v>2259</v>
      </c>
      <c r="L451" s="13" t="s">
        <v>2260</v>
      </c>
      <c r="M451" s="13"/>
    </row>
    <row r="452" customFormat="false" ht="15" hidden="false" customHeight="false" outlineLevel="0" collapsed="false">
      <c r="A452" s="13" t="s">
        <v>628</v>
      </c>
      <c r="B452" s="13" t="s">
        <v>627</v>
      </c>
      <c r="C452" s="13" t="s">
        <v>2261</v>
      </c>
      <c r="D452" s="13" t="s">
        <v>59</v>
      </c>
      <c r="E452" s="13" t="s">
        <v>891</v>
      </c>
      <c r="F452" s="13" t="s">
        <v>892</v>
      </c>
      <c r="G452" s="61" t="n">
        <v>0</v>
      </c>
      <c r="H452" s="13" t="s">
        <v>2255</v>
      </c>
      <c r="I452" s="13"/>
      <c r="J452" s="13"/>
      <c r="K452" s="13" t="s">
        <v>2262</v>
      </c>
      <c r="L452" s="13" t="s">
        <v>2263</v>
      </c>
      <c r="M452" s="13"/>
    </row>
    <row r="453" customFormat="false" ht="15" hidden="false" customHeight="false" outlineLevel="0" collapsed="false">
      <c r="A453" s="13" t="s">
        <v>628</v>
      </c>
      <c r="B453" s="13" t="s">
        <v>627</v>
      </c>
      <c r="C453" s="13" t="s">
        <v>2264</v>
      </c>
      <c r="D453" s="13" t="s">
        <v>59</v>
      </c>
      <c r="E453" s="13" t="s">
        <v>891</v>
      </c>
      <c r="F453" s="13" t="s">
        <v>892</v>
      </c>
      <c r="G453" s="61" t="n">
        <v>-2383756076</v>
      </c>
      <c r="H453" s="13" t="s">
        <v>2255</v>
      </c>
      <c r="I453" s="13"/>
      <c r="J453" s="13"/>
      <c r="K453" s="13" t="s">
        <v>657</v>
      </c>
      <c r="L453" s="13" t="s">
        <v>2265</v>
      </c>
      <c r="M453" s="13"/>
    </row>
    <row r="454" customFormat="false" ht="15" hidden="false" customHeight="false" outlineLevel="0" collapsed="false">
      <c r="A454" s="13" t="s">
        <v>628</v>
      </c>
      <c r="B454" s="13" t="s">
        <v>627</v>
      </c>
      <c r="C454" s="13" t="s">
        <v>2266</v>
      </c>
      <c r="D454" s="13" t="s">
        <v>59</v>
      </c>
      <c r="E454" s="13" t="s">
        <v>891</v>
      </c>
      <c r="F454" s="13" t="s">
        <v>892</v>
      </c>
      <c r="G454" s="61" t="n">
        <v>-2383756076</v>
      </c>
      <c r="H454" s="13" t="s">
        <v>2255</v>
      </c>
      <c r="I454" s="13"/>
      <c r="J454" s="13"/>
      <c r="K454" s="13" t="s">
        <v>658</v>
      </c>
      <c r="L454" s="13" t="s">
        <v>2265</v>
      </c>
      <c r="M454" s="13"/>
    </row>
    <row r="455" customFormat="false" ht="15" hidden="false" customHeight="false" outlineLevel="0" collapsed="false">
      <c r="A455" s="13" t="s">
        <v>628</v>
      </c>
      <c r="B455" s="13" t="s">
        <v>627</v>
      </c>
      <c r="C455" s="13" t="s">
        <v>2267</v>
      </c>
      <c r="D455" s="13" t="s">
        <v>59</v>
      </c>
      <c r="E455" s="13" t="s">
        <v>891</v>
      </c>
      <c r="F455" s="13" t="s">
        <v>892</v>
      </c>
      <c r="G455" s="61" t="n">
        <v>-2383756076</v>
      </c>
      <c r="H455" s="13" t="s">
        <v>2255</v>
      </c>
      <c r="I455" s="13"/>
      <c r="J455" s="13"/>
      <c r="K455" s="13" t="s">
        <v>659</v>
      </c>
      <c r="L455" s="13" t="s">
        <v>2265</v>
      </c>
      <c r="M455" s="13"/>
    </row>
    <row r="456" customFormat="false" ht="15" hidden="false" customHeight="false" outlineLevel="0" collapsed="false">
      <c r="A456" s="13" t="s">
        <v>628</v>
      </c>
      <c r="B456" s="13" t="s">
        <v>627</v>
      </c>
      <c r="C456" s="13" t="s">
        <v>2254</v>
      </c>
      <c r="D456" s="13" t="s">
        <v>59</v>
      </c>
      <c r="E456" s="13" t="s">
        <v>894</v>
      </c>
      <c r="F456" s="13" t="s">
        <v>895</v>
      </c>
      <c r="G456" s="61" t="n">
        <v>690499269307</v>
      </c>
      <c r="H456" s="13" t="s">
        <v>2255</v>
      </c>
      <c r="I456" s="13"/>
      <c r="J456" s="13"/>
      <c r="K456" s="13" t="s">
        <v>2256</v>
      </c>
      <c r="L456" s="13" t="s">
        <v>2257</v>
      </c>
      <c r="M456" s="13"/>
    </row>
    <row r="457" customFormat="false" ht="15" hidden="false" customHeight="false" outlineLevel="0" collapsed="false">
      <c r="A457" s="13" t="s">
        <v>628</v>
      </c>
      <c r="B457" s="13" t="s">
        <v>627</v>
      </c>
      <c r="C457" s="13" t="s">
        <v>2258</v>
      </c>
      <c r="D457" s="13" t="s">
        <v>59</v>
      </c>
      <c r="E457" s="13" t="s">
        <v>894</v>
      </c>
      <c r="F457" s="13" t="s">
        <v>895</v>
      </c>
      <c r="G457" s="61" t="n">
        <v>690499269307</v>
      </c>
      <c r="H457" s="13" t="s">
        <v>2255</v>
      </c>
      <c r="I457" s="13"/>
      <c r="J457" s="13"/>
      <c r="K457" s="13" t="s">
        <v>2259</v>
      </c>
      <c r="L457" s="13" t="s">
        <v>2260</v>
      </c>
      <c r="M457" s="13"/>
    </row>
    <row r="458" customFormat="false" ht="15" hidden="false" customHeight="false" outlineLevel="0" collapsed="false">
      <c r="A458" s="13" t="s">
        <v>628</v>
      </c>
      <c r="B458" s="13" t="s">
        <v>627</v>
      </c>
      <c r="C458" s="13" t="s">
        <v>2261</v>
      </c>
      <c r="D458" s="13" t="s">
        <v>59</v>
      </c>
      <c r="E458" s="13" t="s">
        <v>894</v>
      </c>
      <c r="F458" s="13" t="s">
        <v>895</v>
      </c>
      <c r="G458" s="61" t="n">
        <v>690499269307</v>
      </c>
      <c r="H458" s="13" t="s">
        <v>2255</v>
      </c>
      <c r="I458" s="13"/>
      <c r="J458" s="13"/>
      <c r="K458" s="13" t="s">
        <v>2262</v>
      </c>
      <c r="L458" s="13" t="s">
        <v>2263</v>
      </c>
      <c r="M458" s="13"/>
    </row>
    <row r="459" customFormat="false" ht="15" hidden="false" customHeight="false" outlineLevel="0" collapsed="false">
      <c r="A459" s="13" t="s">
        <v>628</v>
      </c>
      <c r="B459" s="13" t="s">
        <v>627</v>
      </c>
      <c r="C459" s="13" t="s">
        <v>2264</v>
      </c>
      <c r="D459" s="13" t="s">
        <v>59</v>
      </c>
      <c r="E459" s="13" t="s">
        <v>894</v>
      </c>
      <c r="F459" s="13" t="s">
        <v>895</v>
      </c>
      <c r="G459" s="61" t="n">
        <v>690499269307</v>
      </c>
      <c r="H459" s="13" t="s">
        <v>2255</v>
      </c>
      <c r="I459" s="13"/>
      <c r="J459" s="13"/>
      <c r="K459" s="13" t="s">
        <v>657</v>
      </c>
      <c r="L459" s="13" t="s">
        <v>2265</v>
      </c>
      <c r="M459" s="13"/>
    </row>
    <row r="460" customFormat="false" ht="15" hidden="false" customHeight="false" outlineLevel="0" collapsed="false">
      <c r="A460" s="13" t="s">
        <v>628</v>
      </c>
      <c r="B460" s="13" t="s">
        <v>627</v>
      </c>
      <c r="C460" s="13" t="s">
        <v>2266</v>
      </c>
      <c r="D460" s="13" t="s">
        <v>59</v>
      </c>
      <c r="E460" s="13" t="s">
        <v>894</v>
      </c>
      <c r="F460" s="13" t="s">
        <v>895</v>
      </c>
      <c r="G460" s="61" t="n">
        <v>690499269307</v>
      </c>
      <c r="H460" s="13" t="s">
        <v>2255</v>
      </c>
      <c r="I460" s="13"/>
      <c r="J460" s="13"/>
      <c r="K460" s="13" t="s">
        <v>658</v>
      </c>
      <c r="L460" s="13" t="s">
        <v>2265</v>
      </c>
      <c r="M460" s="13"/>
    </row>
    <row r="461" customFormat="false" ht="15" hidden="false" customHeight="false" outlineLevel="0" collapsed="false">
      <c r="A461" s="13" t="s">
        <v>628</v>
      </c>
      <c r="B461" s="13" t="s">
        <v>627</v>
      </c>
      <c r="C461" s="13" t="s">
        <v>2267</v>
      </c>
      <c r="D461" s="13" t="s">
        <v>59</v>
      </c>
      <c r="E461" s="13" t="s">
        <v>894</v>
      </c>
      <c r="F461" s="13" t="s">
        <v>895</v>
      </c>
      <c r="G461" s="61" t="n">
        <v>918899732919</v>
      </c>
      <c r="H461" s="13" t="s">
        <v>2255</v>
      </c>
      <c r="I461" s="13"/>
      <c r="J461" s="13"/>
      <c r="K461" s="13" t="s">
        <v>659</v>
      </c>
      <c r="L461" s="13" t="s">
        <v>2265</v>
      </c>
      <c r="M461" s="13"/>
    </row>
    <row r="462" customFormat="false" ht="15" hidden="false" customHeight="false" outlineLevel="0" collapsed="false">
      <c r="A462" s="13" t="s">
        <v>628</v>
      </c>
      <c r="B462" s="13" t="s">
        <v>627</v>
      </c>
      <c r="C462" s="13" t="s">
        <v>2254</v>
      </c>
      <c r="D462" s="13" t="s">
        <v>59</v>
      </c>
      <c r="E462" s="13" t="s">
        <v>897</v>
      </c>
      <c r="F462" s="13" t="s">
        <v>704</v>
      </c>
      <c r="G462" s="61" t="n">
        <v>-3362396679</v>
      </c>
      <c r="H462" s="13" t="s">
        <v>2255</v>
      </c>
      <c r="I462" s="13"/>
      <c r="J462" s="13"/>
      <c r="K462" s="13" t="s">
        <v>2256</v>
      </c>
      <c r="L462" s="13" t="s">
        <v>2257</v>
      </c>
      <c r="M462" s="13"/>
    </row>
    <row r="463" customFormat="false" ht="15" hidden="false" customHeight="false" outlineLevel="0" collapsed="false">
      <c r="A463" s="13" t="s">
        <v>628</v>
      </c>
      <c r="B463" s="13" t="s">
        <v>627</v>
      </c>
      <c r="C463" s="13" t="s">
        <v>2258</v>
      </c>
      <c r="D463" s="13" t="s">
        <v>59</v>
      </c>
      <c r="E463" s="13" t="s">
        <v>897</v>
      </c>
      <c r="F463" s="13" t="s">
        <v>704</v>
      </c>
      <c r="G463" s="61" t="n">
        <v>-7377842361</v>
      </c>
      <c r="H463" s="13" t="s">
        <v>2255</v>
      </c>
      <c r="I463" s="13"/>
      <c r="J463" s="13"/>
      <c r="K463" s="13" t="s">
        <v>2259</v>
      </c>
      <c r="L463" s="13" t="s">
        <v>2260</v>
      </c>
      <c r="M463" s="13"/>
    </row>
    <row r="464" customFormat="false" ht="15" hidden="false" customHeight="false" outlineLevel="0" collapsed="false">
      <c r="A464" s="13" t="s">
        <v>628</v>
      </c>
      <c r="B464" s="13" t="s">
        <v>627</v>
      </c>
      <c r="C464" s="13" t="s">
        <v>2261</v>
      </c>
      <c r="D464" s="13" t="s">
        <v>59</v>
      </c>
      <c r="E464" s="13" t="s">
        <v>897</v>
      </c>
      <c r="F464" s="13" t="s">
        <v>704</v>
      </c>
      <c r="G464" s="61" t="n">
        <v>-1893856934</v>
      </c>
      <c r="H464" s="13" t="s">
        <v>2255</v>
      </c>
      <c r="I464" s="13"/>
      <c r="J464" s="13"/>
      <c r="K464" s="13" t="s">
        <v>2262</v>
      </c>
      <c r="L464" s="13" t="s">
        <v>2263</v>
      </c>
      <c r="M464" s="13"/>
    </row>
    <row r="465" customFormat="false" ht="15" hidden="false" customHeight="false" outlineLevel="0" collapsed="false">
      <c r="A465" s="13" t="s">
        <v>628</v>
      </c>
      <c r="B465" s="13" t="s">
        <v>627</v>
      </c>
      <c r="C465" s="13" t="s">
        <v>2264</v>
      </c>
      <c r="D465" s="13" t="s">
        <v>59</v>
      </c>
      <c r="E465" s="13" t="s">
        <v>897</v>
      </c>
      <c r="F465" s="13" t="s">
        <v>704</v>
      </c>
      <c r="G465" s="61" t="n">
        <v>2475126730</v>
      </c>
      <c r="H465" s="13" t="s">
        <v>2255</v>
      </c>
      <c r="I465" s="13"/>
      <c r="J465" s="13"/>
      <c r="K465" s="13" t="s">
        <v>657</v>
      </c>
      <c r="L465" s="13" t="s">
        <v>2265</v>
      </c>
      <c r="M465" s="13"/>
    </row>
    <row r="466" customFormat="false" ht="15" hidden="false" customHeight="false" outlineLevel="0" collapsed="false">
      <c r="A466" s="13" t="s">
        <v>628</v>
      </c>
      <c r="B466" s="13" t="s">
        <v>627</v>
      </c>
      <c r="C466" s="13" t="s">
        <v>2266</v>
      </c>
      <c r="D466" s="13" t="s">
        <v>59</v>
      </c>
      <c r="E466" s="13" t="s">
        <v>897</v>
      </c>
      <c r="F466" s="13" t="s">
        <v>704</v>
      </c>
      <c r="G466" s="61" t="n">
        <v>2227180859</v>
      </c>
      <c r="H466" s="13" t="s">
        <v>2255</v>
      </c>
      <c r="I466" s="13"/>
      <c r="J466" s="13"/>
      <c r="K466" s="13" t="s">
        <v>658</v>
      </c>
      <c r="L466" s="13" t="s">
        <v>2265</v>
      </c>
      <c r="M466" s="13"/>
    </row>
    <row r="467" customFormat="false" ht="15" hidden="false" customHeight="false" outlineLevel="0" collapsed="false">
      <c r="A467" s="13" t="s">
        <v>628</v>
      </c>
      <c r="B467" s="13" t="s">
        <v>627</v>
      </c>
      <c r="C467" s="13" t="s">
        <v>2267</v>
      </c>
      <c r="D467" s="13" t="s">
        <v>59</v>
      </c>
      <c r="E467" s="13" t="s">
        <v>897</v>
      </c>
      <c r="F467" s="13" t="s">
        <v>704</v>
      </c>
      <c r="G467" s="61" t="n">
        <v>3504855110</v>
      </c>
      <c r="H467" s="13" t="s">
        <v>2255</v>
      </c>
      <c r="I467" s="13"/>
      <c r="J467" s="13"/>
      <c r="K467" s="13" t="s">
        <v>659</v>
      </c>
      <c r="L467" s="13" t="s">
        <v>2265</v>
      </c>
      <c r="M467" s="13"/>
    </row>
    <row r="468" customFormat="false" ht="15" hidden="false" customHeight="false" outlineLevel="0" collapsed="false">
      <c r="A468" s="13" t="s">
        <v>628</v>
      </c>
      <c r="B468" s="13" t="s">
        <v>627</v>
      </c>
      <c r="C468" s="13" t="s">
        <v>2254</v>
      </c>
      <c r="D468" s="13" t="s">
        <v>59</v>
      </c>
      <c r="E468" s="13" t="s">
        <v>899</v>
      </c>
      <c r="F468" s="13" t="s">
        <v>900</v>
      </c>
      <c r="G468" s="61" t="n">
        <v>-82146973</v>
      </c>
      <c r="H468" s="13" t="s">
        <v>2255</v>
      </c>
      <c r="I468" s="13"/>
      <c r="J468" s="13"/>
      <c r="K468" s="13" t="s">
        <v>2256</v>
      </c>
      <c r="L468" s="13" t="s">
        <v>2257</v>
      </c>
      <c r="M468" s="13"/>
    </row>
    <row r="469" customFormat="false" ht="15" hidden="false" customHeight="false" outlineLevel="0" collapsed="false">
      <c r="A469" s="13" t="s">
        <v>628</v>
      </c>
      <c r="B469" s="13" t="s">
        <v>627</v>
      </c>
      <c r="C469" s="13" t="s">
        <v>2254</v>
      </c>
      <c r="D469" s="13" t="s">
        <v>59</v>
      </c>
      <c r="E469" s="13" t="s">
        <v>902</v>
      </c>
      <c r="F469" s="13" t="s">
        <v>903</v>
      </c>
      <c r="G469" s="61" t="n">
        <v>0</v>
      </c>
      <c r="H469" s="13" t="s">
        <v>2255</v>
      </c>
      <c r="I469" s="13"/>
      <c r="J469" s="13"/>
      <c r="K469" s="13" t="s">
        <v>2256</v>
      </c>
      <c r="L469" s="13" t="s">
        <v>2257</v>
      </c>
      <c r="M469" s="13"/>
    </row>
    <row r="470" customFormat="false" ht="15" hidden="false" customHeight="false" outlineLevel="0" collapsed="false">
      <c r="A470" s="13" t="s">
        <v>628</v>
      </c>
      <c r="B470" s="13" t="s">
        <v>627</v>
      </c>
      <c r="C470" s="13" t="s">
        <v>2258</v>
      </c>
      <c r="D470" s="13" t="s">
        <v>59</v>
      </c>
      <c r="E470" s="13" t="s">
        <v>902</v>
      </c>
      <c r="F470" s="13" t="s">
        <v>903</v>
      </c>
      <c r="G470" s="61" t="n">
        <v>4314486981</v>
      </c>
      <c r="H470" s="13" t="s">
        <v>2255</v>
      </c>
      <c r="I470" s="13"/>
      <c r="J470" s="13"/>
      <c r="K470" s="13" t="s">
        <v>2259</v>
      </c>
      <c r="L470" s="13" t="s">
        <v>2260</v>
      </c>
      <c r="M470" s="13"/>
    </row>
    <row r="471" customFormat="false" ht="15" hidden="false" customHeight="false" outlineLevel="0" collapsed="false">
      <c r="A471" s="13" t="s">
        <v>628</v>
      </c>
      <c r="B471" s="13" t="s">
        <v>627</v>
      </c>
      <c r="C471" s="13" t="s">
        <v>2261</v>
      </c>
      <c r="D471" s="13" t="s">
        <v>59</v>
      </c>
      <c r="E471" s="13" t="s">
        <v>902</v>
      </c>
      <c r="F471" s="13" t="s">
        <v>903</v>
      </c>
      <c r="G471" s="61" t="n">
        <v>-5200876821</v>
      </c>
      <c r="H471" s="13" t="s">
        <v>2255</v>
      </c>
      <c r="I471" s="13"/>
      <c r="J471" s="13"/>
      <c r="K471" s="13" t="s">
        <v>2262</v>
      </c>
      <c r="L471" s="13" t="s">
        <v>2263</v>
      </c>
      <c r="M471" s="13"/>
    </row>
    <row r="472" customFormat="false" ht="15" hidden="false" customHeight="false" outlineLevel="0" collapsed="false">
      <c r="A472" s="13" t="s">
        <v>628</v>
      </c>
      <c r="B472" s="13" t="s">
        <v>627</v>
      </c>
      <c r="C472" s="13" t="s">
        <v>2264</v>
      </c>
      <c r="D472" s="13" t="s">
        <v>59</v>
      </c>
      <c r="E472" s="13" t="s">
        <v>902</v>
      </c>
      <c r="F472" s="13" t="s">
        <v>903</v>
      </c>
      <c r="G472" s="61" t="n">
        <v>-8079763514</v>
      </c>
      <c r="H472" s="13" t="s">
        <v>2255</v>
      </c>
      <c r="I472" s="13"/>
      <c r="J472" s="13"/>
      <c r="K472" s="13" t="s">
        <v>657</v>
      </c>
      <c r="L472" s="13" t="s">
        <v>2265</v>
      </c>
      <c r="M472" s="13"/>
    </row>
    <row r="473" customFormat="false" ht="15" hidden="false" customHeight="false" outlineLevel="0" collapsed="false">
      <c r="A473" s="13" t="s">
        <v>628</v>
      </c>
      <c r="B473" s="13" t="s">
        <v>627</v>
      </c>
      <c r="C473" s="13" t="s">
        <v>2266</v>
      </c>
      <c r="D473" s="13" t="s">
        <v>59</v>
      </c>
      <c r="E473" s="13" t="s">
        <v>902</v>
      </c>
      <c r="F473" s="13" t="s">
        <v>903</v>
      </c>
      <c r="G473" s="61" t="n">
        <v>-10583161120</v>
      </c>
      <c r="H473" s="13" t="s">
        <v>2255</v>
      </c>
      <c r="I473" s="13"/>
      <c r="J473" s="13"/>
      <c r="K473" s="13" t="s">
        <v>658</v>
      </c>
      <c r="L473" s="13" t="s">
        <v>2265</v>
      </c>
      <c r="M473" s="13"/>
    </row>
    <row r="474" customFormat="false" ht="15" hidden="false" customHeight="false" outlineLevel="0" collapsed="false">
      <c r="A474" s="13" t="s">
        <v>628</v>
      </c>
      <c r="B474" s="13" t="s">
        <v>627</v>
      </c>
      <c r="C474" s="13" t="s">
        <v>2267</v>
      </c>
      <c r="D474" s="13" t="s">
        <v>59</v>
      </c>
      <c r="E474" s="13" t="s">
        <v>902</v>
      </c>
      <c r="F474" s="13" t="s">
        <v>903</v>
      </c>
      <c r="G474" s="61" t="n">
        <v>-10614529136</v>
      </c>
      <c r="H474" s="13" t="s">
        <v>2255</v>
      </c>
      <c r="I474" s="13"/>
      <c r="J474" s="13"/>
      <c r="K474" s="13" t="s">
        <v>659</v>
      </c>
      <c r="L474" s="13" t="s">
        <v>2265</v>
      </c>
      <c r="M474" s="13"/>
    </row>
    <row r="475" customFormat="false" ht="15" hidden="false" customHeight="false" outlineLevel="0" collapsed="false">
      <c r="A475" s="13" t="s">
        <v>628</v>
      </c>
      <c r="B475" s="13" t="s">
        <v>627</v>
      </c>
      <c r="C475" s="13" t="s">
        <v>2254</v>
      </c>
      <c r="D475" s="13" t="s">
        <v>59</v>
      </c>
      <c r="E475" s="13" t="s">
        <v>905</v>
      </c>
      <c r="F475" s="13" t="s">
        <v>444</v>
      </c>
      <c r="G475" s="61" t="n">
        <v>83741664950</v>
      </c>
      <c r="H475" s="13" t="s">
        <v>2255</v>
      </c>
      <c r="I475" s="13"/>
      <c r="J475" s="13"/>
      <c r="K475" s="13" t="s">
        <v>2256</v>
      </c>
      <c r="L475" s="13" t="s">
        <v>2257</v>
      </c>
      <c r="M475" s="13"/>
    </row>
    <row r="476" customFormat="false" ht="15" hidden="false" customHeight="false" outlineLevel="0" collapsed="false">
      <c r="A476" s="13" t="s">
        <v>628</v>
      </c>
      <c r="B476" s="13" t="s">
        <v>627</v>
      </c>
      <c r="C476" s="13" t="s">
        <v>2258</v>
      </c>
      <c r="D476" s="13" t="s">
        <v>59</v>
      </c>
      <c r="E476" s="13" t="s">
        <v>905</v>
      </c>
      <c r="F476" s="13" t="s">
        <v>444</v>
      </c>
      <c r="G476" s="61" t="n">
        <v>242067057628</v>
      </c>
      <c r="H476" s="13" t="s">
        <v>2255</v>
      </c>
      <c r="I476" s="13"/>
      <c r="J476" s="13"/>
      <c r="K476" s="13" t="s">
        <v>2259</v>
      </c>
      <c r="L476" s="13" t="s">
        <v>2260</v>
      </c>
      <c r="M476" s="13"/>
    </row>
    <row r="477" customFormat="false" ht="15" hidden="false" customHeight="false" outlineLevel="0" collapsed="false">
      <c r="A477" s="13" t="s">
        <v>628</v>
      </c>
      <c r="B477" s="13" t="s">
        <v>627</v>
      </c>
      <c r="C477" s="13" t="s">
        <v>2261</v>
      </c>
      <c r="D477" s="13" t="s">
        <v>59</v>
      </c>
      <c r="E477" s="13" t="s">
        <v>905</v>
      </c>
      <c r="F477" s="13" t="s">
        <v>444</v>
      </c>
      <c r="G477" s="61" t="n">
        <v>303294784801</v>
      </c>
      <c r="H477" s="13" t="s">
        <v>2255</v>
      </c>
      <c r="I477" s="13"/>
      <c r="J477" s="13"/>
      <c r="K477" s="13" t="s">
        <v>2262</v>
      </c>
      <c r="L477" s="13" t="s">
        <v>2263</v>
      </c>
      <c r="M477" s="13"/>
    </row>
    <row r="478" customFormat="false" ht="15" hidden="false" customHeight="false" outlineLevel="0" collapsed="false">
      <c r="A478" s="13" t="s">
        <v>628</v>
      </c>
      <c r="B478" s="13" t="s">
        <v>627</v>
      </c>
      <c r="C478" s="13" t="s">
        <v>2264</v>
      </c>
      <c r="D478" s="13" t="s">
        <v>59</v>
      </c>
      <c r="E478" s="13" t="s">
        <v>905</v>
      </c>
      <c r="F478" s="13" t="s">
        <v>444</v>
      </c>
      <c r="G478" s="61" t="n">
        <v>297850794905</v>
      </c>
      <c r="H478" s="13" t="s">
        <v>2255</v>
      </c>
      <c r="I478" s="13"/>
      <c r="J478" s="13"/>
      <c r="K478" s="13" t="s">
        <v>657</v>
      </c>
      <c r="L478" s="13" t="s">
        <v>2265</v>
      </c>
      <c r="M478" s="13"/>
    </row>
    <row r="479" customFormat="false" ht="15" hidden="false" customHeight="false" outlineLevel="0" collapsed="false">
      <c r="A479" s="13" t="s">
        <v>628</v>
      </c>
      <c r="B479" s="13" t="s">
        <v>627</v>
      </c>
      <c r="C479" s="13" t="s">
        <v>2266</v>
      </c>
      <c r="D479" s="13" t="s">
        <v>59</v>
      </c>
      <c r="E479" s="13" t="s">
        <v>905</v>
      </c>
      <c r="F479" s="13" t="s">
        <v>444</v>
      </c>
      <c r="G479" s="61" t="n">
        <v>304976397170</v>
      </c>
      <c r="H479" s="13" t="s">
        <v>2255</v>
      </c>
      <c r="I479" s="13"/>
      <c r="J479" s="13"/>
      <c r="K479" s="13" t="s">
        <v>658</v>
      </c>
      <c r="L479" s="13" t="s">
        <v>2265</v>
      </c>
      <c r="M479" s="13"/>
    </row>
    <row r="480" customFormat="false" ht="15" hidden="false" customHeight="false" outlineLevel="0" collapsed="false">
      <c r="A480" s="13" t="s">
        <v>628</v>
      </c>
      <c r="B480" s="13" t="s">
        <v>627</v>
      </c>
      <c r="C480" s="13" t="s">
        <v>2267</v>
      </c>
      <c r="D480" s="13" t="s">
        <v>59</v>
      </c>
      <c r="E480" s="13" t="s">
        <v>905</v>
      </c>
      <c r="F480" s="13" t="s">
        <v>444</v>
      </c>
      <c r="G480" s="61" t="n">
        <v>311803137977</v>
      </c>
      <c r="H480" s="13" t="s">
        <v>2255</v>
      </c>
      <c r="I480" s="13"/>
      <c r="J480" s="13"/>
      <c r="K480" s="13" t="s">
        <v>659</v>
      </c>
      <c r="L480" s="13" t="s">
        <v>2265</v>
      </c>
      <c r="M480" s="13"/>
    </row>
    <row r="481" customFormat="false" ht="15" hidden="false" customHeight="false" outlineLevel="0" collapsed="false">
      <c r="A481" s="13" t="s">
        <v>628</v>
      </c>
      <c r="B481" s="13" t="s">
        <v>627</v>
      </c>
      <c r="C481" s="13" t="s">
        <v>2254</v>
      </c>
      <c r="D481" s="13" t="s">
        <v>59</v>
      </c>
      <c r="E481" s="13" t="s">
        <v>907</v>
      </c>
      <c r="F481" s="13" t="s">
        <v>446</v>
      </c>
      <c r="G481" s="61" t="n">
        <v>995237210570</v>
      </c>
      <c r="H481" s="13" t="s">
        <v>2255</v>
      </c>
      <c r="I481" s="13"/>
      <c r="J481" s="13"/>
      <c r="K481" s="13" t="s">
        <v>2256</v>
      </c>
      <c r="L481" s="13" t="s">
        <v>2257</v>
      </c>
      <c r="M481" s="13" t="s">
        <v>2268</v>
      </c>
    </row>
    <row r="482" customFormat="false" ht="15" hidden="false" customHeight="false" outlineLevel="0" collapsed="false">
      <c r="A482" s="13" t="s">
        <v>628</v>
      </c>
      <c r="B482" s="13" t="s">
        <v>627</v>
      </c>
      <c r="C482" s="13" t="s">
        <v>2258</v>
      </c>
      <c r="D482" s="13" t="s">
        <v>59</v>
      </c>
      <c r="E482" s="13" t="s">
        <v>907</v>
      </c>
      <c r="F482" s="13" t="s">
        <v>446</v>
      </c>
      <c r="G482" s="61" t="n">
        <v>1550739689597</v>
      </c>
      <c r="H482" s="13" t="s">
        <v>2255</v>
      </c>
      <c r="I482" s="13"/>
      <c r="J482" s="13"/>
      <c r="K482" s="13" t="s">
        <v>2259</v>
      </c>
      <c r="L482" s="13" t="s">
        <v>2260</v>
      </c>
      <c r="M482" s="13" t="s">
        <v>2268</v>
      </c>
    </row>
    <row r="483" customFormat="false" ht="15" hidden="false" customHeight="false" outlineLevel="0" collapsed="false">
      <c r="A483" s="13" t="s">
        <v>628</v>
      </c>
      <c r="B483" s="13" t="s">
        <v>627</v>
      </c>
      <c r="C483" s="13" t="s">
        <v>2261</v>
      </c>
      <c r="D483" s="13" t="s">
        <v>59</v>
      </c>
      <c r="E483" s="13" t="s">
        <v>907</v>
      </c>
      <c r="F483" s="13" t="s">
        <v>446</v>
      </c>
      <c r="G483" s="61" t="n">
        <v>1596150796616</v>
      </c>
      <c r="H483" s="13" t="s">
        <v>2255</v>
      </c>
      <c r="I483" s="13"/>
      <c r="J483" s="13"/>
      <c r="K483" s="13" t="s">
        <v>2262</v>
      </c>
      <c r="L483" s="13" t="s">
        <v>2263</v>
      </c>
      <c r="M483" s="13" t="s">
        <v>2268</v>
      </c>
    </row>
    <row r="484" customFormat="false" ht="15" hidden="false" customHeight="false" outlineLevel="0" collapsed="false">
      <c r="A484" s="13" t="s">
        <v>628</v>
      </c>
      <c r="B484" s="13" t="s">
        <v>627</v>
      </c>
      <c r="C484" s="13" t="s">
        <v>2264</v>
      </c>
      <c r="D484" s="13" t="s">
        <v>59</v>
      </c>
      <c r="E484" s="13" t="s">
        <v>907</v>
      </c>
      <c r="F484" s="13" t="s">
        <v>446</v>
      </c>
      <c r="G484" s="61" t="n">
        <v>1589813147615</v>
      </c>
      <c r="H484" s="13" t="s">
        <v>2255</v>
      </c>
      <c r="I484" s="13"/>
      <c r="J484" s="13"/>
      <c r="K484" s="13" t="s">
        <v>657</v>
      </c>
      <c r="L484" s="13" t="s">
        <v>2265</v>
      </c>
      <c r="M484" s="13" t="s">
        <v>2268</v>
      </c>
    </row>
    <row r="485" customFormat="false" ht="15" hidden="false" customHeight="false" outlineLevel="0" collapsed="false">
      <c r="A485" s="13" t="s">
        <v>628</v>
      </c>
      <c r="B485" s="13" t="s">
        <v>627</v>
      </c>
      <c r="C485" s="13" t="s">
        <v>2266</v>
      </c>
      <c r="D485" s="13" t="s">
        <v>59</v>
      </c>
      <c r="E485" s="13" t="s">
        <v>907</v>
      </c>
      <c r="F485" s="13" t="s">
        <v>446</v>
      </c>
      <c r="G485" s="61" t="n">
        <v>1713479286013</v>
      </c>
      <c r="H485" s="13" t="s">
        <v>2255</v>
      </c>
      <c r="I485" s="13"/>
      <c r="J485" s="13"/>
      <c r="K485" s="13" t="s">
        <v>658</v>
      </c>
      <c r="L485" s="13" t="s">
        <v>2265</v>
      </c>
      <c r="M485" s="13" t="s">
        <v>2268</v>
      </c>
    </row>
    <row r="486" customFormat="false" ht="15" hidden="false" customHeight="false" outlineLevel="0" collapsed="false">
      <c r="A486" s="13" t="s">
        <v>628</v>
      </c>
      <c r="B486" s="13" t="s">
        <v>627</v>
      </c>
      <c r="C486" s="13" t="s">
        <v>2267</v>
      </c>
      <c r="D486" s="13" t="s">
        <v>59</v>
      </c>
      <c r="E486" s="13" t="s">
        <v>907</v>
      </c>
      <c r="F486" s="13" t="s">
        <v>446</v>
      </c>
      <c r="G486" s="61" t="n">
        <v>1949914193558</v>
      </c>
      <c r="H486" s="13" t="s">
        <v>2255</v>
      </c>
      <c r="I486" s="13"/>
      <c r="J486" s="13"/>
      <c r="K486" s="13" t="s">
        <v>659</v>
      </c>
      <c r="L486" s="13" t="s">
        <v>2265</v>
      </c>
      <c r="M486" s="13" t="s">
        <v>2268</v>
      </c>
    </row>
    <row r="487" customFormat="false" ht="15" hidden="false" customHeight="false" outlineLevel="0" collapsed="false">
      <c r="A487" s="13" t="s">
        <v>628</v>
      </c>
      <c r="B487" s="13" t="s">
        <v>627</v>
      </c>
      <c r="C487" s="13" t="s">
        <v>2254</v>
      </c>
      <c r="D487" s="13" t="s">
        <v>59</v>
      </c>
      <c r="E487" s="13" t="s">
        <v>908</v>
      </c>
      <c r="F487" s="13" t="s">
        <v>448</v>
      </c>
      <c r="G487" s="61" t="n">
        <v>54462175042</v>
      </c>
      <c r="H487" s="13" t="s">
        <v>2255</v>
      </c>
      <c r="I487" s="13"/>
      <c r="J487" s="13"/>
      <c r="K487" s="13" t="s">
        <v>2256</v>
      </c>
      <c r="L487" s="13" t="s">
        <v>2257</v>
      </c>
      <c r="M487" s="13"/>
    </row>
    <row r="488" customFormat="false" ht="15" hidden="false" customHeight="false" outlineLevel="0" collapsed="false">
      <c r="A488" s="13" t="s">
        <v>628</v>
      </c>
      <c r="B488" s="13" t="s">
        <v>627</v>
      </c>
      <c r="C488" s="13" t="s">
        <v>2258</v>
      </c>
      <c r="D488" s="13" t="s">
        <v>59</v>
      </c>
      <c r="E488" s="13" t="s">
        <v>908</v>
      </c>
      <c r="F488" s="13" t="s">
        <v>448</v>
      </c>
      <c r="G488" s="61" t="n">
        <v>245476312053</v>
      </c>
      <c r="H488" s="13" t="s">
        <v>2255</v>
      </c>
      <c r="I488" s="13"/>
      <c r="J488" s="13"/>
      <c r="K488" s="13" t="s">
        <v>2259</v>
      </c>
      <c r="L488" s="13" t="s">
        <v>2260</v>
      </c>
      <c r="M488" s="13"/>
    </row>
    <row r="489" customFormat="false" ht="15" hidden="false" customHeight="false" outlineLevel="0" collapsed="false">
      <c r="A489" s="13" t="s">
        <v>628</v>
      </c>
      <c r="B489" s="13" t="s">
        <v>627</v>
      </c>
      <c r="C489" s="13" t="s">
        <v>2261</v>
      </c>
      <c r="D489" s="13" t="s">
        <v>59</v>
      </c>
      <c r="E489" s="13" t="s">
        <v>908</v>
      </c>
      <c r="F489" s="13" t="s">
        <v>448</v>
      </c>
      <c r="G489" s="61" t="n">
        <v>212081647789</v>
      </c>
      <c r="H489" s="13" t="s">
        <v>2255</v>
      </c>
      <c r="I489" s="13"/>
      <c r="J489" s="13"/>
      <c r="K489" s="13" t="s">
        <v>2262</v>
      </c>
      <c r="L489" s="13" t="s">
        <v>2263</v>
      </c>
      <c r="M489" s="13"/>
    </row>
    <row r="490" customFormat="false" ht="15" hidden="false" customHeight="false" outlineLevel="0" collapsed="false">
      <c r="A490" s="13" t="s">
        <v>628</v>
      </c>
      <c r="B490" s="13" t="s">
        <v>627</v>
      </c>
      <c r="C490" s="13" t="s">
        <v>2264</v>
      </c>
      <c r="D490" s="13" t="s">
        <v>59</v>
      </c>
      <c r="E490" s="13" t="s">
        <v>908</v>
      </c>
      <c r="F490" s="13" t="s">
        <v>448</v>
      </c>
      <c r="G490" s="61" t="n">
        <v>210222760837</v>
      </c>
      <c r="H490" s="13" t="s">
        <v>2255</v>
      </c>
      <c r="I490" s="13"/>
      <c r="J490" s="13"/>
      <c r="K490" s="13" t="s">
        <v>657</v>
      </c>
      <c r="L490" s="13" t="s">
        <v>2265</v>
      </c>
      <c r="M490" s="13"/>
    </row>
    <row r="491" customFormat="false" ht="15" hidden="false" customHeight="false" outlineLevel="0" collapsed="false">
      <c r="A491" s="13" t="s">
        <v>628</v>
      </c>
      <c r="B491" s="13" t="s">
        <v>627</v>
      </c>
      <c r="C491" s="13" t="s">
        <v>2266</v>
      </c>
      <c r="D491" s="13" t="s">
        <v>59</v>
      </c>
      <c r="E491" s="13" t="s">
        <v>908</v>
      </c>
      <c r="F491" s="13" t="s">
        <v>448</v>
      </c>
      <c r="G491" s="61" t="n">
        <v>434256398708</v>
      </c>
      <c r="H491" s="13" t="s">
        <v>2255</v>
      </c>
      <c r="I491" s="13"/>
      <c r="J491" s="13"/>
      <c r="K491" s="13" t="s">
        <v>658</v>
      </c>
      <c r="L491" s="13" t="s">
        <v>2265</v>
      </c>
      <c r="M491" s="13"/>
    </row>
    <row r="492" customFormat="false" ht="15" hidden="false" customHeight="false" outlineLevel="0" collapsed="false">
      <c r="A492" s="13" t="s">
        <v>628</v>
      </c>
      <c r="B492" s="13" t="s">
        <v>627</v>
      </c>
      <c r="C492" s="13" t="s">
        <v>2267</v>
      </c>
      <c r="D492" s="13" t="s">
        <v>59</v>
      </c>
      <c r="E492" s="13" t="s">
        <v>908</v>
      </c>
      <c r="F492" s="13" t="s">
        <v>448</v>
      </c>
      <c r="G492" s="61" t="n">
        <v>444592822953</v>
      </c>
      <c r="H492" s="13" t="s">
        <v>2255</v>
      </c>
      <c r="I492" s="13"/>
      <c r="J492" s="13"/>
      <c r="K492" s="13" t="s">
        <v>659</v>
      </c>
      <c r="L492" s="13" t="s">
        <v>2265</v>
      </c>
      <c r="M492" s="13"/>
    </row>
    <row r="493" customFormat="false" ht="15" hidden="false" customHeight="false" outlineLevel="0" collapsed="false">
      <c r="A493" s="13" t="s">
        <v>628</v>
      </c>
      <c r="B493" s="13" t="s">
        <v>627</v>
      </c>
      <c r="C493" s="13" t="s">
        <v>2254</v>
      </c>
      <c r="D493" s="13" t="s">
        <v>59</v>
      </c>
      <c r="E493" s="13" t="s">
        <v>910</v>
      </c>
      <c r="F493" s="13" t="s">
        <v>450</v>
      </c>
      <c r="G493" s="61" t="n">
        <v>1049699385612</v>
      </c>
      <c r="H493" s="13" t="s">
        <v>2255</v>
      </c>
      <c r="I493" s="13"/>
      <c r="J493" s="13"/>
      <c r="K493" s="13" t="s">
        <v>2256</v>
      </c>
      <c r="L493" s="13" t="s">
        <v>2257</v>
      </c>
      <c r="M493" s="13" t="s">
        <v>2268</v>
      </c>
    </row>
    <row r="494" customFormat="false" ht="15" hidden="false" customHeight="false" outlineLevel="0" collapsed="false">
      <c r="A494" s="13" t="s">
        <v>628</v>
      </c>
      <c r="B494" s="13" t="s">
        <v>627</v>
      </c>
      <c r="C494" s="13" t="s">
        <v>2258</v>
      </c>
      <c r="D494" s="13" t="s">
        <v>59</v>
      </c>
      <c r="E494" s="13" t="s">
        <v>910</v>
      </c>
      <c r="F494" s="13" t="s">
        <v>450</v>
      </c>
      <c r="G494" s="61" t="n">
        <v>1796216001650</v>
      </c>
      <c r="H494" s="13" t="s">
        <v>2255</v>
      </c>
      <c r="I494" s="13"/>
      <c r="J494" s="13"/>
      <c r="K494" s="13" t="s">
        <v>2259</v>
      </c>
      <c r="L494" s="13" t="s">
        <v>2260</v>
      </c>
      <c r="M494" s="13" t="s">
        <v>2268</v>
      </c>
    </row>
    <row r="495" customFormat="false" ht="15" hidden="false" customHeight="false" outlineLevel="0" collapsed="false">
      <c r="A495" s="13" t="s">
        <v>628</v>
      </c>
      <c r="B495" s="13" t="s">
        <v>627</v>
      </c>
      <c r="C495" s="13" t="s">
        <v>2261</v>
      </c>
      <c r="D495" s="13" t="s">
        <v>59</v>
      </c>
      <c r="E495" s="13" t="s">
        <v>910</v>
      </c>
      <c r="F495" s="13" t="s">
        <v>450</v>
      </c>
      <c r="G495" s="61" t="n">
        <v>1808232444405</v>
      </c>
      <c r="H495" s="13" t="s">
        <v>2255</v>
      </c>
      <c r="I495" s="13"/>
      <c r="J495" s="13"/>
      <c r="K495" s="13" t="s">
        <v>2262</v>
      </c>
      <c r="L495" s="13" t="s">
        <v>2263</v>
      </c>
      <c r="M495" s="13" t="s">
        <v>2268</v>
      </c>
    </row>
    <row r="496" customFormat="false" ht="15" hidden="false" customHeight="false" outlineLevel="0" collapsed="false">
      <c r="A496" s="13" t="s">
        <v>628</v>
      </c>
      <c r="B496" s="13" t="s">
        <v>627</v>
      </c>
      <c r="C496" s="13" t="s">
        <v>2264</v>
      </c>
      <c r="D496" s="13" t="s">
        <v>59</v>
      </c>
      <c r="E496" s="13" t="s">
        <v>910</v>
      </c>
      <c r="F496" s="13" t="s">
        <v>450</v>
      </c>
      <c r="G496" s="61" t="n">
        <v>1800035908452</v>
      </c>
      <c r="H496" s="13" t="s">
        <v>2255</v>
      </c>
      <c r="I496" s="13"/>
      <c r="J496" s="13"/>
      <c r="K496" s="13" t="s">
        <v>657</v>
      </c>
      <c r="L496" s="13" t="s">
        <v>2265</v>
      </c>
      <c r="M496" s="13" t="s">
        <v>2268</v>
      </c>
    </row>
    <row r="497" customFormat="false" ht="15" hidden="false" customHeight="false" outlineLevel="0" collapsed="false">
      <c r="A497" s="13" t="s">
        <v>628</v>
      </c>
      <c r="B497" s="13" t="s">
        <v>627</v>
      </c>
      <c r="C497" s="13" t="s">
        <v>2266</v>
      </c>
      <c r="D497" s="13" t="s">
        <v>59</v>
      </c>
      <c r="E497" s="13" t="s">
        <v>910</v>
      </c>
      <c r="F497" s="13" t="s">
        <v>450</v>
      </c>
      <c r="G497" s="61" t="n">
        <v>2147735684721</v>
      </c>
      <c r="H497" s="13" t="s">
        <v>2255</v>
      </c>
      <c r="I497" s="13"/>
      <c r="J497" s="13"/>
      <c r="K497" s="13" t="s">
        <v>658</v>
      </c>
      <c r="L497" s="13" t="s">
        <v>2265</v>
      </c>
      <c r="M497" s="13" t="s">
        <v>2268</v>
      </c>
    </row>
    <row r="498" customFormat="false" ht="15" hidden="false" customHeight="false" outlineLevel="0" collapsed="false">
      <c r="A498" s="13" t="s">
        <v>628</v>
      </c>
      <c r="B498" s="13" t="s">
        <v>627</v>
      </c>
      <c r="C498" s="13" t="s">
        <v>2267</v>
      </c>
      <c r="D498" s="13" t="s">
        <v>59</v>
      </c>
      <c r="E498" s="13" t="s">
        <v>910</v>
      </c>
      <c r="F498" s="13" t="s">
        <v>450</v>
      </c>
      <c r="G498" s="61" t="n">
        <v>2394507016511</v>
      </c>
      <c r="H498" s="13" t="s">
        <v>2255</v>
      </c>
      <c r="I498" s="13"/>
      <c r="J498" s="13"/>
      <c r="K498" s="13" t="s">
        <v>659</v>
      </c>
      <c r="L498" s="13" t="s">
        <v>2265</v>
      </c>
      <c r="M498" s="13" t="s">
        <v>2268</v>
      </c>
    </row>
    <row r="499" customFormat="false" ht="15" hidden="false" customHeight="false" outlineLevel="0" collapsed="false">
      <c r="A499" s="13" t="s">
        <v>628</v>
      </c>
      <c r="B499" s="13" t="s">
        <v>627</v>
      </c>
      <c r="C499" s="13" t="s">
        <v>2254</v>
      </c>
      <c r="D499" s="13" t="s">
        <v>59</v>
      </c>
      <c r="E499" s="13" t="s">
        <v>911</v>
      </c>
      <c r="F499" s="13" t="s">
        <v>452</v>
      </c>
      <c r="G499" s="61" t="n">
        <v>2162536834465</v>
      </c>
      <c r="H499" s="13" t="s">
        <v>2255</v>
      </c>
      <c r="I499" s="13"/>
      <c r="J499" s="13"/>
      <c r="K499" s="13" t="s">
        <v>2256</v>
      </c>
      <c r="L499" s="13" t="s">
        <v>2257</v>
      </c>
      <c r="M499" s="13" t="s">
        <v>2268</v>
      </c>
    </row>
    <row r="500" customFormat="false" ht="15" hidden="false" customHeight="false" outlineLevel="0" collapsed="false">
      <c r="A500" s="13" t="s">
        <v>628</v>
      </c>
      <c r="B500" s="13" t="s">
        <v>627</v>
      </c>
      <c r="C500" s="13" t="s">
        <v>2258</v>
      </c>
      <c r="D500" s="13" t="s">
        <v>59</v>
      </c>
      <c r="E500" s="13" t="s">
        <v>911</v>
      </c>
      <c r="F500" s="13" t="s">
        <v>452</v>
      </c>
      <c r="G500" s="61" t="n">
        <v>2813696522428</v>
      </c>
      <c r="H500" s="13" t="s">
        <v>2255</v>
      </c>
      <c r="I500" s="13"/>
      <c r="J500" s="13"/>
      <c r="K500" s="13" t="s">
        <v>2259</v>
      </c>
      <c r="L500" s="13" t="s">
        <v>2260</v>
      </c>
      <c r="M500" s="13" t="s">
        <v>2268</v>
      </c>
    </row>
    <row r="501" customFormat="false" ht="15" hidden="false" customHeight="false" outlineLevel="0" collapsed="false">
      <c r="A501" s="13" t="s">
        <v>628</v>
      </c>
      <c r="B501" s="13" t="s">
        <v>627</v>
      </c>
      <c r="C501" s="13" t="s">
        <v>2261</v>
      </c>
      <c r="D501" s="13" t="s">
        <v>59</v>
      </c>
      <c r="E501" s="13" t="s">
        <v>911</v>
      </c>
      <c r="F501" s="13" t="s">
        <v>452</v>
      </c>
      <c r="G501" s="61" t="n">
        <v>2938610148990</v>
      </c>
      <c r="H501" s="13" t="s">
        <v>2255</v>
      </c>
      <c r="I501" s="13"/>
      <c r="J501" s="13"/>
      <c r="K501" s="13" t="s">
        <v>2262</v>
      </c>
      <c r="L501" s="13" t="s">
        <v>2263</v>
      </c>
      <c r="M501" s="13" t="s">
        <v>2268</v>
      </c>
    </row>
    <row r="502" customFormat="false" ht="15" hidden="false" customHeight="false" outlineLevel="0" collapsed="false">
      <c r="A502" s="13" t="s">
        <v>628</v>
      </c>
      <c r="B502" s="13" t="s">
        <v>627</v>
      </c>
      <c r="C502" s="13" t="s">
        <v>2264</v>
      </c>
      <c r="D502" s="13" t="s">
        <v>59</v>
      </c>
      <c r="E502" s="13" t="s">
        <v>911</v>
      </c>
      <c r="F502" s="13" t="s">
        <v>452</v>
      </c>
      <c r="G502" s="61" t="n">
        <v>3083162034448</v>
      </c>
      <c r="H502" s="13" t="s">
        <v>2255</v>
      </c>
      <c r="I502" s="13"/>
      <c r="J502" s="13"/>
      <c r="K502" s="13" t="s">
        <v>657</v>
      </c>
      <c r="L502" s="13" t="s">
        <v>2265</v>
      </c>
      <c r="M502" s="13" t="s">
        <v>2268</v>
      </c>
    </row>
    <row r="503" customFormat="false" ht="15" hidden="false" customHeight="false" outlineLevel="0" collapsed="false">
      <c r="A503" s="13" t="s">
        <v>628</v>
      </c>
      <c r="B503" s="13" t="s">
        <v>627</v>
      </c>
      <c r="C503" s="13" t="s">
        <v>2266</v>
      </c>
      <c r="D503" s="13" t="s">
        <v>59</v>
      </c>
      <c r="E503" s="13" t="s">
        <v>911</v>
      </c>
      <c r="F503" s="13" t="s">
        <v>452</v>
      </c>
      <c r="G503" s="61" t="n">
        <v>3446360903748</v>
      </c>
      <c r="H503" s="13" t="s">
        <v>2255</v>
      </c>
      <c r="I503" s="13"/>
      <c r="J503" s="13"/>
      <c r="K503" s="13" t="s">
        <v>658</v>
      </c>
      <c r="L503" s="13" t="s">
        <v>2265</v>
      </c>
      <c r="M503" s="13" t="s">
        <v>2268</v>
      </c>
    </row>
    <row r="504" customFormat="false" ht="15" hidden="false" customHeight="false" outlineLevel="0" collapsed="false">
      <c r="A504" s="13" t="s">
        <v>628</v>
      </c>
      <c r="B504" s="13" t="s">
        <v>627</v>
      </c>
      <c r="C504" s="13" t="s">
        <v>2267</v>
      </c>
      <c r="D504" s="13" t="s">
        <v>59</v>
      </c>
      <c r="E504" s="13" t="s">
        <v>911</v>
      </c>
      <c r="F504" s="13" t="s">
        <v>452</v>
      </c>
      <c r="G504" s="61" t="n">
        <v>4016429435143</v>
      </c>
      <c r="H504" s="13" t="s">
        <v>2255</v>
      </c>
      <c r="I504" s="13"/>
      <c r="J504" s="13"/>
      <c r="K504" s="13" t="s">
        <v>659</v>
      </c>
      <c r="L504" s="13" t="s">
        <v>2265</v>
      </c>
      <c r="M504" s="13" t="s">
        <v>2268</v>
      </c>
    </row>
    <row r="505" customFormat="false" ht="15" hidden="false" customHeight="false" outlineLevel="0" collapsed="false">
      <c r="A505" s="13" t="s">
        <v>628</v>
      </c>
      <c r="B505" s="13" t="s">
        <v>627</v>
      </c>
      <c r="C505" s="13" t="s">
        <v>2254</v>
      </c>
      <c r="D505" s="13" t="s">
        <v>59</v>
      </c>
      <c r="E505" s="13" t="s">
        <v>913</v>
      </c>
      <c r="F505" s="13" t="s">
        <v>914</v>
      </c>
      <c r="G505" s="61" t="n">
        <v>815734493466</v>
      </c>
      <c r="H505" s="13" t="s">
        <v>2255</v>
      </c>
      <c r="I505" s="13"/>
      <c r="J505" s="13"/>
      <c r="K505" s="13" t="s">
        <v>2256</v>
      </c>
      <c r="L505" s="13" t="s">
        <v>2257</v>
      </c>
      <c r="M505" s="13"/>
    </row>
    <row r="506" customFormat="false" ht="15" hidden="false" customHeight="false" outlineLevel="0" collapsed="false">
      <c r="A506" s="13" t="s">
        <v>628</v>
      </c>
      <c r="B506" s="13" t="s">
        <v>627</v>
      </c>
      <c r="C506" s="13" t="s">
        <v>2258</v>
      </c>
      <c r="D506" s="13" t="s">
        <v>59</v>
      </c>
      <c r="E506" s="13" t="s">
        <v>913</v>
      </c>
      <c r="F506" s="13" t="s">
        <v>914</v>
      </c>
      <c r="G506" s="61" t="n">
        <v>1131105723933</v>
      </c>
      <c r="H506" s="13" t="s">
        <v>2255</v>
      </c>
      <c r="I506" s="13"/>
      <c r="J506" s="13"/>
      <c r="K506" s="13" t="s">
        <v>2259</v>
      </c>
      <c r="L506" s="13" t="s">
        <v>2260</v>
      </c>
      <c r="M506" s="13"/>
    </row>
    <row r="507" customFormat="false" ht="15" hidden="false" customHeight="false" outlineLevel="0" collapsed="false">
      <c r="A507" s="13" t="s">
        <v>628</v>
      </c>
      <c r="B507" s="13" t="s">
        <v>627</v>
      </c>
      <c r="C507" s="13" t="s">
        <v>2261</v>
      </c>
      <c r="D507" s="13" t="s">
        <v>59</v>
      </c>
      <c r="E507" s="13" t="s">
        <v>913</v>
      </c>
      <c r="F507" s="13" t="s">
        <v>914</v>
      </c>
      <c r="G507" s="61" t="n">
        <v>887830081235</v>
      </c>
      <c r="H507" s="13" t="s">
        <v>2255</v>
      </c>
      <c r="I507" s="13"/>
      <c r="J507" s="13"/>
      <c r="K507" s="13" t="s">
        <v>2262</v>
      </c>
      <c r="L507" s="13" t="s">
        <v>2263</v>
      </c>
      <c r="M507" s="13"/>
    </row>
    <row r="508" customFormat="false" ht="15" hidden="false" customHeight="false" outlineLevel="0" collapsed="false">
      <c r="A508" s="13" t="s">
        <v>628</v>
      </c>
      <c r="B508" s="13" t="s">
        <v>627</v>
      </c>
      <c r="C508" s="13" t="s">
        <v>2264</v>
      </c>
      <c r="D508" s="13" t="s">
        <v>59</v>
      </c>
      <c r="E508" s="13" t="s">
        <v>913</v>
      </c>
      <c r="F508" s="13" t="s">
        <v>914</v>
      </c>
      <c r="G508" s="61" t="n">
        <v>869046161672</v>
      </c>
      <c r="H508" s="13" t="s">
        <v>2255</v>
      </c>
      <c r="I508" s="13"/>
      <c r="J508" s="13"/>
      <c r="K508" s="13" t="s">
        <v>657</v>
      </c>
      <c r="L508" s="13" t="s">
        <v>2265</v>
      </c>
      <c r="M508" s="13"/>
    </row>
    <row r="509" customFormat="false" ht="15" hidden="false" customHeight="false" outlineLevel="0" collapsed="false">
      <c r="A509" s="13" t="s">
        <v>628</v>
      </c>
      <c r="B509" s="13" t="s">
        <v>627</v>
      </c>
      <c r="C509" s="13" t="s">
        <v>2266</v>
      </c>
      <c r="D509" s="13" t="s">
        <v>59</v>
      </c>
      <c r="E509" s="13" t="s">
        <v>913</v>
      </c>
      <c r="F509" s="13" t="s">
        <v>914</v>
      </c>
      <c r="G509" s="61" t="n">
        <v>1088880785952</v>
      </c>
      <c r="H509" s="13" t="s">
        <v>2255</v>
      </c>
      <c r="I509" s="13"/>
      <c r="J509" s="13"/>
      <c r="K509" s="13" t="s">
        <v>658</v>
      </c>
      <c r="L509" s="13" t="s">
        <v>2265</v>
      </c>
      <c r="M509" s="13"/>
    </row>
    <row r="510" customFormat="false" ht="15" hidden="false" customHeight="false" outlineLevel="0" collapsed="false">
      <c r="A510" s="13" t="s">
        <v>628</v>
      </c>
      <c r="B510" s="13" t="s">
        <v>627</v>
      </c>
      <c r="C510" s="13" t="s">
        <v>2267</v>
      </c>
      <c r="D510" s="13" t="s">
        <v>59</v>
      </c>
      <c r="E510" s="13" t="s">
        <v>913</v>
      </c>
      <c r="F510" s="13" t="s">
        <v>914</v>
      </c>
      <c r="G510" s="61" t="n">
        <v>1210239116384</v>
      </c>
      <c r="H510" s="13" t="s">
        <v>2255</v>
      </c>
      <c r="I510" s="13"/>
      <c r="J510" s="13"/>
      <c r="K510" s="13" t="s">
        <v>659</v>
      </c>
      <c r="L510" s="13" t="s">
        <v>2265</v>
      </c>
      <c r="M510" s="13"/>
    </row>
    <row r="511" customFormat="false" ht="15" hidden="false" customHeight="false" outlineLevel="0" collapsed="false">
      <c r="A511" s="13" t="s">
        <v>628</v>
      </c>
      <c r="B511" s="13" t="s">
        <v>627</v>
      </c>
      <c r="C511" s="13" t="s">
        <v>2254</v>
      </c>
      <c r="D511" s="13" t="s">
        <v>59</v>
      </c>
      <c r="E511" s="13" t="s">
        <v>916</v>
      </c>
      <c r="F511" s="13" t="s">
        <v>917</v>
      </c>
      <c r="G511" s="61" t="n">
        <v>1346802340999</v>
      </c>
      <c r="H511" s="13" t="s">
        <v>2255</v>
      </c>
      <c r="I511" s="13"/>
      <c r="J511" s="13"/>
      <c r="K511" s="13" t="s">
        <v>2256</v>
      </c>
      <c r="L511" s="13" t="s">
        <v>2257</v>
      </c>
      <c r="M511" s="13"/>
    </row>
    <row r="512" customFormat="false" ht="15" hidden="false" customHeight="false" outlineLevel="0" collapsed="false">
      <c r="A512" s="13" t="s">
        <v>628</v>
      </c>
      <c r="B512" s="13" t="s">
        <v>627</v>
      </c>
      <c r="C512" s="13" t="s">
        <v>2258</v>
      </c>
      <c r="D512" s="13" t="s">
        <v>59</v>
      </c>
      <c r="E512" s="13" t="s">
        <v>916</v>
      </c>
      <c r="F512" s="13" t="s">
        <v>917</v>
      </c>
      <c r="G512" s="61" t="n">
        <v>1682590798495</v>
      </c>
      <c r="H512" s="13" t="s">
        <v>2255</v>
      </c>
      <c r="I512" s="13"/>
      <c r="J512" s="13"/>
      <c r="K512" s="13" t="s">
        <v>2259</v>
      </c>
      <c r="L512" s="13" t="s">
        <v>2260</v>
      </c>
      <c r="M512" s="13"/>
    </row>
    <row r="513" customFormat="false" ht="15" hidden="false" customHeight="false" outlineLevel="0" collapsed="false">
      <c r="A513" s="13" t="s">
        <v>628</v>
      </c>
      <c r="B513" s="13" t="s">
        <v>627</v>
      </c>
      <c r="C513" s="13" t="s">
        <v>2261</v>
      </c>
      <c r="D513" s="13" t="s">
        <v>59</v>
      </c>
      <c r="E513" s="13" t="s">
        <v>916</v>
      </c>
      <c r="F513" s="13" t="s">
        <v>917</v>
      </c>
      <c r="G513" s="61" t="n">
        <v>2050780067755</v>
      </c>
      <c r="H513" s="13" t="s">
        <v>2255</v>
      </c>
      <c r="I513" s="13"/>
      <c r="J513" s="13"/>
      <c r="K513" s="13" t="s">
        <v>2262</v>
      </c>
      <c r="L513" s="13" t="s">
        <v>2263</v>
      </c>
      <c r="M513" s="13"/>
    </row>
    <row r="514" customFormat="false" ht="15" hidden="false" customHeight="false" outlineLevel="0" collapsed="false">
      <c r="A514" s="13" t="s">
        <v>628</v>
      </c>
      <c r="B514" s="13" t="s">
        <v>627</v>
      </c>
      <c r="C514" s="13" t="s">
        <v>2264</v>
      </c>
      <c r="D514" s="13" t="s">
        <v>59</v>
      </c>
      <c r="E514" s="13" t="s">
        <v>916</v>
      </c>
      <c r="F514" s="13" t="s">
        <v>917</v>
      </c>
      <c r="G514" s="61" t="n">
        <v>2214115872776</v>
      </c>
      <c r="H514" s="13" t="s">
        <v>2255</v>
      </c>
      <c r="I514" s="13"/>
      <c r="J514" s="13"/>
      <c r="K514" s="13" t="s">
        <v>657</v>
      </c>
      <c r="L514" s="13" t="s">
        <v>2265</v>
      </c>
      <c r="M514" s="13"/>
    </row>
    <row r="515" customFormat="false" ht="15" hidden="false" customHeight="false" outlineLevel="0" collapsed="false">
      <c r="A515" s="13" t="s">
        <v>628</v>
      </c>
      <c r="B515" s="13" t="s">
        <v>627</v>
      </c>
      <c r="C515" s="13" t="s">
        <v>2266</v>
      </c>
      <c r="D515" s="13" t="s">
        <v>59</v>
      </c>
      <c r="E515" s="13" t="s">
        <v>916</v>
      </c>
      <c r="F515" s="13" t="s">
        <v>917</v>
      </c>
      <c r="G515" s="61" t="n">
        <v>2357480117796</v>
      </c>
      <c r="H515" s="13" t="s">
        <v>2255</v>
      </c>
      <c r="I515" s="13"/>
      <c r="J515" s="13"/>
      <c r="K515" s="13" t="s">
        <v>658</v>
      </c>
      <c r="L515" s="13" t="s">
        <v>2265</v>
      </c>
      <c r="M515" s="13"/>
    </row>
    <row r="516" customFormat="false" ht="15" hidden="false" customHeight="false" outlineLevel="0" collapsed="false">
      <c r="A516" s="13" t="s">
        <v>628</v>
      </c>
      <c r="B516" s="13" t="s">
        <v>627</v>
      </c>
      <c r="C516" s="13" t="s">
        <v>2267</v>
      </c>
      <c r="D516" s="13" t="s">
        <v>59</v>
      </c>
      <c r="E516" s="13" t="s">
        <v>916</v>
      </c>
      <c r="F516" s="13" t="s">
        <v>917</v>
      </c>
      <c r="G516" s="61" t="n">
        <v>2806190318759</v>
      </c>
      <c r="H516" s="13" t="s">
        <v>2255</v>
      </c>
      <c r="I516" s="13"/>
      <c r="J516" s="13"/>
      <c r="K516" s="13" t="s">
        <v>659</v>
      </c>
      <c r="L516" s="13" t="s">
        <v>2265</v>
      </c>
      <c r="M516" s="13"/>
    </row>
    <row r="517" customFormat="false" ht="15" hidden="false" customHeight="false" outlineLevel="0" collapsed="false">
      <c r="A517" s="13" t="s">
        <v>628</v>
      </c>
      <c r="B517" s="13" t="s">
        <v>627</v>
      </c>
      <c r="C517" s="13" t="s">
        <v>2254</v>
      </c>
      <c r="D517" s="13" t="s">
        <v>59</v>
      </c>
      <c r="E517" s="13" t="s">
        <v>919</v>
      </c>
      <c r="F517" s="13" t="s">
        <v>920</v>
      </c>
      <c r="G517" s="61" t="n">
        <v>2162536834465</v>
      </c>
      <c r="H517" s="13" t="s">
        <v>2255</v>
      </c>
      <c r="I517" s="13"/>
      <c r="J517" s="13"/>
      <c r="K517" s="13" t="s">
        <v>2256</v>
      </c>
      <c r="L517" s="13" t="s">
        <v>2257</v>
      </c>
      <c r="M517" s="13"/>
    </row>
    <row r="518" customFormat="false" ht="15" hidden="false" customHeight="false" outlineLevel="0" collapsed="false">
      <c r="A518" s="13" t="s">
        <v>628</v>
      </c>
      <c r="B518" s="13" t="s">
        <v>627</v>
      </c>
      <c r="C518" s="13" t="s">
        <v>2258</v>
      </c>
      <c r="D518" s="13" t="s">
        <v>59</v>
      </c>
      <c r="E518" s="13" t="s">
        <v>919</v>
      </c>
      <c r="F518" s="13" t="s">
        <v>920</v>
      </c>
      <c r="G518" s="61" t="n">
        <v>2813696522428</v>
      </c>
      <c r="H518" s="13" t="s">
        <v>2255</v>
      </c>
      <c r="I518" s="13"/>
      <c r="J518" s="13"/>
      <c r="K518" s="13" t="s">
        <v>2259</v>
      </c>
      <c r="L518" s="13" t="s">
        <v>2260</v>
      </c>
      <c r="M518" s="13"/>
    </row>
    <row r="519" customFormat="false" ht="15" hidden="false" customHeight="false" outlineLevel="0" collapsed="false">
      <c r="A519" s="13" t="s">
        <v>628</v>
      </c>
      <c r="B519" s="13" t="s">
        <v>627</v>
      </c>
      <c r="C519" s="13" t="s">
        <v>2261</v>
      </c>
      <c r="D519" s="13" t="s">
        <v>59</v>
      </c>
      <c r="E519" s="13" t="s">
        <v>919</v>
      </c>
      <c r="F519" s="13" t="s">
        <v>920</v>
      </c>
      <c r="G519" s="61" t="n">
        <v>2938610148990</v>
      </c>
      <c r="H519" s="13" t="s">
        <v>2255</v>
      </c>
      <c r="I519" s="13"/>
      <c r="J519" s="13"/>
      <c r="K519" s="13" t="s">
        <v>2262</v>
      </c>
      <c r="L519" s="13" t="s">
        <v>2263</v>
      </c>
      <c r="M519" s="13"/>
    </row>
    <row r="520" customFormat="false" ht="15" hidden="false" customHeight="false" outlineLevel="0" collapsed="false">
      <c r="A520" s="13" t="s">
        <v>628</v>
      </c>
      <c r="B520" s="13" t="s">
        <v>627</v>
      </c>
      <c r="C520" s="13" t="s">
        <v>2264</v>
      </c>
      <c r="D520" s="13" t="s">
        <v>59</v>
      </c>
      <c r="E520" s="13" t="s">
        <v>919</v>
      </c>
      <c r="F520" s="13" t="s">
        <v>920</v>
      </c>
      <c r="G520" s="61" t="n">
        <v>3083162034448</v>
      </c>
      <c r="H520" s="13" t="s">
        <v>2255</v>
      </c>
      <c r="I520" s="13"/>
      <c r="J520" s="13"/>
      <c r="K520" s="13" t="s">
        <v>657</v>
      </c>
      <c r="L520" s="13" t="s">
        <v>2265</v>
      </c>
      <c r="M520" s="13"/>
    </row>
    <row r="521" customFormat="false" ht="15" hidden="false" customHeight="false" outlineLevel="0" collapsed="false">
      <c r="A521" s="13" t="s">
        <v>628</v>
      </c>
      <c r="B521" s="13" t="s">
        <v>627</v>
      </c>
      <c r="C521" s="13" t="s">
        <v>2266</v>
      </c>
      <c r="D521" s="13" t="s">
        <v>59</v>
      </c>
      <c r="E521" s="13" t="s">
        <v>919</v>
      </c>
      <c r="F521" s="13" t="s">
        <v>920</v>
      </c>
      <c r="G521" s="61" t="n">
        <v>3446360903748</v>
      </c>
      <c r="H521" s="13" t="s">
        <v>2255</v>
      </c>
      <c r="I521" s="13"/>
      <c r="J521" s="13"/>
      <c r="K521" s="13" t="s">
        <v>658</v>
      </c>
      <c r="L521" s="13" t="s">
        <v>2265</v>
      </c>
      <c r="M521" s="13"/>
    </row>
    <row r="522" customFormat="false" ht="15" hidden="false" customHeight="false" outlineLevel="0" collapsed="false">
      <c r="A522" s="13" t="s">
        <v>628</v>
      </c>
      <c r="B522" s="13" t="s">
        <v>627</v>
      </c>
      <c r="C522" s="13" t="s">
        <v>2267</v>
      </c>
      <c r="D522" s="13" t="s">
        <v>59</v>
      </c>
      <c r="E522" s="13" t="s">
        <v>919</v>
      </c>
      <c r="F522" s="13" t="s">
        <v>920</v>
      </c>
      <c r="G522" s="61" t="n">
        <v>4016429435143</v>
      </c>
      <c r="H522" s="13" t="s">
        <v>2255</v>
      </c>
      <c r="I522" s="13"/>
      <c r="J522" s="13"/>
      <c r="K522" s="13" t="s">
        <v>659</v>
      </c>
      <c r="L522" s="13" t="s">
        <v>2265</v>
      </c>
      <c r="M522" s="13"/>
    </row>
    <row r="523" customFormat="false" ht="15" hidden="false" customHeight="false" outlineLevel="0" collapsed="false">
      <c r="A523" s="13" t="s">
        <v>628</v>
      </c>
      <c r="B523" s="13" t="s">
        <v>627</v>
      </c>
      <c r="C523" s="13" t="s">
        <v>2254</v>
      </c>
      <c r="D523" s="13" t="s">
        <v>59</v>
      </c>
      <c r="E523" s="13" t="s">
        <v>922</v>
      </c>
      <c r="F523" s="13" t="s">
        <v>923</v>
      </c>
      <c r="G523" s="61" t="n">
        <v>683215825248</v>
      </c>
      <c r="H523" s="13" t="s">
        <v>2255</v>
      </c>
      <c r="I523" s="13"/>
      <c r="J523" s="13"/>
      <c r="K523" s="13" t="s">
        <v>2256</v>
      </c>
      <c r="L523" s="13" t="s">
        <v>2257</v>
      </c>
      <c r="M523" s="13"/>
    </row>
    <row r="524" customFormat="false" ht="15" hidden="false" customHeight="false" outlineLevel="0" collapsed="false">
      <c r="A524" s="13" t="s">
        <v>628</v>
      </c>
      <c r="B524" s="13" t="s">
        <v>627</v>
      </c>
      <c r="C524" s="13" t="s">
        <v>2258</v>
      </c>
      <c r="D524" s="13" t="s">
        <v>59</v>
      </c>
      <c r="E524" s="13" t="s">
        <v>922</v>
      </c>
      <c r="F524" s="13" t="s">
        <v>923</v>
      </c>
      <c r="G524" s="61" t="n">
        <v>736497124836</v>
      </c>
      <c r="H524" s="13" t="s">
        <v>2255</v>
      </c>
      <c r="I524" s="13"/>
      <c r="J524" s="13"/>
      <c r="K524" s="13" t="s">
        <v>2259</v>
      </c>
      <c r="L524" s="13" t="s">
        <v>2260</v>
      </c>
      <c r="M524" s="13"/>
    </row>
    <row r="525" customFormat="false" ht="15" hidden="false" customHeight="false" outlineLevel="0" collapsed="false">
      <c r="A525" s="13" t="s">
        <v>628</v>
      </c>
      <c r="B525" s="13" t="s">
        <v>627</v>
      </c>
      <c r="C525" s="13" t="s">
        <v>2261</v>
      </c>
      <c r="D525" s="13" t="s">
        <v>59</v>
      </c>
      <c r="E525" s="13" t="s">
        <v>922</v>
      </c>
      <c r="F525" s="13" t="s">
        <v>923</v>
      </c>
      <c r="G525" s="61" t="n">
        <v>643862008271</v>
      </c>
      <c r="H525" s="13" t="s">
        <v>2255</v>
      </c>
      <c r="I525" s="13"/>
      <c r="J525" s="13"/>
      <c r="K525" s="13" t="s">
        <v>2262</v>
      </c>
      <c r="L525" s="13" t="s">
        <v>2263</v>
      </c>
      <c r="M525" s="13"/>
    </row>
    <row r="526" customFormat="false" ht="15" hidden="false" customHeight="false" outlineLevel="0" collapsed="false">
      <c r="A526" s="13" t="s">
        <v>628</v>
      </c>
      <c r="B526" s="13" t="s">
        <v>627</v>
      </c>
      <c r="C526" s="13" t="s">
        <v>2264</v>
      </c>
      <c r="D526" s="13" t="s">
        <v>59</v>
      </c>
      <c r="E526" s="13" t="s">
        <v>922</v>
      </c>
      <c r="F526" s="13" t="s">
        <v>923</v>
      </c>
      <c r="G526" s="61" t="n">
        <v>569631547013</v>
      </c>
      <c r="H526" s="13" t="s">
        <v>2255</v>
      </c>
      <c r="I526" s="13"/>
      <c r="J526" s="13"/>
      <c r="K526" s="13" t="s">
        <v>657</v>
      </c>
      <c r="L526" s="13" t="s">
        <v>2265</v>
      </c>
      <c r="M526" s="13"/>
    </row>
    <row r="527" customFormat="false" ht="15" hidden="false" customHeight="false" outlineLevel="0" collapsed="false">
      <c r="A527" s="13" t="s">
        <v>628</v>
      </c>
      <c r="B527" s="13" t="s">
        <v>627</v>
      </c>
      <c r="C527" s="13" t="s">
        <v>2266</v>
      </c>
      <c r="D527" s="13" t="s">
        <v>59</v>
      </c>
      <c r="E527" s="13" t="s">
        <v>922</v>
      </c>
      <c r="F527" s="13" t="s">
        <v>923</v>
      </c>
      <c r="G527" s="61" t="n">
        <v>568415968476</v>
      </c>
      <c r="H527" s="13" t="s">
        <v>2255</v>
      </c>
      <c r="I527" s="13"/>
      <c r="J527" s="13"/>
      <c r="K527" s="13" t="s">
        <v>658</v>
      </c>
      <c r="L527" s="13" t="s">
        <v>2265</v>
      </c>
      <c r="M527" s="13"/>
    </row>
    <row r="528" customFormat="false" ht="15" hidden="false" customHeight="false" outlineLevel="0" collapsed="false">
      <c r="A528" s="13" t="s">
        <v>628</v>
      </c>
      <c r="B528" s="13" t="s">
        <v>627</v>
      </c>
      <c r="C528" s="13" t="s">
        <v>2267</v>
      </c>
      <c r="D528" s="13" t="s">
        <v>59</v>
      </c>
      <c r="E528" s="13" t="s">
        <v>922</v>
      </c>
      <c r="F528" s="13" t="s">
        <v>923</v>
      </c>
      <c r="G528" s="61" t="n">
        <v>746084870999</v>
      </c>
      <c r="H528" s="13" t="s">
        <v>2255</v>
      </c>
      <c r="I528" s="13"/>
      <c r="J528" s="13"/>
      <c r="K528" s="13" t="s">
        <v>659</v>
      </c>
      <c r="L528" s="13" t="s">
        <v>2265</v>
      </c>
      <c r="M528" s="13"/>
    </row>
    <row r="529" customFormat="false" ht="15" hidden="false" customHeight="false" outlineLevel="0" collapsed="false">
      <c r="A529" s="13" t="s">
        <v>628</v>
      </c>
      <c r="B529" s="13" t="s">
        <v>627</v>
      </c>
      <c r="C529" s="13" t="s">
        <v>2254</v>
      </c>
      <c r="D529" s="13" t="s">
        <v>59</v>
      </c>
      <c r="E529" s="13" t="s">
        <v>925</v>
      </c>
      <c r="F529" s="13" t="s">
        <v>926</v>
      </c>
      <c r="G529" s="61" t="n">
        <v>429621623605</v>
      </c>
      <c r="H529" s="13" t="s">
        <v>2255</v>
      </c>
      <c r="I529" s="13"/>
      <c r="J529" s="13"/>
      <c r="K529" s="13" t="s">
        <v>2256</v>
      </c>
      <c r="L529" s="13" t="s">
        <v>2257</v>
      </c>
      <c r="M529" s="13"/>
    </row>
    <row r="530" customFormat="false" ht="15" hidden="false" customHeight="false" outlineLevel="0" collapsed="false">
      <c r="A530" s="13" t="s">
        <v>628</v>
      </c>
      <c r="B530" s="13" t="s">
        <v>627</v>
      </c>
      <c r="C530" s="13" t="s">
        <v>2258</v>
      </c>
      <c r="D530" s="13" t="s">
        <v>59</v>
      </c>
      <c r="E530" s="13" t="s">
        <v>925</v>
      </c>
      <c r="F530" s="13" t="s">
        <v>926</v>
      </c>
      <c r="G530" s="61" t="n">
        <v>280983395942</v>
      </c>
      <c r="H530" s="13" t="s">
        <v>2255</v>
      </c>
      <c r="I530" s="13"/>
      <c r="J530" s="13"/>
      <c r="K530" s="13" t="s">
        <v>2259</v>
      </c>
      <c r="L530" s="13" t="s">
        <v>2260</v>
      </c>
      <c r="M530" s="13"/>
    </row>
    <row r="531" customFormat="false" ht="15" hidden="false" customHeight="false" outlineLevel="0" collapsed="false">
      <c r="A531" s="13" t="s">
        <v>628</v>
      </c>
      <c r="B531" s="13" t="s">
        <v>627</v>
      </c>
      <c r="C531" s="13" t="s">
        <v>2261</v>
      </c>
      <c r="D531" s="13" t="s">
        <v>59</v>
      </c>
      <c r="E531" s="13" t="s">
        <v>925</v>
      </c>
      <c r="F531" s="13" t="s">
        <v>926</v>
      </c>
      <c r="G531" s="61" t="n">
        <v>486515696314</v>
      </c>
      <c r="H531" s="13" t="s">
        <v>2255</v>
      </c>
      <c r="I531" s="13"/>
      <c r="J531" s="13"/>
      <c r="K531" s="13" t="s">
        <v>2262</v>
      </c>
      <c r="L531" s="13" t="s">
        <v>2263</v>
      </c>
      <c r="M531" s="13"/>
    </row>
    <row r="532" customFormat="false" ht="15" hidden="false" customHeight="false" outlineLevel="0" collapsed="false">
      <c r="A532" s="13" t="s">
        <v>628</v>
      </c>
      <c r="B532" s="13" t="s">
        <v>627</v>
      </c>
      <c r="C532" s="13" t="s">
        <v>2264</v>
      </c>
      <c r="D532" s="13" t="s">
        <v>59</v>
      </c>
      <c r="E532" s="13" t="s">
        <v>925</v>
      </c>
      <c r="F532" s="13" t="s">
        <v>926</v>
      </c>
      <c r="G532" s="61" t="n">
        <v>713494578983</v>
      </c>
      <c r="H532" s="13" t="s">
        <v>2255</v>
      </c>
      <c r="I532" s="13"/>
      <c r="J532" s="13"/>
      <c r="K532" s="13" t="s">
        <v>657</v>
      </c>
      <c r="L532" s="13" t="s">
        <v>2265</v>
      </c>
      <c r="M532" s="13"/>
    </row>
    <row r="533" customFormat="false" ht="15" hidden="false" customHeight="false" outlineLevel="0" collapsed="false">
      <c r="A533" s="13" t="s">
        <v>628</v>
      </c>
      <c r="B533" s="13" t="s">
        <v>627</v>
      </c>
      <c r="C533" s="13" t="s">
        <v>2266</v>
      </c>
      <c r="D533" s="13" t="s">
        <v>59</v>
      </c>
      <c r="E533" s="13" t="s">
        <v>925</v>
      </c>
      <c r="F533" s="13" t="s">
        <v>926</v>
      </c>
      <c r="G533" s="61" t="n">
        <v>730209250551</v>
      </c>
      <c r="H533" s="13" t="s">
        <v>2255</v>
      </c>
      <c r="I533" s="13"/>
      <c r="J533" s="13"/>
      <c r="K533" s="13" t="s">
        <v>658</v>
      </c>
      <c r="L533" s="13" t="s">
        <v>2265</v>
      </c>
      <c r="M533" s="13"/>
    </row>
    <row r="534" customFormat="false" ht="15" hidden="false" customHeight="false" outlineLevel="0" collapsed="false">
      <c r="A534" s="13" t="s">
        <v>628</v>
      </c>
      <c r="B534" s="13" t="s">
        <v>627</v>
      </c>
      <c r="C534" s="13" t="s">
        <v>2267</v>
      </c>
      <c r="D534" s="13" t="s">
        <v>59</v>
      </c>
      <c r="E534" s="13" t="s">
        <v>925</v>
      </c>
      <c r="F534" s="13" t="s">
        <v>926</v>
      </c>
      <c r="G534" s="61" t="n">
        <v>875837547633</v>
      </c>
      <c r="H534" s="13" t="s">
        <v>2255</v>
      </c>
      <c r="I534" s="13"/>
      <c r="J534" s="13"/>
      <c r="K534" s="13" t="s">
        <v>659</v>
      </c>
      <c r="L534" s="13" t="s">
        <v>2265</v>
      </c>
      <c r="M534" s="13"/>
    </row>
    <row r="535" customFormat="false" ht="15" hidden="false" customHeight="false" outlineLevel="0" collapsed="false">
      <c r="A535" s="13" t="s">
        <v>628</v>
      </c>
      <c r="B535" s="13" t="s">
        <v>627</v>
      </c>
      <c r="C535" s="13" t="s">
        <v>2254</v>
      </c>
      <c r="D535" s="13" t="s">
        <v>59</v>
      </c>
      <c r="E535" s="13" t="s">
        <v>928</v>
      </c>
      <c r="F535" s="13" t="s">
        <v>929</v>
      </c>
      <c r="G535" s="61" t="n">
        <v>1112837448853</v>
      </c>
      <c r="H535" s="13" t="s">
        <v>2255</v>
      </c>
      <c r="I535" s="13"/>
      <c r="J535" s="13"/>
      <c r="K535" s="13" t="s">
        <v>2256</v>
      </c>
      <c r="L535" s="13" t="s">
        <v>2257</v>
      </c>
      <c r="M535" s="13"/>
    </row>
    <row r="536" customFormat="false" ht="15" hidden="false" customHeight="false" outlineLevel="0" collapsed="false">
      <c r="A536" s="13" t="s">
        <v>628</v>
      </c>
      <c r="B536" s="13" t="s">
        <v>627</v>
      </c>
      <c r="C536" s="13" t="s">
        <v>2258</v>
      </c>
      <c r="D536" s="13" t="s">
        <v>59</v>
      </c>
      <c r="E536" s="13" t="s">
        <v>928</v>
      </c>
      <c r="F536" s="13" t="s">
        <v>929</v>
      </c>
      <c r="G536" s="61" t="n">
        <v>1017480520778</v>
      </c>
      <c r="H536" s="13" t="s">
        <v>2255</v>
      </c>
      <c r="I536" s="13"/>
      <c r="J536" s="13"/>
      <c r="K536" s="13" t="s">
        <v>2259</v>
      </c>
      <c r="L536" s="13" t="s">
        <v>2260</v>
      </c>
      <c r="M536" s="13"/>
    </row>
    <row r="537" customFormat="false" ht="15" hidden="false" customHeight="false" outlineLevel="0" collapsed="false">
      <c r="A537" s="13" t="s">
        <v>628</v>
      </c>
      <c r="B537" s="13" t="s">
        <v>627</v>
      </c>
      <c r="C537" s="13" t="s">
        <v>2261</v>
      </c>
      <c r="D537" s="13" t="s">
        <v>59</v>
      </c>
      <c r="E537" s="13" t="s">
        <v>928</v>
      </c>
      <c r="F537" s="13" t="s">
        <v>929</v>
      </c>
      <c r="G537" s="61" t="n">
        <v>1130377704585</v>
      </c>
      <c r="H537" s="13" t="s">
        <v>2255</v>
      </c>
      <c r="I537" s="13"/>
      <c r="J537" s="13"/>
      <c r="K537" s="13" t="s">
        <v>2262</v>
      </c>
      <c r="L537" s="13" t="s">
        <v>2263</v>
      </c>
      <c r="M537" s="13"/>
    </row>
    <row r="538" customFormat="false" ht="15" hidden="false" customHeight="false" outlineLevel="0" collapsed="false">
      <c r="A538" s="13" t="s">
        <v>628</v>
      </c>
      <c r="B538" s="13" t="s">
        <v>627</v>
      </c>
      <c r="C538" s="13" t="s">
        <v>2264</v>
      </c>
      <c r="D538" s="13" t="s">
        <v>59</v>
      </c>
      <c r="E538" s="13" t="s">
        <v>928</v>
      </c>
      <c r="F538" s="13" t="s">
        <v>929</v>
      </c>
      <c r="G538" s="61" t="n">
        <v>1283126125996</v>
      </c>
      <c r="H538" s="13" t="s">
        <v>2255</v>
      </c>
      <c r="I538" s="13"/>
      <c r="J538" s="13"/>
      <c r="K538" s="13" t="s">
        <v>657</v>
      </c>
      <c r="L538" s="13" t="s">
        <v>2265</v>
      </c>
      <c r="M538" s="13"/>
    </row>
    <row r="539" customFormat="false" ht="15" hidden="false" customHeight="false" outlineLevel="0" collapsed="false">
      <c r="A539" s="13" t="s">
        <v>628</v>
      </c>
      <c r="B539" s="13" t="s">
        <v>627</v>
      </c>
      <c r="C539" s="13" t="s">
        <v>2266</v>
      </c>
      <c r="D539" s="13" t="s">
        <v>59</v>
      </c>
      <c r="E539" s="13" t="s">
        <v>928</v>
      </c>
      <c r="F539" s="13" t="s">
        <v>929</v>
      </c>
      <c r="G539" s="61" t="n">
        <v>1298625219027</v>
      </c>
      <c r="H539" s="13" t="s">
        <v>2255</v>
      </c>
      <c r="I539" s="13"/>
      <c r="J539" s="13"/>
      <c r="K539" s="13" t="s">
        <v>658</v>
      </c>
      <c r="L539" s="13" t="s">
        <v>2265</v>
      </c>
      <c r="M539" s="13"/>
    </row>
    <row r="540" customFormat="false" ht="15" hidden="false" customHeight="false" outlineLevel="0" collapsed="false">
      <c r="A540" s="13" t="s">
        <v>628</v>
      </c>
      <c r="B540" s="13" t="s">
        <v>627</v>
      </c>
      <c r="C540" s="13" t="s">
        <v>2267</v>
      </c>
      <c r="D540" s="13" t="s">
        <v>59</v>
      </c>
      <c r="E540" s="13" t="s">
        <v>928</v>
      </c>
      <c r="F540" s="13" t="s">
        <v>929</v>
      </c>
      <c r="G540" s="61" t="n">
        <v>1621922418632</v>
      </c>
      <c r="H540" s="13" t="s">
        <v>2255</v>
      </c>
      <c r="I540" s="13"/>
      <c r="J540" s="13"/>
      <c r="K540" s="13" t="s">
        <v>659</v>
      </c>
      <c r="L540" s="13" t="s">
        <v>2265</v>
      </c>
      <c r="M540" s="13"/>
    </row>
    <row r="541" customFormat="false" ht="15" hidden="false" customHeight="false" outlineLevel="0" collapsed="false">
      <c r="A541" s="13" t="s">
        <v>628</v>
      </c>
      <c r="B541" s="13" t="s">
        <v>627</v>
      </c>
      <c r="C541" s="13" t="s">
        <v>2254</v>
      </c>
      <c r="D541" s="13" t="s">
        <v>59</v>
      </c>
      <c r="E541" s="13" t="s">
        <v>931</v>
      </c>
      <c r="F541" s="13" t="s">
        <v>932</v>
      </c>
      <c r="G541" s="61" t="n">
        <v>995237210570</v>
      </c>
      <c r="H541" s="13" t="s">
        <v>2255</v>
      </c>
      <c r="I541" s="13"/>
      <c r="J541" s="13"/>
      <c r="K541" s="13" t="s">
        <v>2256</v>
      </c>
      <c r="L541" s="13" t="s">
        <v>2257</v>
      </c>
      <c r="M541" s="13"/>
    </row>
    <row r="542" customFormat="false" ht="15" hidden="false" customHeight="false" outlineLevel="0" collapsed="false">
      <c r="A542" s="13" t="s">
        <v>628</v>
      </c>
      <c r="B542" s="13" t="s">
        <v>627</v>
      </c>
      <c r="C542" s="13" t="s">
        <v>2258</v>
      </c>
      <c r="D542" s="13" t="s">
        <v>59</v>
      </c>
      <c r="E542" s="13" t="s">
        <v>931</v>
      </c>
      <c r="F542" s="13" t="s">
        <v>932</v>
      </c>
      <c r="G542" s="61" t="n">
        <v>1550739689597</v>
      </c>
      <c r="H542" s="13" t="s">
        <v>2255</v>
      </c>
      <c r="I542" s="13"/>
      <c r="J542" s="13"/>
      <c r="K542" s="13" t="s">
        <v>2259</v>
      </c>
      <c r="L542" s="13" t="s">
        <v>2260</v>
      </c>
      <c r="M542" s="13"/>
    </row>
    <row r="543" customFormat="false" ht="15" hidden="false" customHeight="false" outlineLevel="0" collapsed="false">
      <c r="A543" s="13" t="s">
        <v>628</v>
      </c>
      <c r="B543" s="13" t="s">
        <v>627</v>
      </c>
      <c r="C543" s="13" t="s">
        <v>2261</v>
      </c>
      <c r="D543" s="13" t="s">
        <v>59</v>
      </c>
      <c r="E543" s="13" t="s">
        <v>931</v>
      </c>
      <c r="F543" s="13" t="s">
        <v>932</v>
      </c>
      <c r="G543" s="61" t="n">
        <v>1596150796616</v>
      </c>
      <c r="H543" s="13" t="s">
        <v>2255</v>
      </c>
      <c r="I543" s="13"/>
      <c r="J543" s="13"/>
      <c r="K543" s="13" t="s">
        <v>2262</v>
      </c>
      <c r="L543" s="13" t="s">
        <v>2263</v>
      </c>
      <c r="M543" s="13"/>
    </row>
    <row r="544" customFormat="false" ht="15" hidden="false" customHeight="false" outlineLevel="0" collapsed="false">
      <c r="A544" s="13" t="s">
        <v>628</v>
      </c>
      <c r="B544" s="13" t="s">
        <v>627</v>
      </c>
      <c r="C544" s="13" t="s">
        <v>2264</v>
      </c>
      <c r="D544" s="13" t="s">
        <v>59</v>
      </c>
      <c r="E544" s="13" t="s">
        <v>931</v>
      </c>
      <c r="F544" s="13" t="s">
        <v>932</v>
      </c>
      <c r="G544" s="61" t="n">
        <v>1589813147615</v>
      </c>
      <c r="H544" s="13" t="s">
        <v>2255</v>
      </c>
      <c r="I544" s="13"/>
      <c r="J544" s="13"/>
      <c r="K544" s="13" t="s">
        <v>657</v>
      </c>
      <c r="L544" s="13" t="s">
        <v>2265</v>
      </c>
      <c r="M544" s="13"/>
    </row>
    <row r="545" customFormat="false" ht="15" hidden="false" customHeight="false" outlineLevel="0" collapsed="false">
      <c r="A545" s="13" t="s">
        <v>628</v>
      </c>
      <c r="B545" s="13" t="s">
        <v>627</v>
      </c>
      <c r="C545" s="13" t="s">
        <v>2266</v>
      </c>
      <c r="D545" s="13" t="s">
        <v>59</v>
      </c>
      <c r="E545" s="13" t="s">
        <v>931</v>
      </c>
      <c r="F545" s="13" t="s">
        <v>932</v>
      </c>
      <c r="G545" s="61" t="n">
        <v>1713479286013</v>
      </c>
      <c r="H545" s="13" t="s">
        <v>2255</v>
      </c>
      <c r="I545" s="13"/>
      <c r="J545" s="13"/>
      <c r="K545" s="13" t="s">
        <v>658</v>
      </c>
      <c r="L545" s="13" t="s">
        <v>2265</v>
      </c>
      <c r="M545" s="13"/>
    </row>
    <row r="546" customFormat="false" ht="15" hidden="false" customHeight="false" outlineLevel="0" collapsed="false">
      <c r="A546" s="13" t="s">
        <v>628</v>
      </c>
      <c r="B546" s="13" t="s">
        <v>627</v>
      </c>
      <c r="C546" s="13" t="s">
        <v>2267</v>
      </c>
      <c r="D546" s="13" t="s">
        <v>59</v>
      </c>
      <c r="E546" s="13" t="s">
        <v>931</v>
      </c>
      <c r="F546" s="13" t="s">
        <v>932</v>
      </c>
      <c r="G546" s="61" t="n">
        <v>1949914193558</v>
      </c>
      <c r="H546" s="13" t="s">
        <v>2255</v>
      </c>
      <c r="I546" s="13"/>
      <c r="J546" s="13"/>
      <c r="K546" s="13" t="s">
        <v>659</v>
      </c>
      <c r="L546" s="13" t="s">
        <v>2265</v>
      </c>
      <c r="M546" s="13"/>
    </row>
    <row r="547" customFormat="false" ht="15" hidden="false" customHeight="false" outlineLevel="0" collapsed="false">
      <c r="A547" s="13" t="s">
        <v>628</v>
      </c>
      <c r="B547" s="13" t="s">
        <v>627</v>
      </c>
      <c r="C547" s="13" t="s">
        <v>2254</v>
      </c>
      <c r="D547" s="13" t="s">
        <v>59</v>
      </c>
      <c r="E547" s="13" t="s">
        <v>934</v>
      </c>
      <c r="F547" s="13" t="s">
        <v>935</v>
      </c>
      <c r="G547" s="61" t="n">
        <v>1049699385612</v>
      </c>
      <c r="H547" s="13" t="s">
        <v>2255</v>
      </c>
      <c r="I547" s="13"/>
      <c r="J547" s="13"/>
      <c r="K547" s="13" t="s">
        <v>2256</v>
      </c>
      <c r="L547" s="13" t="s">
        <v>2257</v>
      </c>
      <c r="M547" s="13"/>
    </row>
    <row r="548" customFormat="false" ht="15" hidden="false" customHeight="false" outlineLevel="0" collapsed="false">
      <c r="A548" s="13" t="s">
        <v>628</v>
      </c>
      <c r="B548" s="13" t="s">
        <v>627</v>
      </c>
      <c r="C548" s="13" t="s">
        <v>2258</v>
      </c>
      <c r="D548" s="13" t="s">
        <v>59</v>
      </c>
      <c r="E548" s="13" t="s">
        <v>934</v>
      </c>
      <c r="F548" s="13" t="s">
        <v>935</v>
      </c>
      <c r="G548" s="61" t="n">
        <v>1796216001650</v>
      </c>
      <c r="H548" s="13" t="s">
        <v>2255</v>
      </c>
      <c r="I548" s="13"/>
      <c r="J548" s="13"/>
      <c r="K548" s="13" t="s">
        <v>2259</v>
      </c>
      <c r="L548" s="13" t="s">
        <v>2260</v>
      </c>
      <c r="M548" s="13"/>
    </row>
    <row r="549" customFormat="false" ht="15" hidden="false" customHeight="false" outlineLevel="0" collapsed="false">
      <c r="A549" s="13" t="s">
        <v>628</v>
      </c>
      <c r="B549" s="13" t="s">
        <v>627</v>
      </c>
      <c r="C549" s="13" t="s">
        <v>2261</v>
      </c>
      <c r="D549" s="13" t="s">
        <v>59</v>
      </c>
      <c r="E549" s="13" t="s">
        <v>934</v>
      </c>
      <c r="F549" s="13" t="s">
        <v>935</v>
      </c>
      <c r="G549" s="61" t="n">
        <v>1808232444405</v>
      </c>
      <c r="H549" s="13" t="s">
        <v>2255</v>
      </c>
      <c r="I549" s="13"/>
      <c r="J549" s="13"/>
      <c r="K549" s="13" t="s">
        <v>2262</v>
      </c>
      <c r="L549" s="13" t="s">
        <v>2263</v>
      </c>
      <c r="M549" s="13"/>
    </row>
    <row r="550" customFormat="false" ht="15" hidden="false" customHeight="false" outlineLevel="0" collapsed="false">
      <c r="A550" s="13" t="s">
        <v>628</v>
      </c>
      <c r="B550" s="13" t="s">
        <v>627</v>
      </c>
      <c r="C550" s="13" t="s">
        <v>2264</v>
      </c>
      <c r="D550" s="13" t="s">
        <v>59</v>
      </c>
      <c r="E550" s="13" t="s">
        <v>934</v>
      </c>
      <c r="F550" s="13" t="s">
        <v>935</v>
      </c>
      <c r="G550" s="61" t="n">
        <v>1800035908452</v>
      </c>
      <c r="H550" s="13" t="s">
        <v>2255</v>
      </c>
      <c r="I550" s="13"/>
      <c r="J550" s="13"/>
      <c r="K550" s="13" t="s">
        <v>657</v>
      </c>
      <c r="L550" s="13" t="s">
        <v>2265</v>
      </c>
      <c r="M550" s="13"/>
    </row>
    <row r="551" customFormat="false" ht="15" hidden="false" customHeight="false" outlineLevel="0" collapsed="false">
      <c r="A551" s="13" t="s">
        <v>628</v>
      </c>
      <c r="B551" s="13" t="s">
        <v>627</v>
      </c>
      <c r="C551" s="13" t="s">
        <v>2266</v>
      </c>
      <c r="D551" s="13" t="s">
        <v>59</v>
      </c>
      <c r="E551" s="13" t="s">
        <v>934</v>
      </c>
      <c r="F551" s="13" t="s">
        <v>935</v>
      </c>
      <c r="G551" s="61" t="n">
        <v>2147735684721</v>
      </c>
      <c r="H551" s="13" t="s">
        <v>2255</v>
      </c>
      <c r="I551" s="13"/>
      <c r="J551" s="13"/>
      <c r="K551" s="13" t="s">
        <v>658</v>
      </c>
      <c r="L551" s="13" t="s">
        <v>2265</v>
      </c>
      <c r="M551" s="13"/>
    </row>
    <row r="552" customFormat="false" ht="15" hidden="false" customHeight="false" outlineLevel="0" collapsed="false">
      <c r="A552" s="13" t="s">
        <v>628</v>
      </c>
      <c r="B552" s="13" t="s">
        <v>627</v>
      </c>
      <c r="C552" s="13" t="s">
        <v>2267</v>
      </c>
      <c r="D552" s="13" t="s">
        <v>59</v>
      </c>
      <c r="E552" s="13" t="s">
        <v>934</v>
      </c>
      <c r="F552" s="13" t="s">
        <v>935</v>
      </c>
      <c r="G552" s="61" t="n">
        <v>2394507016511</v>
      </c>
      <c r="H552" s="13" t="s">
        <v>2255</v>
      </c>
      <c r="I552" s="13"/>
      <c r="J552" s="13"/>
      <c r="K552" s="13" t="s">
        <v>659</v>
      </c>
      <c r="L552" s="13" t="s">
        <v>2265</v>
      </c>
      <c r="M552" s="13"/>
    </row>
    <row r="553" customFormat="false" ht="15" hidden="false" customHeight="false" outlineLevel="0" collapsed="false">
      <c r="A553" s="13" t="s">
        <v>628</v>
      </c>
      <c r="B553" s="13" t="s">
        <v>627</v>
      </c>
      <c r="C553" s="13" t="s">
        <v>2254</v>
      </c>
      <c r="D553" s="13" t="s">
        <v>59</v>
      </c>
      <c r="E553" s="13" t="s">
        <v>937</v>
      </c>
      <c r="F553" s="13" t="s">
        <v>938</v>
      </c>
      <c r="G553" s="61" t="n">
        <v>2162536834465</v>
      </c>
      <c r="H553" s="13" t="s">
        <v>2255</v>
      </c>
      <c r="I553" s="13"/>
      <c r="J553" s="13"/>
      <c r="K553" s="13" t="s">
        <v>2256</v>
      </c>
      <c r="L553" s="13" t="s">
        <v>2257</v>
      </c>
      <c r="M553" s="13"/>
    </row>
    <row r="554" customFormat="false" ht="15" hidden="false" customHeight="false" outlineLevel="0" collapsed="false">
      <c r="A554" s="13" t="s">
        <v>628</v>
      </c>
      <c r="B554" s="13" t="s">
        <v>627</v>
      </c>
      <c r="C554" s="13" t="s">
        <v>2258</v>
      </c>
      <c r="D554" s="13" t="s">
        <v>59</v>
      </c>
      <c r="E554" s="13" t="s">
        <v>937</v>
      </c>
      <c r="F554" s="13" t="s">
        <v>938</v>
      </c>
      <c r="G554" s="61" t="n">
        <v>2813696522428</v>
      </c>
      <c r="H554" s="13" t="s">
        <v>2255</v>
      </c>
      <c r="I554" s="13"/>
      <c r="J554" s="13"/>
      <c r="K554" s="13" t="s">
        <v>2259</v>
      </c>
      <c r="L554" s="13" t="s">
        <v>2260</v>
      </c>
      <c r="M554" s="13"/>
    </row>
    <row r="555" customFormat="false" ht="15" hidden="false" customHeight="false" outlineLevel="0" collapsed="false">
      <c r="A555" s="13" t="s">
        <v>628</v>
      </c>
      <c r="B555" s="13" t="s">
        <v>627</v>
      </c>
      <c r="C555" s="13" t="s">
        <v>2261</v>
      </c>
      <c r="D555" s="13" t="s">
        <v>59</v>
      </c>
      <c r="E555" s="13" t="s">
        <v>937</v>
      </c>
      <c r="F555" s="13" t="s">
        <v>938</v>
      </c>
      <c r="G555" s="61" t="n">
        <v>2938610148990</v>
      </c>
      <c r="H555" s="13" t="s">
        <v>2255</v>
      </c>
      <c r="I555" s="13"/>
      <c r="J555" s="13"/>
      <c r="K555" s="13" t="s">
        <v>2262</v>
      </c>
      <c r="L555" s="13" t="s">
        <v>2263</v>
      </c>
      <c r="M555" s="13"/>
    </row>
    <row r="556" customFormat="false" ht="15" hidden="false" customHeight="false" outlineLevel="0" collapsed="false">
      <c r="A556" s="13" t="s">
        <v>628</v>
      </c>
      <c r="B556" s="13" t="s">
        <v>627</v>
      </c>
      <c r="C556" s="13" t="s">
        <v>2264</v>
      </c>
      <c r="D556" s="13" t="s">
        <v>59</v>
      </c>
      <c r="E556" s="13" t="s">
        <v>937</v>
      </c>
      <c r="F556" s="13" t="s">
        <v>938</v>
      </c>
      <c r="G556" s="61" t="n">
        <v>3083162034448</v>
      </c>
      <c r="H556" s="13" t="s">
        <v>2255</v>
      </c>
      <c r="I556" s="13"/>
      <c r="J556" s="13"/>
      <c r="K556" s="13" t="s">
        <v>657</v>
      </c>
      <c r="L556" s="13" t="s">
        <v>2265</v>
      </c>
      <c r="M556" s="13"/>
    </row>
    <row r="557" customFormat="false" ht="15" hidden="false" customHeight="false" outlineLevel="0" collapsed="false">
      <c r="A557" s="13" t="s">
        <v>628</v>
      </c>
      <c r="B557" s="13" t="s">
        <v>627</v>
      </c>
      <c r="C557" s="13" t="s">
        <v>2266</v>
      </c>
      <c r="D557" s="13" t="s">
        <v>59</v>
      </c>
      <c r="E557" s="13" t="s">
        <v>937</v>
      </c>
      <c r="F557" s="13" t="s">
        <v>938</v>
      </c>
      <c r="G557" s="61" t="n">
        <v>3446360903748</v>
      </c>
      <c r="H557" s="13" t="s">
        <v>2255</v>
      </c>
      <c r="I557" s="13"/>
      <c r="J557" s="13"/>
      <c r="K557" s="13" t="s">
        <v>658</v>
      </c>
      <c r="L557" s="13" t="s">
        <v>2265</v>
      </c>
      <c r="M557" s="13"/>
    </row>
    <row r="558" customFormat="false" ht="15" hidden="false" customHeight="false" outlineLevel="0" collapsed="false">
      <c r="A558" s="13" t="s">
        <v>628</v>
      </c>
      <c r="B558" s="13" t="s">
        <v>627</v>
      </c>
      <c r="C558" s="13" t="s">
        <v>2267</v>
      </c>
      <c r="D558" s="13" t="s">
        <v>59</v>
      </c>
      <c r="E558" s="13" t="s">
        <v>937</v>
      </c>
      <c r="F558" s="13" t="s">
        <v>938</v>
      </c>
      <c r="G558" s="61" t="n">
        <v>4016429435143</v>
      </c>
      <c r="H558" s="13" t="s">
        <v>2255</v>
      </c>
      <c r="I558" s="13"/>
      <c r="J558" s="13"/>
      <c r="K558" s="13" t="s">
        <v>659</v>
      </c>
      <c r="L558" s="13" t="s">
        <v>2265</v>
      </c>
      <c r="M558" s="13"/>
    </row>
    <row r="559" customFormat="false" ht="15" hidden="false" customHeight="false" outlineLevel="0" collapsed="false">
      <c r="A559" s="13" t="s">
        <v>628</v>
      </c>
      <c r="B559" s="13" t="s">
        <v>627</v>
      </c>
      <c r="C559" s="13" t="s">
        <v>2254</v>
      </c>
      <c r="D559" s="13" t="s">
        <v>61</v>
      </c>
      <c r="E559" s="13" t="s">
        <v>1062</v>
      </c>
      <c r="F559" s="13" t="s">
        <v>1063</v>
      </c>
      <c r="G559" s="61" t="n">
        <v>1108386681210</v>
      </c>
      <c r="H559" s="13" t="s">
        <v>2255</v>
      </c>
      <c r="I559" s="13"/>
      <c r="J559" s="13"/>
      <c r="K559" s="13" t="s">
        <v>2256</v>
      </c>
      <c r="L559" s="13" t="s">
        <v>2257</v>
      </c>
      <c r="M559" s="13"/>
    </row>
    <row r="560" customFormat="false" ht="15" hidden="false" customHeight="false" outlineLevel="0" collapsed="false">
      <c r="A560" s="13" t="s">
        <v>628</v>
      </c>
      <c r="B560" s="13" t="s">
        <v>627</v>
      </c>
      <c r="C560" s="13" t="s">
        <v>2258</v>
      </c>
      <c r="D560" s="13" t="s">
        <v>61</v>
      </c>
      <c r="E560" s="13" t="s">
        <v>1062</v>
      </c>
      <c r="F560" s="13" t="s">
        <v>1063</v>
      </c>
      <c r="G560" s="61" t="n">
        <v>1673629993229</v>
      </c>
      <c r="H560" s="13" t="s">
        <v>2255</v>
      </c>
      <c r="I560" s="13"/>
      <c r="J560" s="13"/>
      <c r="K560" s="13" t="s">
        <v>2259</v>
      </c>
      <c r="L560" s="13" t="s">
        <v>2260</v>
      </c>
      <c r="M560" s="13"/>
    </row>
    <row r="561" customFormat="false" ht="15" hidden="false" customHeight="false" outlineLevel="0" collapsed="false">
      <c r="A561" s="13" t="s">
        <v>628</v>
      </c>
      <c r="B561" s="13" t="s">
        <v>627</v>
      </c>
      <c r="C561" s="13" t="s">
        <v>2261</v>
      </c>
      <c r="D561" s="13" t="s">
        <v>61</v>
      </c>
      <c r="E561" s="13" t="s">
        <v>1062</v>
      </c>
      <c r="F561" s="13" t="s">
        <v>1063</v>
      </c>
      <c r="G561" s="61" t="n">
        <v>1777236400921</v>
      </c>
      <c r="H561" s="13" t="s">
        <v>2255</v>
      </c>
      <c r="I561" s="13"/>
      <c r="J561" s="13"/>
      <c r="K561" s="13" t="s">
        <v>2262</v>
      </c>
      <c r="L561" s="13" t="s">
        <v>2263</v>
      </c>
      <c r="M561" s="13"/>
    </row>
    <row r="562" customFormat="false" ht="15" hidden="false" customHeight="false" outlineLevel="0" collapsed="false">
      <c r="A562" s="13" t="s">
        <v>628</v>
      </c>
      <c r="B562" s="13" t="s">
        <v>627</v>
      </c>
      <c r="C562" s="13" t="s">
        <v>2264</v>
      </c>
      <c r="D562" s="13" t="s">
        <v>61</v>
      </c>
      <c r="E562" s="13" t="s">
        <v>1062</v>
      </c>
      <c r="F562" s="13" t="s">
        <v>1063</v>
      </c>
      <c r="G562" s="61" t="n">
        <v>1284421935179</v>
      </c>
      <c r="H562" s="13" t="s">
        <v>2255</v>
      </c>
      <c r="I562" s="13"/>
      <c r="J562" s="13"/>
      <c r="K562" s="13" t="s">
        <v>657</v>
      </c>
      <c r="L562" s="13" t="s">
        <v>2265</v>
      </c>
      <c r="M562" s="13"/>
    </row>
    <row r="563" customFormat="false" ht="15" hidden="false" customHeight="false" outlineLevel="0" collapsed="false">
      <c r="A563" s="13" t="s">
        <v>628</v>
      </c>
      <c r="B563" s="13" t="s">
        <v>627</v>
      </c>
      <c r="C563" s="13" t="s">
        <v>2266</v>
      </c>
      <c r="D563" s="13" t="s">
        <v>61</v>
      </c>
      <c r="E563" s="13" t="s">
        <v>1062</v>
      </c>
      <c r="F563" s="13" t="s">
        <v>1063</v>
      </c>
      <c r="G563" s="61" t="n">
        <v>1525558998211</v>
      </c>
      <c r="H563" s="13" t="s">
        <v>2255</v>
      </c>
      <c r="I563" s="13"/>
      <c r="J563" s="13"/>
      <c r="K563" s="13" t="s">
        <v>658</v>
      </c>
      <c r="L563" s="13" t="s">
        <v>2265</v>
      </c>
      <c r="M563" s="13"/>
    </row>
    <row r="564" customFormat="false" ht="15" hidden="false" customHeight="false" outlineLevel="0" collapsed="false">
      <c r="A564" s="13" t="s">
        <v>628</v>
      </c>
      <c r="B564" s="13" t="s">
        <v>627</v>
      </c>
      <c r="C564" s="13" t="s">
        <v>2267</v>
      </c>
      <c r="D564" s="13" t="s">
        <v>61</v>
      </c>
      <c r="E564" s="13" t="s">
        <v>1062</v>
      </c>
      <c r="F564" s="13" t="s">
        <v>1063</v>
      </c>
      <c r="G564" s="61" t="n">
        <v>1611125750921</v>
      </c>
      <c r="H564" s="13" t="s">
        <v>2255</v>
      </c>
      <c r="I564" s="13"/>
      <c r="J564" s="13"/>
      <c r="K564" s="13" t="s">
        <v>659</v>
      </c>
      <c r="L564" s="13" t="s">
        <v>2265</v>
      </c>
      <c r="M564" s="13"/>
    </row>
    <row r="565" customFormat="false" ht="15" hidden="false" customHeight="false" outlineLevel="0" collapsed="false">
      <c r="A565" s="13" t="s">
        <v>628</v>
      </c>
      <c r="B565" s="13" t="s">
        <v>627</v>
      </c>
      <c r="C565" s="13" t="s">
        <v>2254</v>
      </c>
      <c r="D565" s="13" t="s">
        <v>61</v>
      </c>
      <c r="E565" s="13" t="s">
        <v>1065</v>
      </c>
      <c r="F565" s="13" t="s">
        <v>1066</v>
      </c>
      <c r="G565" s="61" t="n">
        <v>-488994511106</v>
      </c>
      <c r="H565" s="13" t="s">
        <v>2255</v>
      </c>
      <c r="I565" s="13"/>
      <c r="J565" s="13"/>
      <c r="K565" s="13" t="s">
        <v>2256</v>
      </c>
      <c r="L565" s="13" t="s">
        <v>2257</v>
      </c>
      <c r="M565" s="13"/>
    </row>
    <row r="566" customFormat="false" ht="15" hidden="false" customHeight="false" outlineLevel="0" collapsed="false">
      <c r="A566" s="13" t="s">
        <v>628</v>
      </c>
      <c r="B566" s="13" t="s">
        <v>627</v>
      </c>
      <c r="C566" s="13" t="s">
        <v>2258</v>
      </c>
      <c r="D566" s="13" t="s">
        <v>61</v>
      </c>
      <c r="E566" s="13" t="s">
        <v>1065</v>
      </c>
      <c r="F566" s="13" t="s">
        <v>1066</v>
      </c>
      <c r="G566" s="61" t="n">
        <v>-1027848868469</v>
      </c>
      <c r="H566" s="13" t="s">
        <v>2255</v>
      </c>
      <c r="I566" s="13"/>
      <c r="J566" s="13"/>
      <c r="K566" s="13" t="s">
        <v>2259</v>
      </c>
      <c r="L566" s="13" t="s">
        <v>2260</v>
      </c>
      <c r="M566" s="13"/>
    </row>
    <row r="567" customFormat="false" ht="15" hidden="false" customHeight="false" outlineLevel="0" collapsed="false">
      <c r="A567" s="13" t="s">
        <v>628</v>
      </c>
      <c r="B567" s="13" t="s">
        <v>627</v>
      </c>
      <c r="C567" s="13" t="s">
        <v>2261</v>
      </c>
      <c r="D567" s="13" t="s">
        <v>61</v>
      </c>
      <c r="E567" s="13" t="s">
        <v>1065</v>
      </c>
      <c r="F567" s="13" t="s">
        <v>1066</v>
      </c>
      <c r="G567" s="61" t="n">
        <v>-1152049889006</v>
      </c>
      <c r="H567" s="13" t="s">
        <v>2255</v>
      </c>
      <c r="I567" s="13"/>
      <c r="J567" s="13"/>
      <c r="K567" s="13" t="s">
        <v>2262</v>
      </c>
      <c r="L567" s="13" t="s">
        <v>2263</v>
      </c>
      <c r="M567" s="13"/>
    </row>
    <row r="568" customFormat="false" ht="15" hidden="false" customHeight="false" outlineLevel="0" collapsed="false">
      <c r="A568" s="13" t="s">
        <v>628</v>
      </c>
      <c r="B568" s="13" t="s">
        <v>627</v>
      </c>
      <c r="C568" s="13" t="s">
        <v>2264</v>
      </c>
      <c r="D568" s="13" t="s">
        <v>61</v>
      </c>
      <c r="E568" s="13" t="s">
        <v>1065</v>
      </c>
      <c r="F568" s="13" t="s">
        <v>1066</v>
      </c>
      <c r="G568" s="61" t="n">
        <v>-777550032840</v>
      </c>
      <c r="H568" s="13" t="s">
        <v>2255</v>
      </c>
      <c r="I568" s="13"/>
      <c r="J568" s="13"/>
      <c r="K568" s="13" t="s">
        <v>657</v>
      </c>
      <c r="L568" s="13" t="s">
        <v>2265</v>
      </c>
      <c r="M568" s="13"/>
    </row>
    <row r="569" customFormat="false" ht="15" hidden="false" customHeight="false" outlineLevel="0" collapsed="false">
      <c r="A569" s="13" t="s">
        <v>628</v>
      </c>
      <c r="B569" s="13" t="s">
        <v>627</v>
      </c>
      <c r="C569" s="13" t="s">
        <v>2266</v>
      </c>
      <c r="D569" s="13" t="s">
        <v>61</v>
      </c>
      <c r="E569" s="13" t="s">
        <v>1065</v>
      </c>
      <c r="F569" s="13" t="s">
        <v>1066</v>
      </c>
      <c r="G569" s="61" t="n">
        <v>-1021599963964</v>
      </c>
      <c r="H569" s="13" t="s">
        <v>2255</v>
      </c>
      <c r="I569" s="13"/>
      <c r="J569" s="13"/>
      <c r="K569" s="13" t="s">
        <v>658</v>
      </c>
      <c r="L569" s="13" t="s">
        <v>2265</v>
      </c>
      <c r="M569" s="13"/>
    </row>
    <row r="570" customFormat="false" ht="15" hidden="false" customHeight="false" outlineLevel="0" collapsed="false">
      <c r="A570" s="13" t="s">
        <v>628</v>
      </c>
      <c r="B570" s="13" t="s">
        <v>627</v>
      </c>
      <c r="C570" s="13" t="s">
        <v>2267</v>
      </c>
      <c r="D570" s="13" t="s">
        <v>61</v>
      </c>
      <c r="E570" s="13" t="s">
        <v>1065</v>
      </c>
      <c r="F570" s="13" t="s">
        <v>1066</v>
      </c>
      <c r="G570" s="61" t="n">
        <v>-860617479988</v>
      </c>
      <c r="H570" s="13" t="s">
        <v>2255</v>
      </c>
      <c r="I570" s="13"/>
      <c r="J570" s="13"/>
      <c r="K570" s="13" t="s">
        <v>659</v>
      </c>
      <c r="L570" s="13" t="s">
        <v>2265</v>
      </c>
      <c r="M570" s="13"/>
    </row>
    <row r="571" customFormat="false" ht="15" hidden="false" customHeight="false" outlineLevel="0" collapsed="false">
      <c r="A571" s="13" t="s">
        <v>628</v>
      </c>
      <c r="B571" s="13" t="s">
        <v>627</v>
      </c>
      <c r="C571" s="13" t="s">
        <v>2254</v>
      </c>
      <c r="D571" s="13" t="s">
        <v>61</v>
      </c>
      <c r="E571" s="13" t="s">
        <v>1068</v>
      </c>
      <c r="F571" s="13" t="s">
        <v>1069</v>
      </c>
      <c r="G571" s="61" t="n">
        <v>-377415649994</v>
      </c>
      <c r="H571" s="13" t="s">
        <v>2255</v>
      </c>
      <c r="I571" s="13"/>
      <c r="J571" s="13"/>
      <c r="K571" s="13" t="s">
        <v>2256</v>
      </c>
      <c r="L571" s="13" t="s">
        <v>2257</v>
      </c>
      <c r="M571" s="13"/>
    </row>
    <row r="572" customFormat="false" ht="15" hidden="false" customHeight="false" outlineLevel="0" collapsed="false">
      <c r="A572" s="13" t="s">
        <v>628</v>
      </c>
      <c r="B572" s="13" t="s">
        <v>627</v>
      </c>
      <c r="C572" s="13" t="s">
        <v>2258</v>
      </c>
      <c r="D572" s="13" t="s">
        <v>61</v>
      </c>
      <c r="E572" s="13" t="s">
        <v>1068</v>
      </c>
      <c r="F572" s="13" t="s">
        <v>1069</v>
      </c>
      <c r="G572" s="61" t="n">
        <v>-255618642338</v>
      </c>
      <c r="H572" s="13" t="s">
        <v>2255</v>
      </c>
      <c r="I572" s="13"/>
      <c r="J572" s="13"/>
      <c r="K572" s="13" t="s">
        <v>2259</v>
      </c>
      <c r="L572" s="13" t="s">
        <v>2260</v>
      </c>
      <c r="M572" s="13"/>
    </row>
    <row r="573" customFormat="false" ht="15" hidden="false" customHeight="false" outlineLevel="0" collapsed="false">
      <c r="A573" s="13" t="s">
        <v>628</v>
      </c>
      <c r="B573" s="13" t="s">
        <v>627</v>
      </c>
      <c r="C573" s="13" t="s">
        <v>2261</v>
      </c>
      <c r="D573" s="13" t="s">
        <v>61</v>
      </c>
      <c r="E573" s="13" t="s">
        <v>1068</v>
      </c>
      <c r="F573" s="13" t="s">
        <v>1069</v>
      </c>
      <c r="G573" s="61" t="n">
        <v>-353477512450</v>
      </c>
      <c r="H573" s="13" t="s">
        <v>2255</v>
      </c>
      <c r="I573" s="13"/>
      <c r="J573" s="13"/>
      <c r="K573" s="13" t="s">
        <v>2262</v>
      </c>
      <c r="L573" s="13" t="s">
        <v>2263</v>
      </c>
      <c r="M573" s="13"/>
    </row>
    <row r="574" customFormat="false" ht="15" hidden="false" customHeight="false" outlineLevel="0" collapsed="false">
      <c r="A574" s="13" t="s">
        <v>628</v>
      </c>
      <c r="B574" s="13" t="s">
        <v>627</v>
      </c>
      <c r="C574" s="13" t="s">
        <v>2264</v>
      </c>
      <c r="D574" s="13" t="s">
        <v>61</v>
      </c>
      <c r="E574" s="13" t="s">
        <v>1068</v>
      </c>
      <c r="F574" s="13" t="s">
        <v>1069</v>
      </c>
      <c r="G574" s="61" t="n">
        <v>-377149298776</v>
      </c>
      <c r="H574" s="13" t="s">
        <v>2255</v>
      </c>
      <c r="I574" s="13"/>
      <c r="J574" s="13"/>
      <c r="K574" s="13" t="s">
        <v>657</v>
      </c>
      <c r="L574" s="13" t="s">
        <v>2265</v>
      </c>
      <c r="M574" s="13"/>
    </row>
    <row r="575" customFormat="false" ht="15" hidden="false" customHeight="false" outlineLevel="0" collapsed="false">
      <c r="A575" s="13" t="s">
        <v>628</v>
      </c>
      <c r="B575" s="13" t="s">
        <v>627</v>
      </c>
      <c r="C575" s="13" t="s">
        <v>2266</v>
      </c>
      <c r="D575" s="13" t="s">
        <v>61</v>
      </c>
      <c r="E575" s="13" t="s">
        <v>1068</v>
      </c>
      <c r="F575" s="13" t="s">
        <v>1069</v>
      </c>
      <c r="G575" s="61" t="n">
        <v>-391694842342</v>
      </c>
      <c r="H575" s="13" t="s">
        <v>2255</v>
      </c>
      <c r="I575" s="13"/>
      <c r="J575" s="13"/>
      <c r="K575" s="13" t="s">
        <v>658</v>
      </c>
      <c r="L575" s="13" t="s">
        <v>2265</v>
      </c>
      <c r="M575" s="13"/>
    </row>
    <row r="576" customFormat="false" ht="15" hidden="false" customHeight="false" outlineLevel="0" collapsed="false">
      <c r="A576" s="13" t="s">
        <v>628</v>
      </c>
      <c r="B576" s="13" t="s">
        <v>627</v>
      </c>
      <c r="C576" s="13" t="s">
        <v>2267</v>
      </c>
      <c r="D576" s="13" t="s">
        <v>61</v>
      </c>
      <c r="E576" s="13" t="s">
        <v>1068</v>
      </c>
      <c r="F576" s="13" t="s">
        <v>1069</v>
      </c>
      <c r="G576" s="61" t="n">
        <v>-408387618096</v>
      </c>
      <c r="H576" s="13" t="s">
        <v>2255</v>
      </c>
      <c r="I576" s="13"/>
      <c r="J576" s="13"/>
      <c r="K576" s="13" t="s">
        <v>659</v>
      </c>
      <c r="L576" s="13" t="s">
        <v>2265</v>
      </c>
      <c r="M576" s="13"/>
    </row>
    <row r="577" customFormat="false" ht="15" hidden="false" customHeight="false" outlineLevel="0" collapsed="false">
      <c r="A577" s="13" t="s">
        <v>628</v>
      </c>
      <c r="B577" s="13" t="s">
        <v>627</v>
      </c>
      <c r="C577" s="13" t="s">
        <v>2254</v>
      </c>
      <c r="D577" s="13" t="s">
        <v>61</v>
      </c>
      <c r="E577" s="13" t="s">
        <v>1071</v>
      </c>
      <c r="F577" s="13" t="s">
        <v>1072</v>
      </c>
      <c r="G577" s="61" t="n">
        <v>4733986258</v>
      </c>
      <c r="H577" s="13" t="s">
        <v>2255</v>
      </c>
      <c r="I577" s="13"/>
      <c r="J577" s="13"/>
      <c r="K577" s="13" t="s">
        <v>2256</v>
      </c>
      <c r="L577" s="13" t="s">
        <v>2257</v>
      </c>
      <c r="M577" s="13"/>
    </row>
    <row r="578" customFormat="false" ht="15" hidden="false" customHeight="false" outlineLevel="0" collapsed="false">
      <c r="A578" s="13" t="s">
        <v>628</v>
      </c>
      <c r="B578" s="13" t="s">
        <v>627</v>
      </c>
      <c r="C578" s="13" t="s">
        <v>2258</v>
      </c>
      <c r="D578" s="13" t="s">
        <v>61</v>
      </c>
      <c r="E578" s="13" t="s">
        <v>1071</v>
      </c>
      <c r="F578" s="13" t="s">
        <v>1072</v>
      </c>
      <c r="G578" s="61" t="n">
        <v>10178168958</v>
      </c>
      <c r="H578" s="13" t="s">
        <v>2255</v>
      </c>
      <c r="I578" s="13"/>
      <c r="J578" s="13"/>
      <c r="K578" s="13" t="s">
        <v>2259</v>
      </c>
      <c r="L578" s="13" t="s">
        <v>2260</v>
      </c>
      <c r="M578" s="13"/>
    </row>
    <row r="579" customFormat="false" ht="15" hidden="false" customHeight="false" outlineLevel="0" collapsed="false">
      <c r="A579" s="13" t="s">
        <v>628</v>
      </c>
      <c r="B579" s="13" t="s">
        <v>627</v>
      </c>
      <c r="C579" s="13" t="s">
        <v>2261</v>
      </c>
      <c r="D579" s="13" t="s">
        <v>61</v>
      </c>
      <c r="E579" s="13" t="s">
        <v>1071</v>
      </c>
      <c r="F579" s="13" t="s">
        <v>1072</v>
      </c>
      <c r="G579" s="61" t="n">
        <v>8362881293</v>
      </c>
      <c r="H579" s="13" t="s">
        <v>2255</v>
      </c>
      <c r="I579" s="13"/>
      <c r="J579" s="13"/>
      <c r="K579" s="13" t="s">
        <v>2262</v>
      </c>
      <c r="L579" s="13" t="s">
        <v>2263</v>
      </c>
      <c r="M579" s="13"/>
    </row>
    <row r="580" customFormat="false" ht="15" hidden="false" customHeight="false" outlineLevel="0" collapsed="false">
      <c r="A580" s="13" t="s">
        <v>628</v>
      </c>
      <c r="B580" s="13" t="s">
        <v>627</v>
      </c>
      <c r="C580" s="13" t="s">
        <v>2264</v>
      </c>
      <c r="D580" s="13" t="s">
        <v>61</v>
      </c>
      <c r="E580" s="13" t="s">
        <v>1071</v>
      </c>
      <c r="F580" s="13" t="s">
        <v>1072</v>
      </c>
      <c r="G580" s="61" t="n">
        <v>8424381208</v>
      </c>
      <c r="H580" s="13" t="s">
        <v>2255</v>
      </c>
      <c r="I580" s="13"/>
      <c r="J580" s="13"/>
      <c r="K580" s="13" t="s">
        <v>657</v>
      </c>
      <c r="L580" s="13" t="s">
        <v>2265</v>
      </c>
      <c r="M580" s="13"/>
    </row>
    <row r="581" customFormat="false" ht="15" hidden="false" customHeight="false" outlineLevel="0" collapsed="false">
      <c r="A581" s="13" t="s">
        <v>628</v>
      </c>
      <c r="B581" s="13" t="s">
        <v>627</v>
      </c>
      <c r="C581" s="13" t="s">
        <v>2266</v>
      </c>
      <c r="D581" s="13" t="s">
        <v>61</v>
      </c>
      <c r="E581" s="13" t="s">
        <v>1071</v>
      </c>
      <c r="F581" s="13" t="s">
        <v>1072</v>
      </c>
      <c r="G581" s="61" t="n">
        <v>18640836625</v>
      </c>
      <c r="H581" s="13" t="s">
        <v>2255</v>
      </c>
      <c r="I581" s="13"/>
      <c r="J581" s="13"/>
      <c r="K581" s="13" t="s">
        <v>658</v>
      </c>
      <c r="L581" s="13" t="s">
        <v>2265</v>
      </c>
      <c r="M581" s="13"/>
    </row>
    <row r="582" customFormat="false" ht="15" hidden="false" customHeight="false" outlineLevel="0" collapsed="false">
      <c r="A582" s="13" t="s">
        <v>628</v>
      </c>
      <c r="B582" s="13" t="s">
        <v>627</v>
      </c>
      <c r="C582" s="13" t="s">
        <v>2267</v>
      </c>
      <c r="D582" s="13" t="s">
        <v>61</v>
      </c>
      <c r="E582" s="13" t="s">
        <v>1071</v>
      </c>
      <c r="F582" s="13" t="s">
        <v>1072</v>
      </c>
      <c r="G582" s="61" t="n">
        <v>22931465736</v>
      </c>
      <c r="H582" s="13" t="s">
        <v>2255</v>
      </c>
      <c r="I582" s="13"/>
      <c r="J582" s="13"/>
      <c r="K582" s="13" t="s">
        <v>659</v>
      </c>
      <c r="L582" s="13" t="s">
        <v>2265</v>
      </c>
      <c r="M582" s="13"/>
    </row>
    <row r="583" customFormat="false" ht="15" hidden="false" customHeight="false" outlineLevel="0" collapsed="false">
      <c r="A583" s="13" t="s">
        <v>628</v>
      </c>
      <c r="B583" s="13" t="s">
        <v>627</v>
      </c>
      <c r="C583" s="13" t="s">
        <v>2254</v>
      </c>
      <c r="D583" s="13" t="s">
        <v>61</v>
      </c>
      <c r="E583" s="13" t="s">
        <v>1074</v>
      </c>
      <c r="F583" s="13" t="s">
        <v>1075</v>
      </c>
      <c r="G583" s="61" t="n">
        <v>-52762483046</v>
      </c>
      <c r="H583" s="13" t="s">
        <v>2255</v>
      </c>
      <c r="I583" s="13"/>
      <c r="J583" s="13"/>
      <c r="K583" s="13" t="s">
        <v>2256</v>
      </c>
      <c r="L583" s="13" t="s">
        <v>2257</v>
      </c>
      <c r="M583" s="13"/>
    </row>
    <row r="584" customFormat="false" ht="15" hidden="false" customHeight="false" outlineLevel="0" collapsed="false">
      <c r="A584" s="13" t="s">
        <v>628</v>
      </c>
      <c r="B584" s="13" t="s">
        <v>627</v>
      </c>
      <c r="C584" s="13" t="s">
        <v>2258</v>
      </c>
      <c r="D584" s="13" t="s">
        <v>61</v>
      </c>
      <c r="E584" s="13" t="s">
        <v>1074</v>
      </c>
      <c r="F584" s="13" t="s">
        <v>1075</v>
      </c>
      <c r="G584" s="61" t="n">
        <v>-28015892568</v>
      </c>
      <c r="H584" s="13" t="s">
        <v>2255</v>
      </c>
      <c r="I584" s="13"/>
      <c r="J584" s="13"/>
      <c r="K584" s="13" t="s">
        <v>2259</v>
      </c>
      <c r="L584" s="13" t="s">
        <v>2260</v>
      </c>
      <c r="M584" s="13"/>
    </row>
    <row r="585" customFormat="false" ht="15" hidden="false" customHeight="false" outlineLevel="0" collapsed="false">
      <c r="A585" s="13" t="s">
        <v>628</v>
      </c>
      <c r="B585" s="13" t="s">
        <v>627</v>
      </c>
      <c r="C585" s="13" t="s">
        <v>2261</v>
      </c>
      <c r="D585" s="13" t="s">
        <v>61</v>
      </c>
      <c r="E585" s="13" t="s">
        <v>1074</v>
      </c>
      <c r="F585" s="13" t="s">
        <v>1075</v>
      </c>
      <c r="G585" s="61" t="n">
        <v>-47119576208</v>
      </c>
      <c r="H585" s="13" t="s">
        <v>2255</v>
      </c>
      <c r="I585" s="13"/>
      <c r="J585" s="13"/>
      <c r="K585" s="13" t="s">
        <v>2262</v>
      </c>
      <c r="L585" s="13" t="s">
        <v>2263</v>
      </c>
      <c r="M585" s="13"/>
    </row>
    <row r="586" customFormat="false" ht="15" hidden="false" customHeight="false" outlineLevel="0" collapsed="false">
      <c r="A586" s="13" t="s">
        <v>628</v>
      </c>
      <c r="B586" s="13" t="s">
        <v>627</v>
      </c>
      <c r="C586" s="13" t="s">
        <v>2264</v>
      </c>
      <c r="D586" s="13" t="s">
        <v>61</v>
      </c>
      <c r="E586" s="13" t="s">
        <v>1074</v>
      </c>
      <c r="F586" s="13" t="s">
        <v>1075</v>
      </c>
      <c r="G586" s="61" t="n">
        <v>-57763637343</v>
      </c>
      <c r="H586" s="13" t="s">
        <v>2255</v>
      </c>
      <c r="I586" s="13"/>
      <c r="J586" s="13"/>
      <c r="K586" s="13" t="s">
        <v>657</v>
      </c>
      <c r="L586" s="13" t="s">
        <v>2265</v>
      </c>
      <c r="M586" s="13"/>
    </row>
    <row r="587" customFormat="false" ht="15" hidden="false" customHeight="false" outlineLevel="0" collapsed="false">
      <c r="A587" s="13" t="s">
        <v>628</v>
      </c>
      <c r="B587" s="13" t="s">
        <v>627</v>
      </c>
      <c r="C587" s="13" t="s">
        <v>2266</v>
      </c>
      <c r="D587" s="13" t="s">
        <v>61</v>
      </c>
      <c r="E587" s="13" t="s">
        <v>1074</v>
      </c>
      <c r="F587" s="13" t="s">
        <v>1075</v>
      </c>
      <c r="G587" s="61" t="n">
        <v>-68053448455</v>
      </c>
      <c r="H587" s="13" t="s">
        <v>2255</v>
      </c>
      <c r="I587" s="13"/>
      <c r="J587" s="13"/>
      <c r="K587" s="13" t="s">
        <v>658</v>
      </c>
      <c r="L587" s="13" t="s">
        <v>2265</v>
      </c>
      <c r="M587" s="13"/>
    </row>
    <row r="588" customFormat="false" ht="15" hidden="false" customHeight="false" outlineLevel="0" collapsed="false">
      <c r="A588" s="13" t="s">
        <v>628</v>
      </c>
      <c r="B588" s="13" t="s">
        <v>627</v>
      </c>
      <c r="C588" s="13" t="s">
        <v>2267</v>
      </c>
      <c r="D588" s="13" t="s">
        <v>61</v>
      </c>
      <c r="E588" s="13" t="s">
        <v>1074</v>
      </c>
      <c r="F588" s="13" t="s">
        <v>1075</v>
      </c>
      <c r="G588" s="61" t="n">
        <v>-67970680546</v>
      </c>
      <c r="H588" s="13" t="s">
        <v>2255</v>
      </c>
      <c r="I588" s="13"/>
      <c r="J588" s="13"/>
      <c r="K588" s="13" t="s">
        <v>659</v>
      </c>
      <c r="L588" s="13" t="s">
        <v>2265</v>
      </c>
      <c r="M588" s="13"/>
    </row>
    <row r="589" customFormat="false" ht="15" hidden="false" customHeight="false" outlineLevel="0" collapsed="false">
      <c r="A589" s="13" t="s">
        <v>628</v>
      </c>
      <c r="B589" s="13" t="s">
        <v>627</v>
      </c>
      <c r="C589" s="13" t="s">
        <v>2254</v>
      </c>
      <c r="D589" s="13" t="s">
        <v>61</v>
      </c>
      <c r="E589" s="13" t="s">
        <v>1077</v>
      </c>
      <c r="F589" s="13" t="s">
        <v>1078</v>
      </c>
      <c r="G589" s="61" t="n">
        <v>-14875016357</v>
      </c>
      <c r="H589" s="13" t="s">
        <v>2255</v>
      </c>
      <c r="I589" s="13"/>
      <c r="J589" s="13"/>
      <c r="K589" s="13" t="s">
        <v>2256</v>
      </c>
      <c r="L589" s="13" t="s">
        <v>2257</v>
      </c>
      <c r="M589" s="13"/>
    </row>
    <row r="590" customFormat="false" ht="15" hidden="false" customHeight="false" outlineLevel="0" collapsed="false">
      <c r="A590" s="13" t="s">
        <v>628</v>
      </c>
      <c r="B590" s="13" t="s">
        <v>627</v>
      </c>
      <c r="C590" s="13" t="s">
        <v>2258</v>
      </c>
      <c r="D590" s="13" t="s">
        <v>61</v>
      </c>
      <c r="E590" s="13" t="s">
        <v>1077</v>
      </c>
      <c r="F590" s="13" t="s">
        <v>1078</v>
      </c>
      <c r="G590" s="61" t="n">
        <v>-34489462129</v>
      </c>
      <c r="H590" s="13" t="s">
        <v>2255</v>
      </c>
      <c r="I590" s="13"/>
      <c r="J590" s="13"/>
      <c r="K590" s="13" t="s">
        <v>2259</v>
      </c>
      <c r="L590" s="13" t="s">
        <v>2260</v>
      </c>
      <c r="M590" s="13"/>
    </row>
    <row r="591" customFormat="false" ht="15" hidden="false" customHeight="false" outlineLevel="0" collapsed="false">
      <c r="A591" s="13" t="s">
        <v>628</v>
      </c>
      <c r="B591" s="13" t="s">
        <v>627</v>
      </c>
      <c r="C591" s="13" t="s">
        <v>2261</v>
      </c>
      <c r="D591" s="13" t="s">
        <v>61</v>
      </c>
      <c r="E591" s="13" t="s">
        <v>1077</v>
      </c>
      <c r="F591" s="13" t="s">
        <v>1078</v>
      </c>
      <c r="G591" s="61" t="n">
        <v>-102315834680</v>
      </c>
      <c r="H591" s="13" t="s">
        <v>2255</v>
      </c>
      <c r="I591" s="13"/>
      <c r="J591" s="13"/>
      <c r="K591" s="13" t="s">
        <v>2262</v>
      </c>
      <c r="L591" s="13" t="s">
        <v>2263</v>
      </c>
      <c r="M591" s="13"/>
    </row>
    <row r="592" customFormat="false" ht="15" hidden="false" customHeight="false" outlineLevel="0" collapsed="false">
      <c r="A592" s="13" t="s">
        <v>628</v>
      </c>
      <c r="B592" s="13" t="s">
        <v>627</v>
      </c>
      <c r="C592" s="13" t="s">
        <v>2264</v>
      </c>
      <c r="D592" s="13" t="s">
        <v>61</v>
      </c>
      <c r="E592" s="13" t="s">
        <v>1077</v>
      </c>
      <c r="F592" s="13" t="s">
        <v>1078</v>
      </c>
      <c r="G592" s="61" t="n">
        <v>-28055416243</v>
      </c>
      <c r="H592" s="13" t="s">
        <v>2255</v>
      </c>
      <c r="I592" s="13"/>
      <c r="J592" s="13"/>
      <c r="K592" s="13" t="s">
        <v>657</v>
      </c>
      <c r="L592" s="13" t="s">
        <v>2265</v>
      </c>
      <c r="M592" s="13"/>
    </row>
    <row r="593" customFormat="false" ht="15" hidden="false" customHeight="false" outlineLevel="0" collapsed="false">
      <c r="A593" s="13" t="s">
        <v>628</v>
      </c>
      <c r="B593" s="13" t="s">
        <v>627</v>
      </c>
      <c r="C593" s="13" t="s">
        <v>2266</v>
      </c>
      <c r="D593" s="13" t="s">
        <v>61</v>
      </c>
      <c r="E593" s="13" t="s">
        <v>1077</v>
      </c>
      <c r="F593" s="13" t="s">
        <v>1078</v>
      </c>
      <c r="G593" s="61" t="n">
        <v>-17811853548</v>
      </c>
      <c r="H593" s="13" t="s">
        <v>2255</v>
      </c>
      <c r="I593" s="13"/>
      <c r="J593" s="13"/>
      <c r="K593" s="13" t="s">
        <v>658</v>
      </c>
      <c r="L593" s="13" t="s">
        <v>2265</v>
      </c>
      <c r="M593" s="13"/>
    </row>
    <row r="594" customFormat="false" ht="15" hidden="false" customHeight="false" outlineLevel="0" collapsed="false">
      <c r="A594" s="13" t="s">
        <v>628</v>
      </c>
      <c r="B594" s="13" t="s">
        <v>627</v>
      </c>
      <c r="C594" s="13" t="s">
        <v>2267</v>
      </c>
      <c r="D594" s="13" t="s">
        <v>61</v>
      </c>
      <c r="E594" s="13" t="s">
        <v>1077</v>
      </c>
      <c r="F594" s="13" t="s">
        <v>1078</v>
      </c>
      <c r="G594" s="61" t="n">
        <v>-13665444970</v>
      </c>
      <c r="H594" s="13" t="s">
        <v>2255</v>
      </c>
      <c r="I594" s="13"/>
      <c r="J594" s="13"/>
      <c r="K594" s="13" t="s">
        <v>659</v>
      </c>
      <c r="L594" s="13" t="s">
        <v>2265</v>
      </c>
      <c r="M594" s="13"/>
    </row>
    <row r="595" customFormat="false" ht="15" hidden="false" customHeight="false" outlineLevel="0" collapsed="false">
      <c r="A595" s="13" t="s">
        <v>628</v>
      </c>
      <c r="B595" s="13" t="s">
        <v>627</v>
      </c>
      <c r="C595" s="13" t="s">
        <v>2254</v>
      </c>
      <c r="D595" s="13" t="s">
        <v>61</v>
      </c>
      <c r="E595" s="13" t="s">
        <v>1080</v>
      </c>
      <c r="F595" s="13" t="s">
        <v>1081</v>
      </c>
      <c r="G595" s="61" t="n">
        <v>11285526112</v>
      </c>
      <c r="H595" s="13" t="s">
        <v>2255</v>
      </c>
      <c r="I595" s="13"/>
      <c r="J595" s="13"/>
      <c r="K595" s="13" t="s">
        <v>2256</v>
      </c>
      <c r="L595" s="13" t="s">
        <v>2257</v>
      </c>
      <c r="M595" s="13"/>
    </row>
    <row r="596" customFormat="false" ht="15" hidden="false" customHeight="false" outlineLevel="0" collapsed="false">
      <c r="A596" s="13" t="s">
        <v>628</v>
      </c>
      <c r="B596" s="13" t="s">
        <v>627</v>
      </c>
      <c r="C596" s="13" t="s">
        <v>2258</v>
      </c>
      <c r="D596" s="13" t="s">
        <v>61</v>
      </c>
      <c r="E596" s="13" t="s">
        <v>1080</v>
      </c>
      <c r="F596" s="13" t="s">
        <v>1081</v>
      </c>
      <c r="G596" s="61" t="n">
        <v>11603095497</v>
      </c>
      <c r="H596" s="13" t="s">
        <v>2255</v>
      </c>
      <c r="I596" s="13"/>
      <c r="J596" s="13"/>
      <c r="K596" s="13" t="s">
        <v>2259</v>
      </c>
      <c r="L596" s="13" t="s">
        <v>2260</v>
      </c>
      <c r="M596" s="13"/>
    </row>
    <row r="597" customFormat="false" ht="15" hidden="false" customHeight="false" outlineLevel="0" collapsed="false">
      <c r="A597" s="13" t="s">
        <v>628</v>
      </c>
      <c r="B597" s="13" t="s">
        <v>627</v>
      </c>
      <c r="C597" s="13" t="s">
        <v>2261</v>
      </c>
      <c r="D597" s="13" t="s">
        <v>61</v>
      </c>
      <c r="E597" s="13" t="s">
        <v>1080</v>
      </c>
      <c r="F597" s="13" t="s">
        <v>1081</v>
      </c>
      <c r="G597" s="61" t="n">
        <v>447889572</v>
      </c>
      <c r="H597" s="13" t="s">
        <v>2255</v>
      </c>
      <c r="I597" s="13"/>
      <c r="J597" s="13"/>
      <c r="K597" s="13" t="s">
        <v>2262</v>
      </c>
      <c r="L597" s="13" t="s">
        <v>2263</v>
      </c>
      <c r="M597" s="13"/>
    </row>
    <row r="598" customFormat="false" ht="15" hidden="false" customHeight="false" outlineLevel="0" collapsed="false">
      <c r="A598" s="13" t="s">
        <v>628</v>
      </c>
      <c r="B598" s="13" t="s">
        <v>627</v>
      </c>
      <c r="C598" s="13" t="s">
        <v>2264</v>
      </c>
      <c r="D598" s="13" t="s">
        <v>61</v>
      </c>
      <c r="E598" s="13" t="s">
        <v>1080</v>
      </c>
      <c r="F598" s="13" t="s">
        <v>1081</v>
      </c>
      <c r="G598" s="61" t="n">
        <v>-889202701</v>
      </c>
      <c r="H598" s="13" t="s">
        <v>2255</v>
      </c>
      <c r="I598" s="13"/>
      <c r="J598" s="13"/>
      <c r="K598" s="13" t="s">
        <v>657</v>
      </c>
      <c r="L598" s="13" t="s">
        <v>2265</v>
      </c>
      <c r="M598" s="13"/>
    </row>
    <row r="599" customFormat="false" ht="15" hidden="false" customHeight="false" outlineLevel="0" collapsed="false">
      <c r="A599" s="13" t="s">
        <v>628</v>
      </c>
      <c r="B599" s="13" t="s">
        <v>627</v>
      </c>
      <c r="C599" s="13" t="s">
        <v>2266</v>
      </c>
      <c r="D599" s="13" t="s">
        <v>61</v>
      </c>
      <c r="E599" s="13" t="s">
        <v>1080</v>
      </c>
      <c r="F599" s="13" t="s">
        <v>1081</v>
      </c>
      <c r="G599" s="61" t="n">
        <v>-11060239156</v>
      </c>
      <c r="H599" s="13" t="s">
        <v>2255</v>
      </c>
      <c r="I599" s="13"/>
      <c r="J599" s="13"/>
      <c r="K599" s="13" t="s">
        <v>658</v>
      </c>
      <c r="L599" s="13" t="s">
        <v>2265</v>
      </c>
      <c r="M599" s="13"/>
    </row>
    <row r="600" customFormat="false" ht="15" hidden="false" customHeight="false" outlineLevel="0" collapsed="false">
      <c r="A600" s="13" t="s">
        <v>628</v>
      </c>
      <c r="B600" s="13" t="s">
        <v>627</v>
      </c>
      <c r="C600" s="13" t="s">
        <v>2267</v>
      </c>
      <c r="D600" s="13" t="s">
        <v>61</v>
      </c>
      <c r="E600" s="13" t="s">
        <v>1080</v>
      </c>
      <c r="F600" s="13" t="s">
        <v>1081</v>
      </c>
      <c r="G600" s="61" t="n">
        <v>-32794133363</v>
      </c>
      <c r="H600" s="13" t="s">
        <v>2255</v>
      </c>
      <c r="I600" s="13"/>
      <c r="J600" s="13"/>
      <c r="K600" s="13" t="s">
        <v>659</v>
      </c>
      <c r="L600" s="13" t="s">
        <v>2265</v>
      </c>
      <c r="M600" s="13"/>
    </row>
    <row r="601" customFormat="false" ht="15" hidden="false" customHeight="false" outlineLevel="0" collapsed="false">
      <c r="A601" s="13" t="s">
        <v>628</v>
      </c>
      <c r="B601" s="13" t="s">
        <v>627</v>
      </c>
      <c r="C601" s="13" t="s">
        <v>2254</v>
      </c>
      <c r="D601" s="13" t="s">
        <v>61</v>
      </c>
      <c r="E601" s="13" t="s">
        <v>1083</v>
      </c>
      <c r="F601" s="13" t="s">
        <v>1084</v>
      </c>
      <c r="G601" s="61" t="n">
        <v>190358533077</v>
      </c>
      <c r="H601" s="13" t="s">
        <v>2255</v>
      </c>
      <c r="I601" s="13"/>
      <c r="J601" s="13"/>
      <c r="K601" s="13" t="s">
        <v>2256</v>
      </c>
      <c r="L601" s="13" t="s">
        <v>2257</v>
      </c>
      <c r="M601" s="13" t="s">
        <v>2268</v>
      </c>
    </row>
    <row r="602" customFormat="false" ht="15" hidden="false" customHeight="false" outlineLevel="0" collapsed="false">
      <c r="A602" s="13" t="s">
        <v>628</v>
      </c>
      <c r="B602" s="13" t="s">
        <v>627</v>
      </c>
      <c r="C602" s="13" t="s">
        <v>2258</v>
      </c>
      <c r="D602" s="13" t="s">
        <v>61</v>
      </c>
      <c r="E602" s="13" t="s">
        <v>1083</v>
      </c>
      <c r="F602" s="13" t="s">
        <v>1084</v>
      </c>
      <c r="G602" s="61" t="n">
        <v>349438392180</v>
      </c>
      <c r="H602" s="13" t="s">
        <v>2255</v>
      </c>
      <c r="I602" s="13"/>
      <c r="J602" s="13"/>
      <c r="K602" s="13" t="s">
        <v>2259</v>
      </c>
      <c r="L602" s="13" t="s">
        <v>2260</v>
      </c>
      <c r="M602" s="13" t="s">
        <v>2268</v>
      </c>
    </row>
    <row r="603" customFormat="false" ht="15" hidden="false" customHeight="false" outlineLevel="0" collapsed="false">
      <c r="A603" s="13" t="s">
        <v>628</v>
      </c>
      <c r="B603" s="13" t="s">
        <v>627</v>
      </c>
      <c r="C603" s="13" t="s">
        <v>2261</v>
      </c>
      <c r="D603" s="13" t="s">
        <v>61</v>
      </c>
      <c r="E603" s="13" t="s">
        <v>1083</v>
      </c>
      <c r="F603" s="13" t="s">
        <v>1084</v>
      </c>
      <c r="G603" s="61" t="n">
        <v>131084359442</v>
      </c>
      <c r="H603" s="13" t="s">
        <v>2255</v>
      </c>
      <c r="I603" s="13"/>
      <c r="J603" s="13"/>
      <c r="K603" s="13" t="s">
        <v>2262</v>
      </c>
      <c r="L603" s="13" t="s">
        <v>2263</v>
      </c>
      <c r="M603" s="13" t="s">
        <v>2268</v>
      </c>
    </row>
    <row r="604" customFormat="false" ht="15" hidden="false" customHeight="false" outlineLevel="0" collapsed="false">
      <c r="A604" s="13" t="s">
        <v>628</v>
      </c>
      <c r="B604" s="13" t="s">
        <v>627</v>
      </c>
      <c r="C604" s="13" t="s">
        <v>2264</v>
      </c>
      <c r="D604" s="13" t="s">
        <v>61</v>
      </c>
      <c r="E604" s="13" t="s">
        <v>1083</v>
      </c>
      <c r="F604" s="13" t="s">
        <v>1084</v>
      </c>
      <c r="G604" s="61" t="n">
        <v>51438728484</v>
      </c>
      <c r="H604" s="13" t="s">
        <v>2255</v>
      </c>
      <c r="I604" s="13"/>
      <c r="J604" s="13"/>
      <c r="K604" s="13" t="s">
        <v>657</v>
      </c>
      <c r="L604" s="13" t="s">
        <v>2265</v>
      </c>
      <c r="M604" s="13" t="s">
        <v>2268</v>
      </c>
    </row>
    <row r="605" customFormat="false" ht="15" hidden="false" customHeight="false" outlineLevel="0" collapsed="false">
      <c r="A605" s="13" t="s">
        <v>628</v>
      </c>
      <c r="B605" s="13" t="s">
        <v>627</v>
      </c>
      <c r="C605" s="13" t="s">
        <v>2266</v>
      </c>
      <c r="D605" s="13" t="s">
        <v>61</v>
      </c>
      <c r="E605" s="13" t="s">
        <v>1083</v>
      </c>
      <c r="F605" s="13" t="s">
        <v>1084</v>
      </c>
      <c r="G605" s="61" t="n">
        <v>33979487371</v>
      </c>
      <c r="H605" s="13" t="s">
        <v>2255</v>
      </c>
      <c r="I605" s="13"/>
      <c r="J605" s="13"/>
      <c r="K605" s="13" t="s">
        <v>658</v>
      </c>
      <c r="L605" s="13" t="s">
        <v>2265</v>
      </c>
      <c r="M605" s="13" t="s">
        <v>2268</v>
      </c>
    </row>
    <row r="606" customFormat="false" ht="15" hidden="false" customHeight="false" outlineLevel="0" collapsed="false">
      <c r="A606" s="13" t="s">
        <v>628</v>
      </c>
      <c r="B606" s="13" t="s">
        <v>627</v>
      </c>
      <c r="C606" s="13" t="s">
        <v>2267</v>
      </c>
      <c r="D606" s="13" t="s">
        <v>61</v>
      </c>
      <c r="E606" s="13" t="s">
        <v>1083</v>
      </c>
      <c r="F606" s="13" t="s">
        <v>1084</v>
      </c>
      <c r="G606" s="61" t="n">
        <v>250621859694</v>
      </c>
      <c r="H606" s="13" t="s">
        <v>2255</v>
      </c>
      <c r="I606" s="13"/>
      <c r="J606" s="13"/>
      <c r="K606" s="13" t="s">
        <v>659</v>
      </c>
      <c r="L606" s="13" t="s">
        <v>2265</v>
      </c>
      <c r="M606" s="13" t="s">
        <v>2268</v>
      </c>
    </row>
    <row r="607" customFormat="false" ht="15" hidden="false" customHeight="false" outlineLevel="0" collapsed="false">
      <c r="A607" s="13" t="s">
        <v>628</v>
      </c>
      <c r="B607" s="13" t="s">
        <v>627</v>
      </c>
      <c r="C607" s="13" t="s">
        <v>2254</v>
      </c>
      <c r="D607" s="13" t="s">
        <v>61</v>
      </c>
      <c r="E607" s="13" t="s">
        <v>1085</v>
      </c>
      <c r="F607" s="13" t="s">
        <v>1086</v>
      </c>
      <c r="G607" s="61" t="n">
        <v>-49606709171</v>
      </c>
      <c r="H607" s="13" t="s">
        <v>2255</v>
      </c>
      <c r="I607" s="13"/>
      <c r="J607" s="13"/>
      <c r="K607" s="13" t="s">
        <v>2256</v>
      </c>
      <c r="L607" s="13" t="s">
        <v>2257</v>
      </c>
      <c r="M607" s="13"/>
    </row>
    <row r="608" customFormat="false" ht="15" hidden="false" customHeight="false" outlineLevel="0" collapsed="false">
      <c r="A608" s="13" t="s">
        <v>628</v>
      </c>
      <c r="B608" s="13" t="s">
        <v>627</v>
      </c>
      <c r="C608" s="13" t="s">
        <v>2258</v>
      </c>
      <c r="D608" s="13" t="s">
        <v>61</v>
      </c>
      <c r="E608" s="13" t="s">
        <v>1085</v>
      </c>
      <c r="F608" s="13" t="s">
        <v>1086</v>
      </c>
      <c r="G608" s="61" t="n">
        <v>-298175362181</v>
      </c>
      <c r="H608" s="13" t="s">
        <v>2255</v>
      </c>
      <c r="I608" s="13"/>
      <c r="J608" s="13"/>
      <c r="K608" s="13" t="s">
        <v>2259</v>
      </c>
      <c r="L608" s="13" t="s">
        <v>2260</v>
      </c>
      <c r="M608" s="13"/>
    </row>
    <row r="609" customFormat="false" ht="15" hidden="false" customHeight="false" outlineLevel="0" collapsed="false">
      <c r="A609" s="13" t="s">
        <v>628</v>
      </c>
      <c r="B609" s="13" t="s">
        <v>627</v>
      </c>
      <c r="C609" s="13" t="s">
        <v>2261</v>
      </c>
      <c r="D609" s="13" t="s">
        <v>61</v>
      </c>
      <c r="E609" s="13" t="s">
        <v>1085</v>
      </c>
      <c r="F609" s="13" t="s">
        <v>1086</v>
      </c>
      <c r="G609" s="61" t="n">
        <v>-301730050964</v>
      </c>
      <c r="H609" s="13" t="s">
        <v>2255</v>
      </c>
      <c r="I609" s="13"/>
      <c r="J609" s="13"/>
      <c r="K609" s="13" t="s">
        <v>2262</v>
      </c>
      <c r="L609" s="13" t="s">
        <v>2263</v>
      </c>
      <c r="M609" s="13"/>
    </row>
    <row r="610" customFormat="false" ht="15" hidden="false" customHeight="false" outlineLevel="0" collapsed="false">
      <c r="A610" s="13" t="s">
        <v>628</v>
      </c>
      <c r="B610" s="13" t="s">
        <v>627</v>
      </c>
      <c r="C610" s="13" t="s">
        <v>2264</v>
      </c>
      <c r="D610" s="13" t="s">
        <v>61</v>
      </c>
      <c r="E610" s="13" t="s">
        <v>1085</v>
      </c>
      <c r="F610" s="13" t="s">
        <v>1086</v>
      </c>
      <c r="G610" s="61" t="n">
        <v>-209353390575</v>
      </c>
      <c r="H610" s="13" t="s">
        <v>2255</v>
      </c>
      <c r="I610" s="13"/>
      <c r="J610" s="13"/>
      <c r="K610" s="13" t="s">
        <v>657</v>
      </c>
      <c r="L610" s="13" t="s">
        <v>2265</v>
      </c>
      <c r="M610" s="13"/>
    </row>
    <row r="611" customFormat="false" ht="15" hidden="false" customHeight="false" outlineLevel="0" collapsed="false">
      <c r="A611" s="13" t="s">
        <v>628</v>
      </c>
      <c r="B611" s="13" t="s">
        <v>627</v>
      </c>
      <c r="C611" s="13" t="s">
        <v>2266</v>
      </c>
      <c r="D611" s="13" t="s">
        <v>61</v>
      </c>
      <c r="E611" s="13" t="s">
        <v>1085</v>
      </c>
      <c r="F611" s="13" t="s">
        <v>1086</v>
      </c>
      <c r="G611" s="61" t="n">
        <v>-163412509355</v>
      </c>
      <c r="H611" s="13" t="s">
        <v>2255</v>
      </c>
      <c r="I611" s="13"/>
      <c r="J611" s="13"/>
      <c r="K611" s="13" t="s">
        <v>658</v>
      </c>
      <c r="L611" s="13" t="s">
        <v>2265</v>
      </c>
      <c r="M611" s="13"/>
    </row>
    <row r="612" customFormat="false" ht="15" hidden="false" customHeight="false" outlineLevel="0" collapsed="false">
      <c r="A612" s="13" t="s">
        <v>628</v>
      </c>
      <c r="B612" s="13" t="s">
        <v>627</v>
      </c>
      <c r="C612" s="13" t="s">
        <v>2267</v>
      </c>
      <c r="D612" s="13" t="s">
        <v>61</v>
      </c>
      <c r="E612" s="13" t="s">
        <v>1085</v>
      </c>
      <c r="F612" s="13" t="s">
        <v>1086</v>
      </c>
      <c r="G612" s="61" t="n">
        <v>-218905414893</v>
      </c>
      <c r="H612" s="13" t="s">
        <v>2255</v>
      </c>
      <c r="I612" s="13"/>
      <c r="J612" s="13"/>
      <c r="K612" s="13" t="s">
        <v>659</v>
      </c>
      <c r="L612" s="13" t="s">
        <v>2265</v>
      </c>
      <c r="M612" s="13"/>
    </row>
    <row r="613" customFormat="false" ht="15" hidden="false" customHeight="false" outlineLevel="0" collapsed="false">
      <c r="A613" s="13" t="s">
        <v>628</v>
      </c>
      <c r="B613" s="13" t="s">
        <v>627</v>
      </c>
      <c r="C613" s="13" t="s">
        <v>2254</v>
      </c>
      <c r="D613" s="13" t="s">
        <v>61</v>
      </c>
      <c r="E613" s="13" t="s">
        <v>1088</v>
      </c>
      <c r="F613" s="13" t="s">
        <v>1089</v>
      </c>
      <c r="G613" s="61" t="n">
        <v>0</v>
      </c>
      <c r="H613" s="13" t="s">
        <v>2255</v>
      </c>
      <c r="I613" s="13"/>
      <c r="J613" s="13"/>
      <c r="K613" s="13" t="s">
        <v>2256</v>
      </c>
      <c r="L613" s="13" t="s">
        <v>2257</v>
      </c>
      <c r="M613" s="13"/>
    </row>
    <row r="614" customFormat="false" ht="15" hidden="false" customHeight="false" outlineLevel="0" collapsed="false">
      <c r="A614" s="13" t="s">
        <v>628</v>
      </c>
      <c r="B614" s="13" t="s">
        <v>627</v>
      </c>
      <c r="C614" s="13" t="s">
        <v>2258</v>
      </c>
      <c r="D614" s="13" t="s">
        <v>61</v>
      </c>
      <c r="E614" s="13" t="s">
        <v>1088</v>
      </c>
      <c r="F614" s="13" t="s">
        <v>1089</v>
      </c>
      <c r="G614" s="61" t="n">
        <v>0</v>
      </c>
      <c r="H614" s="13" t="s">
        <v>2255</v>
      </c>
      <c r="I614" s="13"/>
      <c r="J614" s="13"/>
      <c r="K614" s="13" t="s">
        <v>2259</v>
      </c>
      <c r="L614" s="13" t="s">
        <v>2260</v>
      </c>
      <c r="M614" s="13"/>
    </row>
    <row r="615" customFormat="false" ht="15" hidden="false" customHeight="false" outlineLevel="0" collapsed="false">
      <c r="A615" s="13" t="s">
        <v>628</v>
      </c>
      <c r="B615" s="13" t="s">
        <v>627</v>
      </c>
      <c r="C615" s="13" t="s">
        <v>2261</v>
      </c>
      <c r="D615" s="13" t="s">
        <v>61</v>
      </c>
      <c r="E615" s="13" t="s">
        <v>1088</v>
      </c>
      <c r="F615" s="13" t="s">
        <v>1089</v>
      </c>
      <c r="G615" s="61" t="n">
        <v>0</v>
      </c>
      <c r="H615" s="13" t="s">
        <v>2255</v>
      </c>
      <c r="I615" s="13"/>
      <c r="J615" s="13"/>
      <c r="K615" s="13" t="s">
        <v>2262</v>
      </c>
      <c r="L615" s="13" t="s">
        <v>2263</v>
      </c>
      <c r="M615" s="13"/>
    </row>
    <row r="616" customFormat="false" ht="15" hidden="false" customHeight="false" outlineLevel="0" collapsed="false">
      <c r="A616" s="13" t="s">
        <v>628</v>
      </c>
      <c r="B616" s="13" t="s">
        <v>627</v>
      </c>
      <c r="C616" s="13" t="s">
        <v>2264</v>
      </c>
      <c r="D616" s="13" t="s">
        <v>61</v>
      </c>
      <c r="E616" s="13" t="s">
        <v>1088</v>
      </c>
      <c r="F616" s="13" t="s">
        <v>1089</v>
      </c>
      <c r="G616" s="61" t="n">
        <v>0</v>
      </c>
      <c r="H616" s="13" t="s">
        <v>2255</v>
      </c>
      <c r="I616" s="13"/>
      <c r="J616" s="13"/>
      <c r="K616" s="13" t="s">
        <v>657</v>
      </c>
      <c r="L616" s="13" t="s">
        <v>2265</v>
      </c>
      <c r="M616" s="13"/>
    </row>
    <row r="617" customFormat="false" ht="15" hidden="false" customHeight="false" outlineLevel="0" collapsed="false">
      <c r="A617" s="13" t="s">
        <v>628</v>
      </c>
      <c r="B617" s="13" t="s">
        <v>627</v>
      </c>
      <c r="C617" s="13" t="s">
        <v>2266</v>
      </c>
      <c r="D617" s="13" t="s">
        <v>61</v>
      </c>
      <c r="E617" s="13" t="s">
        <v>1088</v>
      </c>
      <c r="F617" s="13" t="s">
        <v>1089</v>
      </c>
      <c r="G617" s="61" t="n">
        <v>-10281661136</v>
      </c>
      <c r="H617" s="13" t="s">
        <v>2255</v>
      </c>
      <c r="I617" s="13"/>
      <c r="J617" s="13"/>
      <c r="K617" s="13" t="s">
        <v>658</v>
      </c>
      <c r="L617" s="13" t="s">
        <v>2265</v>
      </c>
      <c r="M617" s="13"/>
    </row>
    <row r="618" customFormat="false" ht="15" hidden="false" customHeight="false" outlineLevel="0" collapsed="false">
      <c r="A618" s="13" t="s">
        <v>628</v>
      </c>
      <c r="B618" s="13" t="s">
        <v>627</v>
      </c>
      <c r="C618" s="13" t="s">
        <v>2267</v>
      </c>
      <c r="D618" s="13" t="s">
        <v>61</v>
      </c>
      <c r="E618" s="13" t="s">
        <v>1088</v>
      </c>
      <c r="F618" s="13" t="s">
        <v>1089</v>
      </c>
      <c r="G618" s="61" t="n">
        <v>0</v>
      </c>
      <c r="H618" s="13" t="s">
        <v>2255</v>
      </c>
      <c r="I618" s="13"/>
      <c r="J618" s="13"/>
      <c r="K618" s="13" t="s">
        <v>659</v>
      </c>
      <c r="L618" s="13" t="s">
        <v>2265</v>
      </c>
      <c r="M618" s="13"/>
    </row>
    <row r="619" customFormat="false" ht="15" hidden="false" customHeight="false" outlineLevel="0" collapsed="false">
      <c r="A619" s="13" t="s">
        <v>628</v>
      </c>
      <c r="B619" s="13" t="s">
        <v>627</v>
      </c>
      <c r="C619" s="13" t="s">
        <v>2254</v>
      </c>
      <c r="D619" s="13" t="s">
        <v>61</v>
      </c>
      <c r="E619" s="13" t="s">
        <v>1091</v>
      </c>
      <c r="F619" s="13" t="s">
        <v>1092</v>
      </c>
      <c r="G619" s="61" t="n">
        <v>228333334</v>
      </c>
      <c r="H619" s="13" t="s">
        <v>2255</v>
      </c>
      <c r="I619" s="13"/>
      <c r="J619" s="13"/>
      <c r="K619" s="13" t="s">
        <v>2256</v>
      </c>
      <c r="L619" s="13" t="s">
        <v>2257</v>
      </c>
      <c r="M619" s="13"/>
    </row>
    <row r="620" customFormat="false" ht="15" hidden="false" customHeight="false" outlineLevel="0" collapsed="false">
      <c r="A620" s="13" t="s">
        <v>628</v>
      </c>
      <c r="B620" s="13" t="s">
        <v>627</v>
      </c>
      <c r="C620" s="13" t="s">
        <v>2258</v>
      </c>
      <c r="D620" s="13" t="s">
        <v>61</v>
      </c>
      <c r="E620" s="13" t="s">
        <v>1091</v>
      </c>
      <c r="F620" s="13" t="s">
        <v>1092</v>
      </c>
      <c r="G620" s="61" t="n">
        <v>0</v>
      </c>
      <c r="H620" s="13" t="s">
        <v>2255</v>
      </c>
      <c r="I620" s="13"/>
      <c r="J620" s="13"/>
      <c r="K620" s="13" t="s">
        <v>2259</v>
      </c>
      <c r="L620" s="13" t="s">
        <v>2260</v>
      </c>
      <c r="M620" s="13"/>
    </row>
    <row r="621" customFormat="false" ht="15" hidden="false" customHeight="false" outlineLevel="0" collapsed="false">
      <c r="A621" s="13" t="s">
        <v>628</v>
      </c>
      <c r="B621" s="13" t="s">
        <v>627</v>
      </c>
      <c r="C621" s="13" t="s">
        <v>2261</v>
      </c>
      <c r="D621" s="13" t="s">
        <v>61</v>
      </c>
      <c r="E621" s="13" t="s">
        <v>1091</v>
      </c>
      <c r="F621" s="13" t="s">
        <v>1092</v>
      </c>
      <c r="G621" s="61" t="n">
        <v>24787500</v>
      </c>
      <c r="H621" s="13" t="s">
        <v>2255</v>
      </c>
      <c r="I621" s="13"/>
      <c r="J621" s="13"/>
      <c r="K621" s="13" t="s">
        <v>2262</v>
      </c>
      <c r="L621" s="13" t="s">
        <v>2263</v>
      </c>
      <c r="M621" s="13"/>
    </row>
    <row r="622" customFormat="false" ht="15" hidden="false" customHeight="false" outlineLevel="0" collapsed="false">
      <c r="A622" s="13" t="s">
        <v>628</v>
      </c>
      <c r="B622" s="13" t="s">
        <v>627</v>
      </c>
      <c r="C622" s="13" t="s">
        <v>2264</v>
      </c>
      <c r="D622" s="13" t="s">
        <v>61</v>
      </c>
      <c r="E622" s="13" t="s">
        <v>1091</v>
      </c>
      <c r="F622" s="13" t="s">
        <v>1092</v>
      </c>
      <c r="G622" s="61" t="n">
        <v>1637850000</v>
      </c>
      <c r="H622" s="13" t="s">
        <v>2255</v>
      </c>
      <c r="I622" s="13"/>
      <c r="J622" s="13"/>
      <c r="K622" s="13" t="s">
        <v>657</v>
      </c>
      <c r="L622" s="13" t="s">
        <v>2265</v>
      </c>
      <c r="M622" s="13"/>
    </row>
    <row r="623" customFormat="false" ht="15" hidden="false" customHeight="false" outlineLevel="0" collapsed="false">
      <c r="A623" s="13" t="s">
        <v>628</v>
      </c>
      <c r="B623" s="13" t="s">
        <v>627</v>
      </c>
      <c r="C623" s="13" t="s">
        <v>2266</v>
      </c>
      <c r="D623" s="13" t="s">
        <v>61</v>
      </c>
      <c r="E623" s="13" t="s">
        <v>1091</v>
      </c>
      <c r="F623" s="13" t="s">
        <v>1092</v>
      </c>
      <c r="G623" s="61" t="n">
        <v>1015362904</v>
      </c>
      <c r="H623" s="13" t="s">
        <v>2255</v>
      </c>
      <c r="I623" s="13"/>
      <c r="J623" s="13"/>
      <c r="K623" s="13" t="s">
        <v>658</v>
      </c>
      <c r="L623" s="13" t="s">
        <v>2265</v>
      </c>
      <c r="M623" s="13"/>
    </row>
    <row r="624" customFormat="false" ht="15" hidden="false" customHeight="false" outlineLevel="0" collapsed="false">
      <c r="A624" s="13" t="s">
        <v>628</v>
      </c>
      <c r="B624" s="13" t="s">
        <v>627</v>
      </c>
      <c r="C624" s="13" t="s">
        <v>2267</v>
      </c>
      <c r="D624" s="13" t="s">
        <v>61</v>
      </c>
      <c r="E624" s="13" t="s">
        <v>1091</v>
      </c>
      <c r="F624" s="13" t="s">
        <v>1092</v>
      </c>
      <c r="G624" s="61" t="n">
        <v>1493319558</v>
      </c>
      <c r="H624" s="13" t="s">
        <v>2255</v>
      </c>
      <c r="I624" s="13"/>
      <c r="J624" s="13"/>
      <c r="K624" s="13" t="s">
        <v>659</v>
      </c>
      <c r="L624" s="13" t="s">
        <v>2265</v>
      </c>
      <c r="M624" s="13"/>
    </row>
    <row r="625" customFormat="false" ht="15" hidden="false" customHeight="false" outlineLevel="0" collapsed="false">
      <c r="A625" s="13" t="s">
        <v>628</v>
      </c>
      <c r="B625" s="13" t="s">
        <v>627</v>
      </c>
      <c r="C625" s="13" t="s">
        <v>2254</v>
      </c>
      <c r="D625" s="13" t="s">
        <v>61</v>
      </c>
      <c r="E625" s="13" t="s">
        <v>1094</v>
      </c>
      <c r="F625" s="13" t="s">
        <v>1095</v>
      </c>
      <c r="G625" s="61" t="n">
        <v>0</v>
      </c>
      <c r="H625" s="13" t="s">
        <v>2255</v>
      </c>
      <c r="I625" s="13"/>
      <c r="J625" s="13"/>
      <c r="K625" s="13" t="s">
        <v>2256</v>
      </c>
      <c r="L625" s="13" t="s">
        <v>2257</v>
      </c>
      <c r="M625" s="13"/>
    </row>
    <row r="626" customFormat="false" ht="15" hidden="false" customHeight="false" outlineLevel="0" collapsed="false">
      <c r="A626" s="13" t="s">
        <v>628</v>
      </c>
      <c r="B626" s="13" t="s">
        <v>627</v>
      </c>
      <c r="C626" s="13" t="s">
        <v>2258</v>
      </c>
      <c r="D626" s="13" t="s">
        <v>61</v>
      </c>
      <c r="E626" s="13" t="s">
        <v>1094</v>
      </c>
      <c r="F626" s="13" t="s">
        <v>1095</v>
      </c>
      <c r="G626" s="61" t="n">
        <v>0</v>
      </c>
      <c r="H626" s="13" t="s">
        <v>2255</v>
      </c>
      <c r="I626" s="13"/>
      <c r="J626" s="13"/>
      <c r="K626" s="13" t="s">
        <v>2259</v>
      </c>
      <c r="L626" s="13" t="s">
        <v>2260</v>
      </c>
      <c r="M626" s="13"/>
    </row>
    <row r="627" customFormat="false" ht="15" hidden="false" customHeight="false" outlineLevel="0" collapsed="false">
      <c r="A627" s="13" t="s">
        <v>628</v>
      </c>
      <c r="B627" s="13" t="s">
        <v>627</v>
      </c>
      <c r="C627" s="13" t="s">
        <v>2261</v>
      </c>
      <c r="D627" s="13" t="s">
        <v>61</v>
      </c>
      <c r="E627" s="13" t="s">
        <v>1094</v>
      </c>
      <c r="F627" s="13" t="s">
        <v>1095</v>
      </c>
      <c r="G627" s="61" t="n">
        <v>0</v>
      </c>
      <c r="H627" s="13" t="s">
        <v>2255</v>
      </c>
      <c r="I627" s="13"/>
      <c r="J627" s="13"/>
      <c r="K627" s="13" t="s">
        <v>2262</v>
      </c>
      <c r="L627" s="13" t="s">
        <v>2263</v>
      </c>
      <c r="M627" s="13"/>
    </row>
    <row r="628" customFormat="false" ht="15" hidden="false" customHeight="false" outlineLevel="0" collapsed="false">
      <c r="A628" s="13" t="s">
        <v>628</v>
      </c>
      <c r="B628" s="13" t="s">
        <v>627</v>
      </c>
      <c r="C628" s="13" t="s">
        <v>2264</v>
      </c>
      <c r="D628" s="13" t="s">
        <v>61</v>
      </c>
      <c r="E628" s="13" t="s">
        <v>1094</v>
      </c>
      <c r="F628" s="13" t="s">
        <v>1095</v>
      </c>
      <c r="G628" s="61" t="n">
        <v>0</v>
      </c>
      <c r="H628" s="13" t="s">
        <v>2255</v>
      </c>
      <c r="I628" s="13"/>
      <c r="J628" s="13"/>
      <c r="K628" s="13" t="s">
        <v>657</v>
      </c>
      <c r="L628" s="13" t="s">
        <v>2265</v>
      </c>
      <c r="M628" s="13"/>
    </row>
    <row r="629" customFormat="false" ht="15" hidden="false" customHeight="false" outlineLevel="0" collapsed="false">
      <c r="A629" s="13" t="s">
        <v>628</v>
      </c>
      <c r="B629" s="13" t="s">
        <v>627</v>
      </c>
      <c r="C629" s="13" t="s">
        <v>2266</v>
      </c>
      <c r="D629" s="13" t="s">
        <v>61</v>
      </c>
      <c r="E629" s="13" t="s">
        <v>1094</v>
      </c>
      <c r="F629" s="13" t="s">
        <v>1095</v>
      </c>
      <c r="G629" s="61" t="n">
        <v>-72612585817</v>
      </c>
      <c r="H629" s="13" t="s">
        <v>2255</v>
      </c>
      <c r="I629" s="13"/>
      <c r="J629" s="13"/>
      <c r="K629" s="13" t="s">
        <v>658</v>
      </c>
      <c r="L629" s="13" t="s">
        <v>2265</v>
      </c>
      <c r="M629" s="13"/>
    </row>
    <row r="630" customFormat="false" ht="15" hidden="false" customHeight="false" outlineLevel="0" collapsed="false">
      <c r="A630" s="13" t="s">
        <v>628</v>
      </c>
      <c r="B630" s="13" t="s">
        <v>627</v>
      </c>
      <c r="C630" s="13" t="s">
        <v>2267</v>
      </c>
      <c r="D630" s="13" t="s">
        <v>61</v>
      </c>
      <c r="E630" s="13" t="s">
        <v>1094</v>
      </c>
      <c r="F630" s="13" t="s">
        <v>1095</v>
      </c>
      <c r="G630" s="61" t="n">
        <v>0</v>
      </c>
      <c r="H630" s="13" t="s">
        <v>2255</v>
      </c>
      <c r="I630" s="13"/>
      <c r="J630" s="13"/>
      <c r="K630" s="13" t="s">
        <v>659</v>
      </c>
      <c r="L630" s="13" t="s">
        <v>2265</v>
      </c>
      <c r="M630" s="13"/>
    </row>
    <row r="631" customFormat="false" ht="15" hidden="false" customHeight="false" outlineLevel="0" collapsed="false">
      <c r="A631" s="13" t="s">
        <v>628</v>
      </c>
      <c r="B631" s="13" t="s">
        <v>627</v>
      </c>
      <c r="C631" s="13" t="s">
        <v>2254</v>
      </c>
      <c r="D631" s="13" t="s">
        <v>61</v>
      </c>
      <c r="E631" s="13" t="s">
        <v>1097</v>
      </c>
      <c r="F631" s="13" t="s">
        <v>1098</v>
      </c>
      <c r="G631" s="61" t="n">
        <v>0</v>
      </c>
      <c r="H631" s="13" t="s">
        <v>2255</v>
      </c>
      <c r="I631" s="13"/>
      <c r="J631" s="13"/>
      <c r="K631" s="13" t="s">
        <v>2256</v>
      </c>
      <c r="L631" s="13" t="s">
        <v>2257</v>
      </c>
      <c r="M631" s="13"/>
    </row>
    <row r="632" customFormat="false" ht="15" hidden="false" customHeight="false" outlineLevel="0" collapsed="false">
      <c r="A632" s="13" t="s">
        <v>628</v>
      </c>
      <c r="B632" s="13" t="s">
        <v>627</v>
      </c>
      <c r="C632" s="13" t="s">
        <v>2258</v>
      </c>
      <c r="D632" s="13" t="s">
        <v>61</v>
      </c>
      <c r="E632" s="13" t="s">
        <v>1097</v>
      </c>
      <c r="F632" s="13" t="s">
        <v>1098</v>
      </c>
      <c r="G632" s="61" t="n">
        <v>-21495000000</v>
      </c>
      <c r="H632" s="13" t="s">
        <v>2255</v>
      </c>
      <c r="I632" s="13"/>
      <c r="J632" s="13"/>
      <c r="K632" s="13" t="s">
        <v>2259</v>
      </c>
      <c r="L632" s="13" t="s">
        <v>2260</v>
      </c>
      <c r="M632" s="13"/>
    </row>
    <row r="633" customFormat="false" ht="15" hidden="false" customHeight="false" outlineLevel="0" collapsed="false">
      <c r="A633" s="13" t="s">
        <v>628</v>
      </c>
      <c r="B633" s="13" t="s">
        <v>627</v>
      </c>
      <c r="C633" s="13" t="s">
        <v>2261</v>
      </c>
      <c r="D633" s="13" t="s">
        <v>61</v>
      </c>
      <c r="E633" s="13" t="s">
        <v>1097</v>
      </c>
      <c r="F633" s="13" t="s">
        <v>1098</v>
      </c>
      <c r="G633" s="61" t="n">
        <v>-136328592967</v>
      </c>
      <c r="H633" s="13" t="s">
        <v>2255</v>
      </c>
      <c r="I633" s="13"/>
      <c r="J633" s="13"/>
      <c r="K633" s="13" t="s">
        <v>2262</v>
      </c>
      <c r="L633" s="13" t="s">
        <v>2263</v>
      </c>
      <c r="M633" s="13"/>
    </row>
    <row r="634" customFormat="false" ht="15" hidden="false" customHeight="false" outlineLevel="0" collapsed="false">
      <c r="A634" s="13" t="s">
        <v>628</v>
      </c>
      <c r="B634" s="13" t="s">
        <v>627</v>
      </c>
      <c r="C634" s="13" t="s">
        <v>2264</v>
      </c>
      <c r="D634" s="13" t="s">
        <v>61</v>
      </c>
      <c r="E634" s="13" t="s">
        <v>1097</v>
      </c>
      <c r="F634" s="13" t="s">
        <v>1098</v>
      </c>
      <c r="G634" s="61" t="n">
        <v>-4506000000</v>
      </c>
      <c r="H634" s="13" t="s">
        <v>2255</v>
      </c>
      <c r="I634" s="13"/>
      <c r="J634" s="13"/>
      <c r="K634" s="13" t="s">
        <v>657</v>
      </c>
      <c r="L634" s="13" t="s">
        <v>2265</v>
      </c>
      <c r="M634" s="13"/>
    </row>
    <row r="635" customFormat="false" ht="15" hidden="false" customHeight="false" outlineLevel="0" collapsed="false">
      <c r="A635" s="13" t="s">
        <v>628</v>
      </c>
      <c r="B635" s="13" t="s">
        <v>627</v>
      </c>
      <c r="C635" s="13" t="s">
        <v>2266</v>
      </c>
      <c r="D635" s="13" t="s">
        <v>61</v>
      </c>
      <c r="E635" s="13" t="s">
        <v>1097</v>
      </c>
      <c r="F635" s="13" t="s">
        <v>1098</v>
      </c>
      <c r="G635" s="61" t="n">
        <v>0</v>
      </c>
      <c r="H635" s="13" t="s">
        <v>2255</v>
      </c>
      <c r="I635" s="13"/>
      <c r="J635" s="13"/>
      <c r="K635" s="13" t="s">
        <v>658</v>
      </c>
      <c r="L635" s="13" t="s">
        <v>2265</v>
      </c>
      <c r="M635" s="13" t="s">
        <v>2269</v>
      </c>
    </row>
    <row r="636" customFormat="false" ht="15" hidden="false" customHeight="false" outlineLevel="0" collapsed="false">
      <c r="A636" s="13" t="s">
        <v>628</v>
      </c>
      <c r="B636" s="13" t="s">
        <v>627</v>
      </c>
      <c r="C636" s="13" t="s">
        <v>2267</v>
      </c>
      <c r="D636" s="13" t="s">
        <v>61</v>
      </c>
      <c r="E636" s="13" t="s">
        <v>1097</v>
      </c>
      <c r="F636" s="13" t="s">
        <v>1098</v>
      </c>
      <c r="G636" s="61" t="n">
        <v>0</v>
      </c>
      <c r="H636" s="13" t="s">
        <v>2255</v>
      </c>
      <c r="I636" s="13"/>
      <c r="J636" s="13"/>
      <c r="K636" s="13" t="s">
        <v>659</v>
      </c>
      <c r="L636" s="13" t="s">
        <v>2265</v>
      </c>
      <c r="M636" s="13"/>
    </row>
    <row r="637" customFormat="false" ht="15" hidden="false" customHeight="false" outlineLevel="0" collapsed="false">
      <c r="A637" s="13" t="s">
        <v>628</v>
      </c>
      <c r="B637" s="13" t="s">
        <v>627</v>
      </c>
      <c r="C637" s="13" t="s">
        <v>2254</v>
      </c>
      <c r="D637" s="13" t="s">
        <v>61</v>
      </c>
      <c r="E637" s="13" t="s">
        <v>1100</v>
      </c>
      <c r="F637" s="13" t="s">
        <v>1101</v>
      </c>
      <c r="G637" s="61" t="n">
        <v>206245731</v>
      </c>
      <c r="H637" s="13" t="s">
        <v>2255</v>
      </c>
      <c r="I637" s="13"/>
      <c r="J637" s="13"/>
      <c r="K637" s="13" t="s">
        <v>2256</v>
      </c>
      <c r="L637" s="13" t="s">
        <v>2257</v>
      </c>
      <c r="M637" s="13"/>
    </row>
    <row r="638" customFormat="false" ht="15" hidden="false" customHeight="false" outlineLevel="0" collapsed="false">
      <c r="A638" s="13" t="s">
        <v>628</v>
      </c>
      <c r="B638" s="13" t="s">
        <v>627</v>
      </c>
      <c r="C638" s="13" t="s">
        <v>2254</v>
      </c>
      <c r="D638" s="13" t="s">
        <v>61</v>
      </c>
      <c r="E638" s="13" t="s">
        <v>1103</v>
      </c>
      <c r="F638" s="13" t="s">
        <v>1104</v>
      </c>
      <c r="G638" s="61" t="n">
        <v>-49172130106</v>
      </c>
      <c r="H638" s="13" t="s">
        <v>2255</v>
      </c>
      <c r="I638" s="13"/>
      <c r="J638" s="13"/>
      <c r="K638" s="13" t="s">
        <v>2256</v>
      </c>
      <c r="L638" s="13" t="s">
        <v>2257</v>
      </c>
      <c r="M638" s="13" t="s">
        <v>2268</v>
      </c>
    </row>
    <row r="639" customFormat="false" ht="15" hidden="false" customHeight="false" outlineLevel="0" collapsed="false">
      <c r="A639" s="13" t="s">
        <v>628</v>
      </c>
      <c r="B639" s="13" t="s">
        <v>627</v>
      </c>
      <c r="C639" s="13" t="s">
        <v>2258</v>
      </c>
      <c r="D639" s="13" t="s">
        <v>61</v>
      </c>
      <c r="E639" s="13" t="s">
        <v>1103</v>
      </c>
      <c r="F639" s="13" t="s">
        <v>1104</v>
      </c>
      <c r="G639" s="61" t="n">
        <v>-319670362181</v>
      </c>
      <c r="H639" s="13" t="s">
        <v>2255</v>
      </c>
      <c r="I639" s="13"/>
      <c r="J639" s="13"/>
      <c r="K639" s="13" t="s">
        <v>2259</v>
      </c>
      <c r="L639" s="13" t="s">
        <v>2260</v>
      </c>
      <c r="M639" s="13" t="s">
        <v>2268</v>
      </c>
    </row>
    <row r="640" customFormat="false" ht="15" hidden="false" customHeight="false" outlineLevel="0" collapsed="false">
      <c r="A640" s="13" t="s">
        <v>628</v>
      </c>
      <c r="B640" s="13" t="s">
        <v>627</v>
      </c>
      <c r="C640" s="13" t="s">
        <v>2261</v>
      </c>
      <c r="D640" s="13" t="s">
        <v>61</v>
      </c>
      <c r="E640" s="13" t="s">
        <v>1103</v>
      </c>
      <c r="F640" s="13" t="s">
        <v>1104</v>
      </c>
      <c r="G640" s="61" t="n">
        <v>-438033856431</v>
      </c>
      <c r="H640" s="13" t="s">
        <v>2255</v>
      </c>
      <c r="I640" s="13"/>
      <c r="J640" s="13"/>
      <c r="K640" s="13" t="s">
        <v>2262</v>
      </c>
      <c r="L640" s="13" t="s">
        <v>2263</v>
      </c>
      <c r="M640" s="13" t="s">
        <v>2268</v>
      </c>
    </row>
    <row r="641" customFormat="false" ht="15" hidden="false" customHeight="false" outlineLevel="0" collapsed="false">
      <c r="A641" s="13" t="s">
        <v>628</v>
      </c>
      <c r="B641" s="13" t="s">
        <v>627</v>
      </c>
      <c r="C641" s="13" t="s">
        <v>2264</v>
      </c>
      <c r="D641" s="13" t="s">
        <v>61</v>
      </c>
      <c r="E641" s="13" t="s">
        <v>1103</v>
      </c>
      <c r="F641" s="13" t="s">
        <v>1104</v>
      </c>
      <c r="G641" s="61" t="n">
        <v>-212221540575</v>
      </c>
      <c r="H641" s="13" t="s">
        <v>2255</v>
      </c>
      <c r="I641" s="13"/>
      <c r="J641" s="13"/>
      <c r="K641" s="13" t="s">
        <v>657</v>
      </c>
      <c r="L641" s="13" t="s">
        <v>2265</v>
      </c>
      <c r="M641" s="13" t="s">
        <v>2268</v>
      </c>
    </row>
    <row r="642" customFormat="false" ht="15" hidden="false" customHeight="false" outlineLevel="0" collapsed="false">
      <c r="A642" s="13" t="s">
        <v>628</v>
      </c>
      <c r="B642" s="13" t="s">
        <v>627</v>
      </c>
      <c r="C642" s="13" t="s">
        <v>2266</v>
      </c>
      <c r="D642" s="13" t="s">
        <v>61</v>
      </c>
      <c r="E642" s="13" t="s">
        <v>1103</v>
      </c>
      <c r="F642" s="13" t="s">
        <v>1104</v>
      </c>
      <c r="G642" s="61" t="n">
        <v>-245291393404</v>
      </c>
      <c r="H642" s="13" t="s">
        <v>2255</v>
      </c>
      <c r="I642" s="13"/>
      <c r="J642" s="13"/>
      <c r="K642" s="13" t="s">
        <v>658</v>
      </c>
      <c r="L642" s="13" t="s">
        <v>2265</v>
      </c>
      <c r="M642" s="13" t="s">
        <v>2268</v>
      </c>
    </row>
    <row r="643" customFormat="false" ht="15" hidden="false" customHeight="false" outlineLevel="0" collapsed="false">
      <c r="A643" s="13" t="s">
        <v>628</v>
      </c>
      <c r="B643" s="13" t="s">
        <v>627</v>
      </c>
      <c r="C643" s="13" t="s">
        <v>2267</v>
      </c>
      <c r="D643" s="13" t="s">
        <v>61</v>
      </c>
      <c r="E643" s="13" t="s">
        <v>1103</v>
      </c>
      <c r="F643" s="13" t="s">
        <v>1104</v>
      </c>
      <c r="G643" s="61" t="n">
        <v>-217412095335</v>
      </c>
      <c r="H643" s="13" t="s">
        <v>2255</v>
      </c>
      <c r="I643" s="13"/>
      <c r="J643" s="13"/>
      <c r="K643" s="13" t="s">
        <v>659</v>
      </c>
      <c r="L643" s="13" t="s">
        <v>2265</v>
      </c>
      <c r="M643" s="13" t="s">
        <v>2268</v>
      </c>
    </row>
    <row r="644" customFormat="false" ht="15" hidden="false" customHeight="false" outlineLevel="0" collapsed="false">
      <c r="A644" s="13" t="s">
        <v>628</v>
      </c>
      <c r="B644" s="13" t="s">
        <v>627</v>
      </c>
      <c r="C644" s="13" t="s">
        <v>2254</v>
      </c>
      <c r="D644" s="13" t="s">
        <v>61</v>
      </c>
      <c r="E644" s="13" t="s">
        <v>1105</v>
      </c>
      <c r="F644" s="13" t="s">
        <v>1106</v>
      </c>
      <c r="G644" s="61" t="n">
        <v>0</v>
      </c>
      <c r="H644" s="13" t="s">
        <v>2255</v>
      </c>
      <c r="I644" s="13"/>
      <c r="J644" s="13"/>
      <c r="K644" s="13" t="s">
        <v>2256</v>
      </c>
      <c r="L644" s="13" t="s">
        <v>2257</v>
      </c>
      <c r="M644" s="13"/>
    </row>
    <row r="645" customFormat="false" ht="15" hidden="false" customHeight="false" outlineLevel="0" collapsed="false">
      <c r="A645" s="13" t="s">
        <v>628</v>
      </c>
      <c r="B645" s="13" t="s">
        <v>627</v>
      </c>
      <c r="C645" s="13" t="s">
        <v>2258</v>
      </c>
      <c r="D645" s="13" t="s">
        <v>61</v>
      </c>
      <c r="E645" s="13" t="s">
        <v>1105</v>
      </c>
      <c r="F645" s="13" t="s">
        <v>1106</v>
      </c>
      <c r="G645" s="61" t="n">
        <v>0</v>
      </c>
      <c r="H645" s="13" t="s">
        <v>2255</v>
      </c>
      <c r="I645" s="13"/>
      <c r="J645" s="13"/>
      <c r="K645" s="13" t="s">
        <v>2259</v>
      </c>
      <c r="L645" s="13" t="s">
        <v>2260</v>
      </c>
      <c r="M645" s="13"/>
    </row>
    <row r="646" customFormat="false" ht="15" hidden="false" customHeight="false" outlineLevel="0" collapsed="false">
      <c r="A646" s="13" t="s">
        <v>628</v>
      </c>
      <c r="B646" s="13" t="s">
        <v>627</v>
      </c>
      <c r="C646" s="13" t="s">
        <v>2261</v>
      </c>
      <c r="D646" s="13" t="s">
        <v>61</v>
      </c>
      <c r="E646" s="13" t="s">
        <v>1105</v>
      </c>
      <c r="F646" s="13" t="s">
        <v>1106</v>
      </c>
      <c r="G646" s="61" t="n">
        <v>0</v>
      </c>
      <c r="H646" s="13" t="s">
        <v>2255</v>
      </c>
      <c r="I646" s="13"/>
      <c r="J646" s="13"/>
      <c r="K646" s="13" t="s">
        <v>2262</v>
      </c>
      <c r="L646" s="13" t="s">
        <v>2263</v>
      </c>
      <c r="M646" s="13"/>
    </row>
    <row r="647" customFormat="false" ht="15" hidden="false" customHeight="false" outlineLevel="0" collapsed="false">
      <c r="A647" s="13" t="s">
        <v>628</v>
      </c>
      <c r="B647" s="13" t="s">
        <v>627</v>
      </c>
      <c r="C647" s="13" t="s">
        <v>2264</v>
      </c>
      <c r="D647" s="13" t="s">
        <v>61</v>
      </c>
      <c r="E647" s="13" t="s">
        <v>1105</v>
      </c>
      <c r="F647" s="13" t="s">
        <v>1106</v>
      </c>
      <c r="G647" s="61" t="n">
        <v>0</v>
      </c>
      <c r="H647" s="13" t="s">
        <v>2255</v>
      </c>
      <c r="I647" s="13"/>
      <c r="J647" s="13"/>
      <c r="K647" s="13" t="s">
        <v>657</v>
      </c>
      <c r="L647" s="13" t="s">
        <v>2265</v>
      </c>
      <c r="M647" s="13"/>
    </row>
    <row r="648" customFormat="false" ht="15" hidden="false" customHeight="false" outlineLevel="0" collapsed="false">
      <c r="A648" s="13" t="s">
        <v>628</v>
      </c>
      <c r="B648" s="13" t="s">
        <v>627</v>
      </c>
      <c r="C648" s="13" t="s">
        <v>2266</v>
      </c>
      <c r="D648" s="13" t="s">
        <v>61</v>
      </c>
      <c r="E648" s="13" t="s">
        <v>1105</v>
      </c>
      <c r="F648" s="13" t="s">
        <v>1106</v>
      </c>
      <c r="G648" s="61" t="n">
        <v>-23968116240</v>
      </c>
      <c r="H648" s="13" t="s">
        <v>2255</v>
      </c>
      <c r="I648" s="13"/>
      <c r="J648" s="13"/>
      <c r="K648" s="13" t="s">
        <v>658</v>
      </c>
      <c r="L648" s="13" t="s">
        <v>2265</v>
      </c>
      <c r="M648" s="13"/>
    </row>
    <row r="649" customFormat="false" ht="15" hidden="false" customHeight="false" outlineLevel="0" collapsed="false">
      <c r="A649" s="13" t="s">
        <v>628</v>
      </c>
      <c r="B649" s="13" t="s">
        <v>627</v>
      </c>
      <c r="C649" s="13" t="s">
        <v>2267</v>
      </c>
      <c r="D649" s="13" t="s">
        <v>61</v>
      </c>
      <c r="E649" s="13" t="s">
        <v>1105</v>
      </c>
      <c r="F649" s="13" t="s">
        <v>1106</v>
      </c>
      <c r="G649" s="61" t="n">
        <v>-98699072459</v>
      </c>
      <c r="H649" s="13" t="s">
        <v>2255</v>
      </c>
      <c r="I649" s="13"/>
      <c r="J649" s="13"/>
      <c r="K649" s="13" t="s">
        <v>659</v>
      </c>
      <c r="L649" s="13" t="s">
        <v>2265</v>
      </c>
      <c r="M649" s="13"/>
    </row>
    <row r="650" customFormat="false" ht="15" hidden="false" customHeight="false" outlineLevel="0" collapsed="false">
      <c r="A650" s="13" t="s">
        <v>628</v>
      </c>
      <c r="B650" s="13" t="s">
        <v>627</v>
      </c>
      <c r="C650" s="13" t="s">
        <v>2254</v>
      </c>
      <c r="D650" s="13" t="s">
        <v>61</v>
      </c>
      <c r="E650" s="13" t="s">
        <v>1108</v>
      </c>
      <c r="F650" s="13" t="s">
        <v>1109</v>
      </c>
      <c r="G650" s="61" t="n">
        <v>301000000000</v>
      </c>
      <c r="H650" s="13" t="s">
        <v>2255</v>
      </c>
      <c r="I650" s="13"/>
      <c r="J650" s="13"/>
      <c r="K650" s="13" t="s">
        <v>2256</v>
      </c>
      <c r="L650" s="13" t="s">
        <v>2257</v>
      </c>
      <c r="M650" s="13"/>
    </row>
    <row r="651" customFormat="false" ht="15" hidden="false" customHeight="false" outlineLevel="0" collapsed="false">
      <c r="A651" s="13" t="s">
        <v>628</v>
      </c>
      <c r="B651" s="13" t="s">
        <v>627</v>
      </c>
      <c r="C651" s="13" t="s">
        <v>2258</v>
      </c>
      <c r="D651" s="13" t="s">
        <v>61</v>
      </c>
      <c r="E651" s="13" t="s">
        <v>1108</v>
      </c>
      <c r="F651" s="13" t="s">
        <v>1109</v>
      </c>
      <c r="G651" s="61" t="n">
        <v>-157718500160</v>
      </c>
      <c r="H651" s="13" t="s">
        <v>2255</v>
      </c>
      <c r="I651" s="13"/>
      <c r="J651" s="13"/>
      <c r="K651" s="13" t="s">
        <v>2259</v>
      </c>
      <c r="L651" s="13" t="s">
        <v>2260</v>
      </c>
      <c r="M651" s="13"/>
    </row>
    <row r="652" customFormat="false" ht="15" hidden="false" customHeight="false" outlineLevel="0" collapsed="false">
      <c r="A652" s="13" t="s">
        <v>628</v>
      </c>
      <c r="B652" s="13" t="s">
        <v>627</v>
      </c>
      <c r="C652" s="13" t="s">
        <v>2254</v>
      </c>
      <c r="D652" s="13" t="s">
        <v>61</v>
      </c>
      <c r="E652" s="13" t="s">
        <v>1111</v>
      </c>
      <c r="F652" s="13" t="s">
        <v>1112</v>
      </c>
      <c r="G652" s="61" t="n">
        <v>-28081621182</v>
      </c>
      <c r="H652" s="13" t="s">
        <v>2255</v>
      </c>
      <c r="I652" s="13"/>
      <c r="J652" s="13"/>
      <c r="K652" s="13" t="s">
        <v>2256</v>
      </c>
      <c r="L652" s="13" t="s">
        <v>2257</v>
      </c>
      <c r="M652" s="13"/>
    </row>
    <row r="653" customFormat="false" ht="15" hidden="false" customHeight="false" outlineLevel="0" collapsed="false">
      <c r="A653" s="13" t="s">
        <v>628</v>
      </c>
      <c r="B653" s="13" t="s">
        <v>627</v>
      </c>
      <c r="C653" s="13" t="s">
        <v>2258</v>
      </c>
      <c r="D653" s="13" t="s">
        <v>61</v>
      </c>
      <c r="E653" s="13" t="s">
        <v>1111</v>
      </c>
      <c r="F653" s="13" t="s">
        <v>1112</v>
      </c>
      <c r="G653" s="61" t="n">
        <v>7246377915</v>
      </c>
      <c r="H653" s="13" t="s">
        <v>2255</v>
      </c>
      <c r="I653" s="13"/>
      <c r="J653" s="13"/>
      <c r="K653" s="13" t="s">
        <v>2259</v>
      </c>
      <c r="L653" s="13" t="s">
        <v>2260</v>
      </c>
      <c r="M653" s="13"/>
    </row>
    <row r="654" customFormat="false" ht="15" hidden="false" customHeight="false" outlineLevel="0" collapsed="false">
      <c r="A654" s="13" t="s">
        <v>628</v>
      </c>
      <c r="B654" s="13" t="s">
        <v>627</v>
      </c>
      <c r="C654" s="13" t="s">
        <v>2254</v>
      </c>
      <c r="D654" s="13" t="s">
        <v>61</v>
      </c>
      <c r="E654" s="13" t="s">
        <v>1114</v>
      </c>
      <c r="F654" s="13" t="s">
        <v>1115</v>
      </c>
      <c r="G654" s="61" t="n">
        <v>0</v>
      </c>
      <c r="H654" s="13" t="s">
        <v>2255</v>
      </c>
      <c r="I654" s="13"/>
      <c r="J654" s="13"/>
      <c r="K654" s="13" t="s">
        <v>2256</v>
      </c>
      <c r="L654" s="13" t="s">
        <v>2257</v>
      </c>
      <c r="M654" s="13"/>
    </row>
    <row r="655" customFormat="false" ht="15" hidden="false" customHeight="false" outlineLevel="0" collapsed="false">
      <c r="A655" s="13" t="s">
        <v>628</v>
      </c>
      <c r="B655" s="13" t="s">
        <v>627</v>
      </c>
      <c r="C655" s="13" t="s">
        <v>2258</v>
      </c>
      <c r="D655" s="13" t="s">
        <v>61</v>
      </c>
      <c r="E655" s="13" t="s">
        <v>1114</v>
      </c>
      <c r="F655" s="13" t="s">
        <v>1115</v>
      </c>
      <c r="G655" s="61" t="n">
        <v>143795915364</v>
      </c>
      <c r="H655" s="13" t="s">
        <v>2255</v>
      </c>
      <c r="I655" s="13"/>
      <c r="J655" s="13"/>
      <c r="K655" s="13" t="s">
        <v>2259</v>
      </c>
      <c r="L655" s="13" t="s">
        <v>2260</v>
      </c>
      <c r="M655" s="13"/>
    </row>
    <row r="656" customFormat="false" ht="15" hidden="false" customHeight="false" outlineLevel="0" collapsed="false">
      <c r="A656" s="13" t="s">
        <v>628</v>
      </c>
      <c r="B656" s="13" t="s">
        <v>627</v>
      </c>
      <c r="C656" s="13" t="s">
        <v>2261</v>
      </c>
      <c r="D656" s="13" t="s">
        <v>61</v>
      </c>
      <c r="E656" s="13" t="s">
        <v>1114</v>
      </c>
      <c r="F656" s="13" t="s">
        <v>1115</v>
      </c>
      <c r="G656" s="61" t="n">
        <v>297955298245</v>
      </c>
      <c r="H656" s="13" t="s">
        <v>2255</v>
      </c>
      <c r="I656" s="13"/>
      <c r="J656" s="13"/>
      <c r="K656" s="13" t="s">
        <v>2262</v>
      </c>
      <c r="L656" s="13" t="s">
        <v>2263</v>
      </c>
      <c r="M656" s="13"/>
    </row>
    <row r="657" customFormat="false" ht="15" hidden="false" customHeight="false" outlineLevel="0" collapsed="false">
      <c r="A657" s="13" t="s">
        <v>628</v>
      </c>
      <c r="B657" s="13" t="s">
        <v>627</v>
      </c>
      <c r="C657" s="13" t="s">
        <v>2264</v>
      </c>
      <c r="D657" s="13" t="s">
        <v>61</v>
      </c>
      <c r="E657" s="13" t="s">
        <v>1114</v>
      </c>
      <c r="F657" s="13" t="s">
        <v>1115</v>
      </c>
      <c r="G657" s="61" t="n">
        <v>1152656202389</v>
      </c>
      <c r="H657" s="13" t="s">
        <v>2255</v>
      </c>
      <c r="I657" s="13"/>
      <c r="J657" s="13"/>
      <c r="K657" s="13" t="s">
        <v>657</v>
      </c>
      <c r="L657" s="13" t="s">
        <v>2265</v>
      </c>
      <c r="M657" s="13"/>
    </row>
    <row r="658" customFormat="false" ht="15" hidden="false" customHeight="false" outlineLevel="0" collapsed="false">
      <c r="A658" s="13" t="s">
        <v>628</v>
      </c>
      <c r="B658" s="13" t="s">
        <v>627</v>
      </c>
      <c r="C658" s="13" t="s">
        <v>2266</v>
      </c>
      <c r="D658" s="13" t="s">
        <v>61</v>
      </c>
      <c r="E658" s="13" t="s">
        <v>1114</v>
      </c>
      <c r="F658" s="13" t="s">
        <v>1115</v>
      </c>
      <c r="G658" s="61" t="n">
        <v>141670889796</v>
      </c>
      <c r="H658" s="13" t="s">
        <v>2255</v>
      </c>
      <c r="I658" s="13"/>
      <c r="J658" s="13"/>
      <c r="K658" s="13" t="s">
        <v>658</v>
      </c>
      <c r="L658" s="13" t="s">
        <v>2265</v>
      </c>
      <c r="M658" s="13"/>
    </row>
    <row r="659" customFormat="false" ht="15" hidden="false" customHeight="false" outlineLevel="0" collapsed="false">
      <c r="A659" s="13" t="s">
        <v>628</v>
      </c>
      <c r="B659" s="13" t="s">
        <v>627</v>
      </c>
      <c r="C659" s="13" t="s">
        <v>2267</v>
      </c>
      <c r="D659" s="13" t="s">
        <v>61</v>
      </c>
      <c r="E659" s="13" t="s">
        <v>1114</v>
      </c>
      <c r="F659" s="13" t="s">
        <v>1115</v>
      </c>
      <c r="G659" s="61" t="n">
        <v>178622359690</v>
      </c>
      <c r="H659" s="13" t="s">
        <v>2255</v>
      </c>
      <c r="I659" s="13"/>
      <c r="J659" s="13"/>
      <c r="K659" s="13" t="s">
        <v>659</v>
      </c>
      <c r="L659" s="13" t="s">
        <v>2265</v>
      </c>
      <c r="M659" s="13"/>
    </row>
    <row r="660" customFormat="false" ht="15" hidden="false" customHeight="false" outlineLevel="0" collapsed="false">
      <c r="A660" s="13" t="s">
        <v>628</v>
      </c>
      <c r="B660" s="13" t="s">
        <v>627</v>
      </c>
      <c r="C660" s="13" t="s">
        <v>2254</v>
      </c>
      <c r="D660" s="13" t="s">
        <v>61</v>
      </c>
      <c r="E660" s="13" t="s">
        <v>1117</v>
      </c>
      <c r="F660" s="13" t="s">
        <v>1118</v>
      </c>
      <c r="G660" s="61" t="n">
        <v>-27831917568</v>
      </c>
      <c r="H660" s="13" t="s">
        <v>2255</v>
      </c>
      <c r="I660" s="13"/>
      <c r="J660" s="13"/>
      <c r="K660" s="13" t="s">
        <v>2256</v>
      </c>
      <c r="L660" s="13" t="s">
        <v>2257</v>
      </c>
      <c r="M660" s="13"/>
    </row>
    <row r="661" customFormat="false" ht="15" hidden="false" customHeight="false" outlineLevel="0" collapsed="false">
      <c r="A661" s="13" t="s">
        <v>628</v>
      </c>
      <c r="B661" s="13" t="s">
        <v>627</v>
      </c>
      <c r="C661" s="13" t="s">
        <v>2258</v>
      </c>
      <c r="D661" s="13" t="s">
        <v>61</v>
      </c>
      <c r="E661" s="13" t="s">
        <v>1117</v>
      </c>
      <c r="F661" s="13" t="s">
        <v>1118</v>
      </c>
      <c r="G661" s="61" t="n">
        <v>-20092731834</v>
      </c>
      <c r="H661" s="13" t="s">
        <v>2255</v>
      </c>
      <c r="I661" s="13"/>
      <c r="J661" s="13"/>
      <c r="K661" s="13" t="s">
        <v>2259</v>
      </c>
      <c r="L661" s="13" t="s">
        <v>2260</v>
      </c>
      <c r="M661" s="13"/>
    </row>
    <row r="662" customFormat="false" ht="15" hidden="false" customHeight="false" outlineLevel="0" collapsed="false">
      <c r="A662" s="13" t="s">
        <v>628</v>
      </c>
      <c r="B662" s="13" t="s">
        <v>627</v>
      </c>
      <c r="C662" s="13" t="s">
        <v>2261</v>
      </c>
      <c r="D662" s="13" t="s">
        <v>61</v>
      </c>
      <c r="E662" s="13" t="s">
        <v>1117</v>
      </c>
      <c r="F662" s="13" t="s">
        <v>1118</v>
      </c>
      <c r="G662" s="61" t="n">
        <v>-56290969450</v>
      </c>
      <c r="H662" s="13" t="s">
        <v>2255</v>
      </c>
      <c r="I662" s="13"/>
      <c r="J662" s="13"/>
      <c r="K662" s="13" t="s">
        <v>2262</v>
      </c>
      <c r="L662" s="13" t="s">
        <v>2263</v>
      </c>
      <c r="M662" s="13"/>
    </row>
    <row r="663" customFormat="false" ht="15" hidden="false" customHeight="false" outlineLevel="0" collapsed="false">
      <c r="A663" s="13" t="s">
        <v>628</v>
      </c>
      <c r="B663" s="13" t="s">
        <v>627</v>
      </c>
      <c r="C663" s="13" t="s">
        <v>2264</v>
      </c>
      <c r="D663" s="13" t="s">
        <v>61</v>
      </c>
      <c r="E663" s="13" t="s">
        <v>1117</v>
      </c>
      <c r="F663" s="13" t="s">
        <v>1118</v>
      </c>
      <c r="G663" s="61" t="n">
        <v>-976305604183</v>
      </c>
      <c r="H663" s="13" t="s">
        <v>2255</v>
      </c>
      <c r="I663" s="13"/>
      <c r="J663" s="13"/>
      <c r="K663" s="13" t="s">
        <v>657</v>
      </c>
      <c r="L663" s="13" t="s">
        <v>2265</v>
      </c>
      <c r="M663" s="13"/>
    </row>
    <row r="664" customFormat="false" ht="15" hidden="false" customHeight="false" outlineLevel="0" collapsed="false">
      <c r="A664" s="13" t="s">
        <v>628</v>
      </c>
      <c r="B664" s="13" t="s">
        <v>627</v>
      </c>
      <c r="C664" s="13" t="s">
        <v>2266</v>
      </c>
      <c r="D664" s="13" t="s">
        <v>61</v>
      </c>
      <c r="E664" s="13" t="s">
        <v>1117</v>
      </c>
      <c r="F664" s="13" t="s">
        <v>1118</v>
      </c>
      <c r="G664" s="61" t="n">
        <v>-77952817919</v>
      </c>
      <c r="H664" s="13" t="s">
        <v>2255</v>
      </c>
      <c r="I664" s="13"/>
      <c r="J664" s="13"/>
      <c r="K664" s="13" t="s">
        <v>658</v>
      </c>
      <c r="L664" s="13" t="s">
        <v>2265</v>
      </c>
      <c r="M664" s="13"/>
    </row>
    <row r="665" customFormat="false" ht="15" hidden="false" customHeight="false" outlineLevel="0" collapsed="false">
      <c r="A665" s="13" t="s">
        <v>628</v>
      </c>
      <c r="B665" s="13" t="s">
        <v>627</v>
      </c>
      <c r="C665" s="13" t="s">
        <v>2267</v>
      </c>
      <c r="D665" s="13" t="s">
        <v>61</v>
      </c>
      <c r="E665" s="13" t="s">
        <v>1117</v>
      </c>
      <c r="F665" s="13" t="s">
        <v>1118</v>
      </c>
      <c r="G665" s="61" t="n">
        <v>-53878580214</v>
      </c>
      <c r="H665" s="13" t="s">
        <v>2255</v>
      </c>
      <c r="I665" s="13"/>
      <c r="J665" s="13"/>
      <c r="K665" s="13" t="s">
        <v>659</v>
      </c>
      <c r="L665" s="13" t="s">
        <v>2265</v>
      </c>
      <c r="M665" s="13"/>
    </row>
    <row r="666" customFormat="false" ht="15" hidden="false" customHeight="false" outlineLevel="0" collapsed="false">
      <c r="A666" s="13" t="s">
        <v>628</v>
      </c>
      <c r="B666" s="13" t="s">
        <v>627</v>
      </c>
      <c r="C666" s="13" t="s">
        <v>2254</v>
      </c>
      <c r="D666" s="13" t="s">
        <v>61</v>
      </c>
      <c r="E666" s="13" t="s">
        <v>1120</v>
      </c>
      <c r="F666" s="13" t="s">
        <v>1121</v>
      </c>
      <c r="G666" s="61" t="n">
        <v>-10540895446</v>
      </c>
      <c r="H666" s="13" t="s">
        <v>2255</v>
      </c>
      <c r="I666" s="13"/>
      <c r="J666" s="13"/>
      <c r="K666" s="13" t="s">
        <v>2256</v>
      </c>
      <c r="L666" s="13" t="s">
        <v>2257</v>
      </c>
      <c r="M666" s="13"/>
    </row>
    <row r="667" customFormat="false" ht="15" hidden="false" customHeight="false" outlineLevel="0" collapsed="false">
      <c r="A667" s="13" t="s">
        <v>628</v>
      </c>
      <c r="B667" s="13" t="s">
        <v>627</v>
      </c>
      <c r="C667" s="13" t="s">
        <v>2258</v>
      </c>
      <c r="D667" s="13" t="s">
        <v>61</v>
      </c>
      <c r="E667" s="13" t="s">
        <v>1120</v>
      </c>
      <c r="F667" s="13" t="s">
        <v>1121</v>
      </c>
      <c r="G667" s="61" t="n">
        <v>-40854781530</v>
      </c>
      <c r="H667" s="13" t="s">
        <v>2255</v>
      </c>
      <c r="I667" s="13"/>
      <c r="J667" s="13"/>
      <c r="K667" s="13" t="s">
        <v>2259</v>
      </c>
      <c r="L667" s="13" t="s">
        <v>2260</v>
      </c>
      <c r="M667" s="13"/>
    </row>
    <row r="668" customFormat="false" ht="15" hidden="false" customHeight="false" outlineLevel="0" collapsed="false">
      <c r="A668" s="13" t="s">
        <v>628</v>
      </c>
      <c r="B668" s="13" t="s">
        <v>627</v>
      </c>
      <c r="C668" s="13" t="s">
        <v>2261</v>
      </c>
      <c r="D668" s="13" t="s">
        <v>61</v>
      </c>
      <c r="E668" s="13" t="s">
        <v>1120</v>
      </c>
      <c r="F668" s="13" t="s">
        <v>1121</v>
      </c>
      <c r="G668" s="61" t="n">
        <v>-140280006679</v>
      </c>
      <c r="H668" s="13" t="s">
        <v>2255</v>
      </c>
      <c r="I668" s="13"/>
      <c r="J668" s="13"/>
      <c r="K668" s="13" t="s">
        <v>2262</v>
      </c>
      <c r="L668" s="13" t="s">
        <v>2263</v>
      </c>
      <c r="M668" s="13"/>
    </row>
    <row r="669" customFormat="false" ht="15" hidden="false" customHeight="false" outlineLevel="0" collapsed="false">
      <c r="A669" s="13" t="s">
        <v>628</v>
      </c>
      <c r="B669" s="13" t="s">
        <v>627</v>
      </c>
      <c r="C669" s="13" t="s">
        <v>2264</v>
      </c>
      <c r="D669" s="13" t="s">
        <v>61</v>
      </c>
      <c r="E669" s="13" t="s">
        <v>1120</v>
      </c>
      <c r="F669" s="13" t="s">
        <v>1121</v>
      </c>
      <c r="G669" s="61" t="n">
        <v>-22787447582</v>
      </c>
      <c r="H669" s="13" t="s">
        <v>2255</v>
      </c>
      <c r="I669" s="13"/>
      <c r="J669" s="13"/>
      <c r="K669" s="13" t="s">
        <v>657</v>
      </c>
      <c r="L669" s="13" t="s">
        <v>2265</v>
      </c>
      <c r="M669" s="13"/>
    </row>
    <row r="670" customFormat="false" ht="15" hidden="false" customHeight="false" outlineLevel="0" collapsed="false">
      <c r="A670" s="13" t="s">
        <v>628</v>
      </c>
      <c r="B670" s="13" t="s">
        <v>627</v>
      </c>
      <c r="C670" s="13" t="s">
        <v>2266</v>
      </c>
      <c r="D670" s="13" t="s">
        <v>61</v>
      </c>
      <c r="E670" s="13" t="s">
        <v>1120</v>
      </c>
      <c r="F670" s="13" t="s">
        <v>1121</v>
      </c>
      <c r="G670" s="61" t="n">
        <v>-63930605455</v>
      </c>
      <c r="H670" s="13" t="s">
        <v>2255</v>
      </c>
      <c r="I670" s="13"/>
      <c r="J670" s="13"/>
      <c r="K670" s="13" t="s">
        <v>658</v>
      </c>
      <c r="L670" s="13" t="s">
        <v>2265</v>
      </c>
      <c r="M670" s="13"/>
    </row>
    <row r="671" customFormat="false" ht="15" hidden="false" customHeight="false" outlineLevel="0" collapsed="false">
      <c r="A671" s="13" t="s">
        <v>628</v>
      </c>
      <c r="B671" s="13" t="s">
        <v>627</v>
      </c>
      <c r="C671" s="13" t="s">
        <v>2267</v>
      </c>
      <c r="D671" s="13" t="s">
        <v>61</v>
      </c>
      <c r="E671" s="13" t="s">
        <v>1120</v>
      </c>
      <c r="F671" s="13" t="s">
        <v>1121</v>
      </c>
      <c r="G671" s="61" t="n">
        <v>-16403096651</v>
      </c>
      <c r="H671" s="13" t="s">
        <v>2255</v>
      </c>
      <c r="I671" s="13"/>
      <c r="J671" s="13"/>
      <c r="K671" s="13" t="s">
        <v>659</v>
      </c>
      <c r="L671" s="13" t="s">
        <v>2265</v>
      </c>
      <c r="M671" s="13"/>
    </row>
    <row r="672" customFormat="false" ht="15" hidden="false" customHeight="false" outlineLevel="0" collapsed="false">
      <c r="A672" s="13" t="s">
        <v>628</v>
      </c>
      <c r="B672" s="13" t="s">
        <v>627</v>
      </c>
      <c r="C672" s="13" t="s">
        <v>2254</v>
      </c>
      <c r="D672" s="13" t="s">
        <v>61</v>
      </c>
      <c r="E672" s="13" t="s">
        <v>1123</v>
      </c>
      <c r="F672" s="13" t="s">
        <v>1124</v>
      </c>
      <c r="G672" s="61" t="n">
        <v>0</v>
      </c>
      <c r="H672" s="13" t="s">
        <v>2255</v>
      </c>
      <c r="I672" s="13"/>
      <c r="J672" s="13"/>
      <c r="K672" s="13" t="s">
        <v>2256</v>
      </c>
      <c r="L672" s="13" t="s">
        <v>2257</v>
      </c>
      <c r="M672" s="13"/>
    </row>
    <row r="673" customFormat="false" ht="15" hidden="false" customHeight="false" outlineLevel="0" collapsed="false">
      <c r="A673" s="13" t="s">
        <v>628</v>
      </c>
      <c r="B673" s="13" t="s">
        <v>627</v>
      </c>
      <c r="C673" s="13" t="s">
        <v>2258</v>
      </c>
      <c r="D673" s="13" t="s">
        <v>61</v>
      </c>
      <c r="E673" s="13" t="s">
        <v>1123</v>
      </c>
      <c r="F673" s="13" t="s">
        <v>1124</v>
      </c>
      <c r="G673" s="61" t="n">
        <v>3000000</v>
      </c>
      <c r="H673" s="13" t="s">
        <v>2255</v>
      </c>
      <c r="I673" s="13"/>
      <c r="J673" s="13"/>
      <c r="K673" s="13" t="s">
        <v>2259</v>
      </c>
      <c r="L673" s="13" t="s">
        <v>2260</v>
      </c>
      <c r="M673" s="13"/>
    </row>
    <row r="674" customFormat="false" ht="15" hidden="false" customHeight="false" outlineLevel="0" collapsed="false">
      <c r="A674" s="13" t="s">
        <v>628</v>
      </c>
      <c r="B674" s="13" t="s">
        <v>627</v>
      </c>
      <c r="C674" s="13" t="s">
        <v>2261</v>
      </c>
      <c r="D674" s="13" t="s">
        <v>61</v>
      </c>
      <c r="E674" s="13" t="s">
        <v>1123</v>
      </c>
      <c r="F674" s="13" t="s">
        <v>1124</v>
      </c>
      <c r="G674" s="61" t="n">
        <v>5081837290</v>
      </c>
      <c r="H674" s="13" t="s">
        <v>2255</v>
      </c>
      <c r="I674" s="13"/>
      <c r="J674" s="13"/>
      <c r="K674" s="13" t="s">
        <v>2262</v>
      </c>
      <c r="L674" s="13" t="s">
        <v>2263</v>
      </c>
      <c r="M674" s="13"/>
    </row>
    <row r="675" customFormat="false" ht="15" hidden="false" customHeight="false" outlineLevel="0" collapsed="false">
      <c r="A675" s="13" t="s">
        <v>628</v>
      </c>
      <c r="B675" s="13" t="s">
        <v>627</v>
      </c>
      <c r="C675" s="13" t="s">
        <v>2264</v>
      </c>
      <c r="D675" s="13" t="s">
        <v>61</v>
      </c>
      <c r="E675" s="13" t="s">
        <v>1123</v>
      </c>
      <c r="F675" s="13" t="s">
        <v>1124</v>
      </c>
      <c r="G675" s="61" t="n">
        <v>0</v>
      </c>
      <c r="H675" s="13" t="s">
        <v>2255</v>
      </c>
      <c r="I675" s="13"/>
      <c r="J675" s="13"/>
      <c r="K675" s="13" t="s">
        <v>657</v>
      </c>
      <c r="L675" s="13" t="s">
        <v>2265</v>
      </c>
      <c r="M675" s="13"/>
    </row>
    <row r="676" customFormat="false" ht="15" hidden="false" customHeight="false" outlineLevel="0" collapsed="false">
      <c r="A676" s="13" t="s">
        <v>628</v>
      </c>
      <c r="B676" s="13" t="s">
        <v>627</v>
      </c>
      <c r="C676" s="13" t="s">
        <v>2266</v>
      </c>
      <c r="D676" s="13" t="s">
        <v>61</v>
      </c>
      <c r="E676" s="13" t="s">
        <v>1123</v>
      </c>
      <c r="F676" s="13" t="s">
        <v>1124</v>
      </c>
      <c r="G676" s="61" t="n">
        <v>396766602500</v>
      </c>
      <c r="H676" s="13" t="s">
        <v>2255</v>
      </c>
      <c r="I676" s="13"/>
      <c r="J676" s="13"/>
      <c r="K676" s="13" t="s">
        <v>658</v>
      </c>
      <c r="L676" s="13" t="s">
        <v>2265</v>
      </c>
      <c r="M676" s="13"/>
    </row>
    <row r="677" customFormat="false" ht="15" hidden="false" customHeight="false" outlineLevel="0" collapsed="false">
      <c r="A677" s="13" t="s">
        <v>628</v>
      </c>
      <c r="B677" s="13" t="s">
        <v>627</v>
      </c>
      <c r="C677" s="13" t="s">
        <v>2267</v>
      </c>
      <c r="D677" s="13" t="s">
        <v>61</v>
      </c>
      <c r="E677" s="13" t="s">
        <v>1123</v>
      </c>
      <c r="F677" s="13" t="s">
        <v>1124</v>
      </c>
      <c r="G677" s="61" t="n">
        <v>401311109</v>
      </c>
      <c r="H677" s="13" t="s">
        <v>2255</v>
      </c>
      <c r="I677" s="13"/>
      <c r="J677" s="13"/>
      <c r="K677" s="13" t="s">
        <v>659</v>
      </c>
      <c r="L677" s="13" t="s">
        <v>2265</v>
      </c>
      <c r="M677" s="13"/>
    </row>
    <row r="678" customFormat="false" ht="15" hidden="false" customHeight="false" outlineLevel="0" collapsed="false">
      <c r="A678" s="13" t="s">
        <v>628</v>
      </c>
      <c r="B678" s="13" t="s">
        <v>627</v>
      </c>
      <c r="C678" s="13" t="s">
        <v>2254</v>
      </c>
      <c r="D678" s="13" t="s">
        <v>61</v>
      </c>
      <c r="E678" s="13" t="s">
        <v>1126</v>
      </c>
      <c r="F678" s="13" t="s">
        <v>1127</v>
      </c>
      <c r="G678" s="61" t="n">
        <v>149000000000</v>
      </c>
      <c r="H678" s="13" t="s">
        <v>2255</v>
      </c>
      <c r="I678" s="13"/>
      <c r="J678" s="13"/>
      <c r="K678" s="13" t="s">
        <v>2256</v>
      </c>
      <c r="L678" s="13" t="s">
        <v>2257</v>
      </c>
      <c r="M678" s="13"/>
    </row>
    <row r="679" customFormat="false" ht="15" hidden="false" customHeight="false" outlineLevel="0" collapsed="false">
      <c r="A679" s="13" t="s">
        <v>628</v>
      </c>
      <c r="B679" s="13" t="s">
        <v>627</v>
      </c>
      <c r="C679" s="13" t="s">
        <v>2258</v>
      </c>
      <c r="D679" s="13" t="s">
        <v>61</v>
      </c>
      <c r="E679" s="13" t="s">
        <v>1126</v>
      </c>
      <c r="F679" s="13" t="s">
        <v>1127</v>
      </c>
      <c r="G679" s="61" t="n">
        <v>226088872130</v>
      </c>
      <c r="H679" s="13" t="s">
        <v>2255</v>
      </c>
      <c r="I679" s="13"/>
      <c r="J679" s="13"/>
      <c r="K679" s="13" t="s">
        <v>2259</v>
      </c>
      <c r="L679" s="13" t="s">
        <v>2260</v>
      </c>
      <c r="M679" s="13"/>
    </row>
    <row r="680" customFormat="false" ht="15" hidden="false" customHeight="false" outlineLevel="0" collapsed="false">
      <c r="A680" s="13" t="s">
        <v>628</v>
      </c>
      <c r="B680" s="13" t="s">
        <v>627</v>
      </c>
      <c r="C680" s="13" t="s">
        <v>2254</v>
      </c>
      <c r="D680" s="13" t="s">
        <v>61</v>
      </c>
      <c r="E680" s="13" t="s">
        <v>1129</v>
      </c>
      <c r="F680" s="13" t="s">
        <v>1130</v>
      </c>
      <c r="G680" s="61" t="n">
        <v>383545565804</v>
      </c>
      <c r="H680" s="13" t="s">
        <v>2255</v>
      </c>
      <c r="I680" s="13"/>
      <c r="J680" s="13"/>
      <c r="K680" s="13" t="s">
        <v>2256</v>
      </c>
      <c r="L680" s="13" t="s">
        <v>2257</v>
      </c>
      <c r="M680" s="13" t="s">
        <v>2268</v>
      </c>
    </row>
    <row r="681" customFormat="false" ht="15" hidden="false" customHeight="false" outlineLevel="0" collapsed="false">
      <c r="A681" s="13" t="s">
        <v>628</v>
      </c>
      <c r="B681" s="13" t="s">
        <v>627</v>
      </c>
      <c r="C681" s="13" t="s">
        <v>2258</v>
      </c>
      <c r="D681" s="13" t="s">
        <v>61</v>
      </c>
      <c r="E681" s="13" t="s">
        <v>1129</v>
      </c>
      <c r="F681" s="13" t="s">
        <v>1130</v>
      </c>
      <c r="G681" s="61" t="n">
        <v>158468151885</v>
      </c>
      <c r="H681" s="13" t="s">
        <v>2255</v>
      </c>
      <c r="I681" s="13"/>
      <c r="J681" s="13"/>
      <c r="K681" s="13" t="s">
        <v>2259</v>
      </c>
      <c r="L681" s="13" t="s">
        <v>2260</v>
      </c>
      <c r="M681" s="13" t="s">
        <v>2268</v>
      </c>
    </row>
    <row r="682" customFormat="false" ht="15" hidden="false" customHeight="false" outlineLevel="0" collapsed="false">
      <c r="A682" s="13" t="s">
        <v>628</v>
      </c>
      <c r="B682" s="13" t="s">
        <v>627</v>
      </c>
      <c r="C682" s="13" t="s">
        <v>2261</v>
      </c>
      <c r="D682" s="13" t="s">
        <v>61</v>
      </c>
      <c r="E682" s="13" t="s">
        <v>1129</v>
      </c>
      <c r="F682" s="13" t="s">
        <v>1130</v>
      </c>
      <c r="G682" s="61" t="n">
        <v>106466159406</v>
      </c>
      <c r="H682" s="13" t="s">
        <v>2255</v>
      </c>
      <c r="I682" s="13"/>
      <c r="J682" s="13"/>
      <c r="K682" s="13" t="s">
        <v>2262</v>
      </c>
      <c r="L682" s="13" t="s">
        <v>2263</v>
      </c>
      <c r="M682" s="13" t="s">
        <v>2268</v>
      </c>
    </row>
    <row r="683" customFormat="false" ht="15" hidden="false" customHeight="false" outlineLevel="0" collapsed="false">
      <c r="A683" s="13" t="s">
        <v>628</v>
      </c>
      <c r="B683" s="13" t="s">
        <v>627</v>
      </c>
      <c r="C683" s="13" t="s">
        <v>2264</v>
      </c>
      <c r="D683" s="13" t="s">
        <v>61</v>
      </c>
      <c r="E683" s="13" t="s">
        <v>1129</v>
      </c>
      <c r="F683" s="13" t="s">
        <v>1130</v>
      </c>
      <c r="G683" s="61" t="n">
        <v>153563150624</v>
      </c>
      <c r="H683" s="13" t="s">
        <v>2255</v>
      </c>
      <c r="I683" s="13"/>
      <c r="J683" s="13"/>
      <c r="K683" s="13" t="s">
        <v>657</v>
      </c>
      <c r="L683" s="13" t="s">
        <v>2265</v>
      </c>
      <c r="M683" s="13" t="s">
        <v>2268</v>
      </c>
    </row>
    <row r="684" customFormat="false" ht="15" hidden="false" customHeight="false" outlineLevel="0" collapsed="false">
      <c r="A684" s="13" t="s">
        <v>628</v>
      </c>
      <c r="B684" s="13" t="s">
        <v>627</v>
      </c>
      <c r="C684" s="13" t="s">
        <v>2266</v>
      </c>
      <c r="D684" s="13" t="s">
        <v>61</v>
      </c>
      <c r="E684" s="13" t="s">
        <v>1129</v>
      </c>
      <c r="F684" s="13" t="s">
        <v>1130</v>
      </c>
      <c r="G684" s="61" t="n">
        <v>372585952682</v>
      </c>
      <c r="H684" s="13" t="s">
        <v>2255</v>
      </c>
      <c r="I684" s="13"/>
      <c r="J684" s="13"/>
      <c r="K684" s="13" t="s">
        <v>658</v>
      </c>
      <c r="L684" s="13" t="s">
        <v>2265</v>
      </c>
      <c r="M684" s="13" t="s">
        <v>2268</v>
      </c>
    </row>
    <row r="685" customFormat="false" ht="15" hidden="false" customHeight="false" outlineLevel="0" collapsed="false">
      <c r="A685" s="13" t="s">
        <v>628</v>
      </c>
      <c r="B685" s="13" t="s">
        <v>627</v>
      </c>
      <c r="C685" s="13" t="s">
        <v>2267</v>
      </c>
      <c r="D685" s="13" t="s">
        <v>61</v>
      </c>
      <c r="E685" s="13" t="s">
        <v>1129</v>
      </c>
      <c r="F685" s="13" t="s">
        <v>1130</v>
      </c>
      <c r="G685" s="61" t="n">
        <v>10042921475</v>
      </c>
      <c r="H685" s="13" t="s">
        <v>2255</v>
      </c>
      <c r="I685" s="13"/>
      <c r="J685" s="13"/>
      <c r="K685" s="13" t="s">
        <v>659</v>
      </c>
      <c r="L685" s="13" t="s">
        <v>2265</v>
      </c>
      <c r="M685" s="13" t="s">
        <v>2268</v>
      </c>
    </row>
    <row r="686" customFormat="false" ht="15" hidden="false" customHeight="false" outlineLevel="0" collapsed="false">
      <c r="A686" s="13" t="s">
        <v>628</v>
      </c>
      <c r="B686" s="13" t="s">
        <v>627</v>
      </c>
      <c r="C686" s="13" t="s">
        <v>2254</v>
      </c>
      <c r="D686" s="13" t="s">
        <v>61</v>
      </c>
      <c r="E686" s="13" t="s">
        <v>1131</v>
      </c>
      <c r="F686" s="13" t="s">
        <v>497</v>
      </c>
      <c r="G686" s="61" t="n">
        <v>524731968775</v>
      </c>
      <c r="H686" s="13" t="s">
        <v>2255</v>
      </c>
      <c r="I686" s="13"/>
      <c r="J686" s="13"/>
      <c r="K686" s="13" t="s">
        <v>2256</v>
      </c>
      <c r="L686" s="13" t="s">
        <v>2257</v>
      </c>
      <c r="M686" s="13" t="s">
        <v>2268</v>
      </c>
    </row>
    <row r="687" customFormat="false" ht="15" hidden="false" customHeight="false" outlineLevel="0" collapsed="false">
      <c r="A687" s="13" t="s">
        <v>628</v>
      </c>
      <c r="B687" s="13" t="s">
        <v>627</v>
      </c>
      <c r="C687" s="13" t="s">
        <v>2258</v>
      </c>
      <c r="D687" s="13" t="s">
        <v>61</v>
      </c>
      <c r="E687" s="13" t="s">
        <v>1131</v>
      </c>
      <c r="F687" s="13" t="s">
        <v>497</v>
      </c>
      <c r="G687" s="61" t="n">
        <v>188236181884</v>
      </c>
      <c r="H687" s="13" t="s">
        <v>2255</v>
      </c>
      <c r="I687" s="13"/>
      <c r="J687" s="13"/>
      <c r="K687" s="13" t="s">
        <v>2259</v>
      </c>
      <c r="L687" s="13" t="s">
        <v>2260</v>
      </c>
      <c r="M687" s="13" t="s">
        <v>2268</v>
      </c>
    </row>
    <row r="688" customFormat="false" ht="15" hidden="false" customHeight="false" outlineLevel="0" collapsed="false">
      <c r="A688" s="13" t="s">
        <v>628</v>
      </c>
      <c r="B688" s="13" t="s">
        <v>627</v>
      </c>
      <c r="C688" s="13" t="s">
        <v>2261</v>
      </c>
      <c r="D688" s="13" t="s">
        <v>61</v>
      </c>
      <c r="E688" s="13" t="s">
        <v>1131</v>
      </c>
      <c r="F688" s="13" t="s">
        <v>497</v>
      </c>
      <c r="G688" s="61" t="n">
        <v>-200483337583</v>
      </c>
      <c r="H688" s="13" t="s">
        <v>2255</v>
      </c>
      <c r="I688" s="13"/>
      <c r="J688" s="13"/>
      <c r="K688" s="13" t="s">
        <v>2262</v>
      </c>
      <c r="L688" s="13" t="s">
        <v>2263</v>
      </c>
      <c r="M688" s="13" t="s">
        <v>2268</v>
      </c>
    </row>
    <row r="689" customFormat="false" ht="15" hidden="false" customHeight="false" outlineLevel="0" collapsed="false">
      <c r="A689" s="13" t="s">
        <v>628</v>
      </c>
      <c r="B689" s="13" t="s">
        <v>627</v>
      </c>
      <c r="C689" s="13" t="s">
        <v>2264</v>
      </c>
      <c r="D689" s="13" t="s">
        <v>61</v>
      </c>
      <c r="E689" s="13" t="s">
        <v>1131</v>
      </c>
      <c r="F689" s="13" t="s">
        <v>497</v>
      </c>
      <c r="G689" s="61" t="n">
        <v>-7219661467</v>
      </c>
      <c r="H689" s="13" t="s">
        <v>2255</v>
      </c>
      <c r="I689" s="13"/>
      <c r="J689" s="13"/>
      <c r="K689" s="13" t="s">
        <v>657</v>
      </c>
      <c r="L689" s="13" t="s">
        <v>2265</v>
      </c>
      <c r="M689" s="13" t="s">
        <v>2268</v>
      </c>
    </row>
    <row r="690" customFormat="false" ht="15" hidden="false" customHeight="false" outlineLevel="0" collapsed="false">
      <c r="A690" s="13" t="s">
        <v>628</v>
      </c>
      <c r="B690" s="13" t="s">
        <v>627</v>
      </c>
      <c r="C690" s="13" t="s">
        <v>2266</v>
      </c>
      <c r="D690" s="13" t="s">
        <v>61</v>
      </c>
      <c r="E690" s="13" t="s">
        <v>1131</v>
      </c>
      <c r="F690" s="13" t="s">
        <v>497</v>
      </c>
      <c r="G690" s="61" t="n">
        <v>161274046649</v>
      </c>
      <c r="H690" s="13" t="s">
        <v>2255</v>
      </c>
      <c r="I690" s="13"/>
      <c r="J690" s="13"/>
      <c r="K690" s="13" t="s">
        <v>658</v>
      </c>
      <c r="L690" s="13" t="s">
        <v>2265</v>
      </c>
      <c r="M690" s="13" t="s">
        <v>2268</v>
      </c>
    </row>
    <row r="691" customFormat="false" ht="15" hidden="false" customHeight="false" outlineLevel="0" collapsed="false">
      <c r="A691" s="13" t="s">
        <v>628</v>
      </c>
      <c r="B691" s="13" t="s">
        <v>627</v>
      </c>
      <c r="C691" s="13" t="s">
        <v>2267</v>
      </c>
      <c r="D691" s="13" t="s">
        <v>61</v>
      </c>
      <c r="E691" s="13" t="s">
        <v>1131</v>
      </c>
      <c r="F691" s="13" t="s">
        <v>497</v>
      </c>
      <c r="G691" s="61" t="n">
        <v>43252685834</v>
      </c>
      <c r="H691" s="13" t="s">
        <v>2255</v>
      </c>
      <c r="I691" s="13"/>
      <c r="J691" s="13"/>
      <c r="K691" s="13" t="s">
        <v>659</v>
      </c>
      <c r="L691" s="13" t="s">
        <v>2265</v>
      </c>
      <c r="M691" s="13" t="s">
        <v>2268</v>
      </c>
    </row>
    <row r="692" customFormat="false" ht="15" hidden="false" customHeight="false" outlineLevel="0" collapsed="false">
      <c r="A692" s="13" t="s">
        <v>628</v>
      </c>
      <c r="B692" s="13" t="s">
        <v>627</v>
      </c>
      <c r="C692" s="13" t="s">
        <v>2254</v>
      </c>
      <c r="D692" s="13" t="s">
        <v>61</v>
      </c>
      <c r="E692" s="13" t="s">
        <v>1135</v>
      </c>
      <c r="F692" s="13" t="s">
        <v>499</v>
      </c>
      <c r="G692" s="61" t="n">
        <v>100254587466</v>
      </c>
      <c r="H692" s="13" t="s">
        <v>2255</v>
      </c>
      <c r="I692" s="13"/>
      <c r="J692" s="13"/>
      <c r="K692" s="13" t="s">
        <v>2256</v>
      </c>
      <c r="L692" s="13" t="s">
        <v>2257</v>
      </c>
      <c r="M692" s="13"/>
    </row>
    <row r="693" customFormat="false" ht="15" hidden="false" customHeight="false" outlineLevel="0" collapsed="false">
      <c r="A693" s="13" t="s">
        <v>628</v>
      </c>
      <c r="B693" s="13" t="s">
        <v>627</v>
      </c>
      <c r="C693" s="13" t="s">
        <v>2258</v>
      </c>
      <c r="D693" s="13" t="s">
        <v>61</v>
      </c>
      <c r="E693" s="13" t="s">
        <v>1135</v>
      </c>
      <c r="F693" s="13" t="s">
        <v>499</v>
      </c>
      <c r="G693" s="61" t="n">
        <v>641524826591</v>
      </c>
      <c r="H693" s="13" t="s">
        <v>2255</v>
      </c>
      <c r="I693" s="13"/>
      <c r="J693" s="13"/>
      <c r="K693" s="13" t="s">
        <v>2259</v>
      </c>
      <c r="L693" s="13" t="s">
        <v>2260</v>
      </c>
      <c r="M693" s="13"/>
    </row>
    <row r="694" customFormat="false" ht="15" hidden="false" customHeight="false" outlineLevel="0" collapsed="false">
      <c r="A694" s="13" t="s">
        <v>628</v>
      </c>
      <c r="B694" s="13" t="s">
        <v>627</v>
      </c>
      <c r="C694" s="13" t="s">
        <v>2261</v>
      </c>
      <c r="D694" s="13" t="s">
        <v>61</v>
      </c>
      <c r="E694" s="13" t="s">
        <v>1135</v>
      </c>
      <c r="F694" s="13" t="s">
        <v>499</v>
      </c>
      <c r="G694" s="61" t="n">
        <v>829761008475</v>
      </c>
      <c r="H694" s="13" t="s">
        <v>2255</v>
      </c>
      <c r="I694" s="13"/>
      <c r="J694" s="13"/>
      <c r="K694" s="13" t="s">
        <v>2262</v>
      </c>
      <c r="L694" s="13" t="s">
        <v>2263</v>
      </c>
      <c r="M694" s="13"/>
    </row>
    <row r="695" customFormat="false" ht="15" hidden="false" customHeight="false" outlineLevel="0" collapsed="false">
      <c r="A695" s="13" t="s">
        <v>628</v>
      </c>
      <c r="B695" s="13" t="s">
        <v>627</v>
      </c>
      <c r="C695" s="13" t="s">
        <v>2264</v>
      </c>
      <c r="D695" s="13" t="s">
        <v>61</v>
      </c>
      <c r="E695" s="13" t="s">
        <v>1135</v>
      </c>
      <c r="F695" s="13" t="s">
        <v>499</v>
      </c>
      <c r="G695" s="61" t="n">
        <v>629277670892</v>
      </c>
      <c r="H695" s="13" t="s">
        <v>2255</v>
      </c>
      <c r="I695" s="13"/>
      <c r="J695" s="13"/>
      <c r="K695" s="13" t="s">
        <v>657</v>
      </c>
      <c r="L695" s="13" t="s">
        <v>2265</v>
      </c>
      <c r="M695" s="13"/>
    </row>
    <row r="696" customFormat="false" ht="15" hidden="false" customHeight="false" outlineLevel="0" collapsed="false">
      <c r="A696" s="13" t="s">
        <v>628</v>
      </c>
      <c r="B696" s="13" t="s">
        <v>627</v>
      </c>
      <c r="C696" s="13" t="s">
        <v>2266</v>
      </c>
      <c r="D696" s="13" t="s">
        <v>61</v>
      </c>
      <c r="E696" s="13" t="s">
        <v>1135</v>
      </c>
      <c r="F696" s="13" t="s">
        <v>499</v>
      </c>
      <c r="G696" s="61" t="n">
        <v>622058009425</v>
      </c>
      <c r="H696" s="13" t="s">
        <v>2255</v>
      </c>
      <c r="I696" s="13"/>
      <c r="J696" s="13"/>
      <c r="K696" s="13" t="s">
        <v>658</v>
      </c>
      <c r="L696" s="13" t="s">
        <v>2265</v>
      </c>
      <c r="M696" s="13"/>
    </row>
    <row r="697" customFormat="false" ht="15" hidden="false" customHeight="false" outlineLevel="0" collapsed="false">
      <c r="A697" s="13" t="s">
        <v>628</v>
      </c>
      <c r="B697" s="13" t="s">
        <v>627</v>
      </c>
      <c r="C697" s="13" t="s">
        <v>2267</v>
      </c>
      <c r="D697" s="13" t="s">
        <v>61</v>
      </c>
      <c r="E697" s="13" t="s">
        <v>1135</v>
      </c>
      <c r="F697" s="13" t="s">
        <v>499</v>
      </c>
      <c r="G697" s="61" t="n">
        <v>783332056074</v>
      </c>
      <c r="H697" s="13" t="s">
        <v>2255</v>
      </c>
      <c r="I697" s="13"/>
      <c r="J697" s="13"/>
      <c r="K697" s="13" t="s">
        <v>659</v>
      </c>
      <c r="L697" s="13" t="s">
        <v>2265</v>
      </c>
      <c r="M697" s="13"/>
    </row>
    <row r="698" customFormat="false" ht="15" hidden="false" customHeight="false" outlineLevel="0" collapsed="false">
      <c r="A698" s="13" t="s">
        <v>628</v>
      </c>
      <c r="B698" s="13" t="s">
        <v>627</v>
      </c>
      <c r="C698" s="13" t="s">
        <v>2254</v>
      </c>
      <c r="D698" s="13" t="s">
        <v>61</v>
      </c>
      <c r="E698" s="13" t="s">
        <v>1137</v>
      </c>
      <c r="F698" s="13" t="s">
        <v>501</v>
      </c>
      <c r="G698" s="61" t="n">
        <v>624986556241</v>
      </c>
      <c r="H698" s="13" t="s">
        <v>2255</v>
      </c>
      <c r="I698" s="13"/>
      <c r="J698" s="13"/>
      <c r="K698" s="13" t="s">
        <v>2256</v>
      </c>
      <c r="L698" s="13" t="s">
        <v>2257</v>
      </c>
      <c r="M698" s="13" t="s">
        <v>2268</v>
      </c>
    </row>
    <row r="699" customFormat="false" ht="15" hidden="false" customHeight="false" outlineLevel="0" collapsed="false">
      <c r="A699" s="13" t="s">
        <v>628</v>
      </c>
      <c r="B699" s="13" t="s">
        <v>627</v>
      </c>
      <c r="C699" s="13" t="s">
        <v>2258</v>
      </c>
      <c r="D699" s="13" t="s">
        <v>61</v>
      </c>
      <c r="E699" s="13" t="s">
        <v>1137</v>
      </c>
      <c r="F699" s="13" t="s">
        <v>501</v>
      </c>
      <c r="G699" s="61" t="n">
        <v>829761008475</v>
      </c>
      <c r="H699" s="13" t="s">
        <v>2255</v>
      </c>
      <c r="I699" s="13"/>
      <c r="J699" s="13"/>
      <c r="K699" s="13" t="s">
        <v>2259</v>
      </c>
      <c r="L699" s="13" t="s">
        <v>2260</v>
      </c>
      <c r="M699" s="13" t="s">
        <v>2268</v>
      </c>
    </row>
    <row r="700" customFormat="false" ht="15" hidden="false" customHeight="false" outlineLevel="0" collapsed="false">
      <c r="A700" s="13" t="s">
        <v>628</v>
      </c>
      <c r="B700" s="13" t="s">
        <v>627</v>
      </c>
      <c r="C700" s="13" t="s">
        <v>2261</v>
      </c>
      <c r="D700" s="13" t="s">
        <v>61</v>
      </c>
      <c r="E700" s="13" t="s">
        <v>1137</v>
      </c>
      <c r="F700" s="13" t="s">
        <v>501</v>
      </c>
      <c r="G700" s="61" t="n">
        <v>629277670892</v>
      </c>
      <c r="H700" s="13" t="s">
        <v>2255</v>
      </c>
      <c r="I700" s="13"/>
      <c r="J700" s="13"/>
      <c r="K700" s="13" t="s">
        <v>2262</v>
      </c>
      <c r="L700" s="13" t="s">
        <v>2263</v>
      </c>
      <c r="M700" s="13" t="s">
        <v>2268</v>
      </c>
    </row>
    <row r="701" customFormat="false" ht="15" hidden="false" customHeight="false" outlineLevel="0" collapsed="false">
      <c r="A701" s="13" t="s">
        <v>628</v>
      </c>
      <c r="B701" s="13" t="s">
        <v>627</v>
      </c>
      <c r="C701" s="13" t="s">
        <v>2264</v>
      </c>
      <c r="D701" s="13" t="s">
        <v>61</v>
      </c>
      <c r="E701" s="13" t="s">
        <v>1137</v>
      </c>
      <c r="F701" s="13" t="s">
        <v>501</v>
      </c>
      <c r="G701" s="61" t="n">
        <v>622058009425</v>
      </c>
      <c r="H701" s="13" t="s">
        <v>2255</v>
      </c>
      <c r="I701" s="13"/>
      <c r="J701" s="13"/>
      <c r="K701" s="13" t="s">
        <v>657</v>
      </c>
      <c r="L701" s="13" t="s">
        <v>2265</v>
      </c>
      <c r="M701" s="13" t="s">
        <v>2268</v>
      </c>
    </row>
    <row r="702" customFormat="false" ht="15" hidden="false" customHeight="false" outlineLevel="0" collapsed="false">
      <c r="A702" s="13" t="s">
        <v>628</v>
      </c>
      <c r="B702" s="13" t="s">
        <v>627</v>
      </c>
      <c r="C702" s="13" t="s">
        <v>2266</v>
      </c>
      <c r="D702" s="13" t="s">
        <v>61</v>
      </c>
      <c r="E702" s="13" t="s">
        <v>1137</v>
      </c>
      <c r="F702" s="13" t="s">
        <v>501</v>
      </c>
      <c r="G702" s="61" t="n">
        <v>783332056074</v>
      </c>
      <c r="H702" s="13" t="s">
        <v>2255</v>
      </c>
      <c r="I702" s="13"/>
      <c r="J702" s="13"/>
      <c r="K702" s="13" t="s">
        <v>658</v>
      </c>
      <c r="L702" s="13" t="s">
        <v>2265</v>
      </c>
      <c r="M702" s="13" t="s">
        <v>2268</v>
      </c>
    </row>
    <row r="703" customFormat="false" ht="15" hidden="false" customHeight="false" outlineLevel="0" collapsed="false">
      <c r="A703" s="13" t="s">
        <v>628</v>
      </c>
      <c r="B703" s="13" t="s">
        <v>627</v>
      </c>
      <c r="C703" s="13" t="s">
        <v>2267</v>
      </c>
      <c r="D703" s="13" t="s">
        <v>61</v>
      </c>
      <c r="E703" s="13" t="s">
        <v>1137</v>
      </c>
      <c r="F703" s="13" t="s">
        <v>501</v>
      </c>
      <c r="G703" s="61" t="n">
        <v>826584741908</v>
      </c>
      <c r="H703" s="13" t="s">
        <v>2255</v>
      </c>
      <c r="I703" s="13"/>
      <c r="J703" s="13"/>
      <c r="K703" s="13" t="s">
        <v>659</v>
      </c>
      <c r="L703" s="13" t="s">
        <v>2265</v>
      </c>
      <c r="M703" s="13" t="s">
        <v>2268</v>
      </c>
    </row>
    <row r="704" customFormat="false" ht="15" hidden="false" customHeight="false" outlineLevel="0" collapsed="false">
      <c r="A704" s="13" t="s">
        <v>628</v>
      </c>
      <c r="B704" s="13" t="s">
        <v>627</v>
      </c>
      <c r="C704" s="13" t="s">
        <v>2266</v>
      </c>
      <c r="D704" s="13" t="s">
        <v>61</v>
      </c>
      <c r="E704" s="13" t="s">
        <v>1139</v>
      </c>
      <c r="F704" s="13" t="s">
        <v>1140</v>
      </c>
      <c r="G704" s="61" t="n">
        <v>0</v>
      </c>
      <c r="H704" s="13" t="s">
        <v>2255</v>
      </c>
      <c r="I704" s="13"/>
      <c r="J704" s="13"/>
      <c r="K704" s="13" t="s">
        <v>658</v>
      </c>
      <c r="L704" s="13" t="s">
        <v>2265</v>
      </c>
      <c r="M704" s="13"/>
    </row>
    <row r="705" customFormat="false" ht="15" hidden="false" customHeight="false" outlineLevel="0" collapsed="false">
      <c r="A705" s="13" t="s">
        <v>628</v>
      </c>
      <c r="B705" s="13" t="s">
        <v>627</v>
      </c>
      <c r="C705" s="13" t="s">
        <v>2267</v>
      </c>
      <c r="D705" s="13" t="s">
        <v>61</v>
      </c>
      <c r="E705" s="13" t="s">
        <v>1139</v>
      </c>
      <c r="F705" s="13" t="s">
        <v>1140</v>
      </c>
      <c r="G705" s="61" t="n">
        <v>58236656377</v>
      </c>
      <c r="H705" s="13" t="s">
        <v>2255</v>
      </c>
      <c r="I705" s="13"/>
      <c r="J705" s="13"/>
      <c r="K705" s="13" t="s">
        <v>659</v>
      </c>
      <c r="L705" s="13" t="s">
        <v>2265</v>
      </c>
      <c r="M705" s="13"/>
    </row>
    <row r="706" customFormat="false" ht="15" hidden="false" customHeight="false" outlineLevel="0" collapsed="false">
      <c r="A706" s="13" t="s">
        <v>628</v>
      </c>
      <c r="B706" s="13" t="s">
        <v>627</v>
      </c>
      <c r="C706" s="13" t="s">
        <v>2266</v>
      </c>
      <c r="D706" s="13" t="s">
        <v>61</v>
      </c>
      <c r="E706" s="13" t="s">
        <v>1142</v>
      </c>
      <c r="F706" s="13" t="s">
        <v>1143</v>
      </c>
      <c r="G706" s="61" t="n">
        <v>1063430450</v>
      </c>
      <c r="H706" s="13" t="s">
        <v>2255</v>
      </c>
      <c r="I706" s="13"/>
      <c r="J706" s="13"/>
      <c r="K706" s="13" t="s">
        <v>658</v>
      </c>
      <c r="L706" s="13" t="s">
        <v>2265</v>
      </c>
      <c r="M706" s="13"/>
    </row>
    <row r="707" customFormat="false" ht="15" hidden="false" customHeight="false" outlineLevel="0" collapsed="false">
      <c r="A707" s="13" t="s">
        <v>628</v>
      </c>
      <c r="B707" s="13" t="s">
        <v>627</v>
      </c>
      <c r="C707" s="13" t="s">
        <v>2267</v>
      </c>
      <c r="D707" s="13" t="s">
        <v>61</v>
      </c>
      <c r="E707" s="13" t="s">
        <v>1142</v>
      </c>
      <c r="F707" s="13" t="s">
        <v>1143</v>
      </c>
      <c r="G707" s="61" t="n">
        <v>0</v>
      </c>
      <c r="H707" s="13" t="s">
        <v>2255</v>
      </c>
      <c r="I707" s="13"/>
      <c r="J707" s="13"/>
      <c r="K707" s="13" t="s">
        <v>659</v>
      </c>
      <c r="L707" s="13" t="s">
        <v>2265</v>
      </c>
      <c r="M707" s="13"/>
    </row>
    <row r="708" customFormat="false" ht="15" hidden="false" customHeight="false" outlineLevel="0" collapsed="false">
      <c r="A708" s="13" t="s">
        <v>628</v>
      </c>
      <c r="B708" s="13" t="s">
        <v>627</v>
      </c>
      <c r="C708" s="13" t="s">
        <v>2266</v>
      </c>
      <c r="D708" s="13" t="s">
        <v>61</v>
      </c>
      <c r="E708" s="13" t="s">
        <v>1145</v>
      </c>
      <c r="F708" s="13" t="s">
        <v>1146</v>
      </c>
      <c r="G708" s="61" t="n">
        <v>3412325003</v>
      </c>
      <c r="H708" s="13" t="s">
        <v>2255</v>
      </c>
      <c r="I708" s="13"/>
      <c r="J708" s="13"/>
      <c r="K708" s="13" t="s">
        <v>658</v>
      </c>
      <c r="L708" s="13" t="s">
        <v>2265</v>
      </c>
      <c r="M708" s="13"/>
    </row>
    <row r="709" customFormat="false" ht="15" hidden="false" customHeight="false" outlineLevel="0" collapsed="false">
      <c r="A709" s="13" t="s">
        <v>628</v>
      </c>
      <c r="B709" s="13" t="s">
        <v>627</v>
      </c>
      <c r="C709" s="13" t="s">
        <v>2267</v>
      </c>
      <c r="D709" s="13" t="s">
        <v>61</v>
      </c>
      <c r="E709" s="13" t="s">
        <v>1145</v>
      </c>
      <c r="F709" s="13" t="s">
        <v>1146</v>
      </c>
      <c r="G709" s="61" t="n">
        <v>0</v>
      </c>
      <c r="H709" s="13" t="s">
        <v>2255</v>
      </c>
      <c r="I709" s="13"/>
      <c r="J709" s="13"/>
      <c r="K709" s="13" t="s">
        <v>659</v>
      </c>
      <c r="L709" s="13" t="s">
        <v>2265</v>
      </c>
      <c r="M709" s="13"/>
    </row>
    <row r="710" customFormat="false" ht="15" hidden="false" customHeight="false" outlineLevel="0" collapsed="false">
      <c r="A710" s="13" t="s">
        <v>628</v>
      </c>
      <c r="B710" s="13" t="s">
        <v>627</v>
      </c>
      <c r="C710" s="13" t="s">
        <v>2266</v>
      </c>
      <c r="D710" s="13" t="s">
        <v>61</v>
      </c>
      <c r="E710" s="13" t="s">
        <v>1148</v>
      </c>
      <c r="F710" s="13" t="s">
        <v>1149</v>
      </c>
      <c r="G710" s="61" t="n">
        <v>4475755453</v>
      </c>
      <c r="H710" s="13" t="s">
        <v>2255</v>
      </c>
      <c r="I710" s="13"/>
      <c r="J710" s="13"/>
      <c r="K710" s="13" t="s">
        <v>658</v>
      </c>
      <c r="L710" s="13" t="s">
        <v>2265</v>
      </c>
      <c r="M710" s="13"/>
    </row>
    <row r="711" customFormat="false" ht="15" hidden="false" customHeight="false" outlineLevel="0" collapsed="false">
      <c r="A711" s="13" t="s">
        <v>628</v>
      </c>
      <c r="B711" s="13" t="s">
        <v>627</v>
      </c>
      <c r="C711" s="13" t="s">
        <v>2267</v>
      </c>
      <c r="D711" s="13" t="s">
        <v>61</v>
      </c>
      <c r="E711" s="13" t="s">
        <v>1148</v>
      </c>
      <c r="F711" s="13" t="s">
        <v>1149</v>
      </c>
      <c r="G711" s="61" t="n">
        <v>58236656377</v>
      </c>
      <c r="H711" s="13" t="s">
        <v>2255</v>
      </c>
      <c r="I711" s="13"/>
      <c r="J711" s="13"/>
      <c r="K711" s="13" t="s">
        <v>659</v>
      </c>
      <c r="L711" s="13" t="s">
        <v>2265</v>
      </c>
      <c r="M711" s="13"/>
    </row>
    <row r="712" customFormat="false" ht="15" hidden="false" customHeight="false" outlineLevel="0" collapsed="false">
      <c r="A712" s="13" t="s">
        <v>628</v>
      </c>
      <c r="B712" s="13" t="s">
        <v>627</v>
      </c>
      <c r="C712" s="13" t="s">
        <v>2254</v>
      </c>
      <c r="D712" s="13" t="s">
        <v>61</v>
      </c>
      <c r="E712" s="13" t="s">
        <v>1151</v>
      </c>
      <c r="F712" s="13" t="s">
        <v>1152</v>
      </c>
      <c r="G712" s="61" t="n">
        <v>190358533077</v>
      </c>
      <c r="H712" s="13" t="s">
        <v>2255</v>
      </c>
      <c r="I712" s="13"/>
      <c r="J712" s="13"/>
      <c r="K712" s="13" t="s">
        <v>2256</v>
      </c>
      <c r="L712" s="13" t="s">
        <v>2257</v>
      </c>
      <c r="M712" s="13"/>
    </row>
    <row r="713" customFormat="false" ht="15" hidden="false" customHeight="false" outlineLevel="0" collapsed="false">
      <c r="A713" s="13" t="s">
        <v>628</v>
      </c>
      <c r="B713" s="13" t="s">
        <v>627</v>
      </c>
      <c r="C713" s="13" t="s">
        <v>2258</v>
      </c>
      <c r="D713" s="13" t="s">
        <v>61</v>
      </c>
      <c r="E713" s="13" t="s">
        <v>1151</v>
      </c>
      <c r="F713" s="13" t="s">
        <v>1152</v>
      </c>
      <c r="G713" s="61" t="n">
        <v>349438392180</v>
      </c>
      <c r="H713" s="13" t="s">
        <v>2255</v>
      </c>
      <c r="I713" s="13"/>
      <c r="J713" s="13"/>
      <c r="K713" s="13" t="s">
        <v>2259</v>
      </c>
      <c r="L713" s="13" t="s">
        <v>2260</v>
      </c>
      <c r="M713" s="13"/>
    </row>
    <row r="714" customFormat="false" ht="15" hidden="false" customHeight="false" outlineLevel="0" collapsed="false">
      <c r="A714" s="13" t="s">
        <v>628</v>
      </c>
      <c r="B714" s="13" t="s">
        <v>627</v>
      </c>
      <c r="C714" s="13" t="s">
        <v>2261</v>
      </c>
      <c r="D714" s="13" t="s">
        <v>61</v>
      </c>
      <c r="E714" s="13" t="s">
        <v>1151</v>
      </c>
      <c r="F714" s="13" t="s">
        <v>1152</v>
      </c>
      <c r="G714" s="61" t="n">
        <v>131084359442</v>
      </c>
      <c r="H714" s="13" t="s">
        <v>2255</v>
      </c>
      <c r="I714" s="13"/>
      <c r="J714" s="13"/>
      <c r="K714" s="13" t="s">
        <v>2262</v>
      </c>
      <c r="L714" s="13" t="s">
        <v>2263</v>
      </c>
      <c r="M714" s="13"/>
    </row>
    <row r="715" customFormat="false" ht="15" hidden="false" customHeight="false" outlineLevel="0" collapsed="false">
      <c r="A715" s="13" t="s">
        <v>628</v>
      </c>
      <c r="B715" s="13" t="s">
        <v>627</v>
      </c>
      <c r="C715" s="13" t="s">
        <v>2264</v>
      </c>
      <c r="D715" s="13" t="s">
        <v>61</v>
      </c>
      <c r="E715" s="13" t="s">
        <v>1151</v>
      </c>
      <c r="F715" s="13" t="s">
        <v>1152</v>
      </c>
      <c r="G715" s="61" t="n">
        <v>51438728484</v>
      </c>
      <c r="H715" s="13" t="s">
        <v>2255</v>
      </c>
      <c r="I715" s="13"/>
      <c r="J715" s="13"/>
      <c r="K715" s="13" t="s">
        <v>657</v>
      </c>
      <c r="L715" s="13" t="s">
        <v>2265</v>
      </c>
      <c r="M715" s="13"/>
    </row>
    <row r="716" customFormat="false" ht="15" hidden="false" customHeight="false" outlineLevel="0" collapsed="false">
      <c r="A716" s="13" t="s">
        <v>628</v>
      </c>
      <c r="B716" s="13" t="s">
        <v>627</v>
      </c>
      <c r="C716" s="13" t="s">
        <v>2266</v>
      </c>
      <c r="D716" s="13" t="s">
        <v>61</v>
      </c>
      <c r="E716" s="13" t="s">
        <v>1151</v>
      </c>
      <c r="F716" s="13" t="s">
        <v>1152</v>
      </c>
      <c r="G716" s="61" t="n">
        <v>33979487371</v>
      </c>
      <c r="H716" s="13" t="s">
        <v>2255</v>
      </c>
      <c r="I716" s="13"/>
      <c r="J716" s="13"/>
      <c r="K716" s="13" t="s">
        <v>658</v>
      </c>
      <c r="L716" s="13" t="s">
        <v>2265</v>
      </c>
      <c r="M716" s="13"/>
    </row>
    <row r="717" customFormat="false" ht="15" hidden="false" customHeight="false" outlineLevel="0" collapsed="false">
      <c r="A717" s="13" t="s">
        <v>628</v>
      </c>
      <c r="B717" s="13" t="s">
        <v>627</v>
      </c>
      <c r="C717" s="13" t="s">
        <v>2267</v>
      </c>
      <c r="D717" s="13" t="s">
        <v>61</v>
      </c>
      <c r="E717" s="13" t="s">
        <v>1151</v>
      </c>
      <c r="F717" s="13" t="s">
        <v>1152</v>
      </c>
      <c r="G717" s="61" t="n">
        <v>250621859694</v>
      </c>
      <c r="H717" s="13" t="s">
        <v>2255</v>
      </c>
      <c r="I717" s="13"/>
      <c r="J717" s="13"/>
      <c r="K717" s="13" t="s">
        <v>659</v>
      </c>
      <c r="L717" s="13" t="s">
        <v>2265</v>
      </c>
      <c r="M717" s="13"/>
    </row>
    <row r="718" customFormat="false" ht="15" hidden="false" customHeight="false" outlineLevel="0" collapsed="false">
      <c r="A718" s="13" t="s">
        <v>628</v>
      </c>
      <c r="B718" s="13" t="s">
        <v>627</v>
      </c>
      <c r="C718" s="13" t="s">
        <v>2254</v>
      </c>
      <c r="D718" s="13" t="s">
        <v>61</v>
      </c>
      <c r="E718" s="13" t="s">
        <v>1154</v>
      </c>
      <c r="F718" s="13" t="s">
        <v>1155</v>
      </c>
      <c r="G718" s="61" t="n">
        <v>-49172130106</v>
      </c>
      <c r="H718" s="13" t="s">
        <v>2255</v>
      </c>
      <c r="I718" s="13"/>
      <c r="J718" s="13"/>
      <c r="K718" s="13" t="s">
        <v>2256</v>
      </c>
      <c r="L718" s="13" t="s">
        <v>2257</v>
      </c>
      <c r="M718" s="13"/>
    </row>
    <row r="719" customFormat="false" ht="15" hidden="false" customHeight="false" outlineLevel="0" collapsed="false">
      <c r="A719" s="13" t="s">
        <v>628</v>
      </c>
      <c r="B719" s="13" t="s">
        <v>627</v>
      </c>
      <c r="C719" s="13" t="s">
        <v>2258</v>
      </c>
      <c r="D719" s="13" t="s">
        <v>61</v>
      </c>
      <c r="E719" s="13" t="s">
        <v>1154</v>
      </c>
      <c r="F719" s="13" t="s">
        <v>1155</v>
      </c>
      <c r="G719" s="61" t="n">
        <v>-319670362181</v>
      </c>
      <c r="H719" s="13" t="s">
        <v>2255</v>
      </c>
      <c r="I719" s="13"/>
      <c r="J719" s="13"/>
      <c r="K719" s="13" t="s">
        <v>2259</v>
      </c>
      <c r="L719" s="13" t="s">
        <v>2260</v>
      </c>
      <c r="M719" s="13"/>
    </row>
    <row r="720" customFormat="false" ht="15" hidden="false" customHeight="false" outlineLevel="0" collapsed="false">
      <c r="A720" s="13" t="s">
        <v>628</v>
      </c>
      <c r="B720" s="13" t="s">
        <v>627</v>
      </c>
      <c r="C720" s="13" t="s">
        <v>2261</v>
      </c>
      <c r="D720" s="13" t="s">
        <v>61</v>
      </c>
      <c r="E720" s="13" t="s">
        <v>1154</v>
      </c>
      <c r="F720" s="13" t="s">
        <v>1155</v>
      </c>
      <c r="G720" s="61" t="n">
        <v>-438033856431</v>
      </c>
      <c r="H720" s="13" t="s">
        <v>2255</v>
      </c>
      <c r="I720" s="13"/>
      <c r="J720" s="13"/>
      <c r="K720" s="13" t="s">
        <v>2262</v>
      </c>
      <c r="L720" s="13" t="s">
        <v>2263</v>
      </c>
      <c r="M720" s="13"/>
    </row>
    <row r="721" customFormat="false" ht="15" hidden="false" customHeight="false" outlineLevel="0" collapsed="false">
      <c r="A721" s="13" t="s">
        <v>628</v>
      </c>
      <c r="B721" s="13" t="s">
        <v>627</v>
      </c>
      <c r="C721" s="13" t="s">
        <v>2264</v>
      </c>
      <c r="D721" s="13" t="s">
        <v>61</v>
      </c>
      <c r="E721" s="13" t="s">
        <v>1154</v>
      </c>
      <c r="F721" s="13" t="s">
        <v>1155</v>
      </c>
      <c r="G721" s="61" t="n">
        <v>-212221540575</v>
      </c>
      <c r="H721" s="13" t="s">
        <v>2255</v>
      </c>
      <c r="I721" s="13"/>
      <c r="J721" s="13"/>
      <c r="K721" s="13" t="s">
        <v>657</v>
      </c>
      <c r="L721" s="13" t="s">
        <v>2265</v>
      </c>
      <c r="M721" s="13"/>
    </row>
    <row r="722" customFormat="false" ht="15" hidden="false" customHeight="false" outlineLevel="0" collapsed="false">
      <c r="A722" s="13" t="s">
        <v>628</v>
      </c>
      <c r="B722" s="13" t="s">
        <v>627</v>
      </c>
      <c r="C722" s="13" t="s">
        <v>2266</v>
      </c>
      <c r="D722" s="13" t="s">
        <v>61</v>
      </c>
      <c r="E722" s="13" t="s">
        <v>1154</v>
      </c>
      <c r="F722" s="13" t="s">
        <v>1155</v>
      </c>
      <c r="G722" s="61" t="n">
        <v>-245291393404</v>
      </c>
      <c r="H722" s="13" t="s">
        <v>2255</v>
      </c>
      <c r="I722" s="13"/>
      <c r="J722" s="13"/>
      <c r="K722" s="13" t="s">
        <v>658</v>
      </c>
      <c r="L722" s="13" t="s">
        <v>2265</v>
      </c>
      <c r="M722" s="13"/>
    </row>
    <row r="723" customFormat="false" ht="15" hidden="false" customHeight="false" outlineLevel="0" collapsed="false">
      <c r="A723" s="13" t="s">
        <v>628</v>
      </c>
      <c r="B723" s="13" t="s">
        <v>627</v>
      </c>
      <c r="C723" s="13" t="s">
        <v>2267</v>
      </c>
      <c r="D723" s="13" t="s">
        <v>61</v>
      </c>
      <c r="E723" s="13" t="s">
        <v>1154</v>
      </c>
      <c r="F723" s="13" t="s">
        <v>1155</v>
      </c>
      <c r="G723" s="61" t="n">
        <v>-217412095335</v>
      </c>
      <c r="H723" s="13" t="s">
        <v>2255</v>
      </c>
      <c r="I723" s="13"/>
      <c r="J723" s="13"/>
      <c r="K723" s="13" t="s">
        <v>659</v>
      </c>
      <c r="L723" s="13" t="s">
        <v>2265</v>
      </c>
      <c r="M723" s="13"/>
    </row>
    <row r="724" customFormat="false" ht="15" hidden="false" customHeight="false" outlineLevel="0" collapsed="false">
      <c r="A724" s="13" t="s">
        <v>628</v>
      </c>
      <c r="B724" s="13" t="s">
        <v>627</v>
      </c>
      <c r="C724" s="13" t="s">
        <v>2254</v>
      </c>
      <c r="D724" s="13" t="s">
        <v>61</v>
      </c>
      <c r="E724" s="13" t="s">
        <v>1157</v>
      </c>
      <c r="F724" s="13" t="s">
        <v>1158</v>
      </c>
      <c r="G724" s="61" t="n">
        <v>383545565804</v>
      </c>
      <c r="H724" s="13" t="s">
        <v>2255</v>
      </c>
      <c r="I724" s="13"/>
      <c r="J724" s="13"/>
      <c r="K724" s="13" t="s">
        <v>2256</v>
      </c>
      <c r="L724" s="13" t="s">
        <v>2257</v>
      </c>
      <c r="M724" s="13"/>
    </row>
    <row r="725" customFormat="false" ht="15" hidden="false" customHeight="false" outlineLevel="0" collapsed="false">
      <c r="A725" s="13" t="s">
        <v>628</v>
      </c>
      <c r="B725" s="13" t="s">
        <v>627</v>
      </c>
      <c r="C725" s="13" t="s">
        <v>2258</v>
      </c>
      <c r="D725" s="13" t="s">
        <v>61</v>
      </c>
      <c r="E725" s="13" t="s">
        <v>1157</v>
      </c>
      <c r="F725" s="13" t="s">
        <v>1158</v>
      </c>
      <c r="G725" s="61" t="n">
        <v>158468151885</v>
      </c>
      <c r="H725" s="13" t="s">
        <v>2255</v>
      </c>
      <c r="I725" s="13"/>
      <c r="J725" s="13"/>
      <c r="K725" s="13" t="s">
        <v>2259</v>
      </c>
      <c r="L725" s="13" t="s">
        <v>2260</v>
      </c>
      <c r="M725" s="13"/>
    </row>
    <row r="726" customFormat="false" ht="15" hidden="false" customHeight="false" outlineLevel="0" collapsed="false">
      <c r="A726" s="13" t="s">
        <v>628</v>
      </c>
      <c r="B726" s="13" t="s">
        <v>627</v>
      </c>
      <c r="C726" s="13" t="s">
        <v>2261</v>
      </c>
      <c r="D726" s="13" t="s">
        <v>61</v>
      </c>
      <c r="E726" s="13" t="s">
        <v>1157</v>
      </c>
      <c r="F726" s="13" t="s">
        <v>1158</v>
      </c>
      <c r="G726" s="61" t="n">
        <v>106466159406</v>
      </c>
      <c r="H726" s="13" t="s">
        <v>2255</v>
      </c>
      <c r="I726" s="13"/>
      <c r="J726" s="13"/>
      <c r="K726" s="13" t="s">
        <v>2262</v>
      </c>
      <c r="L726" s="13" t="s">
        <v>2263</v>
      </c>
      <c r="M726" s="13"/>
    </row>
    <row r="727" customFormat="false" ht="15" hidden="false" customHeight="false" outlineLevel="0" collapsed="false">
      <c r="A727" s="13" t="s">
        <v>628</v>
      </c>
      <c r="B727" s="13" t="s">
        <v>627</v>
      </c>
      <c r="C727" s="13" t="s">
        <v>2264</v>
      </c>
      <c r="D727" s="13" t="s">
        <v>61</v>
      </c>
      <c r="E727" s="13" t="s">
        <v>1157</v>
      </c>
      <c r="F727" s="13" t="s">
        <v>1158</v>
      </c>
      <c r="G727" s="61" t="n">
        <v>153563150624</v>
      </c>
      <c r="H727" s="13" t="s">
        <v>2255</v>
      </c>
      <c r="I727" s="13"/>
      <c r="J727" s="13"/>
      <c r="K727" s="13" t="s">
        <v>657</v>
      </c>
      <c r="L727" s="13" t="s">
        <v>2265</v>
      </c>
      <c r="M727" s="13"/>
    </row>
    <row r="728" customFormat="false" ht="15" hidden="false" customHeight="false" outlineLevel="0" collapsed="false">
      <c r="A728" s="13" t="s">
        <v>628</v>
      </c>
      <c r="B728" s="13" t="s">
        <v>627</v>
      </c>
      <c r="C728" s="13" t="s">
        <v>2266</v>
      </c>
      <c r="D728" s="13" t="s">
        <v>61</v>
      </c>
      <c r="E728" s="13" t="s">
        <v>1157</v>
      </c>
      <c r="F728" s="13" t="s">
        <v>1158</v>
      </c>
      <c r="G728" s="61" t="n">
        <v>372585952682</v>
      </c>
      <c r="H728" s="13" t="s">
        <v>2255</v>
      </c>
      <c r="I728" s="13"/>
      <c r="J728" s="13"/>
      <c r="K728" s="13" t="s">
        <v>658</v>
      </c>
      <c r="L728" s="13" t="s">
        <v>2265</v>
      </c>
      <c r="M728" s="13"/>
    </row>
    <row r="729" customFormat="false" ht="15" hidden="false" customHeight="false" outlineLevel="0" collapsed="false">
      <c r="A729" s="13" t="s">
        <v>628</v>
      </c>
      <c r="B729" s="13" t="s">
        <v>627</v>
      </c>
      <c r="C729" s="13" t="s">
        <v>2267</v>
      </c>
      <c r="D729" s="13" t="s">
        <v>61</v>
      </c>
      <c r="E729" s="13" t="s">
        <v>1157</v>
      </c>
      <c r="F729" s="13" t="s">
        <v>1158</v>
      </c>
      <c r="G729" s="61" t="n">
        <v>10042921475</v>
      </c>
      <c r="H729" s="13" t="s">
        <v>2255</v>
      </c>
      <c r="I729" s="13"/>
      <c r="J729" s="13"/>
      <c r="K729" s="13" t="s">
        <v>659</v>
      </c>
      <c r="L729" s="13" t="s">
        <v>2265</v>
      </c>
      <c r="M729" s="13"/>
    </row>
    <row r="730" customFormat="false" ht="15" hidden="false" customHeight="false" outlineLevel="0" collapsed="false">
      <c r="A730" s="13" t="s">
        <v>628</v>
      </c>
      <c r="B730" s="13" t="s">
        <v>627</v>
      </c>
      <c r="C730" s="13" t="s">
        <v>2254</v>
      </c>
      <c r="D730" s="13" t="s">
        <v>61</v>
      </c>
      <c r="E730" s="13" t="s">
        <v>1160</v>
      </c>
      <c r="F730" s="13" t="s">
        <v>1161</v>
      </c>
      <c r="G730" s="61" t="n">
        <v>524731968775</v>
      </c>
      <c r="H730" s="13" t="s">
        <v>2255</v>
      </c>
      <c r="I730" s="13"/>
      <c r="J730" s="13"/>
      <c r="K730" s="13" t="s">
        <v>2256</v>
      </c>
      <c r="L730" s="13" t="s">
        <v>2257</v>
      </c>
      <c r="M730" s="13"/>
    </row>
    <row r="731" customFormat="false" ht="15" hidden="false" customHeight="false" outlineLevel="0" collapsed="false">
      <c r="A731" s="13" t="s">
        <v>628</v>
      </c>
      <c r="B731" s="13" t="s">
        <v>627</v>
      </c>
      <c r="C731" s="13" t="s">
        <v>2258</v>
      </c>
      <c r="D731" s="13" t="s">
        <v>61</v>
      </c>
      <c r="E731" s="13" t="s">
        <v>1160</v>
      </c>
      <c r="F731" s="13" t="s">
        <v>1161</v>
      </c>
      <c r="G731" s="61" t="n">
        <v>188236181884</v>
      </c>
      <c r="H731" s="13" t="s">
        <v>2255</v>
      </c>
      <c r="I731" s="13"/>
      <c r="J731" s="13"/>
      <c r="K731" s="13" t="s">
        <v>2259</v>
      </c>
      <c r="L731" s="13" t="s">
        <v>2260</v>
      </c>
      <c r="M731" s="13"/>
    </row>
    <row r="732" customFormat="false" ht="15" hidden="false" customHeight="false" outlineLevel="0" collapsed="false">
      <c r="A732" s="13" t="s">
        <v>628</v>
      </c>
      <c r="B732" s="13" t="s">
        <v>627</v>
      </c>
      <c r="C732" s="13" t="s">
        <v>2261</v>
      </c>
      <c r="D732" s="13" t="s">
        <v>61</v>
      </c>
      <c r="E732" s="13" t="s">
        <v>1160</v>
      </c>
      <c r="F732" s="13" t="s">
        <v>1161</v>
      </c>
      <c r="G732" s="61" t="n">
        <v>-200483337583</v>
      </c>
      <c r="H732" s="13" t="s">
        <v>2255</v>
      </c>
      <c r="I732" s="13"/>
      <c r="J732" s="13"/>
      <c r="K732" s="13" t="s">
        <v>2262</v>
      </c>
      <c r="L732" s="13" t="s">
        <v>2263</v>
      </c>
      <c r="M732" s="13"/>
    </row>
    <row r="733" customFormat="false" ht="15" hidden="false" customHeight="false" outlineLevel="0" collapsed="false">
      <c r="A733" s="13" t="s">
        <v>628</v>
      </c>
      <c r="B733" s="13" t="s">
        <v>627</v>
      </c>
      <c r="C733" s="13" t="s">
        <v>2264</v>
      </c>
      <c r="D733" s="13" t="s">
        <v>61</v>
      </c>
      <c r="E733" s="13" t="s">
        <v>1160</v>
      </c>
      <c r="F733" s="13" t="s">
        <v>1161</v>
      </c>
      <c r="G733" s="61" t="n">
        <v>-7219661467</v>
      </c>
      <c r="H733" s="13" t="s">
        <v>2255</v>
      </c>
      <c r="I733" s="13"/>
      <c r="J733" s="13"/>
      <c r="K733" s="13" t="s">
        <v>657</v>
      </c>
      <c r="L733" s="13" t="s">
        <v>2265</v>
      </c>
      <c r="M733" s="13"/>
    </row>
    <row r="734" customFormat="false" ht="15" hidden="false" customHeight="false" outlineLevel="0" collapsed="false">
      <c r="A734" s="13" t="s">
        <v>628</v>
      </c>
      <c r="B734" s="13" t="s">
        <v>627</v>
      </c>
      <c r="C734" s="13" t="s">
        <v>2266</v>
      </c>
      <c r="D734" s="13" t="s">
        <v>61</v>
      </c>
      <c r="E734" s="13" t="s">
        <v>1160</v>
      </c>
      <c r="F734" s="13" t="s">
        <v>1161</v>
      </c>
      <c r="G734" s="61" t="n">
        <v>161274046649</v>
      </c>
      <c r="H734" s="13" t="s">
        <v>2255</v>
      </c>
      <c r="I734" s="13"/>
      <c r="J734" s="13"/>
      <c r="K734" s="13" t="s">
        <v>658</v>
      </c>
      <c r="L734" s="13" t="s">
        <v>2265</v>
      </c>
      <c r="M734" s="13"/>
    </row>
    <row r="735" customFormat="false" ht="15" hidden="false" customHeight="false" outlineLevel="0" collapsed="false">
      <c r="A735" s="13" t="s">
        <v>628</v>
      </c>
      <c r="B735" s="13" t="s">
        <v>627</v>
      </c>
      <c r="C735" s="13" t="s">
        <v>2267</v>
      </c>
      <c r="D735" s="13" t="s">
        <v>61</v>
      </c>
      <c r="E735" s="13" t="s">
        <v>1160</v>
      </c>
      <c r="F735" s="13" t="s">
        <v>1161</v>
      </c>
      <c r="G735" s="61" t="n">
        <v>43252685834</v>
      </c>
      <c r="H735" s="13" t="s">
        <v>2255</v>
      </c>
      <c r="I735" s="13"/>
      <c r="J735" s="13"/>
      <c r="K735" s="13" t="s">
        <v>659</v>
      </c>
      <c r="L735" s="13" t="s">
        <v>2265</v>
      </c>
      <c r="M735" s="13"/>
    </row>
    <row r="736" customFormat="false" ht="15" hidden="false" customHeight="false" outlineLevel="0" collapsed="false">
      <c r="A736" s="13" t="s">
        <v>628</v>
      </c>
      <c r="B736" s="13" t="s">
        <v>627</v>
      </c>
      <c r="C736" s="13" t="s">
        <v>2254</v>
      </c>
      <c r="D736" s="13" t="s">
        <v>61</v>
      </c>
      <c r="E736" s="13" t="s">
        <v>1163</v>
      </c>
      <c r="F736" s="13" t="s">
        <v>1164</v>
      </c>
      <c r="G736" s="61" t="n">
        <v>624986556241</v>
      </c>
      <c r="H736" s="13" t="s">
        <v>2255</v>
      </c>
      <c r="I736" s="13"/>
      <c r="J736" s="13"/>
      <c r="K736" s="13" t="s">
        <v>2256</v>
      </c>
      <c r="L736" s="13" t="s">
        <v>2257</v>
      </c>
      <c r="M736" s="13"/>
    </row>
    <row r="737" customFormat="false" ht="15" hidden="false" customHeight="false" outlineLevel="0" collapsed="false">
      <c r="A737" s="13" t="s">
        <v>628</v>
      </c>
      <c r="B737" s="13" t="s">
        <v>627</v>
      </c>
      <c r="C737" s="13" t="s">
        <v>2258</v>
      </c>
      <c r="D737" s="13" t="s">
        <v>61</v>
      </c>
      <c r="E737" s="13" t="s">
        <v>1163</v>
      </c>
      <c r="F737" s="13" t="s">
        <v>1164</v>
      </c>
      <c r="G737" s="61" t="n">
        <v>829761008475</v>
      </c>
      <c r="H737" s="13" t="s">
        <v>2255</v>
      </c>
      <c r="I737" s="13"/>
      <c r="J737" s="13"/>
      <c r="K737" s="13" t="s">
        <v>2259</v>
      </c>
      <c r="L737" s="13" t="s">
        <v>2260</v>
      </c>
      <c r="M737" s="13"/>
    </row>
    <row r="738" customFormat="false" ht="15" hidden="false" customHeight="false" outlineLevel="0" collapsed="false">
      <c r="A738" s="13" t="s">
        <v>628</v>
      </c>
      <c r="B738" s="13" t="s">
        <v>627</v>
      </c>
      <c r="C738" s="13" t="s">
        <v>2261</v>
      </c>
      <c r="D738" s="13" t="s">
        <v>61</v>
      </c>
      <c r="E738" s="13" t="s">
        <v>1163</v>
      </c>
      <c r="F738" s="13" t="s">
        <v>1164</v>
      </c>
      <c r="G738" s="61" t="n">
        <v>629277670892</v>
      </c>
      <c r="H738" s="13" t="s">
        <v>2255</v>
      </c>
      <c r="I738" s="13"/>
      <c r="J738" s="13"/>
      <c r="K738" s="13" t="s">
        <v>2262</v>
      </c>
      <c r="L738" s="13" t="s">
        <v>2263</v>
      </c>
      <c r="M738" s="13"/>
    </row>
    <row r="739" customFormat="false" ht="15" hidden="false" customHeight="false" outlineLevel="0" collapsed="false">
      <c r="A739" s="13" t="s">
        <v>628</v>
      </c>
      <c r="B739" s="13" t="s">
        <v>627</v>
      </c>
      <c r="C739" s="13" t="s">
        <v>2264</v>
      </c>
      <c r="D739" s="13" t="s">
        <v>61</v>
      </c>
      <c r="E739" s="13" t="s">
        <v>1163</v>
      </c>
      <c r="F739" s="13" t="s">
        <v>1164</v>
      </c>
      <c r="G739" s="61" t="n">
        <v>622058009425</v>
      </c>
      <c r="H739" s="13" t="s">
        <v>2255</v>
      </c>
      <c r="I739" s="13"/>
      <c r="J739" s="13"/>
      <c r="K739" s="13" t="s">
        <v>657</v>
      </c>
      <c r="L739" s="13" t="s">
        <v>2265</v>
      </c>
      <c r="M739" s="13"/>
    </row>
    <row r="740" customFormat="false" ht="15" hidden="false" customHeight="false" outlineLevel="0" collapsed="false">
      <c r="A740" s="13" t="s">
        <v>628</v>
      </c>
      <c r="B740" s="13" t="s">
        <v>627</v>
      </c>
      <c r="C740" s="13" t="s">
        <v>2266</v>
      </c>
      <c r="D740" s="13" t="s">
        <v>61</v>
      </c>
      <c r="E740" s="13" t="s">
        <v>1163</v>
      </c>
      <c r="F740" s="13" t="s">
        <v>1164</v>
      </c>
      <c r="G740" s="61" t="n">
        <v>783332056074</v>
      </c>
      <c r="H740" s="13" t="s">
        <v>2255</v>
      </c>
      <c r="I740" s="13"/>
      <c r="J740" s="13"/>
      <c r="K740" s="13" t="s">
        <v>658</v>
      </c>
      <c r="L740" s="13" t="s">
        <v>2265</v>
      </c>
      <c r="M740" s="13"/>
    </row>
    <row r="741" customFormat="false" ht="15" hidden="false" customHeight="false" outlineLevel="0" collapsed="false">
      <c r="A741" s="13" t="s">
        <v>628</v>
      </c>
      <c r="B741" s="13" t="s">
        <v>627</v>
      </c>
      <c r="C741" s="13" t="s">
        <v>2267</v>
      </c>
      <c r="D741" s="13" t="s">
        <v>61</v>
      </c>
      <c r="E741" s="13" t="s">
        <v>1163</v>
      </c>
      <c r="F741" s="13" t="s">
        <v>1164</v>
      </c>
      <c r="G741" s="61" t="n">
        <v>826584741908</v>
      </c>
      <c r="H741" s="13" t="s">
        <v>2255</v>
      </c>
      <c r="I741" s="13"/>
      <c r="J741" s="13"/>
      <c r="K741" s="13" t="s">
        <v>659</v>
      </c>
      <c r="L741" s="13" t="s">
        <v>2265</v>
      </c>
      <c r="M741" s="13"/>
    </row>
    <row r="742" customFormat="false" ht="15" hidden="false" customHeight="false" outlineLevel="0" collapsed="false">
      <c r="A742" s="13" t="s">
        <v>628</v>
      </c>
      <c r="B742" s="13" t="s">
        <v>627</v>
      </c>
      <c r="C742" s="13" t="s">
        <v>2254</v>
      </c>
      <c r="D742" s="13" t="s">
        <v>2270</v>
      </c>
      <c r="E742" s="13" t="s">
        <v>2271</v>
      </c>
      <c r="F742" s="13" t="s">
        <v>2272</v>
      </c>
      <c r="G742" s="61" t="n">
        <v>151423064927</v>
      </c>
      <c r="H742" s="13" t="s">
        <v>2255</v>
      </c>
      <c r="I742" s="13" t="s">
        <v>2273</v>
      </c>
      <c r="J742" s="13" t="n">
        <v>66</v>
      </c>
      <c r="K742" s="13" t="s">
        <v>2274</v>
      </c>
      <c r="L742" s="13" t="s">
        <v>2257</v>
      </c>
      <c r="M742" s="13"/>
    </row>
    <row r="743" customFormat="false" ht="15" hidden="false" customHeight="false" outlineLevel="0" collapsed="false">
      <c r="A743" s="13" t="s">
        <v>628</v>
      </c>
      <c r="B743" s="13" t="s">
        <v>627</v>
      </c>
      <c r="C743" s="13" t="s">
        <v>2258</v>
      </c>
      <c r="D743" s="13" t="s">
        <v>2270</v>
      </c>
      <c r="E743" s="13" t="s">
        <v>2271</v>
      </c>
      <c r="F743" s="13" t="s">
        <v>2272</v>
      </c>
      <c r="G743" s="61" t="n">
        <v>208672347799</v>
      </c>
      <c r="H743" s="13" t="s">
        <v>2255</v>
      </c>
      <c r="I743" s="13" t="s">
        <v>2273</v>
      </c>
      <c r="J743" s="13" t="n">
        <v>80</v>
      </c>
      <c r="K743" s="13" t="s">
        <v>2275</v>
      </c>
      <c r="L743" s="13" t="s">
        <v>2260</v>
      </c>
      <c r="M743" s="13"/>
    </row>
    <row r="744" customFormat="false" ht="15" hidden="false" customHeight="false" outlineLevel="0" collapsed="false">
      <c r="A744" s="13" t="s">
        <v>628</v>
      </c>
      <c r="B744" s="13" t="s">
        <v>627</v>
      </c>
      <c r="C744" s="13" t="s">
        <v>2261</v>
      </c>
      <c r="D744" s="13" t="s">
        <v>2270</v>
      </c>
      <c r="E744" s="13" t="s">
        <v>2271</v>
      </c>
      <c r="F744" s="13" t="s">
        <v>2272</v>
      </c>
      <c r="G744" s="61" t="n">
        <v>151440260260</v>
      </c>
      <c r="H744" s="13" t="s">
        <v>2255</v>
      </c>
      <c r="I744" s="13" t="s">
        <v>2273</v>
      </c>
      <c r="J744" s="13" t="n">
        <v>79</v>
      </c>
      <c r="K744" s="13" t="s">
        <v>2276</v>
      </c>
      <c r="L744" s="13" t="s">
        <v>2263</v>
      </c>
      <c r="M744" s="13"/>
    </row>
    <row r="745" customFormat="false" ht="15" hidden="false" customHeight="false" outlineLevel="0" collapsed="false">
      <c r="A745" s="13" t="s">
        <v>628</v>
      </c>
      <c r="B745" s="13" t="s">
        <v>627</v>
      </c>
      <c r="C745" s="13" t="s">
        <v>2264</v>
      </c>
      <c r="D745" s="13" t="s">
        <v>2270</v>
      </c>
      <c r="E745" s="13" t="s">
        <v>2271</v>
      </c>
      <c r="F745" s="13" t="s">
        <v>2272</v>
      </c>
      <c r="G745" s="61" t="n">
        <v>133790163949</v>
      </c>
      <c r="H745" s="13" t="s">
        <v>2255</v>
      </c>
      <c r="I745" s="13" t="s">
        <v>2273</v>
      </c>
      <c r="J745" s="13" t="n">
        <v>79</v>
      </c>
      <c r="K745" s="13" t="s">
        <v>2277</v>
      </c>
      <c r="L745" s="13" t="s">
        <v>2265</v>
      </c>
      <c r="M745" s="13"/>
    </row>
    <row r="746" customFormat="false" ht="15" hidden="false" customHeight="false" outlineLevel="0" collapsed="false">
      <c r="A746" s="13" t="s">
        <v>628</v>
      </c>
      <c r="B746" s="13" t="s">
        <v>627</v>
      </c>
      <c r="C746" s="13" t="s">
        <v>2266</v>
      </c>
      <c r="D746" s="13" t="s">
        <v>2270</v>
      </c>
      <c r="E746" s="13" t="s">
        <v>2271</v>
      </c>
      <c r="F746" s="13" t="s">
        <v>2272</v>
      </c>
      <c r="G746" s="61" t="n">
        <v>142630488000</v>
      </c>
      <c r="H746" s="13" t="s">
        <v>2255</v>
      </c>
      <c r="I746" s="13" t="s">
        <v>2273</v>
      </c>
      <c r="J746" s="13" t="n">
        <v>80</v>
      </c>
      <c r="K746" s="13" t="s">
        <v>2278</v>
      </c>
      <c r="L746" s="13" t="s">
        <v>2265</v>
      </c>
      <c r="M746" s="13"/>
    </row>
    <row r="747" customFormat="false" ht="15" hidden="false" customHeight="false" outlineLevel="0" collapsed="false">
      <c r="A747" s="13" t="s">
        <v>628</v>
      </c>
      <c r="B747" s="13" t="s">
        <v>627</v>
      </c>
      <c r="C747" s="13" t="s">
        <v>2267</v>
      </c>
      <c r="D747" s="13" t="s">
        <v>2270</v>
      </c>
      <c r="E747" s="13" t="s">
        <v>2271</v>
      </c>
      <c r="F747" s="13" t="s">
        <v>2272</v>
      </c>
      <c r="G747" s="61" t="n">
        <v>144330275721</v>
      </c>
      <c r="H747" s="13" t="s">
        <v>2255</v>
      </c>
      <c r="I747" s="13" t="s">
        <v>2273</v>
      </c>
      <c r="J747" s="13" t="n">
        <v>80</v>
      </c>
      <c r="K747" s="13" t="s">
        <v>2278</v>
      </c>
      <c r="L747" s="13" t="s">
        <v>2265</v>
      </c>
      <c r="M747" s="13"/>
    </row>
    <row r="748" customFormat="false" ht="15" hidden="false" customHeight="false" outlineLevel="0" collapsed="false">
      <c r="A748" s="13" t="s">
        <v>628</v>
      </c>
      <c r="B748" s="13" t="s">
        <v>627</v>
      </c>
      <c r="C748" s="13" t="s">
        <v>2254</v>
      </c>
      <c r="D748" s="13" t="s">
        <v>2270</v>
      </c>
      <c r="E748" s="13" t="s">
        <v>2271</v>
      </c>
      <c r="F748" s="13" t="s">
        <v>2279</v>
      </c>
      <c r="G748" s="61" t="n">
        <v>95347141646</v>
      </c>
      <c r="H748" s="13" t="s">
        <v>2255</v>
      </c>
      <c r="I748" s="13" t="s">
        <v>2273</v>
      </c>
      <c r="J748" s="13" t="n">
        <v>66</v>
      </c>
      <c r="K748" s="13" t="s">
        <v>2274</v>
      </c>
      <c r="L748" s="13" t="s">
        <v>2257</v>
      </c>
      <c r="M748" s="13"/>
    </row>
    <row r="749" customFormat="false" ht="15" hidden="false" customHeight="false" outlineLevel="0" collapsed="false">
      <c r="A749" s="13" t="s">
        <v>628</v>
      </c>
      <c r="B749" s="13" t="s">
        <v>627</v>
      </c>
      <c r="C749" s="13" t="s">
        <v>2258</v>
      </c>
      <c r="D749" s="13" t="s">
        <v>2270</v>
      </c>
      <c r="E749" s="13" t="s">
        <v>2271</v>
      </c>
      <c r="F749" s="13" t="s">
        <v>2279</v>
      </c>
      <c r="G749" s="61" t="n">
        <v>123360238968</v>
      </c>
      <c r="H749" s="13" t="s">
        <v>2255</v>
      </c>
      <c r="I749" s="13" t="s">
        <v>2273</v>
      </c>
      <c r="J749" s="13" t="n">
        <v>80</v>
      </c>
      <c r="K749" s="13" t="s">
        <v>2275</v>
      </c>
      <c r="L749" s="13" t="s">
        <v>2260</v>
      </c>
      <c r="M749" s="13"/>
    </row>
    <row r="750" customFormat="false" ht="15" hidden="false" customHeight="false" outlineLevel="0" collapsed="false">
      <c r="A750" s="13" t="s">
        <v>628</v>
      </c>
      <c r="B750" s="13" t="s">
        <v>627</v>
      </c>
      <c r="C750" s="13" t="s">
        <v>2261</v>
      </c>
      <c r="D750" s="13" t="s">
        <v>2270</v>
      </c>
      <c r="E750" s="13" t="s">
        <v>2271</v>
      </c>
      <c r="F750" s="13" t="s">
        <v>2279</v>
      </c>
      <c r="G750" s="61" t="n">
        <v>75669771801</v>
      </c>
      <c r="H750" s="13" t="s">
        <v>2255</v>
      </c>
      <c r="I750" s="13" t="s">
        <v>2273</v>
      </c>
      <c r="J750" s="13" t="n">
        <v>79</v>
      </c>
      <c r="K750" s="13" t="s">
        <v>2276</v>
      </c>
      <c r="L750" s="13" t="s">
        <v>2263</v>
      </c>
      <c r="M750" s="13"/>
    </row>
    <row r="751" customFormat="false" ht="15" hidden="false" customHeight="false" outlineLevel="0" collapsed="false">
      <c r="A751" s="13" t="s">
        <v>628</v>
      </c>
      <c r="B751" s="13" t="s">
        <v>627</v>
      </c>
      <c r="C751" s="13" t="s">
        <v>2264</v>
      </c>
      <c r="D751" s="13" t="s">
        <v>2270</v>
      </c>
      <c r="E751" s="13" t="s">
        <v>2271</v>
      </c>
      <c r="F751" s="13" t="s">
        <v>2279</v>
      </c>
      <c r="G751" s="61" t="n">
        <v>79257971096</v>
      </c>
      <c r="H751" s="13" t="s">
        <v>2255</v>
      </c>
      <c r="I751" s="13" t="s">
        <v>2273</v>
      </c>
      <c r="J751" s="13" t="n">
        <v>79</v>
      </c>
      <c r="K751" s="13" t="s">
        <v>2277</v>
      </c>
      <c r="L751" s="13" t="s">
        <v>2265</v>
      </c>
      <c r="M751" s="13"/>
    </row>
    <row r="752" customFormat="false" ht="15" hidden="false" customHeight="false" outlineLevel="0" collapsed="false">
      <c r="A752" s="13" t="s">
        <v>628</v>
      </c>
      <c r="B752" s="13" t="s">
        <v>627</v>
      </c>
      <c r="C752" s="13" t="s">
        <v>2266</v>
      </c>
      <c r="D752" s="13" t="s">
        <v>2270</v>
      </c>
      <c r="E752" s="13" t="s">
        <v>2271</v>
      </c>
      <c r="F752" s="13" t="s">
        <v>2279</v>
      </c>
      <c r="G752" s="61" t="n">
        <v>88187710319</v>
      </c>
      <c r="H752" s="13" t="s">
        <v>2255</v>
      </c>
      <c r="I752" s="13" t="s">
        <v>2273</v>
      </c>
      <c r="J752" s="13" t="n">
        <v>80</v>
      </c>
      <c r="K752" s="13" t="s">
        <v>2278</v>
      </c>
      <c r="L752" s="13" t="s">
        <v>2265</v>
      </c>
      <c r="M752" s="13"/>
    </row>
    <row r="753" customFormat="false" ht="15" hidden="false" customHeight="false" outlineLevel="0" collapsed="false">
      <c r="A753" s="13" t="s">
        <v>628</v>
      </c>
      <c r="B753" s="13" t="s">
        <v>627</v>
      </c>
      <c r="C753" s="13" t="s">
        <v>2267</v>
      </c>
      <c r="D753" s="13" t="s">
        <v>2270</v>
      </c>
      <c r="E753" s="13" t="s">
        <v>2271</v>
      </c>
      <c r="F753" s="13" t="s">
        <v>2279</v>
      </c>
      <c r="G753" s="61" t="n">
        <v>87644208526</v>
      </c>
      <c r="H753" s="13" t="s">
        <v>2255</v>
      </c>
      <c r="I753" s="13" t="s">
        <v>2273</v>
      </c>
      <c r="J753" s="13" t="n">
        <v>80</v>
      </c>
      <c r="K753" s="13" t="s">
        <v>2278</v>
      </c>
      <c r="L753" s="13" t="s">
        <v>2265</v>
      </c>
      <c r="M753" s="13"/>
    </row>
    <row r="754" customFormat="false" ht="15" hidden="false" customHeight="false" outlineLevel="0" collapsed="false">
      <c r="A754" s="13" t="s">
        <v>628</v>
      </c>
      <c r="B754" s="13" t="s">
        <v>627</v>
      </c>
      <c r="C754" s="13" t="s">
        <v>2254</v>
      </c>
      <c r="D754" s="13" t="s">
        <v>2270</v>
      </c>
      <c r="E754" s="13" t="s">
        <v>2271</v>
      </c>
      <c r="F754" s="13" t="s">
        <v>2280</v>
      </c>
      <c r="G754" s="61" t="n">
        <v>57939993395</v>
      </c>
      <c r="H754" s="13" t="s">
        <v>2255</v>
      </c>
      <c r="I754" s="13" t="s">
        <v>2273</v>
      </c>
      <c r="J754" s="13" t="n">
        <v>66</v>
      </c>
      <c r="K754" s="13" t="s">
        <v>2274</v>
      </c>
      <c r="L754" s="13" t="s">
        <v>2257</v>
      </c>
      <c r="M754" s="13"/>
    </row>
    <row r="755" customFormat="false" ht="15" hidden="false" customHeight="false" outlineLevel="0" collapsed="false">
      <c r="A755" s="13" t="s">
        <v>628</v>
      </c>
      <c r="B755" s="13" t="s">
        <v>627</v>
      </c>
      <c r="C755" s="13" t="s">
        <v>2258</v>
      </c>
      <c r="D755" s="13" t="s">
        <v>2270</v>
      </c>
      <c r="E755" s="13" t="s">
        <v>2271</v>
      </c>
      <c r="F755" s="13" t="s">
        <v>2280</v>
      </c>
      <c r="G755" s="61" t="n">
        <v>66536461936</v>
      </c>
      <c r="H755" s="13" t="s">
        <v>2255</v>
      </c>
      <c r="I755" s="13" t="s">
        <v>2273</v>
      </c>
      <c r="J755" s="13" t="n">
        <v>80</v>
      </c>
      <c r="K755" s="13" t="s">
        <v>2275</v>
      </c>
      <c r="L755" s="13" t="s">
        <v>2260</v>
      </c>
      <c r="M755" s="13"/>
    </row>
    <row r="756" customFormat="false" ht="15" hidden="false" customHeight="false" outlineLevel="0" collapsed="false">
      <c r="A756" s="13" t="s">
        <v>628</v>
      </c>
      <c r="B756" s="13" t="s">
        <v>627</v>
      </c>
      <c r="C756" s="13" t="s">
        <v>2261</v>
      </c>
      <c r="D756" s="13" t="s">
        <v>2270</v>
      </c>
      <c r="E756" s="13" t="s">
        <v>2271</v>
      </c>
      <c r="F756" s="13" t="s">
        <v>2280</v>
      </c>
      <c r="G756" s="61" t="n">
        <v>64497787628</v>
      </c>
      <c r="H756" s="13" t="s">
        <v>2255</v>
      </c>
      <c r="I756" s="13" t="s">
        <v>2273</v>
      </c>
      <c r="J756" s="13" t="n">
        <v>79</v>
      </c>
      <c r="K756" s="13" t="s">
        <v>2276</v>
      </c>
      <c r="L756" s="13" t="s">
        <v>2263</v>
      </c>
      <c r="M756" s="13"/>
    </row>
    <row r="757" customFormat="false" ht="15" hidden="false" customHeight="false" outlineLevel="0" collapsed="false">
      <c r="A757" s="13" t="s">
        <v>628</v>
      </c>
      <c r="B757" s="13" t="s">
        <v>627</v>
      </c>
      <c r="C757" s="13" t="s">
        <v>2264</v>
      </c>
      <c r="D757" s="13" t="s">
        <v>2270</v>
      </c>
      <c r="E757" s="13" t="s">
        <v>2271</v>
      </c>
      <c r="F757" s="13" t="s">
        <v>2280</v>
      </c>
      <c r="G757" s="61" t="n">
        <v>67026485879</v>
      </c>
      <c r="H757" s="13" t="s">
        <v>2255</v>
      </c>
      <c r="I757" s="13" t="s">
        <v>2273</v>
      </c>
      <c r="J757" s="13" t="n">
        <v>79</v>
      </c>
      <c r="K757" s="13" t="s">
        <v>2277</v>
      </c>
      <c r="L757" s="13" t="s">
        <v>2265</v>
      </c>
      <c r="M757" s="13"/>
    </row>
    <row r="758" customFormat="false" ht="15" hidden="false" customHeight="false" outlineLevel="0" collapsed="false">
      <c r="A758" s="13" t="s">
        <v>628</v>
      </c>
      <c r="B758" s="13" t="s">
        <v>627</v>
      </c>
      <c r="C758" s="13" t="s">
        <v>2266</v>
      </c>
      <c r="D758" s="13" t="s">
        <v>2270</v>
      </c>
      <c r="E758" s="13" t="s">
        <v>2271</v>
      </c>
      <c r="F758" s="13" t="s">
        <v>2280</v>
      </c>
      <c r="G758" s="61" t="n">
        <v>56399346793</v>
      </c>
      <c r="H758" s="13" t="s">
        <v>2255</v>
      </c>
      <c r="I758" s="13" t="s">
        <v>2273</v>
      </c>
      <c r="J758" s="13" t="n">
        <v>80</v>
      </c>
      <c r="K758" s="13" t="s">
        <v>2278</v>
      </c>
      <c r="L758" s="13" t="s">
        <v>2265</v>
      </c>
      <c r="M758" s="13"/>
    </row>
    <row r="759" customFormat="false" ht="15" hidden="false" customHeight="false" outlineLevel="0" collapsed="false">
      <c r="A759" s="13" t="s">
        <v>628</v>
      </c>
      <c r="B759" s="13" t="s">
        <v>627</v>
      </c>
      <c r="C759" s="13" t="s">
        <v>2267</v>
      </c>
      <c r="D759" s="13" t="s">
        <v>2270</v>
      </c>
      <c r="E759" s="13" t="s">
        <v>2271</v>
      </c>
      <c r="F759" s="13" t="s">
        <v>2280</v>
      </c>
      <c r="G759" s="61" t="n">
        <v>61291576127</v>
      </c>
      <c r="H759" s="13" t="s">
        <v>2255</v>
      </c>
      <c r="I759" s="13" t="s">
        <v>2273</v>
      </c>
      <c r="J759" s="13" t="n">
        <v>80</v>
      </c>
      <c r="K759" s="13" t="s">
        <v>2278</v>
      </c>
      <c r="L759" s="13" t="s">
        <v>2265</v>
      </c>
      <c r="M759" s="13"/>
    </row>
    <row r="760" customFormat="false" ht="15" hidden="false" customHeight="false" outlineLevel="0" collapsed="false">
      <c r="A760" s="13" t="s">
        <v>628</v>
      </c>
      <c r="B760" s="13" t="s">
        <v>627</v>
      </c>
      <c r="C760" s="13" t="s">
        <v>2254</v>
      </c>
      <c r="D760" s="13" t="s">
        <v>2270</v>
      </c>
      <c r="E760" s="13" t="s">
        <v>2271</v>
      </c>
      <c r="F760" s="13" t="s">
        <v>2281</v>
      </c>
      <c r="G760" s="61" t="n">
        <v>95979746994</v>
      </c>
      <c r="H760" s="13" t="s">
        <v>2255</v>
      </c>
      <c r="I760" s="13" t="s">
        <v>2273</v>
      </c>
      <c r="J760" s="13" t="n">
        <v>66</v>
      </c>
      <c r="K760" s="13" t="s">
        <v>2274</v>
      </c>
      <c r="L760" s="13" t="s">
        <v>2257</v>
      </c>
      <c r="M760" s="13"/>
    </row>
    <row r="761" customFormat="false" ht="15" hidden="false" customHeight="false" outlineLevel="0" collapsed="false">
      <c r="A761" s="13" t="s">
        <v>628</v>
      </c>
      <c r="B761" s="13" t="s">
        <v>627</v>
      </c>
      <c r="C761" s="13" t="s">
        <v>2258</v>
      </c>
      <c r="D761" s="13" t="s">
        <v>2270</v>
      </c>
      <c r="E761" s="13" t="s">
        <v>2271</v>
      </c>
      <c r="F761" s="13" t="s">
        <v>2281</v>
      </c>
      <c r="G761" s="61" t="n">
        <v>141839192913</v>
      </c>
      <c r="H761" s="13" t="s">
        <v>2255</v>
      </c>
      <c r="I761" s="13" t="s">
        <v>2273</v>
      </c>
      <c r="J761" s="13" t="n">
        <v>80</v>
      </c>
      <c r="K761" s="13" t="s">
        <v>2275</v>
      </c>
      <c r="L761" s="13" t="s">
        <v>2260</v>
      </c>
      <c r="M761" s="13"/>
    </row>
    <row r="762" customFormat="false" ht="15" hidden="false" customHeight="false" outlineLevel="0" collapsed="false">
      <c r="A762" s="13" t="s">
        <v>628</v>
      </c>
      <c r="B762" s="13" t="s">
        <v>627</v>
      </c>
      <c r="C762" s="13" t="s">
        <v>2261</v>
      </c>
      <c r="D762" s="13" t="s">
        <v>2270</v>
      </c>
      <c r="E762" s="13" t="s">
        <v>2271</v>
      </c>
      <c r="F762" s="13" t="s">
        <v>2281</v>
      </c>
      <c r="G762" s="61" t="n">
        <v>224921103268</v>
      </c>
      <c r="H762" s="13" t="s">
        <v>2255</v>
      </c>
      <c r="I762" s="13" t="s">
        <v>2273</v>
      </c>
      <c r="J762" s="13" t="n">
        <v>79</v>
      </c>
      <c r="K762" s="13" t="s">
        <v>2276</v>
      </c>
      <c r="L762" s="13" t="s">
        <v>2263</v>
      </c>
      <c r="M762" s="13"/>
    </row>
    <row r="763" customFormat="false" ht="15" hidden="false" customHeight="false" outlineLevel="0" collapsed="false">
      <c r="A763" s="13" t="s">
        <v>628</v>
      </c>
      <c r="B763" s="13" t="s">
        <v>627</v>
      </c>
      <c r="C763" s="13" t="s">
        <v>2264</v>
      </c>
      <c r="D763" s="13" t="s">
        <v>2270</v>
      </c>
      <c r="E763" s="13" t="s">
        <v>2271</v>
      </c>
      <c r="F763" s="13" t="s">
        <v>2281</v>
      </c>
      <c r="G763" s="61" t="n">
        <v>175993625257</v>
      </c>
      <c r="H763" s="13" t="s">
        <v>2255</v>
      </c>
      <c r="I763" s="13" t="s">
        <v>2273</v>
      </c>
      <c r="J763" s="13" t="n">
        <v>79</v>
      </c>
      <c r="K763" s="13" t="s">
        <v>2277</v>
      </c>
      <c r="L763" s="13" t="s">
        <v>2265</v>
      </c>
      <c r="M763" s="13"/>
    </row>
    <row r="764" customFormat="false" ht="15" hidden="false" customHeight="false" outlineLevel="0" collapsed="false">
      <c r="A764" s="13" t="s">
        <v>628</v>
      </c>
      <c r="B764" s="13" t="s">
        <v>627</v>
      </c>
      <c r="C764" s="13" t="s">
        <v>2266</v>
      </c>
      <c r="D764" s="13" t="s">
        <v>2270</v>
      </c>
      <c r="E764" s="13" t="s">
        <v>2271</v>
      </c>
      <c r="F764" s="13" t="s">
        <v>2281</v>
      </c>
      <c r="G764" s="61" t="n">
        <v>191920976219</v>
      </c>
      <c r="H764" s="13" t="s">
        <v>2255</v>
      </c>
      <c r="I764" s="13" t="s">
        <v>2273</v>
      </c>
      <c r="J764" s="13" t="n">
        <v>80</v>
      </c>
      <c r="K764" s="13" t="s">
        <v>2278</v>
      </c>
      <c r="L764" s="13" t="s">
        <v>2265</v>
      </c>
      <c r="M764" s="13"/>
    </row>
    <row r="765" customFormat="false" ht="15" hidden="false" customHeight="false" outlineLevel="0" collapsed="false">
      <c r="A765" s="13" t="s">
        <v>628</v>
      </c>
      <c r="B765" s="13" t="s">
        <v>627</v>
      </c>
      <c r="C765" s="13" t="s">
        <v>2267</v>
      </c>
      <c r="D765" s="13" t="s">
        <v>2270</v>
      </c>
      <c r="E765" s="13" t="s">
        <v>2271</v>
      </c>
      <c r="F765" s="13" t="s">
        <v>2281</v>
      </c>
      <c r="G765" s="61" t="n">
        <v>201811270208</v>
      </c>
      <c r="H765" s="13" t="s">
        <v>2255</v>
      </c>
      <c r="I765" s="13" t="s">
        <v>2273</v>
      </c>
      <c r="J765" s="13" t="n">
        <v>80</v>
      </c>
      <c r="K765" s="13" t="s">
        <v>2278</v>
      </c>
      <c r="L765" s="13" t="s">
        <v>2265</v>
      </c>
      <c r="M765" s="13"/>
    </row>
    <row r="766" customFormat="false" ht="15" hidden="false" customHeight="false" outlineLevel="0" collapsed="false">
      <c r="A766" s="13" t="s">
        <v>628</v>
      </c>
      <c r="B766" s="13" t="s">
        <v>627</v>
      </c>
      <c r="C766" s="13" t="s">
        <v>2254</v>
      </c>
      <c r="D766" s="13" t="s">
        <v>2270</v>
      </c>
      <c r="E766" s="13" t="s">
        <v>2271</v>
      </c>
      <c r="F766" s="13" t="s">
        <v>2282</v>
      </c>
      <c r="G766" s="61" t="n">
        <v>51143522445</v>
      </c>
      <c r="H766" s="13" t="s">
        <v>2255</v>
      </c>
      <c r="I766" s="13" t="s">
        <v>2273</v>
      </c>
      <c r="J766" s="13" t="n">
        <v>66</v>
      </c>
      <c r="K766" s="13" t="s">
        <v>2274</v>
      </c>
      <c r="L766" s="13" t="s">
        <v>2257</v>
      </c>
      <c r="M766" s="13"/>
    </row>
    <row r="767" customFormat="false" ht="15" hidden="false" customHeight="false" outlineLevel="0" collapsed="false">
      <c r="A767" s="13" t="s">
        <v>628</v>
      </c>
      <c r="B767" s="13" t="s">
        <v>627</v>
      </c>
      <c r="C767" s="13" t="s">
        <v>2258</v>
      </c>
      <c r="D767" s="13" t="s">
        <v>2270</v>
      </c>
      <c r="E767" s="13" t="s">
        <v>2271</v>
      </c>
      <c r="F767" s="13" t="s">
        <v>2282</v>
      </c>
      <c r="G767" s="61" t="n">
        <v>169294453073</v>
      </c>
      <c r="H767" s="13" t="s">
        <v>2255</v>
      </c>
      <c r="I767" s="13" t="s">
        <v>2273</v>
      </c>
      <c r="J767" s="13" t="n">
        <v>80</v>
      </c>
      <c r="K767" s="13" t="s">
        <v>2275</v>
      </c>
      <c r="L767" s="13" t="s">
        <v>2260</v>
      </c>
      <c r="M767" s="13"/>
    </row>
    <row r="768" customFormat="false" ht="15" hidden="false" customHeight="false" outlineLevel="0" collapsed="false">
      <c r="A768" s="13" t="s">
        <v>628</v>
      </c>
      <c r="B768" s="13" t="s">
        <v>627</v>
      </c>
      <c r="C768" s="13" t="s">
        <v>2261</v>
      </c>
      <c r="D768" s="13" t="s">
        <v>2270</v>
      </c>
      <c r="E768" s="13" t="s">
        <v>2271</v>
      </c>
      <c r="F768" s="13" t="s">
        <v>2282</v>
      </c>
      <c r="G768" s="61" t="n">
        <v>94415379950</v>
      </c>
      <c r="H768" s="13" t="s">
        <v>2255</v>
      </c>
      <c r="I768" s="13" t="s">
        <v>2273</v>
      </c>
      <c r="J768" s="13" t="n">
        <v>79</v>
      </c>
      <c r="K768" s="13" t="s">
        <v>2276</v>
      </c>
      <c r="L768" s="13" t="s">
        <v>2263</v>
      </c>
      <c r="M768" s="13"/>
    </row>
    <row r="769" customFormat="false" ht="15" hidden="false" customHeight="false" outlineLevel="0" collapsed="false">
      <c r="A769" s="13" t="s">
        <v>628</v>
      </c>
      <c r="B769" s="13" t="s">
        <v>627</v>
      </c>
      <c r="C769" s="13" t="s">
        <v>2264</v>
      </c>
      <c r="D769" s="13" t="s">
        <v>2270</v>
      </c>
      <c r="E769" s="13" t="s">
        <v>2271</v>
      </c>
      <c r="F769" s="13" t="s">
        <v>2282</v>
      </c>
      <c r="G769" s="61" t="n">
        <v>51095183024</v>
      </c>
      <c r="H769" s="13" t="s">
        <v>2255</v>
      </c>
      <c r="I769" s="13" t="s">
        <v>2273</v>
      </c>
      <c r="J769" s="13" t="n">
        <v>79</v>
      </c>
      <c r="K769" s="13" t="s">
        <v>2277</v>
      </c>
      <c r="L769" s="13" t="s">
        <v>2265</v>
      </c>
      <c r="M769" s="13"/>
    </row>
    <row r="770" customFormat="false" ht="15" hidden="false" customHeight="false" outlineLevel="0" collapsed="false">
      <c r="A770" s="13" t="s">
        <v>628</v>
      </c>
      <c r="B770" s="13" t="s">
        <v>627</v>
      </c>
      <c r="C770" s="13" t="s">
        <v>2266</v>
      </c>
      <c r="D770" s="13" t="s">
        <v>2270</v>
      </c>
      <c r="E770" s="13" t="s">
        <v>2271</v>
      </c>
      <c r="F770" s="13" t="s">
        <v>2282</v>
      </c>
      <c r="G770" s="61" t="n">
        <v>45876662372</v>
      </c>
      <c r="H770" s="13" t="s">
        <v>2255</v>
      </c>
      <c r="I770" s="13" t="s">
        <v>2273</v>
      </c>
      <c r="J770" s="13" t="n">
        <v>80</v>
      </c>
      <c r="K770" s="13" t="s">
        <v>2278</v>
      </c>
      <c r="L770" s="13" t="s">
        <v>2265</v>
      </c>
      <c r="M770" s="13"/>
    </row>
    <row r="771" customFormat="false" ht="15" hidden="false" customHeight="false" outlineLevel="0" collapsed="false">
      <c r="A771" s="13" t="s">
        <v>628</v>
      </c>
      <c r="B771" s="13" t="s">
        <v>627</v>
      </c>
      <c r="C771" s="13" t="s">
        <v>2267</v>
      </c>
      <c r="D771" s="13" t="s">
        <v>2270</v>
      </c>
      <c r="E771" s="13" t="s">
        <v>2271</v>
      </c>
      <c r="F771" s="13" t="s">
        <v>2282</v>
      </c>
      <c r="G771" s="61" t="n">
        <v>38408996504</v>
      </c>
      <c r="H771" s="13" t="s">
        <v>2255</v>
      </c>
      <c r="I771" s="13" t="s">
        <v>2273</v>
      </c>
      <c r="J771" s="13" t="n">
        <v>80</v>
      </c>
      <c r="K771" s="13" t="s">
        <v>2278</v>
      </c>
      <c r="L771" s="13" t="s">
        <v>2265</v>
      </c>
      <c r="M771" s="13"/>
    </row>
    <row r="772" customFormat="false" ht="15" hidden="false" customHeight="false" outlineLevel="0" collapsed="false">
      <c r="A772" s="13" t="s">
        <v>628</v>
      </c>
      <c r="B772" s="13" t="s">
        <v>627</v>
      </c>
      <c r="C772" s="13" t="s">
        <v>2254</v>
      </c>
      <c r="D772" s="13" t="s">
        <v>2270</v>
      </c>
      <c r="E772" s="13" t="s">
        <v>2271</v>
      </c>
      <c r="F772" s="13" t="s">
        <v>2283</v>
      </c>
      <c r="G772" s="61" t="n">
        <v>23243803500</v>
      </c>
      <c r="H772" s="13" t="s">
        <v>2255</v>
      </c>
      <c r="I772" s="13" t="s">
        <v>2273</v>
      </c>
      <c r="J772" s="13" t="n">
        <v>66</v>
      </c>
      <c r="K772" s="13" t="s">
        <v>2274</v>
      </c>
      <c r="L772" s="13" t="s">
        <v>2257</v>
      </c>
      <c r="M772" s="13"/>
    </row>
    <row r="773" customFormat="false" ht="15" hidden="false" customHeight="false" outlineLevel="0" collapsed="false">
      <c r="A773" s="13" t="s">
        <v>628</v>
      </c>
      <c r="B773" s="13" t="s">
        <v>627</v>
      </c>
      <c r="C773" s="13" t="s">
        <v>2258</v>
      </c>
      <c r="D773" s="13" t="s">
        <v>2270</v>
      </c>
      <c r="E773" s="13" t="s">
        <v>2271</v>
      </c>
      <c r="F773" s="13" t="s">
        <v>2283</v>
      </c>
      <c r="G773" s="61" t="n">
        <v>26062439946</v>
      </c>
      <c r="H773" s="13" t="s">
        <v>2255</v>
      </c>
      <c r="I773" s="13" t="s">
        <v>2273</v>
      </c>
      <c r="J773" s="13" t="n">
        <v>80</v>
      </c>
      <c r="K773" s="13" t="s">
        <v>2275</v>
      </c>
      <c r="L773" s="13" t="s">
        <v>2260</v>
      </c>
      <c r="M773" s="13"/>
    </row>
    <row r="774" customFormat="false" ht="15" hidden="false" customHeight="false" outlineLevel="0" collapsed="false">
      <c r="A774" s="13" t="s">
        <v>628</v>
      </c>
      <c r="B774" s="13" t="s">
        <v>627</v>
      </c>
      <c r="C774" s="13" t="s">
        <v>2261</v>
      </c>
      <c r="D774" s="13" t="s">
        <v>2270</v>
      </c>
      <c r="E774" s="13" t="s">
        <v>2271</v>
      </c>
      <c r="F774" s="13" t="s">
        <v>2283</v>
      </c>
      <c r="G774" s="61" t="n">
        <v>30826376178</v>
      </c>
      <c r="H774" s="13" t="s">
        <v>2255</v>
      </c>
      <c r="I774" s="13" t="s">
        <v>2273</v>
      </c>
      <c r="J774" s="13" t="n">
        <v>79</v>
      </c>
      <c r="K774" s="13" t="s">
        <v>2276</v>
      </c>
      <c r="L774" s="13" t="s">
        <v>2263</v>
      </c>
      <c r="M774" s="13"/>
    </row>
    <row r="775" customFormat="false" ht="15" hidden="false" customHeight="false" outlineLevel="0" collapsed="false">
      <c r="A775" s="13" t="s">
        <v>628</v>
      </c>
      <c r="B775" s="13" t="s">
        <v>627</v>
      </c>
      <c r="C775" s="13" t="s">
        <v>2264</v>
      </c>
      <c r="D775" s="13" t="s">
        <v>2270</v>
      </c>
      <c r="E775" s="13" t="s">
        <v>2271</v>
      </c>
      <c r="F775" s="13" t="s">
        <v>2283</v>
      </c>
      <c r="G775" s="61" t="n">
        <v>33804349496</v>
      </c>
      <c r="H775" s="13" t="s">
        <v>2255</v>
      </c>
      <c r="I775" s="13" t="s">
        <v>2273</v>
      </c>
      <c r="J775" s="13" t="n">
        <v>79</v>
      </c>
      <c r="K775" s="13" t="s">
        <v>2277</v>
      </c>
      <c r="L775" s="13" t="s">
        <v>2265</v>
      </c>
      <c r="M775" s="13"/>
    </row>
    <row r="776" customFormat="false" ht="15" hidden="false" customHeight="false" outlineLevel="0" collapsed="false">
      <c r="A776" s="13" t="s">
        <v>628</v>
      </c>
      <c r="B776" s="13" t="s">
        <v>627</v>
      </c>
      <c r="C776" s="13" t="s">
        <v>2266</v>
      </c>
      <c r="D776" s="13" t="s">
        <v>2270</v>
      </c>
      <c r="E776" s="13" t="s">
        <v>2271</v>
      </c>
      <c r="F776" s="13" t="s">
        <v>2283</v>
      </c>
      <c r="G776" s="61" t="n">
        <v>35679411271</v>
      </c>
      <c r="H776" s="13" t="s">
        <v>2255</v>
      </c>
      <c r="I776" s="13" t="s">
        <v>2273</v>
      </c>
      <c r="J776" s="13" t="n">
        <v>80</v>
      </c>
      <c r="K776" s="13" t="s">
        <v>2278</v>
      </c>
      <c r="L776" s="13" t="s">
        <v>2265</v>
      </c>
      <c r="M776" s="13"/>
    </row>
    <row r="777" customFormat="false" ht="15" hidden="false" customHeight="false" outlineLevel="0" collapsed="false">
      <c r="A777" s="13" t="s">
        <v>628</v>
      </c>
      <c r="B777" s="13" t="s">
        <v>627</v>
      </c>
      <c r="C777" s="13" t="s">
        <v>2267</v>
      </c>
      <c r="D777" s="13" t="s">
        <v>2270</v>
      </c>
      <c r="E777" s="13" t="s">
        <v>2271</v>
      </c>
      <c r="F777" s="13" t="s">
        <v>2283</v>
      </c>
      <c r="G777" s="61" t="n">
        <v>38107883532</v>
      </c>
      <c r="H777" s="13" t="s">
        <v>2255</v>
      </c>
      <c r="I777" s="13" t="s">
        <v>2273</v>
      </c>
      <c r="J777" s="13" t="n">
        <v>80</v>
      </c>
      <c r="K777" s="13" t="s">
        <v>2278</v>
      </c>
      <c r="L777" s="13" t="s">
        <v>2265</v>
      </c>
      <c r="M777" s="13"/>
    </row>
    <row r="778" customFormat="false" ht="15" hidden="false" customHeight="false" outlineLevel="0" collapsed="false">
      <c r="A778" s="13" t="s">
        <v>628</v>
      </c>
      <c r="B778" s="13" t="s">
        <v>627</v>
      </c>
      <c r="C778" s="13" t="s">
        <v>2254</v>
      </c>
      <c r="D778" s="13" t="s">
        <v>2270</v>
      </c>
      <c r="E778" s="13" t="s">
        <v>2271</v>
      </c>
      <c r="F778" s="13" t="s">
        <v>2284</v>
      </c>
      <c r="G778" s="61" t="n">
        <v>147312789133</v>
      </c>
      <c r="H778" s="13" t="s">
        <v>2255</v>
      </c>
      <c r="I778" s="13" t="s">
        <v>2273</v>
      </c>
      <c r="J778" s="13" t="n">
        <v>66</v>
      </c>
      <c r="K778" s="13" t="s">
        <v>2274</v>
      </c>
      <c r="L778" s="13" t="s">
        <v>2257</v>
      </c>
      <c r="M778" s="13"/>
    </row>
    <row r="779" customFormat="false" ht="15" hidden="false" customHeight="false" outlineLevel="0" collapsed="false">
      <c r="A779" s="13" t="s">
        <v>628</v>
      </c>
      <c r="B779" s="13" t="s">
        <v>627</v>
      </c>
      <c r="C779" s="13" t="s">
        <v>2258</v>
      </c>
      <c r="D779" s="13" t="s">
        <v>2270</v>
      </c>
      <c r="E779" s="13" t="s">
        <v>2271</v>
      </c>
      <c r="F779" s="13" t="s">
        <v>2284</v>
      </c>
      <c r="G779" s="61" t="n">
        <v>168556203023</v>
      </c>
      <c r="H779" s="13" t="s">
        <v>2255</v>
      </c>
      <c r="I779" s="13" t="s">
        <v>2273</v>
      </c>
      <c r="J779" s="13" t="n">
        <v>80</v>
      </c>
      <c r="K779" s="13" t="s">
        <v>2275</v>
      </c>
      <c r="L779" s="13" t="s">
        <v>2260</v>
      </c>
      <c r="M779" s="13"/>
    </row>
    <row r="780" customFormat="false" ht="15" hidden="false" customHeight="false" outlineLevel="0" collapsed="false">
      <c r="A780" s="13" t="s">
        <v>628</v>
      </c>
      <c r="B780" s="13" t="s">
        <v>627</v>
      </c>
      <c r="C780" s="13" t="s">
        <v>2261</v>
      </c>
      <c r="D780" s="13" t="s">
        <v>2270</v>
      </c>
      <c r="E780" s="13" t="s">
        <v>2271</v>
      </c>
      <c r="F780" s="13" t="s">
        <v>2284</v>
      </c>
      <c r="G780" s="61" t="n">
        <v>189514749050</v>
      </c>
      <c r="H780" s="13" t="s">
        <v>2255</v>
      </c>
      <c r="I780" s="13" t="s">
        <v>2273</v>
      </c>
      <c r="J780" s="13" t="n">
        <v>79</v>
      </c>
      <c r="K780" s="13" t="s">
        <v>2276</v>
      </c>
      <c r="L780" s="13" t="s">
        <v>2263</v>
      </c>
      <c r="M780" s="13"/>
    </row>
    <row r="781" customFormat="false" ht="15" hidden="false" customHeight="false" outlineLevel="0" collapsed="false">
      <c r="A781" s="13" t="s">
        <v>628</v>
      </c>
      <c r="B781" s="13" t="s">
        <v>627</v>
      </c>
      <c r="C781" s="13" t="s">
        <v>2264</v>
      </c>
      <c r="D781" s="13" t="s">
        <v>2270</v>
      </c>
      <c r="E781" s="13" t="s">
        <v>2271</v>
      </c>
      <c r="F781" s="13" t="s">
        <v>2284</v>
      </c>
      <c r="G781" s="61" t="n">
        <v>224251616097</v>
      </c>
      <c r="H781" s="13" t="s">
        <v>2255</v>
      </c>
      <c r="I781" s="13" t="s">
        <v>2273</v>
      </c>
      <c r="J781" s="13" t="n">
        <v>79</v>
      </c>
      <c r="K781" s="13" t="s">
        <v>2277</v>
      </c>
      <c r="L781" s="13" t="s">
        <v>2265</v>
      </c>
      <c r="M781" s="13"/>
    </row>
    <row r="782" customFormat="false" ht="15" hidden="false" customHeight="false" outlineLevel="0" collapsed="false">
      <c r="A782" s="13" t="s">
        <v>628</v>
      </c>
      <c r="B782" s="13" t="s">
        <v>627</v>
      </c>
      <c r="C782" s="13" t="s">
        <v>2266</v>
      </c>
      <c r="D782" s="13" t="s">
        <v>2270</v>
      </c>
      <c r="E782" s="13" t="s">
        <v>2271</v>
      </c>
      <c r="F782" s="13" t="s">
        <v>2284</v>
      </c>
      <c r="G782" s="61" t="n">
        <v>220916177524</v>
      </c>
      <c r="H782" s="13" t="s">
        <v>2255</v>
      </c>
      <c r="I782" s="13" t="s">
        <v>2273</v>
      </c>
      <c r="J782" s="13" t="n">
        <v>80</v>
      </c>
      <c r="K782" s="13" t="s">
        <v>2278</v>
      </c>
      <c r="L782" s="13" t="s">
        <v>2265</v>
      </c>
      <c r="M782" s="13"/>
    </row>
    <row r="783" customFormat="false" ht="15" hidden="false" customHeight="false" outlineLevel="0" collapsed="false">
      <c r="A783" s="13" t="s">
        <v>628</v>
      </c>
      <c r="B783" s="13" t="s">
        <v>627</v>
      </c>
      <c r="C783" s="13" t="s">
        <v>2267</v>
      </c>
      <c r="D783" s="13" t="s">
        <v>2270</v>
      </c>
      <c r="E783" s="13" t="s">
        <v>2271</v>
      </c>
      <c r="F783" s="13" t="s">
        <v>2284</v>
      </c>
      <c r="G783" s="61" t="n">
        <v>270361206222</v>
      </c>
      <c r="H783" s="13" t="s">
        <v>2255</v>
      </c>
      <c r="I783" s="13" t="s">
        <v>2273</v>
      </c>
      <c r="J783" s="13" t="n">
        <v>80</v>
      </c>
      <c r="K783" s="13" t="s">
        <v>2278</v>
      </c>
      <c r="L783" s="13" t="s">
        <v>2265</v>
      </c>
      <c r="M783" s="13"/>
    </row>
    <row r="784" customFormat="false" ht="15" hidden="false" customHeight="false" outlineLevel="0" collapsed="false">
      <c r="A784" s="13" t="s">
        <v>628</v>
      </c>
      <c r="B784" s="13" t="s">
        <v>627</v>
      </c>
      <c r="C784" s="13" t="s">
        <v>2254</v>
      </c>
      <c r="D784" s="13" t="s">
        <v>2270</v>
      </c>
      <c r="E784" s="13" t="s">
        <v>2271</v>
      </c>
      <c r="F784" s="13" t="s">
        <v>2285</v>
      </c>
      <c r="G784" s="61" t="n">
        <v>109360740841</v>
      </c>
      <c r="H784" s="13" t="s">
        <v>2255</v>
      </c>
      <c r="I784" s="13" t="s">
        <v>2273</v>
      </c>
      <c r="J784" s="13" t="n">
        <v>66</v>
      </c>
      <c r="K784" s="13" t="s">
        <v>2274</v>
      </c>
      <c r="L784" s="13" t="s">
        <v>2257</v>
      </c>
      <c r="M784" s="13"/>
    </row>
    <row r="785" customFormat="false" ht="15" hidden="false" customHeight="false" outlineLevel="0" collapsed="false">
      <c r="A785" s="13" t="s">
        <v>628</v>
      </c>
      <c r="B785" s="13" t="s">
        <v>627</v>
      </c>
      <c r="C785" s="13" t="s">
        <v>2258</v>
      </c>
      <c r="D785" s="13" t="s">
        <v>2270</v>
      </c>
      <c r="E785" s="13" t="s">
        <v>2271</v>
      </c>
      <c r="F785" s="13" t="s">
        <v>2285</v>
      </c>
      <c r="G785" s="61" t="n">
        <v>415241895653</v>
      </c>
      <c r="H785" s="13" t="s">
        <v>2255</v>
      </c>
      <c r="I785" s="13" t="s">
        <v>2273</v>
      </c>
      <c r="J785" s="13" t="n">
        <v>80</v>
      </c>
      <c r="K785" s="13" t="s">
        <v>2275</v>
      </c>
      <c r="L785" s="13" t="s">
        <v>2260</v>
      </c>
      <c r="M785" s="13"/>
    </row>
    <row r="786" customFormat="false" ht="15" hidden="false" customHeight="false" outlineLevel="0" collapsed="false">
      <c r="A786" s="13" t="s">
        <v>628</v>
      </c>
      <c r="B786" s="13" t="s">
        <v>627</v>
      </c>
      <c r="C786" s="13" t="s">
        <v>2261</v>
      </c>
      <c r="D786" s="13" t="s">
        <v>2270</v>
      </c>
      <c r="E786" s="13" t="s">
        <v>2271</v>
      </c>
      <c r="F786" s="13" t="s">
        <v>2285</v>
      </c>
      <c r="G786" s="61" t="n">
        <v>238482525718</v>
      </c>
      <c r="H786" s="13" t="s">
        <v>2255</v>
      </c>
      <c r="I786" s="13" t="s">
        <v>2273</v>
      </c>
      <c r="J786" s="13" t="n">
        <v>79</v>
      </c>
      <c r="K786" s="13" t="s">
        <v>2276</v>
      </c>
      <c r="L786" s="13" t="s">
        <v>2263</v>
      </c>
      <c r="M786" s="13"/>
    </row>
    <row r="787" customFormat="false" ht="15" hidden="false" customHeight="false" outlineLevel="0" collapsed="false">
      <c r="A787" s="13" t="s">
        <v>628</v>
      </c>
      <c r="B787" s="13" t="s">
        <v>627</v>
      </c>
      <c r="C787" s="13" t="s">
        <v>2264</v>
      </c>
      <c r="D787" s="13" t="s">
        <v>2270</v>
      </c>
      <c r="E787" s="13" t="s">
        <v>2271</v>
      </c>
      <c r="F787" s="13" t="s">
        <v>2285</v>
      </c>
      <c r="G787" s="61" t="n">
        <v>217972526337</v>
      </c>
      <c r="H787" s="13" t="s">
        <v>2255</v>
      </c>
      <c r="I787" s="13" t="s">
        <v>2273</v>
      </c>
      <c r="J787" s="13" t="n">
        <v>79</v>
      </c>
      <c r="K787" s="13" t="s">
        <v>2277</v>
      </c>
      <c r="L787" s="13" t="s">
        <v>2265</v>
      </c>
      <c r="M787" s="13"/>
    </row>
    <row r="788" customFormat="false" ht="15" hidden="false" customHeight="false" outlineLevel="0" collapsed="false">
      <c r="A788" s="13" t="s">
        <v>628</v>
      </c>
      <c r="B788" s="13" t="s">
        <v>627</v>
      </c>
      <c r="C788" s="13" t="s">
        <v>2266</v>
      </c>
      <c r="D788" s="13" t="s">
        <v>2270</v>
      </c>
      <c r="E788" s="13" t="s">
        <v>2271</v>
      </c>
      <c r="F788" s="13" t="s">
        <v>2285</v>
      </c>
      <c r="G788" s="61" t="n">
        <v>244956389585</v>
      </c>
      <c r="H788" s="13" t="s">
        <v>2255</v>
      </c>
      <c r="I788" s="13" t="s">
        <v>2273</v>
      </c>
      <c r="J788" s="13" t="n">
        <v>80</v>
      </c>
      <c r="K788" s="13" t="s">
        <v>2278</v>
      </c>
      <c r="L788" s="13" t="s">
        <v>2265</v>
      </c>
      <c r="M788" s="13"/>
    </row>
    <row r="789" customFormat="false" ht="15" hidden="false" customHeight="false" outlineLevel="0" collapsed="false">
      <c r="A789" s="13" t="s">
        <v>628</v>
      </c>
      <c r="B789" s="13" t="s">
        <v>627</v>
      </c>
      <c r="C789" s="13" t="s">
        <v>2267</v>
      </c>
      <c r="D789" s="13" t="s">
        <v>2270</v>
      </c>
      <c r="E789" s="13" t="s">
        <v>2271</v>
      </c>
      <c r="F789" s="13" t="s">
        <v>2285</v>
      </c>
      <c r="G789" s="61" t="n">
        <v>262834363614</v>
      </c>
      <c r="H789" s="13" t="s">
        <v>2255</v>
      </c>
      <c r="I789" s="13" t="s">
        <v>2273</v>
      </c>
      <c r="J789" s="13" t="n">
        <v>80</v>
      </c>
      <c r="K789" s="13" t="s">
        <v>2278</v>
      </c>
      <c r="L789" s="13" t="s">
        <v>2265</v>
      </c>
      <c r="M789" s="13"/>
    </row>
    <row r="790" customFormat="false" ht="15" hidden="false" customHeight="false" outlineLevel="0" collapsed="false">
      <c r="A790" s="13" t="s">
        <v>628</v>
      </c>
      <c r="B790" s="13" t="s">
        <v>627</v>
      </c>
      <c r="C790" s="13" t="s">
        <v>2254</v>
      </c>
      <c r="D790" s="13" t="s">
        <v>2270</v>
      </c>
      <c r="E790" s="13" t="s">
        <v>2271</v>
      </c>
      <c r="F790" s="13" t="s">
        <v>2286</v>
      </c>
      <c r="G790" s="61" t="n">
        <v>37626523985</v>
      </c>
      <c r="H790" s="13" t="s">
        <v>2255</v>
      </c>
      <c r="I790" s="13" t="s">
        <v>2273</v>
      </c>
      <c r="J790" s="13" t="n">
        <v>66</v>
      </c>
      <c r="K790" s="13" t="s">
        <v>2274</v>
      </c>
      <c r="L790" s="13" t="s">
        <v>2257</v>
      </c>
      <c r="M790" s="13"/>
    </row>
    <row r="791" customFormat="false" ht="15" hidden="false" customHeight="false" outlineLevel="0" collapsed="false">
      <c r="A791" s="13" t="s">
        <v>628</v>
      </c>
      <c r="B791" s="13" t="s">
        <v>627</v>
      </c>
      <c r="C791" s="13" t="s">
        <v>2258</v>
      </c>
      <c r="D791" s="13" t="s">
        <v>2270</v>
      </c>
      <c r="E791" s="13" t="s">
        <v>2271</v>
      </c>
      <c r="F791" s="13" t="s">
        <v>2286</v>
      </c>
      <c r="G791" s="61" t="n">
        <v>54629560712</v>
      </c>
      <c r="H791" s="13" t="s">
        <v>2255</v>
      </c>
      <c r="I791" s="13" t="s">
        <v>2273</v>
      </c>
      <c r="J791" s="13" t="n">
        <v>80</v>
      </c>
      <c r="K791" s="13" t="s">
        <v>2275</v>
      </c>
      <c r="L791" s="13" t="s">
        <v>2260</v>
      </c>
      <c r="M791" s="13"/>
    </row>
    <row r="792" customFormat="false" ht="15" hidden="false" customHeight="false" outlineLevel="0" collapsed="false">
      <c r="A792" s="13" t="s">
        <v>628</v>
      </c>
      <c r="B792" s="13" t="s">
        <v>627</v>
      </c>
      <c r="C792" s="13" t="s">
        <v>2261</v>
      </c>
      <c r="D792" s="13" t="s">
        <v>2270</v>
      </c>
      <c r="E792" s="13" t="s">
        <v>2271</v>
      </c>
      <c r="F792" s="13" t="s">
        <v>2286</v>
      </c>
      <c r="G792" s="61" t="n">
        <v>47827487330</v>
      </c>
      <c r="H792" s="13" t="s">
        <v>2255</v>
      </c>
      <c r="I792" s="13" t="s">
        <v>2273</v>
      </c>
      <c r="J792" s="13" t="n">
        <v>79</v>
      </c>
      <c r="K792" s="13" t="s">
        <v>2276</v>
      </c>
      <c r="L792" s="13" t="s">
        <v>2263</v>
      </c>
      <c r="M792" s="13"/>
    </row>
    <row r="793" customFormat="false" ht="15" hidden="false" customHeight="false" outlineLevel="0" collapsed="false">
      <c r="A793" s="13" t="s">
        <v>628</v>
      </c>
      <c r="B793" s="13" t="s">
        <v>627</v>
      </c>
      <c r="C793" s="13" t="s">
        <v>2264</v>
      </c>
      <c r="D793" s="13" t="s">
        <v>2270</v>
      </c>
      <c r="E793" s="13" t="s">
        <v>2271</v>
      </c>
      <c r="F793" s="13" t="s">
        <v>2286</v>
      </c>
      <c r="G793" s="61" t="n">
        <v>42200076514</v>
      </c>
      <c r="H793" s="13" t="s">
        <v>2255</v>
      </c>
      <c r="I793" s="13" t="s">
        <v>2273</v>
      </c>
      <c r="J793" s="13" t="n">
        <v>79</v>
      </c>
      <c r="K793" s="13" t="s">
        <v>2277</v>
      </c>
      <c r="L793" s="13" t="s">
        <v>2265</v>
      </c>
      <c r="M793" s="13"/>
    </row>
    <row r="794" customFormat="false" ht="15" hidden="false" customHeight="false" outlineLevel="0" collapsed="false">
      <c r="A794" s="13" t="s">
        <v>628</v>
      </c>
      <c r="B794" s="13" t="s">
        <v>627</v>
      </c>
      <c r="C794" s="13" t="s">
        <v>2266</v>
      </c>
      <c r="D794" s="13" t="s">
        <v>2270</v>
      </c>
      <c r="E794" s="13" t="s">
        <v>2271</v>
      </c>
      <c r="F794" s="13" t="s">
        <v>2286</v>
      </c>
      <c r="G794" s="61" t="n">
        <v>44438023971</v>
      </c>
      <c r="H794" s="13" t="s">
        <v>2255</v>
      </c>
      <c r="I794" s="13" t="s">
        <v>2273</v>
      </c>
      <c r="J794" s="13" t="n">
        <v>80</v>
      </c>
      <c r="K794" s="13" t="s">
        <v>2278</v>
      </c>
      <c r="L794" s="13" t="s">
        <v>2265</v>
      </c>
      <c r="M794" s="13"/>
    </row>
    <row r="795" customFormat="false" ht="15" hidden="false" customHeight="false" outlineLevel="0" collapsed="false">
      <c r="A795" s="13" t="s">
        <v>628</v>
      </c>
      <c r="B795" s="13" t="s">
        <v>627</v>
      </c>
      <c r="C795" s="13" t="s">
        <v>2267</v>
      </c>
      <c r="D795" s="13" t="s">
        <v>2270</v>
      </c>
      <c r="E795" s="13" t="s">
        <v>2271</v>
      </c>
      <c r="F795" s="13" t="s">
        <v>2286</v>
      </c>
      <c r="G795" s="61" t="n">
        <v>43700160859</v>
      </c>
      <c r="H795" s="13" t="s">
        <v>2255</v>
      </c>
      <c r="I795" s="13" t="s">
        <v>2273</v>
      </c>
      <c r="J795" s="13" t="n">
        <v>80</v>
      </c>
      <c r="K795" s="13" t="s">
        <v>2278</v>
      </c>
      <c r="L795" s="13" t="s">
        <v>2265</v>
      </c>
      <c r="M795" s="13"/>
    </row>
    <row r="796" customFormat="false" ht="15" hidden="false" customHeight="false" outlineLevel="0" collapsed="false">
      <c r="A796" s="13" t="s">
        <v>628</v>
      </c>
      <c r="B796" s="13" t="s">
        <v>627</v>
      </c>
      <c r="C796" s="13" t="s">
        <v>2254</v>
      </c>
      <c r="D796" s="13" t="s">
        <v>2270</v>
      </c>
      <c r="E796" s="13" t="s">
        <v>2271</v>
      </c>
      <c r="F796" s="13" t="s">
        <v>2287</v>
      </c>
      <c r="G796" s="61" t="n">
        <v>55375978010</v>
      </c>
      <c r="H796" s="13" t="s">
        <v>2255</v>
      </c>
      <c r="I796" s="13" t="s">
        <v>2273</v>
      </c>
      <c r="J796" s="13" t="n">
        <v>66</v>
      </c>
      <c r="K796" s="13" t="s">
        <v>2274</v>
      </c>
      <c r="L796" s="13" t="s">
        <v>2257</v>
      </c>
      <c r="M796" s="13"/>
    </row>
    <row r="797" customFormat="false" ht="15" hidden="false" customHeight="false" outlineLevel="0" collapsed="false">
      <c r="A797" s="13" t="s">
        <v>628</v>
      </c>
      <c r="B797" s="13" t="s">
        <v>627</v>
      </c>
      <c r="C797" s="13" t="s">
        <v>2258</v>
      </c>
      <c r="D797" s="13" t="s">
        <v>2270</v>
      </c>
      <c r="E797" s="13" t="s">
        <v>2271</v>
      </c>
      <c r="F797" s="13" t="s">
        <v>2287</v>
      </c>
      <c r="G797" s="61" t="n">
        <v>55662854524</v>
      </c>
      <c r="H797" s="13" t="s">
        <v>2255</v>
      </c>
      <c r="I797" s="13" t="s">
        <v>2273</v>
      </c>
      <c r="J797" s="13" t="n">
        <v>80</v>
      </c>
      <c r="K797" s="13" t="s">
        <v>2275</v>
      </c>
      <c r="L797" s="13" t="s">
        <v>2260</v>
      </c>
      <c r="M797" s="13"/>
    </row>
    <row r="798" customFormat="false" ht="15" hidden="false" customHeight="false" outlineLevel="0" collapsed="false">
      <c r="A798" s="13" t="s">
        <v>628</v>
      </c>
      <c r="B798" s="13" t="s">
        <v>627</v>
      </c>
      <c r="C798" s="13" t="s">
        <v>2261</v>
      </c>
      <c r="D798" s="13" t="s">
        <v>2270</v>
      </c>
      <c r="E798" s="13" t="s">
        <v>2271</v>
      </c>
      <c r="F798" s="13" t="s">
        <v>2287</v>
      </c>
      <c r="G798" s="61" t="n">
        <v>40190117792</v>
      </c>
      <c r="H798" s="13" t="s">
        <v>2255</v>
      </c>
      <c r="I798" s="13" t="s">
        <v>2273</v>
      </c>
      <c r="J798" s="13" t="n">
        <v>79</v>
      </c>
      <c r="K798" s="13" t="s">
        <v>2276</v>
      </c>
      <c r="L798" s="13" t="s">
        <v>2263</v>
      </c>
      <c r="M798" s="13"/>
    </row>
    <row r="799" customFormat="false" ht="15" hidden="false" customHeight="false" outlineLevel="0" collapsed="false">
      <c r="A799" s="13" t="s">
        <v>628</v>
      </c>
      <c r="B799" s="13" t="s">
        <v>627</v>
      </c>
      <c r="C799" s="13" t="s">
        <v>2264</v>
      </c>
      <c r="D799" s="13" t="s">
        <v>2270</v>
      </c>
      <c r="E799" s="13" t="s">
        <v>2271</v>
      </c>
      <c r="F799" s="13" t="s">
        <v>2287</v>
      </c>
      <c r="G799" s="61" t="n">
        <v>40596988986</v>
      </c>
      <c r="H799" s="13" t="s">
        <v>2255</v>
      </c>
      <c r="I799" s="13" t="s">
        <v>2273</v>
      </c>
      <c r="J799" s="13" t="n">
        <v>79</v>
      </c>
      <c r="K799" s="13" t="s">
        <v>2277</v>
      </c>
      <c r="L799" s="13" t="s">
        <v>2265</v>
      </c>
      <c r="M799" s="13"/>
    </row>
    <row r="800" customFormat="false" ht="15" hidden="false" customHeight="false" outlineLevel="0" collapsed="false">
      <c r="A800" s="13" t="s">
        <v>628</v>
      </c>
      <c r="B800" s="13" t="s">
        <v>627</v>
      </c>
      <c r="C800" s="13" t="s">
        <v>2266</v>
      </c>
      <c r="D800" s="13" t="s">
        <v>2270</v>
      </c>
      <c r="E800" s="13" t="s">
        <v>2271</v>
      </c>
      <c r="F800" s="13" t="s">
        <v>2287</v>
      </c>
      <c r="G800" s="61" t="n">
        <v>47490101099</v>
      </c>
      <c r="H800" s="13" t="s">
        <v>2255</v>
      </c>
      <c r="I800" s="13" t="s">
        <v>2273</v>
      </c>
      <c r="J800" s="13" t="n">
        <v>80</v>
      </c>
      <c r="K800" s="13" t="s">
        <v>2278</v>
      </c>
      <c r="L800" s="13" t="s">
        <v>2265</v>
      </c>
      <c r="M800" s="13"/>
    </row>
    <row r="801" customFormat="false" ht="15" hidden="false" customHeight="false" outlineLevel="0" collapsed="false">
      <c r="A801" s="13" t="s">
        <v>628</v>
      </c>
      <c r="B801" s="13" t="s">
        <v>627</v>
      </c>
      <c r="C801" s="13" t="s">
        <v>2267</v>
      </c>
      <c r="D801" s="13" t="s">
        <v>2270</v>
      </c>
      <c r="E801" s="13" t="s">
        <v>2271</v>
      </c>
      <c r="F801" s="13" t="s">
        <v>2287</v>
      </c>
      <c r="G801" s="61" t="n">
        <v>49387120105</v>
      </c>
      <c r="H801" s="13" t="s">
        <v>2255</v>
      </c>
      <c r="I801" s="13" t="s">
        <v>2273</v>
      </c>
      <c r="J801" s="13" t="n">
        <v>80</v>
      </c>
      <c r="K801" s="13" t="s">
        <v>2278</v>
      </c>
      <c r="L801" s="13" t="s">
        <v>2265</v>
      </c>
      <c r="M801" s="13"/>
    </row>
    <row r="802" customFormat="false" ht="15" hidden="false" customHeight="false" outlineLevel="0" collapsed="false">
      <c r="A802" s="13" t="s">
        <v>628</v>
      </c>
      <c r="B802" s="13" t="s">
        <v>627</v>
      </c>
      <c r="C802" s="13" t="s">
        <v>2254</v>
      </c>
      <c r="D802" s="13" t="s">
        <v>2270</v>
      </c>
      <c r="E802" s="13" t="s">
        <v>2271</v>
      </c>
      <c r="F802" s="13" t="s">
        <v>2288</v>
      </c>
      <c r="G802" s="61" t="n">
        <v>338134583532</v>
      </c>
      <c r="H802" s="13" t="s">
        <v>2255</v>
      </c>
      <c r="I802" s="13" t="s">
        <v>2273</v>
      </c>
      <c r="J802" s="13" t="n">
        <v>66</v>
      </c>
      <c r="K802" s="13" t="s">
        <v>2274</v>
      </c>
      <c r="L802" s="13" t="s">
        <v>2257</v>
      </c>
      <c r="M802" s="13"/>
    </row>
    <row r="803" customFormat="false" ht="15" hidden="false" customHeight="false" outlineLevel="0" collapsed="false">
      <c r="A803" s="13" t="s">
        <v>628</v>
      </c>
      <c r="B803" s="13" t="s">
        <v>627</v>
      </c>
      <c r="C803" s="13" t="s">
        <v>2258</v>
      </c>
      <c r="D803" s="13" t="s">
        <v>2270</v>
      </c>
      <c r="E803" s="13" t="s">
        <v>2271</v>
      </c>
      <c r="F803" s="13" t="s">
        <v>2288</v>
      </c>
      <c r="G803" s="61" t="n">
        <v>510792679268</v>
      </c>
      <c r="H803" s="13" t="s">
        <v>2255</v>
      </c>
      <c r="I803" s="13" t="s">
        <v>2273</v>
      </c>
      <c r="J803" s="13" t="n">
        <v>80</v>
      </c>
      <c r="K803" s="13" t="s">
        <v>2275</v>
      </c>
      <c r="L803" s="13" t="s">
        <v>2260</v>
      </c>
      <c r="M803" s="13"/>
    </row>
    <row r="804" customFormat="false" ht="15" hidden="false" customHeight="false" outlineLevel="0" collapsed="false">
      <c r="A804" s="13" t="s">
        <v>628</v>
      </c>
      <c r="B804" s="13" t="s">
        <v>627</v>
      </c>
      <c r="C804" s="13" t="s">
        <v>2261</v>
      </c>
      <c r="D804" s="13" t="s">
        <v>2270</v>
      </c>
      <c r="E804" s="13" t="s">
        <v>2271</v>
      </c>
      <c r="F804" s="13" t="s">
        <v>2288</v>
      </c>
      <c r="G804" s="61" t="n">
        <v>554528401236</v>
      </c>
      <c r="H804" s="13" t="s">
        <v>2255</v>
      </c>
      <c r="I804" s="13" t="s">
        <v>2273</v>
      </c>
      <c r="J804" s="13" t="n">
        <v>79</v>
      </c>
      <c r="K804" s="13" t="s">
        <v>2276</v>
      </c>
      <c r="L804" s="13" t="s">
        <v>2263</v>
      </c>
      <c r="M804" s="13"/>
    </row>
    <row r="805" customFormat="false" ht="15" hidden="false" customHeight="false" outlineLevel="0" collapsed="false">
      <c r="A805" s="13" t="s">
        <v>628</v>
      </c>
      <c r="B805" s="13" t="s">
        <v>627</v>
      </c>
      <c r="C805" s="13" t="s">
        <v>2264</v>
      </c>
      <c r="D805" s="13" t="s">
        <v>2270</v>
      </c>
      <c r="E805" s="13" t="s">
        <v>2271</v>
      </c>
      <c r="F805" s="13" t="s">
        <v>2288</v>
      </c>
      <c r="G805" s="61" t="n">
        <v>486504873770</v>
      </c>
      <c r="H805" s="13" t="s">
        <v>2255</v>
      </c>
      <c r="I805" s="13" t="s">
        <v>2273</v>
      </c>
      <c r="J805" s="13" t="n">
        <v>79</v>
      </c>
      <c r="K805" s="13" t="s">
        <v>2277</v>
      </c>
      <c r="L805" s="13" t="s">
        <v>2265</v>
      </c>
      <c r="M805" s="13"/>
    </row>
    <row r="806" customFormat="false" ht="15" hidden="false" customHeight="false" outlineLevel="0" collapsed="false">
      <c r="A806" s="13" t="s">
        <v>628</v>
      </c>
      <c r="B806" s="13" t="s">
        <v>627</v>
      </c>
      <c r="C806" s="13" t="s">
        <v>2266</v>
      </c>
      <c r="D806" s="13" t="s">
        <v>2270</v>
      </c>
      <c r="E806" s="13" t="s">
        <v>2271</v>
      </c>
      <c r="F806" s="13" t="s">
        <v>2288</v>
      </c>
      <c r="G806" s="61" t="n">
        <v>529785137307</v>
      </c>
      <c r="H806" s="13" t="s">
        <v>2255</v>
      </c>
      <c r="I806" s="13" t="s">
        <v>2273</v>
      </c>
      <c r="J806" s="13" t="n">
        <v>80</v>
      </c>
      <c r="K806" s="13" t="s">
        <v>2278</v>
      </c>
      <c r="L806" s="13" t="s">
        <v>2265</v>
      </c>
      <c r="M806" s="13"/>
    </row>
    <row r="807" customFormat="false" ht="15" hidden="false" customHeight="false" outlineLevel="0" collapsed="false">
      <c r="A807" s="13" t="s">
        <v>628</v>
      </c>
      <c r="B807" s="13" t="s">
        <v>627</v>
      </c>
      <c r="C807" s="13" t="s">
        <v>2267</v>
      </c>
      <c r="D807" s="13" t="s">
        <v>2270</v>
      </c>
      <c r="E807" s="13" t="s">
        <v>2271</v>
      </c>
      <c r="F807" s="13" t="s">
        <v>2288</v>
      </c>
      <c r="G807" s="61" t="n">
        <v>520503370204</v>
      </c>
      <c r="H807" s="13" t="s">
        <v>2255</v>
      </c>
      <c r="I807" s="13" t="s">
        <v>2273</v>
      </c>
      <c r="J807" s="13" t="n">
        <v>80</v>
      </c>
      <c r="K807" s="13" t="s">
        <v>2278</v>
      </c>
      <c r="L807" s="13" t="s">
        <v>2265</v>
      </c>
      <c r="M807" s="13"/>
    </row>
    <row r="808" customFormat="false" ht="15" hidden="false" customHeight="false" outlineLevel="0" collapsed="false">
      <c r="A808" s="13" t="s">
        <v>628</v>
      </c>
      <c r="B808" s="13" t="s">
        <v>627</v>
      </c>
      <c r="C808" s="13" t="s">
        <v>2254</v>
      </c>
      <c r="D808" s="13" t="s">
        <v>2270</v>
      </c>
      <c r="E808" s="13" t="s">
        <v>2271</v>
      </c>
      <c r="F808" s="13" t="s">
        <v>2289</v>
      </c>
      <c r="G808" s="61" t="n">
        <v>3674752669</v>
      </c>
      <c r="H808" s="13" t="s">
        <v>2255</v>
      </c>
      <c r="I808" s="13" t="s">
        <v>2273</v>
      </c>
      <c r="J808" s="13" t="n">
        <v>66</v>
      </c>
      <c r="K808" s="13" t="s">
        <v>2274</v>
      </c>
      <c r="L808" s="13" t="s">
        <v>2257</v>
      </c>
      <c r="M808" s="13"/>
    </row>
    <row r="809" customFormat="false" ht="15" hidden="false" customHeight="false" outlineLevel="0" collapsed="false">
      <c r="A809" s="13" t="s">
        <v>628</v>
      </c>
      <c r="B809" s="13" t="s">
        <v>627</v>
      </c>
      <c r="C809" s="13" t="s">
        <v>2258</v>
      </c>
      <c r="D809" s="13" t="s">
        <v>2270</v>
      </c>
      <c r="E809" s="13" t="s">
        <v>2271</v>
      </c>
      <c r="F809" s="13" t="s">
        <v>2289</v>
      </c>
      <c r="G809" s="61" t="n">
        <v>6174031651</v>
      </c>
      <c r="H809" s="13" t="s">
        <v>2255</v>
      </c>
      <c r="I809" s="13" t="s">
        <v>2273</v>
      </c>
      <c r="J809" s="13" t="n">
        <v>80</v>
      </c>
      <c r="K809" s="13" t="s">
        <v>2275</v>
      </c>
      <c r="L809" s="13" t="s">
        <v>2260</v>
      </c>
      <c r="M809" s="13"/>
    </row>
    <row r="810" customFormat="false" ht="15" hidden="false" customHeight="false" outlineLevel="0" collapsed="false">
      <c r="A810" s="13" t="s">
        <v>628</v>
      </c>
      <c r="B810" s="13" t="s">
        <v>627</v>
      </c>
      <c r="C810" s="13" t="s">
        <v>2261</v>
      </c>
      <c r="D810" s="13" t="s">
        <v>2270</v>
      </c>
      <c r="E810" s="13" t="s">
        <v>2271</v>
      </c>
      <c r="F810" s="13" t="s">
        <v>2289</v>
      </c>
      <c r="G810" s="61" t="n">
        <v>7528190908</v>
      </c>
      <c r="H810" s="13" t="s">
        <v>2255</v>
      </c>
      <c r="I810" s="13" t="s">
        <v>2273</v>
      </c>
      <c r="J810" s="13" t="n">
        <v>79</v>
      </c>
      <c r="K810" s="13" t="s">
        <v>2276</v>
      </c>
      <c r="L810" s="13" t="s">
        <v>2263</v>
      </c>
      <c r="M810" s="13"/>
    </row>
    <row r="811" customFormat="false" ht="15" hidden="false" customHeight="false" outlineLevel="0" collapsed="false">
      <c r="A811" s="13" t="s">
        <v>628</v>
      </c>
      <c r="B811" s="13" t="s">
        <v>627</v>
      </c>
      <c r="C811" s="13" t="s">
        <v>2264</v>
      </c>
      <c r="D811" s="13" t="s">
        <v>2270</v>
      </c>
      <c r="E811" s="13" t="s">
        <v>2271</v>
      </c>
      <c r="F811" s="13" t="s">
        <v>2289</v>
      </c>
      <c r="G811" s="61" t="n">
        <v>6480742292</v>
      </c>
      <c r="H811" s="13" t="s">
        <v>2255</v>
      </c>
      <c r="I811" s="13" t="s">
        <v>2273</v>
      </c>
      <c r="J811" s="13" t="n">
        <v>79</v>
      </c>
      <c r="K811" s="13" t="s">
        <v>2277</v>
      </c>
      <c r="L811" s="13" t="s">
        <v>2265</v>
      </c>
      <c r="M811" s="13"/>
    </row>
    <row r="812" customFormat="false" ht="15" hidden="false" customHeight="false" outlineLevel="0" collapsed="false">
      <c r="A812" s="13" t="s">
        <v>628</v>
      </c>
      <c r="B812" s="13" t="s">
        <v>627</v>
      </c>
      <c r="C812" s="13" t="s">
        <v>2266</v>
      </c>
      <c r="D812" s="13" t="s">
        <v>2270</v>
      </c>
      <c r="E812" s="13" t="s">
        <v>2271</v>
      </c>
      <c r="F812" s="13" t="s">
        <v>2289</v>
      </c>
      <c r="G812" s="61" t="n">
        <v>5183450111</v>
      </c>
      <c r="H812" s="13" t="s">
        <v>2255</v>
      </c>
      <c r="I812" s="13" t="s">
        <v>2273</v>
      </c>
      <c r="J812" s="13" t="n">
        <v>80</v>
      </c>
      <c r="K812" s="13" t="s">
        <v>2278</v>
      </c>
      <c r="L812" s="13" t="s">
        <v>2265</v>
      </c>
      <c r="M812" s="13"/>
    </row>
    <row r="813" customFormat="false" ht="15" hidden="false" customHeight="false" outlineLevel="0" collapsed="false">
      <c r="A813" s="13" t="s">
        <v>628</v>
      </c>
      <c r="B813" s="13" t="s">
        <v>627</v>
      </c>
      <c r="C813" s="13" t="s">
        <v>2267</v>
      </c>
      <c r="D813" s="13" t="s">
        <v>2270</v>
      </c>
      <c r="E813" s="13" t="s">
        <v>2271</v>
      </c>
      <c r="F813" s="13" t="s">
        <v>2289</v>
      </c>
      <c r="G813" s="61" t="n">
        <v>4971190823</v>
      </c>
      <c r="H813" s="13" t="s">
        <v>2255</v>
      </c>
      <c r="I813" s="13" t="s">
        <v>2273</v>
      </c>
      <c r="J813" s="13" t="n">
        <v>80</v>
      </c>
      <c r="K813" s="13" t="s">
        <v>2278</v>
      </c>
      <c r="L813" s="13" t="s">
        <v>2265</v>
      </c>
      <c r="M813" s="13"/>
    </row>
    <row r="814" customFormat="false" ht="15" hidden="false" customHeight="false" outlineLevel="0" collapsed="false">
      <c r="A814" s="13" t="s">
        <v>628</v>
      </c>
      <c r="B814" s="13" t="s">
        <v>627</v>
      </c>
      <c r="C814" s="13" t="s">
        <v>2254</v>
      </c>
      <c r="D814" s="13" t="s">
        <v>2270</v>
      </c>
      <c r="E814" s="13" t="s">
        <v>2271</v>
      </c>
      <c r="F814" s="13" t="s">
        <v>2290</v>
      </c>
      <c r="G814" s="61" t="n">
        <v>1166562641077</v>
      </c>
      <c r="H814" s="13" t="s">
        <v>2255</v>
      </c>
      <c r="I814" s="13" t="s">
        <v>2273</v>
      </c>
      <c r="J814" s="13" t="n">
        <v>66</v>
      </c>
      <c r="K814" s="13" t="s">
        <v>2274</v>
      </c>
      <c r="L814" s="13" t="s">
        <v>2257</v>
      </c>
      <c r="M814" s="13"/>
    </row>
    <row r="815" customFormat="false" ht="15" hidden="false" customHeight="false" outlineLevel="0" collapsed="false">
      <c r="A815" s="13" t="s">
        <v>628</v>
      </c>
      <c r="B815" s="13" t="s">
        <v>627</v>
      </c>
      <c r="C815" s="13" t="s">
        <v>2258</v>
      </c>
      <c r="D815" s="13" t="s">
        <v>2270</v>
      </c>
      <c r="E815" s="13" t="s">
        <v>2271</v>
      </c>
      <c r="F815" s="13" t="s">
        <v>2290</v>
      </c>
      <c r="G815" s="61" t="n">
        <v>1946822359466</v>
      </c>
      <c r="H815" s="13" t="s">
        <v>2255</v>
      </c>
      <c r="I815" s="13" t="s">
        <v>2273</v>
      </c>
      <c r="J815" s="13" t="n">
        <v>80</v>
      </c>
      <c r="K815" s="13" t="s">
        <v>2275</v>
      </c>
      <c r="L815" s="13" t="s">
        <v>2260</v>
      </c>
      <c r="M815" s="13"/>
    </row>
    <row r="816" customFormat="false" ht="15" hidden="false" customHeight="false" outlineLevel="0" collapsed="false">
      <c r="A816" s="13" t="s">
        <v>628</v>
      </c>
      <c r="B816" s="13" t="s">
        <v>627</v>
      </c>
      <c r="C816" s="13" t="s">
        <v>2261</v>
      </c>
      <c r="D816" s="13" t="s">
        <v>2270</v>
      </c>
      <c r="E816" s="13" t="s">
        <v>2271</v>
      </c>
      <c r="F816" s="13" t="s">
        <v>2290</v>
      </c>
      <c r="G816" s="61" t="n">
        <v>1719842151119</v>
      </c>
      <c r="H816" s="13" t="s">
        <v>2255</v>
      </c>
      <c r="I816" s="13" t="s">
        <v>2273</v>
      </c>
      <c r="J816" s="13" t="n">
        <v>79</v>
      </c>
      <c r="K816" s="13" t="s">
        <v>2276</v>
      </c>
      <c r="L816" s="13" t="s">
        <v>2263</v>
      </c>
      <c r="M816" s="13"/>
    </row>
    <row r="817" customFormat="false" ht="15" hidden="false" customHeight="false" outlineLevel="0" collapsed="false">
      <c r="A817" s="13" t="s">
        <v>628</v>
      </c>
      <c r="B817" s="13" t="s">
        <v>627</v>
      </c>
      <c r="C817" s="13" t="s">
        <v>2264</v>
      </c>
      <c r="D817" s="13" t="s">
        <v>2270</v>
      </c>
      <c r="E817" s="13" t="s">
        <v>2271</v>
      </c>
      <c r="F817" s="13" t="s">
        <v>2290</v>
      </c>
      <c r="G817" s="61" t="n">
        <v>1558974602697</v>
      </c>
      <c r="H817" s="13" t="s">
        <v>2255</v>
      </c>
      <c r="I817" s="13" t="s">
        <v>2273</v>
      </c>
      <c r="J817" s="13" t="n">
        <v>79</v>
      </c>
      <c r="K817" s="13" t="s">
        <v>2277</v>
      </c>
      <c r="L817" s="13" t="s">
        <v>2265</v>
      </c>
      <c r="M817" s="13"/>
    </row>
    <row r="818" customFormat="false" ht="15" hidden="false" customHeight="false" outlineLevel="0" collapsed="false">
      <c r="A818" s="13" t="s">
        <v>628</v>
      </c>
      <c r="B818" s="13" t="s">
        <v>627</v>
      </c>
      <c r="C818" s="13" t="s">
        <v>2266</v>
      </c>
      <c r="D818" s="13" t="s">
        <v>2270</v>
      </c>
      <c r="E818" s="13" t="s">
        <v>2271</v>
      </c>
      <c r="F818" s="13" t="s">
        <v>2290</v>
      </c>
      <c r="G818" s="61" t="n">
        <v>1653463874571</v>
      </c>
      <c r="H818" s="13" t="s">
        <v>2255</v>
      </c>
      <c r="I818" s="13" t="s">
        <v>2273</v>
      </c>
      <c r="J818" s="13" t="n">
        <v>80</v>
      </c>
      <c r="K818" s="13" t="s">
        <v>2278</v>
      </c>
      <c r="L818" s="13" t="s">
        <v>2265</v>
      </c>
      <c r="M818" s="13"/>
    </row>
    <row r="819" customFormat="false" ht="15" hidden="false" customHeight="false" outlineLevel="0" collapsed="false">
      <c r="A819" s="13" t="s">
        <v>628</v>
      </c>
      <c r="B819" s="13" t="s">
        <v>627</v>
      </c>
      <c r="C819" s="13" t="s">
        <v>2267</v>
      </c>
      <c r="D819" s="13" t="s">
        <v>2270</v>
      </c>
      <c r="E819" s="13" t="s">
        <v>2271</v>
      </c>
      <c r="F819" s="13" t="s">
        <v>2290</v>
      </c>
      <c r="G819" s="61" t="n">
        <v>1723351622445</v>
      </c>
      <c r="H819" s="13" t="s">
        <v>2255</v>
      </c>
      <c r="I819" s="13" t="s">
        <v>2273</v>
      </c>
      <c r="J819" s="13" t="n">
        <v>80</v>
      </c>
      <c r="K819" s="13" t="s">
        <v>2278</v>
      </c>
      <c r="L819" s="13" t="s">
        <v>2265</v>
      </c>
      <c r="M819" s="13"/>
    </row>
    <row r="820" customFormat="false" ht="15" hidden="false" customHeight="false" outlineLevel="0" collapsed="false">
      <c r="A820" s="13" t="s">
        <v>628</v>
      </c>
      <c r="B820" s="13" t="s">
        <v>627</v>
      </c>
      <c r="C820" s="13" t="s">
        <v>2254</v>
      </c>
      <c r="D820" s="13" t="s">
        <v>2270</v>
      </c>
      <c r="E820" s="13" t="s">
        <v>2291</v>
      </c>
      <c r="F820" s="13" t="s">
        <v>110</v>
      </c>
      <c r="G820" s="61" t="n">
        <v>-18418259365</v>
      </c>
      <c r="H820" s="13" t="s">
        <v>2255</v>
      </c>
      <c r="I820" s="13" t="s">
        <v>2273</v>
      </c>
      <c r="J820" s="13" t="n">
        <v>66</v>
      </c>
      <c r="K820" s="13" t="s">
        <v>2274</v>
      </c>
      <c r="L820" s="13" t="s">
        <v>2257</v>
      </c>
      <c r="M820" s="13"/>
    </row>
    <row r="821" customFormat="false" ht="15" hidden="false" customHeight="false" outlineLevel="0" collapsed="false">
      <c r="A821" s="13" t="s">
        <v>628</v>
      </c>
      <c r="B821" s="13" t="s">
        <v>627</v>
      </c>
      <c r="C821" s="13" t="s">
        <v>2258</v>
      </c>
      <c r="D821" s="13" t="s">
        <v>2270</v>
      </c>
      <c r="E821" s="13" t="s">
        <v>2291</v>
      </c>
      <c r="F821" s="13" t="s">
        <v>110</v>
      </c>
      <c r="G821" s="61" t="n">
        <v>-56022083719</v>
      </c>
      <c r="H821" s="13" t="s">
        <v>2255</v>
      </c>
      <c r="I821" s="13" t="s">
        <v>2273</v>
      </c>
      <c r="J821" s="13" t="n">
        <v>80</v>
      </c>
      <c r="K821" s="13" t="s">
        <v>2275</v>
      </c>
      <c r="L821" s="13" t="s">
        <v>2260</v>
      </c>
      <c r="M821" s="13"/>
    </row>
    <row r="822" customFormat="false" ht="15" hidden="false" customHeight="false" outlineLevel="0" collapsed="false">
      <c r="A822" s="13" t="s">
        <v>628</v>
      </c>
      <c r="B822" s="13" t="s">
        <v>627</v>
      </c>
      <c r="C822" s="13" t="s">
        <v>2261</v>
      </c>
      <c r="D822" s="13" t="s">
        <v>2270</v>
      </c>
      <c r="E822" s="13" t="s">
        <v>2291</v>
      </c>
      <c r="F822" s="13" t="s">
        <v>110</v>
      </c>
      <c r="G822" s="61" t="n">
        <v>-61154239897</v>
      </c>
      <c r="H822" s="13" t="s">
        <v>2255</v>
      </c>
      <c r="I822" s="13" t="s">
        <v>2273</v>
      </c>
      <c r="J822" s="13" t="n">
        <v>79</v>
      </c>
      <c r="K822" s="13" t="s">
        <v>2276</v>
      </c>
      <c r="L822" s="13" t="s">
        <v>2263</v>
      </c>
      <c r="M822" s="13"/>
    </row>
    <row r="823" customFormat="false" ht="15" hidden="false" customHeight="false" outlineLevel="0" collapsed="false">
      <c r="A823" s="13" t="s">
        <v>628</v>
      </c>
      <c r="B823" s="13" t="s">
        <v>627</v>
      </c>
      <c r="C823" s="13" t="s">
        <v>2264</v>
      </c>
      <c r="D823" s="13" t="s">
        <v>2270</v>
      </c>
      <c r="E823" s="13" t="s">
        <v>2291</v>
      </c>
      <c r="F823" s="13" t="s">
        <v>110</v>
      </c>
      <c r="G823" s="61" t="n">
        <v>-70777119326</v>
      </c>
      <c r="H823" s="13" t="s">
        <v>2255</v>
      </c>
      <c r="I823" s="13" t="s">
        <v>2273</v>
      </c>
      <c r="J823" s="13" t="n">
        <v>79</v>
      </c>
      <c r="K823" s="13" t="s">
        <v>2277</v>
      </c>
      <c r="L823" s="13" t="s">
        <v>2265</v>
      </c>
      <c r="M823" s="13"/>
    </row>
    <row r="824" customFormat="false" ht="15" hidden="false" customHeight="false" outlineLevel="0" collapsed="false">
      <c r="A824" s="13" t="s">
        <v>628</v>
      </c>
      <c r="B824" s="13" t="s">
        <v>627</v>
      </c>
      <c r="C824" s="13" t="s">
        <v>2266</v>
      </c>
      <c r="D824" s="13" t="s">
        <v>2270</v>
      </c>
      <c r="E824" s="13" t="s">
        <v>2291</v>
      </c>
      <c r="F824" s="13" t="s">
        <v>110</v>
      </c>
      <c r="G824" s="61" t="n">
        <v>-98778864235</v>
      </c>
      <c r="H824" s="13" t="s">
        <v>2255</v>
      </c>
      <c r="I824" s="13" t="s">
        <v>2273</v>
      </c>
      <c r="J824" s="13" t="n">
        <v>80</v>
      </c>
      <c r="K824" s="13" t="s">
        <v>2278</v>
      </c>
      <c r="L824" s="13" t="s">
        <v>2265</v>
      </c>
      <c r="M824" s="13"/>
    </row>
    <row r="825" customFormat="false" ht="15" hidden="false" customHeight="false" outlineLevel="0" collapsed="false">
      <c r="A825" s="13" t="s">
        <v>628</v>
      </c>
      <c r="B825" s="13" t="s">
        <v>627</v>
      </c>
      <c r="C825" s="13" t="s">
        <v>2267</v>
      </c>
      <c r="D825" s="13" t="s">
        <v>2270</v>
      </c>
      <c r="E825" s="13" t="s">
        <v>2291</v>
      </c>
      <c r="F825" s="13" t="s">
        <v>110</v>
      </c>
      <c r="G825" s="61" t="n">
        <v>-109010850933</v>
      </c>
      <c r="H825" s="13" t="s">
        <v>2255</v>
      </c>
      <c r="I825" s="13" t="s">
        <v>2273</v>
      </c>
      <c r="J825" s="13" t="n">
        <v>80</v>
      </c>
      <c r="K825" s="13" t="s">
        <v>2278</v>
      </c>
      <c r="L825" s="13" t="s">
        <v>2265</v>
      </c>
      <c r="M825" s="13"/>
    </row>
    <row r="826" customFormat="false" ht="15" hidden="false" customHeight="false" outlineLevel="0" collapsed="false">
      <c r="A826" s="13" t="s">
        <v>628</v>
      </c>
      <c r="B826" s="13" t="s">
        <v>627</v>
      </c>
      <c r="C826" s="13" t="s">
        <v>2254</v>
      </c>
      <c r="D826" s="13" t="s">
        <v>2270</v>
      </c>
      <c r="E826" s="13" t="s">
        <v>2291</v>
      </c>
      <c r="F826" s="13" t="s">
        <v>137</v>
      </c>
      <c r="G826" s="61" t="n">
        <v>1148144381712</v>
      </c>
      <c r="H826" s="13" t="s">
        <v>2255</v>
      </c>
      <c r="I826" s="13" t="s">
        <v>2273</v>
      </c>
      <c r="J826" s="13" t="n">
        <v>66</v>
      </c>
      <c r="K826" s="13" t="s">
        <v>2274</v>
      </c>
      <c r="L826" s="13" t="s">
        <v>2257</v>
      </c>
      <c r="M826" s="13"/>
    </row>
    <row r="827" customFormat="false" ht="15" hidden="false" customHeight="false" outlineLevel="0" collapsed="false">
      <c r="A827" s="13" t="s">
        <v>628</v>
      </c>
      <c r="B827" s="13" t="s">
        <v>627</v>
      </c>
      <c r="C827" s="13" t="s">
        <v>2258</v>
      </c>
      <c r="D827" s="13" t="s">
        <v>2270</v>
      </c>
      <c r="E827" s="13" t="s">
        <v>2291</v>
      </c>
      <c r="F827" s="13" t="s">
        <v>137</v>
      </c>
      <c r="G827" s="61" t="n">
        <v>1890800275747</v>
      </c>
      <c r="H827" s="13" t="s">
        <v>2255</v>
      </c>
      <c r="I827" s="13" t="s">
        <v>2273</v>
      </c>
      <c r="J827" s="13" t="n">
        <v>80</v>
      </c>
      <c r="K827" s="13" t="s">
        <v>2275</v>
      </c>
      <c r="L827" s="13" t="s">
        <v>2260</v>
      </c>
      <c r="M827" s="13"/>
    </row>
    <row r="828" customFormat="false" ht="15" hidden="false" customHeight="false" outlineLevel="0" collapsed="false">
      <c r="A828" s="13" t="s">
        <v>628</v>
      </c>
      <c r="B828" s="13" t="s">
        <v>627</v>
      </c>
      <c r="C828" s="13" t="s">
        <v>2261</v>
      </c>
      <c r="D828" s="13" t="s">
        <v>2270</v>
      </c>
      <c r="E828" s="13" t="s">
        <v>2291</v>
      </c>
      <c r="F828" s="13" t="s">
        <v>137</v>
      </c>
      <c r="G828" s="61" t="n">
        <v>1658687911222</v>
      </c>
      <c r="H828" s="13" t="s">
        <v>2255</v>
      </c>
      <c r="I828" s="13" t="s">
        <v>2273</v>
      </c>
      <c r="J828" s="13" t="n">
        <v>79</v>
      </c>
      <c r="K828" s="13" t="s">
        <v>2276</v>
      </c>
      <c r="L828" s="13" t="s">
        <v>2263</v>
      </c>
      <c r="M828" s="13"/>
    </row>
    <row r="829" customFormat="false" ht="15" hidden="false" customHeight="false" outlineLevel="0" collapsed="false">
      <c r="A829" s="13" t="s">
        <v>628</v>
      </c>
      <c r="B829" s="13" t="s">
        <v>627</v>
      </c>
      <c r="C829" s="13" t="s">
        <v>2264</v>
      </c>
      <c r="D829" s="13" t="s">
        <v>2270</v>
      </c>
      <c r="E829" s="13" t="s">
        <v>2291</v>
      </c>
      <c r="F829" s="13" t="s">
        <v>137</v>
      </c>
      <c r="G829" s="61" t="n">
        <v>1488197483371</v>
      </c>
      <c r="H829" s="13" t="s">
        <v>2255</v>
      </c>
      <c r="I829" s="13" t="s">
        <v>2273</v>
      </c>
      <c r="J829" s="13" t="n">
        <v>79</v>
      </c>
      <c r="K829" s="13" t="s">
        <v>2277</v>
      </c>
      <c r="L829" s="13" t="s">
        <v>2265</v>
      </c>
      <c r="M829" s="13"/>
    </row>
    <row r="830" customFormat="false" ht="15" hidden="false" customHeight="false" outlineLevel="0" collapsed="false">
      <c r="A830" s="13" t="s">
        <v>628</v>
      </c>
      <c r="B830" s="13" t="s">
        <v>627</v>
      </c>
      <c r="C830" s="13" t="s">
        <v>2266</v>
      </c>
      <c r="D830" s="13" t="s">
        <v>2270</v>
      </c>
      <c r="E830" s="13" t="s">
        <v>2291</v>
      </c>
      <c r="F830" s="13" t="s">
        <v>137</v>
      </c>
      <c r="G830" s="61" t="n">
        <v>1554685010336</v>
      </c>
      <c r="H830" s="13" t="s">
        <v>2255</v>
      </c>
      <c r="I830" s="13" t="s">
        <v>2273</v>
      </c>
      <c r="J830" s="13" t="n">
        <v>80</v>
      </c>
      <c r="K830" s="13" t="s">
        <v>2278</v>
      </c>
      <c r="L830" s="13" t="s">
        <v>2265</v>
      </c>
      <c r="M830" s="13"/>
    </row>
    <row r="831" customFormat="false" ht="15" hidden="false" customHeight="false" outlineLevel="0" collapsed="false">
      <c r="A831" s="13" t="s">
        <v>628</v>
      </c>
      <c r="B831" s="13" t="s">
        <v>627</v>
      </c>
      <c r="C831" s="13" t="s">
        <v>2267</v>
      </c>
      <c r="D831" s="13" t="s">
        <v>2270</v>
      </c>
      <c r="E831" s="13" t="s">
        <v>2291</v>
      </c>
      <c r="F831" s="13" t="s">
        <v>137</v>
      </c>
      <c r="G831" s="61" t="n">
        <v>1614340771512</v>
      </c>
      <c r="H831" s="13" t="s">
        <v>2255</v>
      </c>
      <c r="I831" s="13" t="s">
        <v>2273</v>
      </c>
      <c r="J831" s="13" t="n">
        <v>80</v>
      </c>
      <c r="K831" s="13" t="s">
        <v>2278</v>
      </c>
      <c r="L831" s="13" t="s">
        <v>2265</v>
      </c>
      <c r="M831" s="13"/>
    </row>
    <row r="832" customFormat="false" ht="15" hidden="false" customHeight="false" outlineLevel="0" collapsed="false">
      <c r="A832" s="13" t="s">
        <v>628</v>
      </c>
      <c r="B832" s="13" t="s">
        <v>627</v>
      </c>
      <c r="C832" s="13" t="s">
        <v>2254</v>
      </c>
      <c r="D832" s="13" t="s">
        <v>2270</v>
      </c>
      <c r="E832" s="13" t="s">
        <v>2292</v>
      </c>
      <c r="F832" s="13" t="s">
        <v>2293</v>
      </c>
      <c r="G832" s="61" t="n">
        <v>1143751858222</v>
      </c>
      <c r="H832" s="13" t="s">
        <v>2255</v>
      </c>
      <c r="I832" s="13" t="s">
        <v>2294</v>
      </c>
      <c r="J832" s="13" t="n">
        <v>7</v>
      </c>
      <c r="K832" s="13" t="s">
        <v>2274</v>
      </c>
      <c r="L832" s="13" t="s">
        <v>2257</v>
      </c>
      <c r="M832" s="13"/>
    </row>
    <row r="833" customFormat="false" ht="15" hidden="false" customHeight="false" outlineLevel="0" collapsed="false">
      <c r="A833" s="13" t="s">
        <v>628</v>
      </c>
      <c r="B833" s="13" t="s">
        <v>627</v>
      </c>
      <c r="C833" s="13" t="s">
        <v>2258</v>
      </c>
      <c r="D833" s="13" t="s">
        <v>2270</v>
      </c>
      <c r="E833" s="13" t="s">
        <v>2292</v>
      </c>
      <c r="F833" s="13" t="s">
        <v>2293</v>
      </c>
      <c r="G833" s="61" t="n">
        <v>1692082925326</v>
      </c>
      <c r="H833" s="13" t="s">
        <v>2255</v>
      </c>
      <c r="I833" s="13" t="s">
        <v>2294</v>
      </c>
      <c r="J833" s="13" t="n">
        <v>7</v>
      </c>
      <c r="K833" s="13" t="s">
        <v>2275</v>
      </c>
      <c r="L833" s="13" t="s">
        <v>2260</v>
      </c>
      <c r="M833" s="13"/>
    </row>
    <row r="834" customFormat="false" ht="15" hidden="false" customHeight="false" outlineLevel="0" collapsed="false">
      <c r="A834" s="13" t="s">
        <v>628</v>
      </c>
      <c r="B834" s="13" t="s">
        <v>627</v>
      </c>
      <c r="C834" s="13" t="s">
        <v>2266</v>
      </c>
      <c r="D834" s="13" t="s">
        <v>2270</v>
      </c>
      <c r="E834" s="13" t="s">
        <v>2292</v>
      </c>
      <c r="F834" s="13" t="s">
        <v>2293</v>
      </c>
      <c r="G834" s="61" t="n">
        <v>1645708325784</v>
      </c>
      <c r="H834" s="13" t="s">
        <v>2255</v>
      </c>
      <c r="I834" s="13" t="s">
        <v>2294</v>
      </c>
      <c r="J834" s="13" t="s">
        <v>2295</v>
      </c>
      <c r="K834" s="13" t="s">
        <v>2278</v>
      </c>
      <c r="L834" s="13" t="s">
        <v>2265</v>
      </c>
      <c r="M834" s="13"/>
    </row>
    <row r="835" customFormat="false" ht="15" hidden="false" customHeight="false" outlineLevel="0" collapsed="false">
      <c r="A835" s="13" t="s">
        <v>628</v>
      </c>
      <c r="B835" s="13" t="s">
        <v>627</v>
      </c>
      <c r="C835" s="13" t="s">
        <v>2267</v>
      </c>
      <c r="D835" s="13" t="s">
        <v>2270</v>
      </c>
      <c r="E835" s="13" t="s">
        <v>2292</v>
      </c>
      <c r="F835" s="13" t="s">
        <v>2293</v>
      </c>
      <c r="G835" s="61" t="n">
        <v>1662421301625</v>
      </c>
      <c r="H835" s="13" t="s">
        <v>2255</v>
      </c>
      <c r="I835" s="13" t="s">
        <v>2294</v>
      </c>
      <c r="J835" s="13" t="s">
        <v>2295</v>
      </c>
      <c r="K835" s="13" t="s">
        <v>2278</v>
      </c>
      <c r="L835" s="13" t="s">
        <v>2265</v>
      </c>
      <c r="M835" s="13"/>
    </row>
    <row r="836" customFormat="false" ht="15" hidden="false" customHeight="false" outlineLevel="0" collapsed="false">
      <c r="A836" s="13" t="s">
        <v>628</v>
      </c>
      <c r="B836" s="13" t="s">
        <v>627</v>
      </c>
      <c r="C836" s="13" t="s">
        <v>2254</v>
      </c>
      <c r="D836" s="13" t="s">
        <v>2270</v>
      </c>
      <c r="E836" s="13" t="s">
        <v>2296</v>
      </c>
      <c r="F836" s="13" t="s">
        <v>2293</v>
      </c>
      <c r="G836" s="61" t="n">
        <v>128427854974</v>
      </c>
      <c r="H836" s="13" t="s">
        <v>2255</v>
      </c>
      <c r="I836" s="13" t="s">
        <v>2294</v>
      </c>
      <c r="J836" s="13" t="n">
        <v>7</v>
      </c>
      <c r="K836" s="13" t="s">
        <v>2274</v>
      </c>
      <c r="L836" s="13" t="s">
        <v>2257</v>
      </c>
      <c r="M836" s="13"/>
    </row>
    <row r="837" customFormat="false" ht="15" hidden="false" customHeight="false" outlineLevel="0" collapsed="false">
      <c r="A837" s="13" t="s">
        <v>628</v>
      </c>
      <c r="B837" s="13" t="s">
        <v>627</v>
      </c>
      <c r="C837" s="13" t="s">
        <v>2258</v>
      </c>
      <c r="D837" s="13" t="s">
        <v>2270</v>
      </c>
      <c r="E837" s="13" t="s">
        <v>2296</v>
      </c>
      <c r="F837" s="13" t="s">
        <v>2293</v>
      </c>
      <c r="G837" s="61" t="n">
        <v>182559081431</v>
      </c>
      <c r="H837" s="13" t="s">
        <v>2255</v>
      </c>
      <c r="I837" s="13" t="s">
        <v>2294</v>
      </c>
      <c r="J837" s="13" t="n">
        <v>7</v>
      </c>
      <c r="K837" s="13" t="s">
        <v>2275</v>
      </c>
      <c r="L837" s="13" t="s">
        <v>2260</v>
      </c>
      <c r="M837" s="13"/>
    </row>
    <row r="838" customFormat="false" ht="15" hidden="false" customHeight="false" outlineLevel="0" collapsed="false">
      <c r="A838" s="13" t="s">
        <v>628</v>
      </c>
      <c r="B838" s="13" t="s">
        <v>627</v>
      </c>
      <c r="C838" s="13" t="s">
        <v>2266</v>
      </c>
      <c r="D838" s="13" t="s">
        <v>2270</v>
      </c>
      <c r="E838" s="13" t="s">
        <v>2296</v>
      </c>
      <c r="F838" s="13" t="s">
        <v>2293</v>
      </c>
      <c r="G838" s="61" t="n">
        <v>175347264944</v>
      </c>
      <c r="H838" s="13" t="s">
        <v>2255</v>
      </c>
      <c r="I838" s="13" t="s">
        <v>2294</v>
      </c>
      <c r="J838" s="13" t="s">
        <v>2295</v>
      </c>
      <c r="K838" s="13" t="s">
        <v>2278</v>
      </c>
      <c r="L838" s="13" t="s">
        <v>2265</v>
      </c>
      <c r="M838" s="13"/>
    </row>
    <row r="839" customFormat="false" ht="15" hidden="false" customHeight="false" outlineLevel="0" collapsed="false">
      <c r="A839" s="13" t="s">
        <v>628</v>
      </c>
      <c r="B839" s="13" t="s">
        <v>627</v>
      </c>
      <c r="C839" s="13" t="s">
        <v>2267</v>
      </c>
      <c r="D839" s="13" t="s">
        <v>2270</v>
      </c>
      <c r="E839" s="13" t="s">
        <v>2296</v>
      </c>
      <c r="F839" s="13" t="s">
        <v>2293</v>
      </c>
      <c r="G839" s="61" t="n">
        <v>211180133646</v>
      </c>
      <c r="H839" s="13" t="s">
        <v>2255</v>
      </c>
      <c r="I839" s="13" t="s">
        <v>2294</v>
      </c>
      <c r="J839" s="13" t="s">
        <v>2295</v>
      </c>
      <c r="K839" s="13" t="s">
        <v>2278</v>
      </c>
      <c r="L839" s="13" t="s">
        <v>2265</v>
      </c>
      <c r="M839" s="13"/>
    </row>
    <row r="840" customFormat="false" ht="15" hidden="false" customHeight="false" outlineLevel="0" collapsed="false">
      <c r="A840" s="13" t="s">
        <v>628</v>
      </c>
      <c r="B840" s="13" t="s">
        <v>627</v>
      </c>
      <c r="C840" s="13" t="s">
        <v>2254</v>
      </c>
      <c r="D840" s="13" t="s">
        <v>2270</v>
      </c>
      <c r="E840" s="13" t="s">
        <v>2297</v>
      </c>
      <c r="F840" s="13" t="s">
        <v>2293</v>
      </c>
      <c r="G840" s="61" t="n">
        <v>-124035331484</v>
      </c>
      <c r="H840" s="13" t="s">
        <v>2255</v>
      </c>
      <c r="I840" s="13" t="s">
        <v>2294</v>
      </c>
      <c r="J840" s="13" t="n">
        <v>7</v>
      </c>
      <c r="K840" s="13" t="s">
        <v>2274</v>
      </c>
      <c r="L840" s="13" t="s">
        <v>2257</v>
      </c>
      <c r="M840" s="13"/>
    </row>
    <row r="841" customFormat="false" ht="15" hidden="false" customHeight="false" outlineLevel="0" collapsed="false">
      <c r="A841" s="13" t="s">
        <v>628</v>
      </c>
      <c r="B841" s="13" t="s">
        <v>627</v>
      </c>
      <c r="C841" s="13" t="s">
        <v>2258</v>
      </c>
      <c r="D841" s="13" t="s">
        <v>2270</v>
      </c>
      <c r="E841" s="13" t="s">
        <v>2297</v>
      </c>
      <c r="F841" s="13" t="s">
        <v>2293</v>
      </c>
      <c r="G841" s="61" t="n">
        <v>-163882790961</v>
      </c>
      <c r="H841" s="13" t="s">
        <v>2255</v>
      </c>
      <c r="I841" s="13" t="s">
        <v>2294</v>
      </c>
      <c r="J841" s="13" t="n">
        <v>7</v>
      </c>
      <c r="K841" s="13" t="s">
        <v>2275</v>
      </c>
      <c r="L841" s="13" t="s">
        <v>2260</v>
      </c>
      <c r="M841" s="13"/>
    </row>
    <row r="842" customFormat="false" ht="15" hidden="false" customHeight="false" outlineLevel="0" collapsed="false">
      <c r="A842" s="13" t="s">
        <v>628</v>
      </c>
      <c r="B842" s="13" t="s">
        <v>627</v>
      </c>
      <c r="C842" s="13" t="s">
        <v>2266</v>
      </c>
      <c r="D842" s="13" t="s">
        <v>2270</v>
      </c>
      <c r="E842" s="13" t="s">
        <v>2297</v>
      </c>
      <c r="F842" s="13" t="s">
        <v>2293</v>
      </c>
      <c r="G842" s="61" t="n">
        <v>-266370580392</v>
      </c>
      <c r="H842" s="13" t="s">
        <v>2255</v>
      </c>
      <c r="I842" s="13" t="s">
        <v>2294</v>
      </c>
      <c r="J842" s="13" t="s">
        <v>2295</v>
      </c>
      <c r="K842" s="13" t="s">
        <v>2278</v>
      </c>
      <c r="L842" s="13" t="s">
        <v>2265</v>
      </c>
      <c r="M842" s="13"/>
    </row>
    <row r="843" customFormat="false" ht="15" hidden="false" customHeight="false" outlineLevel="0" collapsed="false">
      <c r="A843" s="13" t="s">
        <v>628</v>
      </c>
      <c r="B843" s="13" t="s">
        <v>627</v>
      </c>
      <c r="C843" s="13" t="s">
        <v>2267</v>
      </c>
      <c r="D843" s="13" t="s">
        <v>2270</v>
      </c>
      <c r="E843" s="13" t="s">
        <v>2297</v>
      </c>
      <c r="F843" s="13" t="s">
        <v>2293</v>
      </c>
      <c r="G843" s="61" t="n">
        <v>-259260663759</v>
      </c>
      <c r="H843" s="13" t="s">
        <v>2255</v>
      </c>
      <c r="I843" s="13" t="s">
        <v>2294</v>
      </c>
      <c r="J843" s="13" t="s">
        <v>2295</v>
      </c>
      <c r="K843" s="13" t="s">
        <v>2278</v>
      </c>
      <c r="L843" s="13" t="s">
        <v>2265</v>
      </c>
      <c r="M843" s="13"/>
    </row>
    <row r="844" customFormat="false" ht="15" hidden="false" customHeight="false" outlineLevel="0" collapsed="false">
      <c r="A844" s="13" t="s">
        <v>628</v>
      </c>
      <c r="B844" s="13" t="s">
        <v>627</v>
      </c>
      <c r="C844" s="13" t="s">
        <v>2254</v>
      </c>
      <c r="D844" s="13" t="s">
        <v>2270</v>
      </c>
      <c r="E844" s="13" t="s">
        <v>2298</v>
      </c>
      <c r="F844" s="13" t="s">
        <v>2293</v>
      </c>
      <c r="G844" s="61" t="n">
        <v>1148144381712</v>
      </c>
      <c r="H844" s="13" t="s">
        <v>2255</v>
      </c>
      <c r="I844" s="13" t="s">
        <v>2294</v>
      </c>
      <c r="J844" s="13" t="n">
        <v>7</v>
      </c>
      <c r="K844" s="13" t="s">
        <v>2274</v>
      </c>
      <c r="L844" s="13" t="s">
        <v>2257</v>
      </c>
      <c r="M844" s="13"/>
    </row>
    <row r="845" customFormat="false" ht="15" hidden="false" customHeight="false" outlineLevel="0" collapsed="false">
      <c r="A845" s="13" t="s">
        <v>628</v>
      </c>
      <c r="B845" s="13" t="s">
        <v>627</v>
      </c>
      <c r="C845" s="13" t="s">
        <v>2258</v>
      </c>
      <c r="D845" s="13" t="s">
        <v>2270</v>
      </c>
      <c r="E845" s="13" t="s">
        <v>2298</v>
      </c>
      <c r="F845" s="13" t="s">
        <v>2293</v>
      </c>
      <c r="G845" s="61" t="n">
        <v>1710759215796</v>
      </c>
      <c r="H845" s="13" t="s">
        <v>2255</v>
      </c>
      <c r="I845" s="13" t="s">
        <v>2294</v>
      </c>
      <c r="J845" s="13" t="n">
        <v>7</v>
      </c>
      <c r="K845" s="13" t="s">
        <v>2275</v>
      </c>
      <c r="L845" s="13" t="s">
        <v>2260</v>
      </c>
      <c r="M845" s="13"/>
    </row>
    <row r="846" customFormat="false" ht="15" hidden="false" customHeight="false" outlineLevel="0" collapsed="false">
      <c r="A846" s="13" t="s">
        <v>628</v>
      </c>
      <c r="B846" s="13" t="s">
        <v>627</v>
      </c>
      <c r="C846" s="13" t="s">
        <v>2266</v>
      </c>
      <c r="D846" s="13" t="s">
        <v>2270</v>
      </c>
      <c r="E846" s="13" t="s">
        <v>2298</v>
      </c>
      <c r="F846" s="13" t="s">
        <v>2293</v>
      </c>
      <c r="G846" s="61" t="n">
        <v>1554685010336</v>
      </c>
      <c r="H846" s="13" t="s">
        <v>2255</v>
      </c>
      <c r="I846" s="13" t="s">
        <v>2294</v>
      </c>
      <c r="J846" s="13" t="s">
        <v>2295</v>
      </c>
      <c r="K846" s="13" t="s">
        <v>2278</v>
      </c>
      <c r="L846" s="13" t="s">
        <v>2265</v>
      </c>
      <c r="M846" s="13"/>
    </row>
    <row r="847" customFormat="false" ht="15" hidden="false" customHeight="false" outlineLevel="0" collapsed="false">
      <c r="A847" s="13" t="s">
        <v>628</v>
      </c>
      <c r="B847" s="13" t="s">
        <v>627</v>
      </c>
      <c r="C847" s="13" t="s">
        <v>2267</v>
      </c>
      <c r="D847" s="13" t="s">
        <v>2270</v>
      </c>
      <c r="E847" s="13" t="s">
        <v>2298</v>
      </c>
      <c r="F847" s="13" t="s">
        <v>2293</v>
      </c>
      <c r="G847" s="61" t="n">
        <v>1614340771512</v>
      </c>
      <c r="H847" s="13" t="s">
        <v>2255</v>
      </c>
      <c r="I847" s="13" t="s">
        <v>2294</v>
      </c>
      <c r="J847" s="13" t="s">
        <v>2295</v>
      </c>
      <c r="K847" s="13" t="s">
        <v>2278</v>
      </c>
      <c r="L847" s="13" t="s">
        <v>2265</v>
      </c>
      <c r="M847" s="13"/>
    </row>
    <row r="848" customFormat="false" ht="15" hidden="false" customHeight="false" outlineLevel="0" collapsed="false">
      <c r="A848" s="13" t="s">
        <v>628</v>
      </c>
      <c r="B848" s="13" t="s">
        <v>627</v>
      </c>
      <c r="C848" s="13" t="s">
        <v>2254</v>
      </c>
      <c r="D848" s="13" t="s">
        <v>2270</v>
      </c>
      <c r="E848" s="13" t="s">
        <v>2292</v>
      </c>
      <c r="F848" s="13" t="s">
        <v>2299</v>
      </c>
      <c r="G848" s="61" t="n">
        <v>-665942672176</v>
      </c>
      <c r="H848" s="13" t="s">
        <v>2255</v>
      </c>
      <c r="I848" s="13" t="s">
        <v>2294</v>
      </c>
      <c r="J848" s="13" t="n">
        <v>7</v>
      </c>
      <c r="K848" s="13" t="s">
        <v>2274</v>
      </c>
      <c r="L848" s="13" t="s">
        <v>2257</v>
      </c>
      <c r="M848" s="13"/>
    </row>
    <row r="849" customFormat="false" ht="15" hidden="false" customHeight="false" outlineLevel="0" collapsed="false">
      <c r="A849" s="13" t="s">
        <v>628</v>
      </c>
      <c r="B849" s="13" t="s">
        <v>627</v>
      </c>
      <c r="C849" s="13" t="s">
        <v>2258</v>
      </c>
      <c r="D849" s="13" t="s">
        <v>2270</v>
      </c>
      <c r="E849" s="13" t="s">
        <v>2292</v>
      </c>
      <c r="F849" s="13" t="s">
        <v>2299</v>
      </c>
      <c r="G849" s="61" t="n">
        <v>-908625358650</v>
      </c>
      <c r="H849" s="13" t="s">
        <v>2255</v>
      </c>
      <c r="I849" s="13" t="s">
        <v>2294</v>
      </c>
      <c r="J849" s="13" t="n">
        <v>7</v>
      </c>
      <c r="K849" s="13" t="s">
        <v>2275</v>
      </c>
      <c r="L849" s="13" t="s">
        <v>2260</v>
      </c>
      <c r="M849" s="13"/>
    </row>
    <row r="850" customFormat="false" ht="15" hidden="false" customHeight="false" outlineLevel="0" collapsed="false">
      <c r="A850" s="13" t="s">
        <v>628</v>
      </c>
      <c r="B850" s="13" t="s">
        <v>627</v>
      </c>
      <c r="C850" s="13" t="s">
        <v>2266</v>
      </c>
      <c r="D850" s="13" t="s">
        <v>2270</v>
      </c>
      <c r="E850" s="13" t="s">
        <v>2292</v>
      </c>
      <c r="F850" s="13" t="s">
        <v>2299</v>
      </c>
      <c r="G850" s="61" t="n">
        <v>-954921020326</v>
      </c>
      <c r="H850" s="13" t="s">
        <v>2255</v>
      </c>
      <c r="I850" s="13" t="s">
        <v>2294</v>
      </c>
      <c r="J850" s="13" t="s">
        <v>2295</v>
      </c>
      <c r="K850" s="13" t="s">
        <v>2278</v>
      </c>
      <c r="L850" s="13" t="s">
        <v>2265</v>
      </c>
      <c r="M850" s="13"/>
    </row>
    <row r="851" customFormat="false" ht="15" hidden="false" customHeight="false" outlineLevel="0" collapsed="false">
      <c r="A851" s="13" t="s">
        <v>628</v>
      </c>
      <c r="B851" s="13" t="s">
        <v>627</v>
      </c>
      <c r="C851" s="13" t="s">
        <v>2267</v>
      </c>
      <c r="D851" s="13" t="s">
        <v>2270</v>
      </c>
      <c r="E851" s="13" t="s">
        <v>2292</v>
      </c>
      <c r="F851" s="13" t="s">
        <v>2299</v>
      </c>
      <c r="G851" s="61" t="n">
        <v>-939313766604</v>
      </c>
      <c r="H851" s="13" t="s">
        <v>2255</v>
      </c>
      <c r="I851" s="13" t="s">
        <v>2294</v>
      </c>
      <c r="J851" s="13" t="s">
        <v>2295</v>
      </c>
      <c r="K851" s="13" t="s">
        <v>2278</v>
      </c>
      <c r="L851" s="13" t="s">
        <v>2265</v>
      </c>
      <c r="M851" s="13"/>
    </row>
    <row r="852" customFormat="false" ht="15" hidden="false" customHeight="false" outlineLevel="0" collapsed="false">
      <c r="A852" s="13" t="s">
        <v>628</v>
      </c>
      <c r="B852" s="13" t="s">
        <v>627</v>
      </c>
      <c r="C852" s="13" t="s">
        <v>2254</v>
      </c>
      <c r="D852" s="13" t="s">
        <v>2270</v>
      </c>
      <c r="E852" s="13" t="s">
        <v>2296</v>
      </c>
      <c r="F852" s="13" t="s">
        <v>2299</v>
      </c>
      <c r="G852" s="61" t="n">
        <v>-113086450532</v>
      </c>
      <c r="H852" s="13" t="s">
        <v>2255</v>
      </c>
      <c r="I852" s="13" t="s">
        <v>2294</v>
      </c>
      <c r="J852" s="13" t="n">
        <v>7</v>
      </c>
      <c r="K852" s="13" t="s">
        <v>2274</v>
      </c>
      <c r="L852" s="13" t="s">
        <v>2257</v>
      </c>
      <c r="M852" s="13"/>
    </row>
    <row r="853" customFormat="false" ht="15" hidden="false" customHeight="false" outlineLevel="0" collapsed="false">
      <c r="A853" s="13" t="s">
        <v>628</v>
      </c>
      <c r="B853" s="13" t="s">
        <v>627</v>
      </c>
      <c r="C853" s="13" t="s">
        <v>2258</v>
      </c>
      <c r="D853" s="13" t="s">
        <v>2270</v>
      </c>
      <c r="E853" s="13" t="s">
        <v>2296</v>
      </c>
      <c r="F853" s="13" t="s">
        <v>2299</v>
      </c>
      <c r="G853" s="61" t="n">
        <v>-142412644323</v>
      </c>
      <c r="H853" s="13" t="s">
        <v>2255</v>
      </c>
      <c r="I853" s="13" t="s">
        <v>2294</v>
      </c>
      <c r="J853" s="13" t="n">
        <v>7</v>
      </c>
      <c r="K853" s="13" t="s">
        <v>2275</v>
      </c>
      <c r="L853" s="13" t="s">
        <v>2260</v>
      </c>
      <c r="M853" s="13"/>
    </row>
    <row r="854" customFormat="false" ht="15" hidden="false" customHeight="false" outlineLevel="0" collapsed="false">
      <c r="A854" s="13" t="s">
        <v>628</v>
      </c>
      <c r="B854" s="13" t="s">
        <v>627</v>
      </c>
      <c r="C854" s="13" t="s">
        <v>2266</v>
      </c>
      <c r="D854" s="13" t="s">
        <v>2270</v>
      </c>
      <c r="E854" s="13" t="s">
        <v>2296</v>
      </c>
      <c r="F854" s="13" t="s">
        <v>2299</v>
      </c>
      <c r="G854" s="61" t="n">
        <v>-150763167296</v>
      </c>
      <c r="H854" s="13" t="s">
        <v>2255</v>
      </c>
      <c r="I854" s="13" t="s">
        <v>2294</v>
      </c>
      <c r="J854" s="13" t="s">
        <v>2295</v>
      </c>
      <c r="K854" s="13" t="s">
        <v>2278</v>
      </c>
      <c r="L854" s="13" t="s">
        <v>2265</v>
      </c>
      <c r="M854" s="13"/>
    </row>
    <row r="855" customFormat="false" ht="15" hidden="false" customHeight="false" outlineLevel="0" collapsed="false">
      <c r="A855" s="13" t="s">
        <v>628</v>
      </c>
      <c r="B855" s="13" t="s">
        <v>627</v>
      </c>
      <c r="C855" s="13" t="s">
        <v>2267</v>
      </c>
      <c r="D855" s="13" t="s">
        <v>2270</v>
      </c>
      <c r="E855" s="13" t="s">
        <v>2296</v>
      </c>
      <c r="F855" s="13" t="s">
        <v>2299</v>
      </c>
      <c r="G855" s="61" t="n">
        <v>-177316835825</v>
      </c>
      <c r="H855" s="13" t="s">
        <v>2255</v>
      </c>
      <c r="I855" s="13" t="s">
        <v>2294</v>
      </c>
      <c r="J855" s="13" t="s">
        <v>2295</v>
      </c>
      <c r="K855" s="13" t="s">
        <v>2278</v>
      </c>
      <c r="L855" s="13" t="s">
        <v>2265</v>
      </c>
      <c r="M855" s="13"/>
    </row>
    <row r="856" customFormat="false" ht="15" hidden="false" customHeight="false" outlineLevel="0" collapsed="false">
      <c r="A856" s="13" t="s">
        <v>628</v>
      </c>
      <c r="B856" s="13" t="s">
        <v>627</v>
      </c>
      <c r="C856" s="13" t="s">
        <v>2254</v>
      </c>
      <c r="D856" s="13" t="s">
        <v>2270</v>
      </c>
      <c r="E856" s="13" t="s">
        <v>2297</v>
      </c>
      <c r="F856" s="13" t="s">
        <v>2299</v>
      </c>
      <c r="G856" s="61" t="n">
        <v>124035331484</v>
      </c>
      <c r="H856" s="13" t="s">
        <v>2255</v>
      </c>
      <c r="I856" s="13" t="s">
        <v>2294</v>
      </c>
      <c r="J856" s="13" t="n">
        <v>7</v>
      </c>
      <c r="K856" s="13" t="s">
        <v>2274</v>
      </c>
      <c r="L856" s="13" t="s">
        <v>2257</v>
      </c>
      <c r="M856" s="13"/>
    </row>
    <row r="857" customFormat="false" ht="15" hidden="false" customHeight="false" outlineLevel="0" collapsed="false">
      <c r="A857" s="13" t="s">
        <v>628</v>
      </c>
      <c r="B857" s="13" t="s">
        <v>627</v>
      </c>
      <c r="C857" s="13" t="s">
        <v>2258</v>
      </c>
      <c r="D857" s="13" t="s">
        <v>2270</v>
      </c>
      <c r="E857" s="13" t="s">
        <v>2297</v>
      </c>
      <c r="F857" s="13" t="s">
        <v>2299</v>
      </c>
      <c r="G857" s="61" t="n">
        <v>163799687702</v>
      </c>
      <c r="H857" s="13" t="s">
        <v>2255</v>
      </c>
      <c r="I857" s="13" t="s">
        <v>2294</v>
      </c>
      <c r="J857" s="13" t="n">
        <v>7</v>
      </c>
      <c r="K857" s="13" t="s">
        <v>2275</v>
      </c>
      <c r="L857" s="13" t="s">
        <v>2260</v>
      </c>
      <c r="M857" s="13"/>
    </row>
    <row r="858" customFormat="false" ht="15" hidden="false" customHeight="false" outlineLevel="0" collapsed="false">
      <c r="A858" s="13" t="s">
        <v>628</v>
      </c>
      <c r="B858" s="13" t="s">
        <v>627</v>
      </c>
      <c r="C858" s="13" t="s">
        <v>2266</v>
      </c>
      <c r="D858" s="13" t="s">
        <v>2270</v>
      </c>
      <c r="E858" s="13" t="s">
        <v>2297</v>
      </c>
      <c r="F858" s="13" t="s">
        <v>2299</v>
      </c>
      <c r="G858" s="61" t="n">
        <v>258136192778</v>
      </c>
      <c r="H858" s="13" t="s">
        <v>2255</v>
      </c>
      <c r="I858" s="13" t="s">
        <v>2294</v>
      </c>
      <c r="J858" s="13" t="s">
        <v>2295</v>
      </c>
      <c r="K858" s="13" t="s">
        <v>2278</v>
      </c>
      <c r="L858" s="13" t="s">
        <v>2265</v>
      </c>
      <c r="M858" s="13"/>
    </row>
    <row r="859" customFormat="false" ht="15" hidden="false" customHeight="false" outlineLevel="0" collapsed="false">
      <c r="A859" s="13" t="s">
        <v>628</v>
      </c>
      <c r="B859" s="13" t="s">
        <v>627</v>
      </c>
      <c r="C859" s="13" t="s">
        <v>2267</v>
      </c>
      <c r="D859" s="13" t="s">
        <v>2270</v>
      </c>
      <c r="E859" s="13" t="s">
        <v>2297</v>
      </c>
      <c r="F859" s="13" t="s">
        <v>2299</v>
      </c>
      <c r="G859" s="61" t="n">
        <v>246782297027</v>
      </c>
      <c r="H859" s="13" t="s">
        <v>2255</v>
      </c>
      <c r="I859" s="13" t="s">
        <v>2294</v>
      </c>
      <c r="J859" s="13" t="s">
        <v>2295</v>
      </c>
      <c r="K859" s="13" t="s">
        <v>2278</v>
      </c>
      <c r="L859" s="13" t="s">
        <v>2265</v>
      </c>
      <c r="M859" s="13"/>
    </row>
    <row r="860" customFormat="false" ht="15" hidden="false" customHeight="false" outlineLevel="0" collapsed="false">
      <c r="A860" s="13" t="s">
        <v>628</v>
      </c>
      <c r="B860" s="13" t="s">
        <v>627</v>
      </c>
      <c r="C860" s="13" t="s">
        <v>2254</v>
      </c>
      <c r="D860" s="13" t="s">
        <v>2270</v>
      </c>
      <c r="E860" s="13" t="s">
        <v>2298</v>
      </c>
      <c r="F860" s="13" t="s">
        <v>2299</v>
      </c>
      <c r="G860" s="61" t="n">
        <v>-654993791224</v>
      </c>
      <c r="H860" s="13" t="s">
        <v>2255</v>
      </c>
      <c r="I860" s="13" t="s">
        <v>2294</v>
      </c>
      <c r="J860" s="13" t="n">
        <v>7</v>
      </c>
      <c r="K860" s="13" t="s">
        <v>2274</v>
      </c>
      <c r="L860" s="13" t="s">
        <v>2257</v>
      </c>
      <c r="M860" s="13"/>
    </row>
    <row r="861" customFormat="false" ht="15" hidden="false" customHeight="false" outlineLevel="0" collapsed="false">
      <c r="A861" s="13" t="s">
        <v>628</v>
      </c>
      <c r="B861" s="13" t="s">
        <v>627</v>
      </c>
      <c r="C861" s="13" t="s">
        <v>2258</v>
      </c>
      <c r="D861" s="13" t="s">
        <v>2270</v>
      </c>
      <c r="E861" s="13" t="s">
        <v>2298</v>
      </c>
      <c r="F861" s="13" t="s">
        <v>2299</v>
      </c>
      <c r="G861" s="61" t="n">
        <v>-887238315271</v>
      </c>
      <c r="H861" s="13" t="s">
        <v>2255</v>
      </c>
      <c r="I861" s="13" t="s">
        <v>2294</v>
      </c>
      <c r="J861" s="13" t="n">
        <v>7</v>
      </c>
      <c r="K861" s="13" t="s">
        <v>2275</v>
      </c>
      <c r="L861" s="13" t="s">
        <v>2260</v>
      </c>
      <c r="M861" s="13"/>
    </row>
    <row r="862" customFormat="false" ht="15" hidden="false" customHeight="false" outlineLevel="0" collapsed="false">
      <c r="A862" s="13" t="s">
        <v>628</v>
      </c>
      <c r="B862" s="13" t="s">
        <v>627</v>
      </c>
      <c r="C862" s="13" t="s">
        <v>2266</v>
      </c>
      <c r="D862" s="13" t="s">
        <v>2270</v>
      </c>
      <c r="E862" s="13" t="s">
        <v>2298</v>
      </c>
      <c r="F862" s="13" t="s">
        <v>2299</v>
      </c>
      <c r="G862" s="61" t="n">
        <v>-847547994844</v>
      </c>
      <c r="H862" s="13" t="s">
        <v>2255</v>
      </c>
      <c r="I862" s="13" t="s">
        <v>2294</v>
      </c>
      <c r="J862" s="13" t="s">
        <v>2295</v>
      </c>
      <c r="K862" s="13" t="s">
        <v>2278</v>
      </c>
      <c r="L862" s="13" t="s">
        <v>2265</v>
      </c>
      <c r="M862" s="13"/>
    </row>
    <row r="863" customFormat="false" ht="15" hidden="false" customHeight="false" outlineLevel="0" collapsed="false">
      <c r="A863" s="13" t="s">
        <v>628</v>
      </c>
      <c r="B863" s="13" t="s">
        <v>627</v>
      </c>
      <c r="C863" s="13" t="s">
        <v>2267</v>
      </c>
      <c r="D863" s="13" t="s">
        <v>2270</v>
      </c>
      <c r="E863" s="13" t="s">
        <v>2298</v>
      </c>
      <c r="F863" s="13" t="s">
        <v>2299</v>
      </c>
      <c r="G863" s="61" t="n">
        <v>-869848305402</v>
      </c>
      <c r="H863" s="13" t="s">
        <v>2255</v>
      </c>
      <c r="I863" s="13" t="s">
        <v>2294</v>
      </c>
      <c r="J863" s="13" t="s">
        <v>2295</v>
      </c>
      <c r="K863" s="13" t="s">
        <v>2278</v>
      </c>
      <c r="L863" s="13" t="s">
        <v>2265</v>
      </c>
      <c r="M863" s="13"/>
    </row>
    <row r="864" customFormat="false" ht="15" hidden="false" customHeight="false" outlineLevel="0" collapsed="false">
      <c r="A864" s="13" t="s">
        <v>628</v>
      </c>
      <c r="B864" s="13" t="s">
        <v>627</v>
      </c>
      <c r="C864" s="13" t="s">
        <v>2254</v>
      </c>
      <c r="D864" s="13" t="s">
        <v>2270</v>
      </c>
      <c r="E864" s="13" t="s">
        <v>2292</v>
      </c>
      <c r="F864" s="13" t="s">
        <v>668</v>
      </c>
      <c r="G864" s="61" t="n">
        <v>477809186046</v>
      </c>
      <c r="H864" s="13" t="s">
        <v>2255</v>
      </c>
      <c r="I864" s="13" t="s">
        <v>2294</v>
      </c>
      <c r="J864" s="13" t="n">
        <v>7</v>
      </c>
      <c r="K864" s="13" t="s">
        <v>2274</v>
      </c>
      <c r="L864" s="13" t="s">
        <v>2257</v>
      </c>
      <c r="M864" s="13"/>
    </row>
    <row r="865" customFormat="false" ht="15" hidden="false" customHeight="false" outlineLevel="0" collapsed="false">
      <c r="A865" s="13" t="s">
        <v>628</v>
      </c>
      <c r="B865" s="13" t="s">
        <v>627</v>
      </c>
      <c r="C865" s="13" t="s">
        <v>2258</v>
      </c>
      <c r="D865" s="13" t="s">
        <v>2270</v>
      </c>
      <c r="E865" s="13" t="s">
        <v>2292</v>
      </c>
      <c r="F865" s="13" t="s">
        <v>668</v>
      </c>
      <c r="G865" s="61" t="n">
        <v>783457566676</v>
      </c>
      <c r="H865" s="13" t="s">
        <v>2255</v>
      </c>
      <c r="I865" s="13" t="s">
        <v>2294</v>
      </c>
      <c r="J865" s="13" t="n">
        <v>7</v>
      </c>
      <c r="K865" s="13" t="s">
        <v>2275</v>
      </c>
      <c r="L865" s="13" t="s">
        <v>2260</v>
      </c>
      <c r="M865" s="13"/>
    </row>
    <row r="866" customFormat="false" ht="15" hidden="false" customHeight="false" outlineLevel="0" collapsed="false">
      <c r="A866" s="13" t="s">
        <v>628</v>
      </c>
      <c r="B866" s="13" t="s">
        <v>627</v>
      </c>
      <c r="C866" s="13" t="s">
        <v>2266</v>
      </c>
      <c r="D866" s="13" t="s">
        <v>2270</v>
      </c>
      <c r="E866" s="13" t="s">
        <v>2292</v>
      </c>
      <c r="F866" s="13" t="s">
        <v>668</v>
      </c>
      <c r="G866" s="61" t="n">
        <v>690787305458</v>
      </c>
      <c r="H866" s="13" t="s">
        <v>2255</v>
      </c>
      <c r="I866" s="13" t="s">
        <v>2294</v>
      </c>
      <c r="J866" s="13" t="s">
        <v>2295</v>
      </c>
      <c r="K866" s="13" t="s">
        <v>2278</v>
      </c>
      <c r="L866" s="13" t="s">
        <v>2265</v>
      </c>
      <c r="M866" s="13"/>
    </row>
    <row r="867" customFormat="false" ht="15" hidden="false" customHeight="false" outlineLevel="0" collapsed="false">
      <c r="A867" s="13" t="s">
        <v>628</v>
      </c>
      <c r="B867" s="13" t="s">
        <v>627</v>
      </c>
      <c r="C867" s="13" t="s">
        <v>2267</v>
      </c>
      <c r="D867" s="13" t="s">
        <v>2270</v>
      </c>
      <c r="E867" s="13" t="s">
        <v>2292</v>
      </c>
      <c r="F867" s="13" t="s">
        <v>668</v>
      </c>
      <c r="G867" s="61" t="n">
        <v>723107535021</v>
      </c>
      <c r="H867" s="13" t="s">
        <v>2255</v>
      </c>
      <c r="I867" s="13" t="s">
        <v>2294</v>
      </c>
      <c r="J867" s="13" t="s">
        <v>2295</v>
      </c>
      <c r="K867" s="13" t="s">
        <v>2278</v>
      </c>
      <c r="L867" s="13" t="s">
        <v>2265</v>
      </c>
      <c r="M867" s="13"/>
    </row>
    <row r="868" customFormat="false" ht="15" hidden="false" customHeight="false" outlineLevel="0" collapsed="false">
      <c r="A868" s="13" t="s">
        <v>628</v>
      </c>
      <c r="B868" s="13" t="s">
        <v>627</v>
      </c>
      <c r="C868" s="13" t="s">
        <v>2254</v>
      </c>
      <c r="D868" s="13" t="s">
        <v>2270</v>
      </c>
      <c r="E868" s="13" t="s">
        <v>2296</v>
      </c>
      <c r="F868" s="13" t="s">
        <v>668</v>
      </c>
      <c r="G868" s="61" t="n">
        <v>15341404442</v>
      </c>
      <c r="H868" s="13" t="s">
        <v>2255</v>
      </c>
      <c r="I868" s="13" t="s">
        <v>2294</v>
      </c>
      <c r="J868" s="13" t="n">
        <v>7</v>
      </c>
      <c r="K868" s="13" t="s">
        <v>2274</v>
      </c>
      <c r="L868" s="13" t="s">
        <v>2257</v>
      </c>
      <c r="M868" s="13"/>
    </row>
    <row r="869" customFormat="false" ht="15" hidden="false" customHeight="false" outlineLevel="0" collapsed="false">
      <c r="A869" s="13" t="s">
        <v>628</v>
      </c>
      <c r="B869" s="13" t="s">
        <v>627</v>
      </c>
      <c r="C869" s="13" t="s">
        <v>2258</v>
      </c>
      <c r="D869" s="13" t="s">
        <v>2270</v>
      </c>
      <c r="E869" s="13" t="s">
        <v>2296</v>
      </c>
      <c r="F869" s="13" t="s">
        <v>668</v>
      </c>
      <c r="G869" s="61" t="n">
        <v>40146437108</v>
      </c>
      <c r="H869" s="13" t="s">
        <v>2255</v>
      </c>
      <c r="I869" s="13" t="s">
        <v>2294</v>
      </c>
      <c r="J869" s="13" t="n">
        <v>7</v>
      </c>
      <c r="K869" s="13" t="s">
        <v>2275</v>
      </c>
      <c r="L869" s="13" t="s">
        <v>2260</v>
      </c>
      <c r="M869" s="13"/>
    </row>
    <row r="870" customFormat="false" ht="15" hidden="false" customHeight="false" outlineLevel="0" collapsed="false">
      <c r="A870" s="13" t="s">
        <v>628</v>
      </c>
      <c r="B870" s="13" t="s">
        <v>627</v>
      </c>
      <c r="C870" s="13" t="s">
        <v>2266</v>
      </c>
      <c r="D870" s="13" t="s">
        <v>2270</v>
      </c>
      <c r="E870" s="13" t="s">
        <v>2296</v>
      </c>
      <c r="F870" s="13" t="s">
        <v>668</v>
      </c>
      <c r="G870" s="61" t="n">
        <v>24584097648</v>
      </c>
      <c r="H870" s="13" t="s">
        <v>2255</v>
      </c>
      <c r="I870" s="13" t="s">
        <v>2294</v>
      </c>
      <c r="J870" s="13" t="s">
        <v>2295</v>
      </c>
      <c r="K870" s="13" t="s">
        <v>2278</v>
      </c>
      <c r="L870" s="13" t="s">
        <v>2265</v>
      </c>
      <c r="M870" s="13"/>
    </row>
    <row r="871" customFormat="false" ht="15" hidden="false" customHeight="false" outlineLevel="0" collapsed="false">
      <c r="A871" s="13" t="s">
        <v>628</v>
      </c>
      <c r="B871" s="13" t="s">
        <v>627</v>
      </c>
      <c r="C871" s="13" t="s">
        <v>2267</v>
      </c>
      <c r="D871" s="13" t="s">
        <v>2270</v>
      </c>
      <c r="E871" s="13" t="s">
        <v>2296</v>
      </c>
      <c r="F871" s="13" t="s">
        <v>668</v>
      </c>
      <c r="G871" s="61" t="n">
        <v>33863297821</v>
      </c>
      <c r="H871" s="13" t="s">
        <v>2255</v>
      </c>
      <c r="I871" s="13" t="s">
        <v>2294</v>
      </c>
      <c r="J871" s="13" t="s">
        <v>2295</v>
      </c>
      <c r="K871" s="13" t="s">
        <v>2278</v>
      </c>
      <c r="L871" s="13" t="s">
        <v>2265</v>
      </c>
      <c r="M871" s="13"/>
    </row>
    <row r="872" customFormat="false" ht="15" hidden="false" customHeight="false" outlineLevel="0" collapsed="false">
      <c r="A872" s="13" t="s">
        <v>628</v>
      </c>
      <c r="B872" s="13" t="s">
        <v>627</v>
      </c>
      <c r="C872" s="13" t="s">
        <v>2254</v>
      </c>
      <c r="D872" s="13" t="s">
        <v>2270</v>
      </c>
      <c r="E872" s="13" t="s">
        <v>2297</v>
      </c>
      <c r="F872" s="13" t="s">
        <v>668</v>
      </c>
      <c r="G872" s="61" t="n">
        <v>0</v>
      </c>
      <c r="H872" s="13" t="s">
        <v>2255</v>
      </c>
      <c r="I872" s="13" t="s">
        <v>2294</v>
      </c>
      <c r="J872" s="13" t="n">
        <v>7</v>
      </c>
      <c r="K872" s="13" t="s">
        <v>2274</v>
      </c>
      <c r="L872" s="13" t="s">
        <v>2257</v>
      </c>
      <c r="M872" s="13"/>
    </row>
    <row r="873" customFormat="false" ht="15" hidden="false" customHeight="false" outlineLevel="0" collapsed="false">
      <c r="A873" s="13" t="s">
        <v>628</v>
      </c>
      <c r="B873" s="13" t="s">
        <v>627</v>
      </c>
      <c r="C873" s="13" t="s">
        <v>2258</v>
      </c>
      <c r="D873" s="13" t="s">
        <v>2270</v>
      </c>
      <c r="E873" s="13" t="s">
        <v>2297</v>
      </c>
      <c r="F873" s="13" t="s">
        <v>668</v>
      </c>
      <c r="G873" s="61" t="n">
        <v>-83103259</v>
      </c>
      <c r="H873" s="13" t="s">
        <v>2255</v>
      </c>
      <c r="I873" s="13" t="s">
        <v>2294</v>
      </c>
      <c r="J873" s="13" t="n">
        <v>7</v>
      </c>
      <c r="K873" s="13" t="s">
        <v>2275</v>
      </c>
      <c r="L873" s="13" t="s">
        <v>2260</v>
      </c>
      <c r="M873" s="13"/>
    </row>
    <row r="874" customFormat="false" ht="15" hidden="false" customHeight="false" outlineLevel="0" collapsed="false">
      <c r="A874" s="13" t="s">
        <v>628</v>
      </c>
      <c r="B874" s="13" t="s">
        <v>627</v>
      </c>
      <c r="C874" s="13" t="s">
        <v>2266</v>
      </c>
      <c r="D874" s="13" t="s">
        <v>2270</v>
      </c>
      <c r="E874" s="13" t="s">
        <v>2297</v>
      </c>
      <c r="F874" s="13" t="s">
        <v>668</v>
      </c>
      <c r="G874" s="61" t="n">
        <v>-8234387614</v>
      </c>
      <c r="H874" s="13" t="s">
        <v>2255</v>
      </c>
      <c r="I874" s="13" t="s">
        <v>2294</v>
      </c>
      <c r="J874" s="13" t="s">
        <v>2295</v>
      </c>
      <c r="K874" s="13" t="s">
        <v>2278</v>
      </c>
      <c r="L874" s="13" t="s">
        <v>2265</v>
      </c>
      <c r="M874" s="13"/>
    </row>
    <row r="875" customFormat="false" ht="15" hidden="false" customHeight="false" outlineLevel="0" collapsed="false">
      <c r="A875" s="13" t="s">
        <v>628</v>
      </c>
      <c r="B875" s="13" t="s">
        <v>627</v>
      </c>
      <c r="C875" s="13" t="s">
        <v>2267</v>
      </c>
      <c r="D875" s="13" t="s">
        <v>2270</v>
      </c>
      <c r="E875" s="13" t="s">
        <v>2297</v>
      </c>
      <c r="F875" s="13" t="s">
        <v>668</v>
      </c>
      <c r="G875" s="61" t="n">
        <v>-12478366732</v>
      </c>
      <c r="H875" s="13" t="s">
        <v>2255</v>
      </c>
      <c r="I875" s="13" t="s">
        <v>2294</v>
      </c>
      <c r="J875" s="13" t="s">
        <v>2295</v>
      </c>
      <c r="K875" s="13" t="s">
        <v>2278</v>
      </c>
      <c r="L875" s="13" t="s">
        <v>2265</v>
      </c>
      <c r="M875" s="13"/>
    </row>
    <row r="876" customFormat="false" ht="15" hidden="false" customHeight="false" outlineLevel="0" collapsed="false">
      <c r="A876" s="13" t="s">
        <v>628</v>
      </c>
      <c r="B876" s="13" t="s">
        <v>627</v>
      </c>
      <c r="C876" s="13" t="s">
        <v>2254</v>
      </c>
      <c r="D876" s="13" t="s">
        <v>2270</v>
      </c>
      <c r="E876" s="13" t="s">
        <v>2298</v>
      </c>
      <c r="F876" s="13" t="s">
        <v>668</v>
      </c>
      <c r="G876" s="61" t="n">
        <v>493150590488</v>
      </c>
      <c r="H876" s="13" t="s">
        <v>2255</v>
      </c>
      <c r="I876" s="13" t="s">
        <v>2294</v>
      </c>
      <c r="J876" s="13" t="n">
        <v>7</v>
      </c>
      <c r="K876" s="13" t="s">
        <v>2274</v>
      </c>
      <c r="L876" s="13" t="s">
        <v>2257</v>
      </c>
      <c r="M876" s="13"/>
    </row>
    <row r="877" customFormat="false" ht="15" hidden="false" customHeight="false" outlineLevel="0" collapsed="false">
      <c r="A877" s="13" t="s">
        <v>628</v>
      </c>
      <c r="B877" s="13" t="s">
        <v>627</v>
      </c>
      <c r="C877" s="13" t="s">
        <v>2258</v>
      </c>
      <c r="D877" s="13" t="s">
        <v>2270</v>
      </c>
      <c r="E877" s="13" t="s">
        <v>2298</v>
      </c>
      <c r="F877" s="13" t="s">
        <v>668</v>
      </c>
      <c r="G877" s="61" t="n">
        <v>823520900525</v>
      </c>
      <c r="H877" s="13" t="s">
        <v>2255</v>
      </c>
      <c r="I877" s="13" t="s">
        <v>2294</v>
      </c>
      <c r="J877" s="13" t="n">
        <v>7</v>
      </c>
      <c r="K877" s="13" t="s">
        <v>2275</v>
      </c>
      <c r="L877" s="13" t="s">
        <v>2260</v>
      </c>
      <c r="M877" s="13"/>
    </row>
    <row r="878" customFormat="false" ht="15" hidden="false" customHeight="false" outlineLevel="0" collapsed="false">
      <c r="A878" s="13" t="s">
        <v>628</v>
      </c>
      <c r="B878" s="13" t="s">
        <v>627</v>
      </c>
      <c r="C878" s="13" t="s">
        <v>2266</v>
      </c>
      <c r="D878" s="13" t="s">
        <v>2270</v>
      </c>
      <c r="E878" s="13" t="s">
        <v>2298</v>
      </c>
      <c r="F878" s="13" t="s">
        <v>668</v>
      </c>
      <c r="G878" s="61" t="n">
        <v>707137015492</v>
      </c>
      <c r="H878" s="13" t="s">
        <v>2255</v>
      </c>
      <c r="I878" s="13" t="s">
        <v>2294</v>
      </c>
      <c r="J878" s="13" t="s">
        <v>2295</v>
      </c>
      <c r="K878" s="13" t="s">
        <v>2278</v>
      </c>
      <c r="L878" s="13" t="s">
        <v>2265</v>
      </c>
      <c r="M878" s="13"/>
    </row>
    <row r="879" customFormat="false" ht="15" hidden="false" customHeight="false" outlineLevel="0" collapsed="false">
      <c r="A879" s="13" t="s">
        <v>628</v>
      </c>
      <c r="B879" s="13" t="s">
        <v>627</v>
      </c>
      <c r="C879" s="13" t="s">
        <v>2267</v>
      </c>
      <c r="D879" s="13" t="s">
        <v>2270</v>
      </c>
      <c r="E879" s="13" t="s">
        <v>2298</v>
      </c>
      <c r="F879" s="13" t="s">
        <v>668</v>
      </c>
      <c r="G879" s="61" t="n">
        <v>744492466110</v>
      </c>
      <c r="H879" s="13" t="s">
        <v>2255</v>
      </c>
      <c r="I879" s="13" t="s">
        <v>2294</v>
      </c>
      <c r="J879" s="13" t="s">
        <v>2295</v>
      </c>
      <c r="K879" s="13" t="s">
        <v>2278</v>
      </c>
      <c r="L879" s="13" t="s">
        <v>2265</v>
      </c>
      <c r="M879" s="13"/>
    </row>
    <row r="880" customFormat="false" ht="15" hidden="false" customHeight="false" outlineLevel="0" collapsed="false">
      <c r="A880" s="13" t="s">
        <v>628</v>
      </c>
      <c r="B880" s="13" t="s">
        <v>627</v>
      </c>
      <c r="C880" s="13" t="s">
        <v>2254</v>
      </c>
      <c r="D880" s="13" t="s">
        <v>2270</v>
      </c>
      <c r="E880" s="13" t="s">
        <v>2292</v>
      </c>
      <c r="F880" s="13" t="s">
        <v>2300</v>
      </c>
      <c r="G880" s="61" t="n">
        <v>-325662145703</v>
      </c>
      <c r="H880" s="13" t="s">
        <v>2255</v>
      </c>
      <c r="I880" s="13" t="s">
        <v>2294</v>
      </c>
      <c r="J880" s="13" t="n">
        <v>7</v>
      </c>
      <c r="K880" s="13" t="s">
        <v>2274</v>
      </c>
      <c r="L880" s="13" t="s">
        <v>2257</v>
      </c>
      <c r="M880" s="13"/>
    </row>
    <row r="881" customFormat="false" ht="15" hidden="false" customHeight="false" outlineLevel="0" collapsed="false">
      <c r="A881" s="13" t="s">
        <v>628</v>
      </c>
      <c r="B881" s="13" t="s">
        <v>627</v>
      </c>
      <c r="C881" s="13" t="s">
        <v>2258</v>
      </c>
      <c r="D881" s="13" t="s">
        <v>2270</v>
      </c>
      <c r="E881" s="13" t="s">
        <v>2292</v>
      </c>
      <c r="F881" s="13" t="s">
        <v>2300</v>
      </c>
      <c r="G881" s="61" t="n">
        <v>-423878124380</v>
      </c>
      <c r="H881" s="13" t="s">
        <v>2255</v>
      </c>
      <c r="I881" s="13" t="s">
        <v>2294</v>
      </c>
      <c r="J881" s="13" t="n">
        <v>7</v>
      </c>
      <c r="K881" s="13" t="s">
        <v>2275</v>
      </c>
      <c r="L881" s="13" t="s">
        <v>2260</v>
      </c>
      <c r="M881" s="13"/>
    </row>
    <row r="882" customFormat="false" ht="15" hidden="false" customHeight="false" outlineLevel="0" collapsed="false">
      <c r="A882" s="13" t="s">
        <v>628</v>
      </c>
      <c r="B882" s="13" t="s">
        <v>627</v>
      </c>
      <c r="C882" s="13" t="s">
        <v>2266</v>
      </c>
      <c r="D882" s="13" t="s">
        <v>2270</v>
      </c>
      <c r="E882" s="13" t="s">
        <v>2292</v>
      </c>
      <c r="F882" s="13" t="s">
        <v>2300</v>
      </c>
      <c r="G882" s="61" t="n">
        <v>-587878271350</v>
      </c>
      <c r="H882" s="13" t="s">
        <v>2255</v>
      </c>
      <c r="I882" s="13" t="s">
        <v>2294</v>
      </c>
      <c r="J882" s="13" t="s">
        <v>2295</v>
      </c>
      <c r="K882" s="13" t="s">
        <v>2278</v>
      </c>
      <c r="L882" s="13" t="s">
        <v>2265</v>
      </c>
      <c r="M882" s="13"/>
    </row>
    <row r="883" customFormat="false" ht="15" hidden="false" customHeight="false" outlineLevel="0" collapsed="false">
      <c r="A883" s="13" t="s">
        <v>628</v>
      </c>
      <c r="B883" s="13" t="s">
        <v>627</v>
      </c>
      <c r="C883" s="13" t="s">
        <v>2267</v>
      </c>
      <c r="D883" s="13" t="s">
        <v>2270</v>
      </c>
      <c r="E883" s="13" t="s">
        <v>2292</v>
      </c>
      <c r="F883" s="13" t="s">
        <v>2300</v>
      </c>
      <c r="G883" s="61" t="n">
        <v>-620736132670</v>
      </c>
      <c r="H883" s="13" t="s">
        <v>2255</v>
      </c>
      <c r="I883" s="13" t="s">
        <v>2294</v>
      </c>
      <c r="J883" s="13" t="s">
        <v>2295</v>
      </c>
      <c r="K883" s="13" t="s">
        <v>2278</v>
      </c>
      <c r="L883" s="13" t="s">
        <v>2265</v>
      </c>
      <c r="M883" s="13"/>
    </row>
    <row r="884" customFormat="false" ht="15" hidden="false" customHeight="false" outlineLevel="0" collapsed="false">
      <c r="A884" s="13" t="s">
        <v>628</v>
      </c>
      <c r="B884" s="13" t="s">
        <v>627</v>
      </c>
      <c r="C884" s="13" t="s">
        <v>2254</v>
      </c>
      <c r="D884" s="13" t="s">
        <v>2270</v>
      </c>
      <c r="E884" s="13" t="s">
        <v>2296</v>
      </c>
      <c r="F884" s="13" t="s">
        <v>2300</v>
      </c>
      <c r="G884" s="61" t="n">
        <v>-16742776151</v>
      </c>
      <c r="H884" s="13" t="s">
        <v>2255</v>
      </c>
      <c r="I884" s="13" t="s">
        <v>2294</v>
      </c>
      <c r="J884" s="13" t="n">
        <v>7</v>
      </c>
      <c r="K884" s="13" t="s">
        <v>2274</v>
      </c>
      <c r="L884" s="13" t="s">
        <v>2257</v>
      </c>
      <c r="M884" s="13"/>
    </row>
    <row r="885" customFormat="false" ht="15" hidden="false" customHeight="false" outlineLevel="0" collapsed="false">
      <c r="A885" s="13" t="s">
        <v>628</v>
      </c>
      <c r="B885" s="13" t="s">
        <v>627</v>
      </c>
      <c r="C885" s="13" t="s">
        <v>2258</v>
      </c>
      <c r="D885" s="13" t="s">
        <v>2270</v>
      </c>
      <c r="E885" s="13" t="s">
        <v>2296</v>
      </c>
      <c r="F885" s="13" t="s">
        <v>2300</v>
      </c>
      <c r="G885" s="61" t="n">
        <v>-18412486178</v>
      </c>
      <c r="H885" s="13" t="s">
        <v>2255</v>
      </c>
      <c r="I885" s="13" t="s">
        <v>2294</v>
      </c>
      <c r="J885" s="13" t="n">
        <v>7</v>
      </c>
      <c r="K885" s="13" t="s">
        <v>2275</v>
      </c>
      <c r="L885" s="13" t="s">
        <v>2260</v>
      </c>
      <c r="M885" s="13"/>
    </row>
    <row r="886" customFormat="false" ht="15" hidden="false" customHeight="false" outlineLevel="0" collapsed="false">
      <c r="A886" s="13" t="s">
        <v>628</v>
      </c>
      <c r="B886" s="13" t="s">
        <v>627</v>
      </c>
      <c r="C886" s="13" t="s">
        <v>2266</v>
      </c>
      <c r="D886" s="13" t="s">
        <v>2270</v>
      </c>
      <c r="E886" s="13" t="s">
        <v>2296</v>
      </c>
      <c r="F886" s="13" t="s">
        <v>2300</v>
      </c>
      <c r="G886" s="61" t="n">
        <v>-27838006018</v>
      </c>
      <c r="H886" s="13" t="s">
        <v>2255</v>
      </c>
      <c r="I886" s="13" t="s">
        <v>2294</v>
      </c>
      <c r="J886" s="13" t="s">
        <v>2295</v>
      </c>
      <c r="K886" s="13" t="s">
        <v>2278</v>
      </c>
      <c r="L886" s="13" t="s">
        <v>2265</v>
      </c>
      <c r="M886" s="13"/>
    </row>
    <row r="887" customFormat="false" ht="15" hidden="false" customHeight="false" outlineLevel="0" collapsed="false">
      <c r="A887" s="13" t="s">
        <v>628</v>
      </c>
      <c r="B887" s="13" t="s">
        <v>627</v>
      </c>
      <c r="C887" s="13" t="s">
        <v>2267</v>
      </c>
      <c r="D887" s="13" t="s">
        <v>2270</v>
      </c>
      <c r="E887" s="13" t="s">
        <v>2296</v>
      </c>
      <c r="F887" s="13" t="s">
        <v>2300</v>
      </c>
      <c r="G887" s="61" t="n">
        <v>-24556845346</v>
      </c>
      <c r="H887" s="13" t="s">
        <v>2255</v>
      </c>
      <c r="I887" s="13" t="s">
        <v>2294</v>
      </c>
      <c r="J887" s="13" t="s">
        <v>2295</v>
      </c>
      <c r="K887" s="13" t="s">
        <v>2278</v>
      </c>
      <c r="L887" s="13" t="s">
        <v>2265</v>
      </c>
      <c r="M887" s="13"/>
    </row>
    <row r="888" customFormat="false" ht="15" hidden="false" customHeight="false" outlineLevel="0" collapsed="false">
      <c r="A888" s="13" t="s">
        <v>628</v>
      </c>
      <c r="B888" s="13" t="s">
        <v>627</v>
      </c>
      <c r="C888" s="13" t="s">
        <v>2254</v>
      </c>
      <c r="D888" s="13" t="s">
        <v>2270</v>
      </c>
      <c r="E888" s="13" t="s">
        <v>2297</v>
      </c>
      <c r="F888" s="13" t="s">
        <v>2300</v>
      </c>
      <c r="G888" s="61" t="n">
        <v>5626502905</v>
      </c>
      <c r="H888" s="13" t="s">
        <v>2255</v>
      </c>
      <c r="I888" s="13" t="s">
        <v>2294</v>
      </c>
      <c r="J888" s="13" t="n">
        <v>7</v>
      </c>
      <c r="K888" s="13" t="s">
        <v>2274</v>
      </c>
      <c r="L888" s="13" t="s">
        <v>2257</v>
      </c>
      <c r="M888" s="13"/>
    </row>
    <row r="889" customFormat="false" ht="15" hidden="false" customHeight="false" outlineLevel="0" collapsed="false">
      <c r="A889" s="13" t="s">
        <v>628</v>
      </c>
      <c r="B889" s="13" t="s">
        <v>627</v>
      </c>
      <c r="C889" s="13" t="s">
        <v>2258</v>
      </c>
      <c r="D889" s="13" t="s">
        <v>2270</v>
      </c>
      <c r="E889" s="13" t="s">
        <v>2297</v>
      </c>
      <c r="F889" s="13" t="s">
        <v>2300</v>
      </c>
      <c r="G889" s="61" t="n">
        <v>692501571</v>
      </c>
      <c r="H889" s="13" t="s">
        <v>2255</v>
      </c>
      <c r="I889" s="13" t="s">
        <v>2294</v>
      </c>
      <c r="J889" s="13" t="n">
        <v>7</v>
      </c>
      <c r="K889" s="13" t="s">
        <v>2275</v>
      </c>
      <c r="L889" s="13" t="s">
        <v>2260</v>
      </c>
      <c r="M889" s="13"/>
    </row>
    <row r="890" customFormat="false" ht="15" hidden="false" customHeight="false" outlineLevel="0" collapsed="false">
      <c r="A890" s="13" t="s">
        <v>628</v>
      </c>
      <c r="B890" s="13" t="s">
        <v>627</v>
      </c>
      <c r="C890" s="13" t="s">
        <v>2266</v>
      </c>
      <c r="D890" s="13" t="s">
        <v>2270</v>
      </c>
      <c r="E890" s="13" t="s">
        <v>2297</v>
      </c>
      <c r="F890" s="13" t="s">
        <v>2300</v>
      </c>
      <c r="G890" s="61" t="n">
        <v>7645844371</v>
      </c>
      <c r="H890" s="13" t="s">
        <v>2255</v>
      </c>
      <c r="I890" s="13" t="s">
        <v>2294</v>
      </c>
      <c r="J890" s="13" t="s">
        <v>2295</v>
      </c>
      <c r="K890" s="13" t="s">
        <v>2278</v>
      </c>
      <c r="L890" s="13" t="s">
        <v>2265</v>
      </c>
      <c r="M890" s="13"/>
    </row>
    <row r="891" customFormat="false" ht="15" hidden="false" customHeight="false" outlineLevel="0" collapsed="false">
      <c r="A891" s="13" t="s">
        <v>628</v>
      </c>
      <c r="B891" s="13" t="s">
        <v>627</v>
      </c>
      <c r="C891" s="13" t="s">
        <v>2267</v>
      </c>
      <c r="D891" s="13" t="s">
        <v>2270</v>
      </c>
      <c r="E891" s="13" t="s">
        <v>2297</v>
      </c>
      <c r="F891" s="13" t="s">
        <v>2300</v>
      </c>
      <c r="G891" s="61" t="n">
        <v>16730053021</v>
      </c>
      <c r="H891" s="13" t="s">
        <v>2255</v>
      </c>
      <c r="I891" s="13" t="s">
        <v>2294</v>
      </c>
      <c r="J891" s="13" t="s">
        <v>2295</v>
      </c>
      <c r="K891" s="13" t="s">
        <v>2278</v>
      </c>
      <c r="L891" s="13" t="s">
        <v>2265</v>
      </c>
      <c r="M891" s="13"/>
    </row>
    <row r="892" customFormat="false" ht="15" hidden="false" customHeight="false" outlineLevel="0" collapsed="false">
      <c r="A892" s="13" t="s">
        <v>628</v>
      </c>
      <c r="B892" s="13" t="s">
        <v>627</v>
      </c>
      <c r="C892" s="13" t="s">
        <v>2254</v>
      </c>
      <c r="D892" s="13" t="s">
        <v>2270</v>
      </c>
      <c r="E892" s="13" t="s">
        <v>2298</v>
      </c>
      <c r="F892" s="13" t="s">
        <v>2300</v>
      </c>
      <c r="G892" s="61" t="n">
        <v>-336778418949</v>
      </c>
      <c r="H892" s="13" t="s">
        <v>2255</v>
      </c>
      <c r="I892" s="13" t="s">
        <v>2294</v>
      </c>
      <c r="J892" s="13" t="n">
        <v>7</v>
      </c>
      <c r="K892" s="13" t="s">
        <v>2274</v>
      </c>
      <c r="L892" s="13" t="s">
        <v>2257</v>
      </c>
      <c r="M892" s="13"/>
    </row>
    <row r="893" customFormat="false" ht="15" hidden="false" customHeight="false" outlineLevel="0" collapsed="false">
      <c r="A893" s="13" t="s">
        <v>628</v>
      </c>
      <c r="B893" s="13" t="s">
        <v>627</v>
      </c>
      <c r="C893" s="13" t="s">
        <v>2258</v>
      </c>
      <c r="D893" s="13" t="s">
        <v>2270</v>
      </c>
      <c r="E893" s="13" t="s">
        <v>2298</v>
      </c>
      <c r="F893" s="13" t="s">
        <v>2300</v>
      </c>
      <c r="G893" s="61" t="n">
        <v>-441598108987</v>
      </c>
      <c r="H893" s="13" t="s">
        <v>2255</v>
      </c>
      <c r="I893" s="13" t="s">
        <v>2294</v>
      </c>
      <c r="J893" s="13" t="n">
        <v>7</v>
      </c>
      <c r="K893" s="13" t="s">
        <v>2275</v>
      </c>
      <c r="L893" s="13" t="s">
        <v>2260</v>
      </c>
      <c r="M893" s="13"/>
    </row>
    <row r="894" customFormat="false" ht="15" hidden="false" customHeight="false" outlineLevel="0" collapsed="false">
      <c r="A894" s="13" t="s">
        <v>628</v>
      </c>
      <c r="B894" s="13" t="s">
        <v>627</v>
      </c>
      <c r="C894" s="13" t="s">
        <v>2266</v>
      </c>
      <c r="D894" s="13" t="s">
        <v>2270</v>
      </c>
      <c r="E894" s="13" t="s">
        <v>2298</v>
      </c>
      <c r="F894" s="13" t="s">
        <v>2300</v>
      </c>
      <c r="G894" s="61" t="n">
        <v>-608070432997</v>
      </c>
      <c r="H894" s="13" t="s">
        <v>2255</v>
      </c>
      <c r="I894" s="13" t="s">
        <v>2294</v>
      </c>
      <c r="J894" s="13" t="s">
        <v>2295</v>
      </c>
      <c r="K894" s="13" t="s">
        <v>2278</v>
      </c>
      <c r="L894" s="13" t="s">
        <v>2265</v>
      </c>
      <c r="M894" s="13"/>
    </row>
    <row r="895" customFormat="false" ht="15" hidden="false" customHeight="false" outlineLevel="0" collapsed="false">
      <c r="A895" s="13" t="s">
        <v>628</v>
      </c>
      <c r="B895" s="13" t="s">
        <v>627</v>
      </c>
      <c r="C895" s="13" t="s">
        <v>2267</v>
      </c>
      <c r="D895" s="13" t="s">
        <v>2270</v>
      </c>
      <c r="E895" s="13" t="s">
        <v>2298</v>
      </c>
      <c r="F895" s="13" t="s">
        <v>2300</v>
      </c>
      <c r="G895" s="61" t="n">
        <v>-628562924995</v>
      </c>
      <c r="H895" s="13" t="s">
        <v>2255</v>
      </c>
      <c r="I895" s="13" t="s">
        <v>2294</v>
      </c>
      <c r="J895" s="13" t="s">
        <v>2295</v>
      </c>
      <c r="K895" s="13" t="s">
        <v>2278</v>
      </c>
      <c r="L895" s="13" t="s">
        <v>2265</v>
      </c>
      <c r="M895" s="13"/>
    </row>
    <row r="896" customFormat="false" ht="15" hidden="false" customHeight="false" outlineLevel="0" collapsed="false">
      <c r="A896" s="13" t="s">
        <v>628</v>
      </c>
      <c r="B896" s="13" t="s">
        <v>627</v>
      </c>
      <c r="C896" s="13" t="s">
        <v>2254</v>
      </c>
      <c r="D896" s="13" t="s">
        <v>2270</v>
      </c>
      <c r="E896" s="13" t="s">
        <v>2292</v>
      </c>
      <c r="F896" s="13" t="s">
        <v>373</v>
      </c>
      <c r="G896" s="61" t="n">
        <v>4660482840</v>
      </c>
      <c r="H896" s="13" t="s">
        <v>2255</v>
      </c>
      <c r="I896" s="13" t="s">
        <v>2294</v>
      </c>
      <c r="J896" s="13" t="n">
        <v>7</v>
      </c>
      <c r="K896" s="13" t="s">
        <v>2274</v>
      </c>
      <c r="L896" s="13" t="s">
        <v>2257</v>
      </c>
      <c r="M896" s="13"/>
    </row>
    <row r="897" customFormat="false" ht="15" hidden="false" customHeight="false" outlineLevel="0" collapsed="false">
      <c r="A897" s="13" t="s">
        <v>628</v>
      </c>
      <c r="B897" s="13" t="s">
        <v>627</v>
      </c>
      <c r="C897" s="13" t="s">
        <v>2258</v>
      </c>
      <c r="D897" s="13" t="s">
        <v>2270</v>
      </c>
      <c r="E897" s="13" t="s">
        <v>2292</v>
      </c>
      <c r="F897" s="13" t="s">
        <v>373</v>
      </c>
      <c r="G897" s="61" t="n">
        <v>7851072116</v>
      </c>
      <c r="H897" s="13" t="s">
        <v>2255</v>
      </c>
      <c r="I897" s="13" t="s">
        <v>2294</v>
      </c>
      <c r="J897" s="13" t="n">
        <v>7</v>
      </c>
      <c r="K897" s="13" t="s">
        <v>2275</v>
      </c>
      <c r="L897" s="13" t="s">
        <v>2260</v>
      </c>
      <c r="M897" s="13"/>
    </row>
    <row r="898" customFormat="false" ht="15" hidden="false" customHeight="false" outlineLevel="0" collapsed="false">
      <c r="A898" s="13" t="s">
        <v>628</v>
      </c>
      <c r="B898" s="13" t="s">
        <v>627</v>
      </c>
      <c r="C898" s="13" t="s">
        <v>2266</v>
      </c>
      <c r="D898" s="13" t="s">
        <v>2270</v>
      </c>
      <c r="E898" s="13" t="s">
        <v>2292</v>
      </c>
      <c r="F898" s="13" t="s">
        <v>373</v>
      </c>
      <c r="G898" s="61" t="n">
        <v>18491219751</v>
      </c>
      <c r="H898" s="13" t="s">
        <v>2255</v>
      </c>
      <c r="I898" s="13" t="s">
        <v>2294</v>
      </c>
      <c r="J898" s="13" t="s">
        <v>2295</v>
      </c>
      <c r="K898" s="13" t="s">
        <v>2278</v>
      </c>
      <c r="L898" s="13" t="s">
        <v>2265</v>
      </c>
      <c r="M898" s="13"/>
    </row>
    <row r="899" customFormat="false" ht="15" hidden="false" customHeight="false" outlineLevel="0" collapsed="false">
      <c r="A899" s="13" t="s">
        <v>628</v>
      </c>
      <c r="B899" s="13" t="s">
        <v>627</v>
      </c>
      <c r="C899" s="13" t="s">
        <v>2267</v>
      </c>
      <c r="D899" s="13" t="s">
        <v>2270</v>
      </c>
      <c r="E899" s="13" t="s">
        <v>2292</v>
      </c>
      <c r="F899" s="13" t="s">
        <v>373</v>
      </c>
      <c r="G899" s="61" t="n">
        <v>22833605960</v>
      </c>
      <c r="H899" s="13" t="s">
        <v>2255</v>
      </c>
      <c r="I899" s="13" t="s">
        <v>2294</v>
      </c>
      <c r="J899" s="13" t="s">
        <v>2295</v>
      </c>
      <c r="K899" s="13" t="s">
        <v>2278</v>
      </c>
      <c r="L899" s="13" t="s">
        <v>2265</v>
      </c>
      <c r="M899" s="13"/>
    </row>
    <row r="900" customFormat="false" ht="15" hidden="false" customHeight="false" outlineLevel="0" collapsed="false">
      <c r="A900" s="13" t="s">
        <v>628</v>
      </c>
      <c r="B900" s="13" t="s">
        <v>627</v>
      </c>
      <c r="C900" s="13" t="s">
        <v>2254</v>
      </c>
      <c r="D900" s="13" t="s">
        <v>2270</v>
      </c>
      <c r="E900" s="13" t="s">
        <v>2296</v>
      </c>
      <c r="F900" s="13" t="s">
        <v>373</v>
      </c>
      <c r="G900" s="61" t="n">
        <v>73503418</v>
      </c>
      <c r="H900" s="13" t="s">
        <v>2255</v>
      </c>
      <c r="I900" s="13" t="s">
        <v>2294</v>
      </c>
      <c r="J900" s="13" t="n">
        <v>7</v>
      </c>
      <c r="K900" s="13" t="s">
        <v>2274</v>
      </c>
      <c r="L900" s="13" t="s">
        <v>2257</v>
      </c>
      <c r="M900" s="13"/>
    </row>
    <row r="901" customFormat="false" ht="15" hidden="false" customHeight="false" outlineLevel="0" collapsed="false">
      <c r="A901" s="13" t="s">
        <v>628</v>
      </c>
      <c r="B901" s="13" t="s">
        <v>627</v>
      </c>
      <c r="C901" s="13" t="s">
        <v>2258</v>
      </c>
      <c r="D901" s="13" t="s">
        <v>2270</v>
      </c>
      <c r="E901" s="13" t="s">
        <v>2296</v>
      </c>
      <c r="F901" s="13" t="s">
        <v>373</v>
      </c>
      <c r="G901" s="61" t="n">
        <v>110153373</v>
      </c>
      <c r="H901" s="13" t="s">
        <v>2255</v>
      </c>
      <c r="I901" s="13" t="s">
        <v>2294</v>
      </c>
      <c r="J901" s="13" t="n">
        <v>7</v>
      </c>
      <c r="K901" s="13" t="s">
        <v>2275</v>
      </c>
      <c r="L901" s="13" t="s">
        <v>2260</v>
      </c>
      <c r="M901" s="13"/>
    </row>
    <row r="902" customFormat="false" ht="15" hidden="false" customHeight="false" outlineLevel="0" collapsed="false">
      <c r="A902" s="13" t="s">
        <v>628</v>
      </c>
      <c r="B902" s="13" t="s">
        <v>627</v>
      </c>
      <c r="C902" s="13" t="s">
        <v>2266</v>
      </c>
      <c r="D902" s="13" t="s">
        <v>2270</v>
      </c>
      <c r="E902" s="13" t="s">
        <v>2296</v>
      </c>
      <c r="F902" s="13" t="s">
        <v>373</v>
      </c>
      <c r="G902" s="61" t="n">
        <v>149616874</v>
      </c>
      <c r="H902" s="13" t="s">
        <v>2255</v>
      </c>
      <c r="I902" s="13" t="s">
        <v>2294</v>
      </c>
      <c r="J902" s="13" t="s">
        <v>2295</v>
      </c>
      <c r="K902" s="13" t="s">
        <v>2278</v>
      </c>
      <c r="L902" s="13" t="s">
        <v>2265</v>
      </c>
      <c r="M902" s="13"/>
    </row>
    <row r="903" customFormat="false" ht="15" hidden="false" customHeight="false" outlineLevel="0" collapsed="false">
      <c r="A903" s="13" t="s">
        <v>628</v>
      </c>
      <c r="B903" s="13" t="s">
        <v>627</v>
      </c>
      <c r="C903" s="13" t="s">
        <v>2267</v>
      </c>
      <c r="D903" s="13" t="s">
        <v>2270</v>
      </c>
      <c r="E903" s="13" t="s">
        <v>2296</v>
      </c>
      <c r="F903" s="13" t="s">
        <v>373</v>
      </c>
      <c r="G903" s="61" t="n">
        <v>97239634</v>
      </c>
      <c r="H903" s="13" t="s">
        <v>2255</v>
      </c>
      <c r="I903" s="13" t="s">
        <v>2294</v>
      </c>
      <c r="J903" s="13" t="s">
        <v>2295</v>
      </c>
      <c r="K903" s="13" t="s">
        <v>2278</v>
      </c>
      <c r="L903" s="13" t="s">
        <v>2265</v>
      </c>
      <c r="M903" s="13"/>
    </row>
    <row r="904" customFormat="false" ht="15" hidden="false" customHeight="false" outlineLevel="0" collapsed="false">
      <c r="A904" s="13" t="s">
        <v>628</v>
      </c>
      <c r="B904" s="13" t="s">
        <v>627</v>
      </c>
      <c r="C904" s="13" t="s">
        <v>2254</v>
      </c>
      <c r="D904" s="13" t="s">
        <v>2270</v>
      </c>
      <c r="E904" s="13" t="s">
        <v>2297</v>
      </c>
      <c r="F904" s="13" t="s">
        <v>373</v>
      </c>
      <c r="G904" s="61" t="n">
        <v>0</v>
      </c>
      <c r="H904" s="13" t="s">
        <v>2255</v>
      </c>
      <c r="I904" s="13" t="s">
        <v>2294</v>
      </c>
      <c r="J904" s="13" t="n">
        <v>7</v>
      </c>
      <c r="K904" s="13" t="s">
        <v>2274</v>
      </c>
      <c r="L904" s="13" t="s">
        <v>2257</v>
      </c>
      <c r="M904" s="13"/>
    </row>
    <row r="905" customFormat="false" ht="15" hidden="false" customHeight="false" outlineLevel="0" collapsed="false">
      <c r="A905" s="13" t="s">
        <v>628</v>
      </c>
      <c r="B905" s="13" t="s">
        <v>627</v>
      </c>
      <c r="C905" s="13" t="s">
        <v>2258</v>
      </c>
      <c r="D905" s="13" t="s">
        <v>2270</v>
      </c>
      <c r="E905" s="13" t="s">
        <v>2297</v>
      </c>
      <c r="F905" s="13" t="s">
        <v>373</v>
      </c>
      <c r="G905" s="61" t="n">
        <v>0</v>
      </c>
      <c r="H905" s="13" t="s">
        <v>2255</v>
      </c>
      <c r="I905" s="13" t="s">
        <v>2294</v>
      </c>
      <c r="J905" s="13" t="n">
        <v>7</v>
      </c>
      <c r="K905" s="13" t="s">
        <v>2275</v>
      </c>
      <c r="L905" s="13" t="s">
        <v>2260</v>
      </c>
      <c r="M905" s="13"/>
    </row>
    <row r="906" customFormat="false" ht="15" hidden="false" customHeight="false" outlineLevel="0" collapsed="false">
      <c r="A906" s="13" t="s">
        <v>628</v>
      </c>
      <c r="B906" s="13" t="s">
        <v>627</v>
      </c>
      <c r="C906" s="13" t="s">
        <v>2266</v>
      </c>
      <c r="D906" s="13" t="s">
        <v>2270</v>
      </c>
      <c r="E906" s="13" t="s">
        <v>2297</v>
      </c>
      <c r="F906" s="13" t="s">
        <v>373</v>
      </c>
      <c r="G906" s="61" t="n">
        <v>0</v>
      </c>
      <c r="H906" s="13" t="s">
        <v>2255</v>
      </c>
      <c r="I906" s="13" t="s">
        <v>2294</v>
      </c>
      <c r="J906" s="13" t="s">
        <v>2295</v>
      </c>
      <c r="K906" s="13" t="s">
        <v>2278</v>
      </c>
      <c r="L906" s="13" t="s">
        <v>2265</v>
      </c>
      <c r="M906" s="13"/>
    </row>
    <row r="907" customFormat="false" ht="15" hidden="false" customHeight="false" outlineLevel="0" collapsed="false">
      <c r="A907" s="13" t="s">
        <v>628</v>
      </c>
      <c r="B907" s="13" t="s">
        <v>627</v>
      </c>
      <c r="C907" s="13" t="s">
        <v>2267</v>
      </c>
      <c r="D907" s="13" t="s">
        <v>2270</v>
      </c>
      <c r="E907" s="13" t="s">
        <v>2297</v>
      </c>
      <c r="F907" s="13" t="s">
        <v>373</v>
      </c>
      <c r="G907" s="61" t="n">
        <v>0</v>
      </c>
      <c r="H907" s="13" t="s">
        <v>2255</v>
      </c>
      <c r="I907" s="13" t="s">
        <v>2294</v>
      </c>
      <c r="J907" s="13" t="s">
        <v>2295</v>
      </c>
      <c r="K907" s="13" t="s">
        <v>2278</v>
      </c>
      <c r="L907" s="13" t="s">
        <v>2265</v>
      </c>
      <c r="M907" s="13"/>
    </row>
    <row r="908" customFormat="false" ht="15" hidden="false" customHeight="false" outlineLevel="0" collapsed="false">
      <c r="A908" s="13" t="s">
        <v>628</v>
      </c>
      <c r="B908" s="13" t="s">
        <v>627</v>
      </c>
      <c r="C908" s="13" t="s">
        <v>2254</v>
      </c>
      <c r="D908" s="13" t="s">
        <v>2270</v>
      </c>
      <c r="E908" s="13" t="s">
        <v>2298</v>
      </c>
      <c r="F908" s="13" t="s">
        <v>373</v>
      </c>
      <c r="G908" s="61" t="n">
        <v>4733986258</v>
      </c>
      <c r="H908" s="13" t="s">
        <v>2255</v>
      </c>
      <c r="I908" s="13" t="s">
        <v>2294</v>
      </c>
      <c r="J908" s="13" t="n">
        <v>7</v>
      </c>
      <c r="K908" s="13" t="s">
        <v>2274</v>
      </c>
      <c r="L908" s="13" t="s">
        <v>2257</v>
      </c>
      <c r="M908" s="13"/>
    </row>
    <row r="909" customFormat="false" ht="15" hidden="false" customHeight="false" outlineLevel="0" collapsed="false">
      <c r="A909" s="13" t="s">
        <v>628</v>
      </c>
      <c r="B909" s="13" t="s">
        <v>627</v>
      </c>
      <c r="C909" s="13" t="s">
        <v>2258</v>
      </c>
      <c r="D909" s="13" t="s">
        <v>2270</v>
      </c>
      <c r="E909" s="13" t="s">
        <v>2298</v>
      </c>
      <c r="F909" s="13" t="s">
        <v>373</v>
      </c>
      <c r="G909" s="61" t="n">
        <v>7961225489</v>
      </c>
      <c r="H909" s="13" t="s">
        <v>2255</v>
      </c>
      <c r="I909" s="13" t="s">
        <v>2294</v>
      </c>
      <c r="J909" s="13" t="n">
        <v>7</v>
      </c>
      <c r="K909" s="13" t="s">
        <v>2275</v>
      </c>
      <c r="L909" s="13" t="s">
        <v>2260</v>
      </c>
      <c r="M909" s="13"/>
    </row>
    <row r="910" customFormat="false" ht="15" hidden="false" customHeight="false" outlineLevel="0" collapsed="false">
      <c r="A910" s="13" t="s">
        <v>628</v>
      </c>
      <c r="B910" s="13" t="s">
        <v>627</v>
      </c>
      <c r="C910" s="13" t="s">
        <v>2266</v>
      </c>
      <c r="D910" s="13" t="s">
        <v>2270</v>
      </c>
      <c r="E910" s="13" t="s">
        <v>2298</v>
      </c>
      <c r="F910" s="13" t="s">
        <v>373</v>
      </c>
      <c r="G910" s="61" t="n">
        <v>18640836625</v>
      </c>
      <c r="H910" s="13" t="s">
        <v>2255</v>
      </c>
      <c r="I910" s="13" t="s">
        <v>2294</v>
      </c>
      <c r="J910" s="13" t="s">
        <v>2295</v>
      </c>
      <c r="K910" s="13" t="s">
        <v>2278</v>
      </c>
      <c r="L910" s="13" t="s">
        <v>2265</v>
      </c>
      <c r="M910" s="13"/>
    </row>
    <row r="911" customFormat="false" ht="15" hidden="false" customHeight="false" outlineLevel="0" collapsed="false">
      <c r="A911" s="13" t="s">
        <v>628</v>
      </c>
      <c r="B911" s="13" t="s">
        <v>627</v>
      </c>
      <c r="C911" s="13" t="s">
        <v>2267</v>
      </c>
      <c r="D911" s="13" t="s">
        <v>2270</v>
      </c>
      <c r="E911" s="13" t="s">
        <v>2298</v>
      </c>
      <c r="F911" s="13" t="s">
        <v>373</v>
      </c>
      <c r="G911" s="61" t="n">
        <v>22930845594</v>
      </c>
      <c r="H911" s="13" t="s">
        <v>2255</v>
      </c>
      <c r="I911" s="13" t="s">
        <v>2294</v>
      </c>
      <c r="J911" s="13" t="s">
        <v>2295</v>
      </c>
      <c r="K911" s="13" t="s">
        <v>2278</v>
      </c>
      <c r="L911" s="13" t="s">
        <v>2265</v>
      </c>
      <c r="M911" s="13"/>
    </row>
    <row r="912" customFormat="false" ht="15" hidden="false" customHeight="false" outlineLevel="0" collapsed="false">
      <c r="A912" s="13" t="s">
        <v>628</v>
      </c>
      <c r="B912" s="13" t="s">
        <v>627</v>
      </c>
      <c r="C912" s="13" t="s">
        <v>2254</v>
      </c>
      <c r="D912" s="13" t="s">
        <v>2270</v>
      </c>
      <c r="E912" s="13" t="s">
        <v>2292</v>
      </c>
      <c r="F912" s="13" t="s">
        <v>376</v>
      </c>
      <c r="G912" s="61" t="n">
        <v>-53099818893</v>
      </c>
      <c r="H912" s="13" t="s">
        <v>2255</v>
      </c>
      <c r="I912" s="13" t="s">
        <v>2294</v>
      </c>
      <c r="J912" s="13" t="n">
        <v>7</v>
      </c>
      <c r="K912" s="13" t="s">
        <v>2274</v>
      </c>
      <c r="L912" s="13" t="s">
        <v>2257</v>
      </c>
      <c r="M912" s="13"/>
    </row>
    <row r="913" customFormat="false" ht="15" hidden="false" customHeight="false" outlineLevel="0" collapsed="false">
      <c r="A913" s="13" t="s">
        <v>628</v>
      </c>
      <c r="B913" s="13" t="s">
        <v>627</v>
      </c>
      <c r="C913" s="13" t="s">
        <v>2258</v>
      </c>
      <c r="D913" s="13" t="s">
        <v>2270</v>
      </c>
      <c r="E913" s="13" t="s">
        <v>2292</v>
      </c>
      <c r="F913" s="13" t="s">
        <v>376</v>
      </c>
      <c r="G913" s="61" t="n">
        <v>-27713331495</v>
      </c>
      <c r="H913" s="13" t="s">
        <v>2255</v>
      </c>
      <c r="I913" s="13" t="s">
        <v>2294</v>
      </c>
      <c r="J913" s="13" t="n">
        <v>7</v>
      </c>
      <c r="K913" s="13" t="s">
        <v>2275</v>
      </c>
      <c r="L913" s="13" t="s">
        <v>2260</v>
      </c>
      <c r="M913" s="13"/>
    </row>
    <row r="914" customFormat="false" ht="15" hidden="false" customHeight="false" outlineLevel="0" collapsed="false">
      <c r="A914" s="13" t="s">
        <v>628</v>
      </c>
      <c r="B914" s="13" t="s">
        <v>627</v>
      </c>
      <c r="C914" s="13" t="s">
        <v>2266</v>
      </c>
      <c r="D914" s="13" t="s">
        <v>2270</v>
      </c>
      <c r="E914" s="13" t="s">
        <v>2292</v>
      </c>
      <c r="F914" s="13" t="s">
        <v>376</v>
      </c>
      <c r="G914" s="61" t="n">
        <v>-67897527073</v>
      </c>
      <c r="H914" s="13" t="s">
        <v>2255</v>
      </c>
      <c r="I914" s="13" t="s">
        <v>2294</v>
      </c>
      <c r="J914" s="13" t="s">
        <v>2295</v>
      </c>
      <c r="K914" s="13" t="s">
        <v>2278</v>
      </c>
      <c r="L914" s="13" t="s">
        <v>2265</v>
      </c>
      <c r="M914" s="13"/>
    </row>
    <row r="915" customFormat="false" ht="15" hidden="false" customHeight="false" outlineLevel="0" collapsed="false">
      <c r="A915" s="13" t="s">
        <v>628</v>
      </c>
      <c r="B915" s="13" t="s">
        <v>627</v>
      </c>
      <c r="C915" s="13" t="s">
        <v>2267</v>
      </c>
      <c r="D915" s="13" t="s">
        <v>2270</v>
      </c>
      <c r="E915" s="13" t="s">
        <v>2292</v>
      </c>
      <c r="F915" s="13" t="s">
        <v>376</v>
      </c>
      <c r="G915" s="61" t="n">
        <v>-67298233731</v>
      </c>
      <c r="H915" s="13" t="s">
        <v>2255</v>
      </c>
      <c r="I915" s="13" t="s">
        <v>2294</v>
      </c>
      <c r="J915" s="13" t="s">
        <v>2295</v>
      </c>
      <c r="K915" s="13" t="s">
        <v>2278</v>
      </c>
      <c r="L915" s="13" t="s">
        <v>2265</v>
      </c>
      <c r="M915" s="13"/>
    </row>
    <row r="916" customFormat="false" ht="15" hidden="false" customHeight="false" outlineLevel="0" collapsed="false">
      <c r="A916" s="13" t="s">
        <v>628</v>
      </c>
      <c r="B916" s="13" t="s">
        <v>627</v>
      </c>
      <c r="C916" s="13" t="s">
        <v>2254</v>
      </c>
      <c r="D916" s="13" t="s">
        <v>2270</v>
      </c>
      <c r="E916" s="13" t="s">
        <v>2296</v>
      </c>
      <c r="F916" s="13" t="s">
        <v>376</v>
      </c>
      <c r="G916" s="61" t="n">
        <v>-19899295</v>
      </c>
      <c r="H916" s="13" t="s">
        <v>2255</v>
      </c>
      <c r="I916" s="13" t="s">
        <v>2294</v>
      </c>
      <c r="J916" s="13" t="n">
        <v>7</v>
      </c>
      <c r="K916" s="13" t="s">
        <v>2274</v>
      </c>
      <c r="L916" s="13" t="s">
        <v>2257</v>
      </c>
      <c r="M916" s="13"/>
    </row>
    <row r="917" customFormat="false" ht="15" hidden="false" customHeight="false" outlineLevel="0" collapsed="false">
      <c r="A917" s="13" t="s">
        <v>628</v>
      </c>
      <c r="B917" s="13" t="s">
        <v>627</v>
      </c>
      <c r="C917" s="13" t="s">
        <v>2258</v>
      </c>
      <c r="D917" s="13" t="s">
        <v>2270</v>
      </c>
      <c r="E917" s="13" t="s">
        <v>2296</v>
      </c>
      <c r="F917" s="13" t="s">
        <v>376</v>
      </c>
      <c r="G917" s="61" t="n">
        <v>-40515910</v>
      </c>
      <c r="H917" s="13" t="s">
        <v>2255</v>
      </c>
      <c r="I917" s="13" t="s">
        <v>2294</v>
      </c>
      <c r="J917" s="13" t="n">
        <v>7</v>
      </c>
      <c r="K917" s="13" t="s">
        <v>2275</v>
      </c>
      <c r="L917" s="13" t="s">
        <v>2260</v>
      </c>
      <c r="M917" s="13"/>
    </row>
    <row r="918" customFormat="false" ht="15" hidden="false" customHeight="false" outlineLevel="0" collapsed="false">
      <c r="A918" s="13" t="s">
        <v>628</v>
      </c>
      <c r="B918" s="13" t="s">
        <v>627</v>
      </c>
      <c r="C918" s="13" t="s">
        <v>2266</v>
      </c>
      <c r="D918" s="13" t="s">
        <v>2270</v>
      </c>
      <c r="E918" s="13" t="s">
        <v>2296</v>
      </c>
      <c r="F918" s="13" t="s">
        <v>376</v>
      </c>
      <c r="G918" s="61" t="n">
        <v>-155921382</v>
      </c>
      <c r="H918" s="13" t="s">
        <v>2255</v>
      </c>
      <c r="I918" s="13" t="s">
        <v>2294</v>
      </c>
      <c r="J918" s="13" t="s">
        <v>2295</v>
      </c>
      <c r="K918" s="13" t="s">
        <v>2278</v>
      </c>
      <c r="L918" s="13" t="s">
        <v>2265</v>
      </c>
      <c r="M918" s="13"/>
    </row>
    <row r="919" customFormat="false" ht="15" hidden="false" customHeight="false" outlineLevel="0" collapsed="false">
      <c r="A919" s="13" t="s">
        <v>628</v>
      </c>
      <c r="B919" s="13" t="s">
        <v>627</v>
      </c>
      <c r="C919" s="13" t="s">
        <v>2267</v>
      </c>
      <c r="D919" s="13" t="s">
        <v>2270</v>
      </c>
      <c r="E919" s="13" t="s">
        <v>2296</v>
      </c>
      <c r="F919" s="13" t="s">
        <v>376</v>
      </c>
      <c r="G919" s="61" t="n">
        <v>-290540121</v>
      </c>
      <c r="H919" s="13" t="s">
        <v>2255</v>
      </c>
      <c r="I919" s="13" t="s">
        <v>2294</v>
      </c>
      <c r="J919" s="13" t="s">
        <v>2295</v>
      </c>
      <c r="K919" s="13" t="s">
        <v>2278</v>
      </c>
      <c r="L919" s="13" t="s">
        <v>2265</v>
      </c>
      <c r="M919" s="13"/>
    </row>
    <row r="920" customFormat="false" ht="15" hidden="false" customHeight="false" outlineLevel="0" collapsed="false">
      <c r="A920" s="13" t="s">
        <v>628</v>
      </c>
      <c r="B920" s="13" t="s">
        <v>627</v>
      </c>
      <c r="C920" s="13" t="s">
        <v>2254</v>
      </c>
      <c r="D920" s="13" t="s">
        <v>2270</v>
      </c>
      <c r="E920" s="13" t="s">
        <v>2297</v>
      </c>
      <c r="F920" s="13" t="s">
        <v>376</v>
      </c>
      <c r="G920" s="61" t="n">
        <v>0</v>
      </c>
      <c r="H920" s="13" t="s">
        <v>2255</v>
      </c>
      <c r="I920" s="13" t="s">
        <v>2294</v>
      </c>
      <c r="J920" s="13" t="n">
        <v>7</v>
      </c>
      <c r="K920" s="13" t="s">
        <v>2274</v>
      </c>
      <c r="L920" s="13" t="s">
        <v>2257</v>
      </c>
      <c r="M920" s="13"/>
    </row>
    <row r="921" customFormat="false" ht="15" hidden="false" customHeight="false" outlineLevel="0" collapsed="false">
      <c r="A921" s="13" t="s">
        <v>628</v>
      </c>
      <c r="B921" s="13" t="s">
        <v>627</v>
      </c>
      <c r="C921" s="13" t="s">
        <v>2258</v>
      </c>
      <c r="D921" s="13" t="s">
        <v>2270</v>
      </c>
      <c r="E921" s="13" t="s">
        <v>2297</v>
      </c>
      <c r="F921" s="13" t="s">
        <v>376</v>
      </c>
      <c r="G921" s="61" t="n">
        <v>0</v>
      </c>
      <c r="H921" s="13" t="s">
        <v>2255</v>
      </c>
      <c r="I921" s="13" t="s">
        <v>2294</v>
      </c>
      <c r="J921" s="13" t="n">
        <v>7</v>
      </c>
      <c r="K921" s="13" t="s">
        <v>2275</v>
      </c>
      <c r="L921" s="13" t="s">
        <v>2260</v>
      </c>
      <c r="M921" s="13"/>
    </row>
    <row r="922" customFormat="false" ht="15" hidden="false" customHeight="false" outlineLevel="0" collapsed="false">
      <c r="A922" s="13" t="s">
        <v>628</v>
      </c>
      <c r="B922" s="13" t="s">
        <v>627</v>
      </c>
      <c r="C922" s="13" t="s">
        <v>2266</v>
      </c>
      <c r="D922" s="13" t="s">
        <v>2270</v>
      </c>
      <c r="E922" s="13" t="s">
        <v>2297</v>
      </c>
      <c r="F922" s="13" t="s">
        <v>376</v>
      </c>
      <c r="G922" s="61" t="n">
        <v>0</v>
      </c>
      <c r="H922" s="13" t="s">
        <v>2255</v>
      </c>
      <c r="I922" s="13" t="s">
        <v>2294</v>
      </c>
      <c r="J922" s="13" t="s">
        <v>2295</v>
      </c>
      <c r="K922" s="13" t="s">
        <v>2278</v>
      </c>
      <c r="L922" s="13" t="s">
        <v>2265</v>
      </c>
      <c r="M922" s="13"/>
    </row>
    <row r="923" customFormat="false" ht="15" hidden="false" customHeight="false" outlineLevel="0" collapsed="false">
      <c r="A923" s="13" t="s">
        <v>628</v>
      </c>
      <c r="B923" s="13" t="s">
        <v>627</v>
      </c>
      <c r="C923" s="13" t="s">
        <v>2267</v>
      </c>
      <c r="D923" s="13" t="s">
        <v>2270</v>
      </c>
      <c r="E923" s="13" t="s">
        <v>2297</v>
      </c>
      <c r="F923" s="13" t="s">
        <v>376</v>
      </c>
      <c r="G923" s="61" t="n">
        <v>61380962</v>
      </c>
      <c r="H923" s="13" t="s">
        <v>2255</v>
      </c>
      <c r="I923" s="13" t="s">
        <v>2294</v>
      </c>
      <c r="J923" s="13" t="s">
        <v>2295</v>
      </c>
      <c r="K923" s="13" t="s">
        <v>2278</v>
      </c>
      <c r="L923" s="13" t="s">
        <v>2265</v>
      </c>
      <c r="M923" s="13"/>
    </row>
    <row r="924" customFormat="false" ht="15" hidden="false" customHeight="false" outlineLevel="0" collapsed="false">
      <c r="A924" s="13" t="s">
        <v>628</v>
      </c>
      <c r="B924" s="13" t="s">
        <v>627</v>
      </c>
      <c r="C924" s="13" t="s">
        <v>2254</v>
      </c>
      <c r="D924" s="13" t="s">
        <v>2270</v>
      </c>
      <c r="E924" s="13" t="s">
        <v>2298</v>
      </c>
      <c r="F924" s="13" t="s">
        <v>376</v>
      </c>
      <c r="G924" s="61" t="n">
        <v>-53119718188</v>
      </c>
      <c r="H924" s="13" t="s">
        <v>2255</v>
      </c>
      <c r="I924" s="13" t="s">
        <v>2294</v>
      </c>
      <c r="J924" s="13" t="n">
        <v>7</v>
      </c>
      <c r="K924" s="13" t="s">
        <v>2274</v>
      </c>
      <c r="L924" s="13" t="s">
        <v>2257</v>
      </c>
      <c r="M924" s="13"/>
    </row>
    <row r="925" customFormat="false" ht="15" hidden="false" customHeight="false" outlineLevel="0" collapsed="false">
      <c r="A925" s="13" t="s">
        <v>628</v>
      </c>
      <c r="B925" s="13" t="s">
        <v>627</v>
      </c>
      <c r="C925" s="13" t="s">
        <v>2258</v>
      </c>
      <c r="D925" s="13" t="s">
        <v>2270</v>
      </c>
      <c r="E925" s="13" t="s">
        <v>2298</v>
      </c>
      <c r="F925" s="13" t="s">
        <v>376</v>
      </c>
      <c r="G925" s="61" t="n">
        <v>-27753847405</v>
      </c>
      <c r="H925" s="13" t="s">
        <v>2255</v>
      </c>
      <c r="I925" s="13" t="s">
        <v>2294</v>
      </c>
      <c r="J925" s="13" t="n">
        <v>7</v>
      </c>
      <c r="K925" s="13" t="s">
        <v>2275</v>
      </c>
      <c r="L925" s="13" t="s">
        <v>2260</v>
      </c>
      <c r="M925" s="13"/>
    </row>
    <row r="926" customFormat="false" ht="15" hidden="false" customHeight="false" outlineLevel="0" collapsed="false">
      <c r="A926" s="13" t="s">
        <v>628</v>
      </c>
      <c r="B926" s="13" t="s">
        <v>627</v>
      </c>
      <c r="C926" s="13" t="s">
        <v>2266</v>
      </c>
      <c r="D926" s="13" t="s">
        <v>2270</v>
      </c>
      <c r="E926" s="13" t="s">
        <v>2298</v>
      </c>
      <c r="F926" s="13" t="s">
        <v>376</v>
      </c>
      <c r="G926" s="61" t="n">
        <v>-68053448455</v>
      </c>
      <c r="H926" s="13" t="s">
        <v>2255</v>
      </c>
      <c r="I926" s="13" t="s">
        <v>2294</v>
      </c>
      <c r="J926" s="13" t="s">
        <v>2295</v>
      </c>
      <c r="K926" s="13" t="s">
        <v>2278</v>
      </c>
      <c r="L926" s="13" t="s">
        <v>2265</v>
      </c>
      <c r="M926" s="13"/>
    </row>
    <row r="927" customFormat="false" ht="15" hidden="false" customHeight="false" outlineLevel="0" collapsed="false">
      <c r="A927" s="13" t="s">
        <v>628</v>
      </c>
      <c r="B927" s="13" t="s">
        <v>627</v>
      </c>
      <c r="C927" s="13" t="s">
        <v>2267</v>
      </c>
      <c r="D927" s="13" t="s">
        <v>2270</v>
      </c>
      <c r="E927" s="13" t="s">
        <v>2298</v>
      </c>
      <c r="F927" s="13" t="s">
        <v>376</v>
      </c>
      <c r="G927" s="61" t="n">
        <v>-67527392890</v>
      </c>
      <c r="H927" s="13" t="s">
        <v>2255</v>
      </c>
      <c r="I927" s="13" t="s">
        <v>2294</v>
      </c>
      <c r="J927" s="13" t="s">
        <v>2295</v>
      </c>
      <c r="K927" s="13" t="s">
        <v>2278</v>
      </c>
      <c r="L927" s="13" t="s">
        <v>2265</v>
      </c>
      <c r="M927" s="13"/>
    </row>
    <row r="928" customFormat="false" ht="15" hidden="false" customHeight="false" outlineLevel="0" collapsed="false">
      <c r="A928" s="13" t="s">
        <v>628</v>
      </c>
      <c r="B928" s="13" t="s">
        <v>627</v>
      </c>
      <c r="C928" s="13" t="s">
        <v>2254</v>
      </c>
      <c r="D928" s="13" t="s">
        <v>2270</v>
      </c>
      <c r="E928" s="13" t="s">
        <v>2292</v>
      </c>
      <c r="F928" s="13" t="s">
        <v>2301</v>
      </c>
      <c r="G928" s="61" t="n">
        <v>9932549652</v>
      </c>
      <c r="H928" s="13" t="s">
        <v>2255</v>
      </c>
      <c r="I928" s="13" t="s">
        <v>2294</v>
      </c>
      <c r="J928" s="13" t="n">
        <v>7</v>
      </c>
      <c r="K928" s="13" t="s">
        <v>2274</v>
      </c>
      <c r="L928" s="13" t="s">
        <v>2257</v>
      </c>
      <c r="M928" s="13"/>
    </row>
    <row r="929" customFormat="false" ht="15" hidden="false" customHeight="false" outlineLevel="0" collapsed="false">
      <c r="A929" s="13" t="s">
        <v>628</v>
      </c>
      <c r="B929" s="13" t="s">
        <v>627</v>
      </c>
      <c r="C929" s="13" t="s">
        <v>2258</v>
      </c>
      <c r="D929" s="13" t="s">
        <v>2270</v>
      </c>
      <c r="E929" s="13" t="s">
        <v>2292</v>
      </c>
      <c r="F929" s="13" t="s">
        <v>2301</v>
      </c>
      <c r="G929" s="61" t="n">
        <v>26551075550</v>
      </c>
      <c r="H929" s="13" t="s">
        <v>2255</v>
      </c>
      <c r="I929" s="13" t="s">
        <v>2294</v>
      </c>
      <c r="J929" s="13" t="n">
        <v>7</v>
      </c>
      <c r="K929" s="13" t="s">
        <v>2275</v>
      </c>
      <c r="L929" s="13" t="s">
        <v>2260</v>
      </c>
      <c r="M929" s="13"/>
    </row>
    <row r="930" customFormat="false" ht="15" hidden="false" customHeight="false" outlineLevel="0" collapsed="false">
      <c r="A930" s="13" t="s">
        <v>628</v>
      </c>
      <c r="B930" s="13" t="s">
        <v>627</v>
      </c>
      <c r="C930" s="13" t="s">
        <v>2266</v>
      </c>
      <c r="D930" s="13" t="s">
        <v>2270</v>
      </c>
      <c r="E930" s="13" t="s">
        <v>2292</v>
      </c>
      <c r="F930" s="13" t="s">
        <v>2301</v>
      </c>
      <c r="G930" s="61" t="n">
        <v>-8837617927</v>
      </c>
      <c r="H930" s="13" t="s">
        <v>2255</v>
      </c>
      <c r="I930" s="13" t="s">
        <v>2294</v>
      </c>
      <c r="J930" s="13" t="s">
        <v>2295</v>
      </c>
      <c r="K930" s="13" t="s">
        <v>2278</v>
      </c>
      <c r="L930" s="13" t="s">
        <v>2265</v>
      </c>
      <c r="M930" s="13"/>
    </row>
    <row r="931" customFormat="false" ht="15" hidden="false" customHeight="false" outlineLevel="0" collapsed="false">
      <c r="A931" s="13" t="s">
        <v>628</v>
      </c>
      <c r="B931" s="13" t="s">
        <v>627</v>
      </c>
      <c r="C931" s="13" t="s">
        <v>2267</v>
      </c>
      <c r="D931" s="13" t="s">
        <v>2270</v>
      </c>
      <c r="E931" s="13" t="s">
        <v>2292</v>
      </c>
      <c r="F931" s="13" t="s">
        <v>2301</v>
      </c>
      <c r="G931" s="61" t="n">
        <v>-25048656349</v>
      </c>
      <c r="H931" s="13" t="s">
        <v>2255</v>
      </c>
      <c r="I931" s="13" t="s">
        <v>2294</v>
      </c>
      <c r="J931" s="13" t="s">
        <v>2295</v>
      </c>
      <c r="K931" s="13" t="s">
        <v>2278</v>
      </c>
      <c r="L931" s="13" t="s">
        <v>2265</v>
      </c>
      <c r="M931" s="13"/>
    </row>
    <row r="932" customFormat="false" ht="15" hidden="false" customHeight="false" outlineLevel="0" collapsed="false">
      <c r="A932" s="13" t="s">
        <v>628</v>
      </c>
      <c r="B932" s="13" t="s">
        <v>627</v>
      </c>
      <c r="C932" s="13" t="s">
        <v>2254</v>
      </c>
      <c r="D932" s="13" t="s">
        <v>2270</v>
      </c>
      <c r="E932" s="13" t="s">
        <v>2296</v>
      </c>
      <c r="F932" s="13" t="s">
        <v>2301</v>
      </c>
      <c r="G932" s="61" t="n">
        <v>-580520604</v>
      </c>
      <c r="H932" s="13" t="s">
        <v>2255</v>
      </c>
      <c r="I932" s="13" t="s">
        <v>2294</v>
      </c>
      <c r="J932" s="13" t="n">
        <v>7</v>
      </c>
      <c r="K932" s="13" t="s">
        <v>2274</v>
      </c>
      <c r="L932" s="13" t="s">
        <v>2257</v>
      </c>
      <c r="M932" s="13"/>
    </row>
    <row r="933" customFormat="false" ht="15" hidden="false" customHeight="false" outlineLevel="0" collapsed="false">
      <c r="A933" s="13" t="s">
        <v>628</v>
      </c>
      <c r="B933" s="13" t="s">
        <v>627</v>
      </c>
      <c r="C933" s="13" t="s">
        <v>2258</v>
      </c>
      <c r="D933" s="13" t="s">
        <v>2270</v>
      </c>
      <c r="E933" s="13" t="s">
        <v>2296</v>
      </c>
      <c r="F933" s="13" t="s">
        <v>2301</v>
      </c>
      <c r="G933" s="61" t="n">
        <v>-65548137</v>
      </c>
      <c r="H933" s="13" t="s">
        <v>2255</v>
      </c>
      <c r="I933" s="13" t="s">
        <v>2294</v>
      </c>
      <c r="J933" s="13" t="n">
        <v>7</v>
      </c>
      <c r="K933" s="13" t="s">
        <v>2275</v>
      </c>
      <c r="L933" s="13" t="s">
        <v>2260</v>
      </c>
      <c r="M933" s="13"/>
    </row>
    <row r="934" customFormat="false" ht="15" hidden="false" customHeight="false" outlineLevel="0" collapsed="false">
      <c r="A934" s="13" t="s">
        <v>628</v>
      </c>
      <c r="B934" s="13" t="s">
        <v>627</v>
      </c>
      <c r="C934" s="13" t="s">
        <v>2266</v>
      </c>
      <c r="D934" s="13" t="s">
        <v>2270</v>
      </c>
      <c r="E934" s="13" t="s">
        <v>2296</v>
      </c>
      <c r="F934" s="13" t="s">
        <v>2301</v>
      </c>
      <c r="G934" s="61" t="n">
        <v>-5035261011</v>
      </c>
      <c r="H934" s="13" t="s">
        <v>2255</v>
      </c>
      <c r="I934" s="13" t="s">
        <v>2294</v>
      </c>
      <c r="J934" s="13" t="s">
        <v>2295</v>
      </c>
      <c r="K934" s="13" t="s">
        <v>2278</v>
      </c>
      <c r="L934" s="13" t="s">
        <v>2265</v>
      </c>
      <c r="M934" s="13"/>
    </row>
    <row r="935" customFormat="false" ht="15" hidden="false" customHeight="false" outlineLevel="0" collapsed="false">
      <c r="A935" s="13" t="s">
        <v>628</v>
      </c>
      <c r="B935" s="13" t="s">
        <v>627</v>
      </c>
      <c r="C935" s="13" t="s">
        <v>2267</v>
      </c>
      <c r="D935" s="13" t="s">
        <v>2270</v>
      </c>
      <c r="E935" s="13" t="s">
        <v>2296</v>
      </c>
      <c r="F935" s="13" t="s">
        <v>2301</v>
      </c>
      <c r="G935" s="61" t="n">
        <v>-12970598448</v>
      </c>
      <c r="H935" s="13" t="s">
        <v>2255</v>
      </c>
      <c r="I935" s="13" t="s">
        <v>2294</v>
      </c>
      <c r="J935" s="13" t="s">
        <v>2295</v>
      </c>
      <c r="K935" s="13" t="s">
        <v>2278</v>
      </c>
      <c r="L935" s="13" t="s">
        <v>2265</v>
      </c>
      <c r="M935" s="13"/>
    </row>
    <row r="936" customFormat="false" ht="15" hidden="false" customHeight="false" outlineLevel="0" collapsed="false">
      <c r="A936" s="13" t="s">
        <v>628</v>
      </c>
      <c r="B936" s="13" t="s">
        <v>627</v>
      </c>
      <c r="C936" s="13" t="s">
        <v>2254</v>
      </c>
      <c r="D936" s="13" t="s">
        <v>2270</v>
      </c>
      <c r="E936" s="13" t="s">
        <v>2297</v>
      </c>
      <c r="F936" s="13" t="s">
        <v>2301</v>
      </c>
      <c r="G936" s="61" t="n">
        <v>1933497063</v>
      </c>
      <c r="H936" s="13" t="s">
        <v>2255</v>
      </c>
      <c r="I936" s="13" t="s">
        <v>2294</v>
      </c>
      <c r="J936" s="13" t="n">
        <v>7</v>
      </c>
      <c r="K936" s="13" t="s">
        <v>2274</v>
      </c>
      <c r="L936" s="13" t="s">
        <v>2257</v>
      </c>
      <c r="M936" s="13"/>
    </row>
    <row r="937" customFormat="false" ht="15" hidden="false" customHeight="false" outlineLevel="0" collapsed="false">
      <c r="A937" s="13" t="s">
        <v>628</v>
      </c>
      <c r="B937" s="13" t="s">
        <v>627</v>
      </c>
      <c r="C937" s="13" t="s">
        <v>2258</v>
      </c>
      <c r="D937" s="13" t="s">
        <v>2270</v>
      </c>
      <c r="E937" s="13" t="s">
        <v>2297</v>
      </c>
      <c r="F937" s="13" t="s">
        <v>2301</v>
      </c>
      <c r="G937" s="61" t="n">
        <v>-14931483240</v>
      </c>
      <c r="H937" s="13" t="s">
        <v>2255</v>
      </c>
      <c r="I937" s="13" t="s">
        <v>2294</v>
      </c>
      <c r="J937" s="13" t="n">
        <v>7</v>
      </c>
      <c r="K937" s="13" t="s">
        <v>2275</v>
      </c>
      <c r="L937" s="13" t="s">
        <v>2260</v>
      </c>
      <c r="M937" s="13"/>
    </row>
    <row r="938" customFormat="false" ht="15" hidden="false" customHeight="false" outlineLevel="0" collapsed="false">
      <c r="A938" s="13" t="s">
        <v>628</v>
      </c>
      <c r="B938" s="13" t="s">
        <v>627</v>
      </c>
      <c r="C938" s="13" t="s">
        <v>2266</v>
      </c>
      <c r="D938" s="13" t="s">
        <v>2270</v>
      </c>
      <c r="E938" s="13" t="s">
        <v>2297</v>
      </c>
      <c r="F938" s="13" t="s">
        <v>2301</v>
      </c>
      <c r="G938" s="61" t="n">
        <v>2812639782</v>
      </c>
      <c r="H938" s="13" t="s">
        <v>2255</v>
      </c>
      <c r="I938" s="13" t="s">
        <v>2294</v>
      </c>
      <c r="J938" s="13" t="s">
        <v>2295</v>
      </c>
      <c r="K938" s="13" t="s">
        <v>2278</v>
      </c>
      <c r="L938" s="13" t="s">
        <v>2265</v>
      </c>
      <c r="M938" s="13"/>
    </row>
    <row r="939" customFormat="false" ht="15" hidden="false" customHeight="false" outlineLevel="0" collapsed="false">
      <c r="A939" s="13" t="s">
        <v>628</v>
      </c>
      <c r="B939" s="13" t="s">
        <v>627</v>
      </c>
      <c r="C939" s="13" t="s">
        <v>2267</v>
      </c>
      <c r="D939" s="13" t="s">
        <v>2270</v>
      </c>
      <c r="E939" s="13" t="s">
        <v>2297</v>
      </c>
      <c r="F939" s="13" t="s">
        <v>2301</v>
      </c>
      <c r="G939" s="61" t="n">
        <v>11968910531</v>
      </c>
      <c r="H939" s="13" t="s">
        <v>2255</v>
      </c>
      <c r="I939" s="13" t="s">
        <v>2294</v>
      </c>
      <c r="J939" s="13" t="s">
        <v>2295</v>
      </c>
      <c r="K939" s="13" t="s">
        <v>2278</v>
      </c>
      <c r="L939" s="13" t="s">
        <v>2265</v>
      </c>
      <c r="M939" s="13"/>
    </row>
    <row r="940" customFormat="false" ht="15" hidden="false" customHeight="false" outlineLevel="0" collapsed="false">
      <c r="A940" s="13" t="s">
        <v>628</v>
      </c>
      <c r="B940" s="13" t="s">
        <v>627</v>
      </c>
      <c r="C940" s="13" t="s">
        <v>2254</v>
      </c>
      <c r="D940" s="13" t="s">
        <v>2270</v>
      </c>
      <c r="E940" s="13" t="s">
        <v>2298</v>
      </c>
      <c r="F940" s="13" t="s">
        <v>2301</v>
      </c>
      <c r="G940" s="61" t="n">
        <v>11285526111</v>
      </c>
      <c r="H940" s="13" t="s">
        <v>2255</v>
      </c>
      <c r="I940" s="13" t="s">
        <v>2294</v>
      </c>
      <c r="J940" s="13" t="n">
        <v>7</v>
      </c>
      <c r="K940" s="13" t="s">
        <v>2274</v>
      </c>
      <c r="L940" s="13" t="s">
        <v>2257</v>
      </c>
      <c r="M940" s="13"/>
    </row>
    <row r="941" customFormat="false" ht="15" hidden="false" customHeight="false" outlineLevel="0" collapsed="false">
      <c r="A941" s="13" t="s">
        <v>628</v>
      </c>
      <c r="B941" s="13" t="s">
        <v>627</v>
      </c>
      <c r="C941" s="13" t="s">
        <v>2258</v>
      </c>
      <c r="D941" s="13" t="s">
        <v>2270</v>
      </c>
      <c r="E941" s="13" t="s">
        <v>2298</v>
      </c>
      <c r="F941" s="13" t="s">
        <v>2301</v>
      </c>
      <c r="G941" s="61" t="n">
        <v>11554044173</v>
      </c>
      <c r="H941" s="13" t="s">
        <v>2255</v>
      </c>
      <c r="I941" s="13" t="s">
        <v>2294</v>
      </c>
      <c r="J941" s="13" t="n">
        <v>7</v>
      </c>
      <c r="K941" s="13" t="s">
        <v>2275</v>
      </c>
      <c r="L941" s="13" t="s">
        <v>2260</v>
      </c>
      <c r="M941" s="13"/>
    </row>
    <row r="942" customFormat="false" ht="15" hidden="false" customHeight="false" outlineLevel="0" collapsed="false">
      <c r="A942" s="13" t="s">
        <v>628</v>
      </c>
      <c r="B942" s="13" t="s">
        <v>627</v>
      </c>
      <c r="C942" s="13" t="s">
        <v>2266</v>
      </c>
      <c r="D942" s="13" t="s">
        <v>2270</v>
      </c>
      <c r="E942" s="13" t="s">
        <v>2298</v>
      </c>
      <c r="F942" s="13" t="s">
        <v>2301</v>
      </c>
      <c r="G942" s="61" t="n">
        <v>-11060239156</v>
      </c>
      <c r="H942" s="13" t="s">
        <v>2255</v>
      </c>
      <c r="I942" s="13" t="s">
        <v>2294</v>
      </c>
      <c r="J942" s="13" t="s">
        <v>2295</v>
      </c>
      <c r="K942" s="13" t="s">
        <v>2278</v>
      </c>
      <c r="L942" s="13" t="s">
        <v>2265</v>
      </c>
      <c r="M942" s="13"/>
    </row>
    <row r="943" customFormat="false" ht="15" hidden="false" customHeight="false" outlineLevel="0" collapsed="false">
      <c r="A943" s="13" t="s">
        <v>628</v>
      </c>
      <c r="B943" s="13" t="s">
        <v>627</v>
      </c>
      <c r="C943" s="13" t="s">
        <v>2267</v>
      </c>
      <c r="D943" s="13" t="s">
        <v>2270</v>
      </c>
      <c r="E943" s="13" t="s">
        <v>2298</v>
      </c>
      <c r="F943" s="13" t="s">
        <v>2301</v>
      </c>
      <c r="G943" s="61" t="n">
        <v>-26050344266</v>
      </c>
      <c r="H943" s="13" t="s">
        <v>2255</v>
      </c>
      <c r="I943" s="13" t="s">
        <v>2294</v>
      </c>
      <c r="J943" s="13" t="s">
        <v>2295</v>
      </c>
      <c r="K943" s="13" t="s">
        <v>2278</v>
      </c>
      <c r="L943" s="13" t="s">
        <v>2265</v>
      </c>
      <c r="M943" s="13"/>
    </row>
    <row r="944" customFormat="false" ht="15" hidden="false" customHeight="false" outlineLevel="0" collapsed="false">
      <c r="A944" s="13" t="s">
        <v>628</v>
      </c>
      <c r="B944" s="13" t="s">
        <v>627</v>
      </c>
      <c r="C944" s="13" t="s">
        <v>2254</v>
      </c>
      <c r="D944" s="13" t="s">
        <v>2270</v>
      </c>
      <c r="E944" s="13" t="s">
        <v>2292</v>
      </c>
      <c r="F944" s="13" t="s">
        <v>381</v>
      </c>
      <c r="G944" s="61" t="n">
        <v>139399387728</v>
      </c>
      <c r="H944" s="13" t="s">
        <v>2255</v>
      </c>
      <c r="I944" s="13" t="s">
        <v>2294</v>
      </c>
      <c r="J944" s="13" t="n">
        <v>7</v>
      </c>
      <c r="K944" s="13" t="s">
        <v>2274</v>
      </c>
      <c r="L944" s="13" t="s">
        <v>2257</v>
      </c>
      <c r="M944" s="13"/>
    </row>
    <row r="945" customFormat="false" ht="15" hidden="false" customHeight="false" outlineLevel="0" collapsed="false">
      <c r="A945" s="13" t="s">
        <v>628</v>
      </c>
      <c r="B945" s="13" t="s">
        <v>627</v>
      </c>
      <c r="C945" s="13" t="s">
        <v>2258</v>
      </c>
      <c r="D945" s="13" t="s">
        <v>2270</v>
      </c>
      <c r="E945" s="13" t="s">
        <v>2292</v>
      </c>
      <c r="F945" s="13" t="s">
        <v>381</v>
      </c>
      <c r="G945" s="61" t="n">
        <v>391475232640</v>
      </c>
      <c r="H945" s="13" t="s">
        <v>2255</v>
      </c>
      <c r="I945" s="13" t="s">
        <v>2294</v>
      </c>
      <c r="J945" s="13" t="n">
        <v>7</v>
      </c>
      <c r="K945" s="13" t="s">
        <v>2275</v>
      </c>
      <c r="L945" s="13" t="s">
        <v>2260</v>
      </c>
      <c r="M945" s="13"/>
    </row>
    <row r="946" customFormat="false" ht="15" hidden="false" customHeight="false" outlineLevel="0" collapsed="false">
      <c r="A946" s="13" t="s">
        <v>628</v>
      </c>
      <c r="B946" s="13" t="s">
        <v>627</v>
      </c>
      <c r="C946" s="13" t="s">
        <v>2266</v>
      </c>
      <c r="D946" s="13" t="s">
        <v>2270</v>
      </c>
      <c r="E946" s="13" t="s">
        <v>2292</v>
      </c>
      <c r="F946" s="13" t="s">
        <v>381</v>
      </c>
      <c r="G946" s="61" t="n">
        <v>44665108859</v>
      </c>
      <c r="H946" s="13" t="s">
        <v>2255</v>
      </c>
      <c r="I946" s="13" t="s">
        <v>2294</v>
      </c>
      <c r="J946" s="13" t="s">
        <v>2295</v>
      </c>
      <c r="K946" s="13" t="s">
        <v>2278</v>
      </c>
      <c r="L946" s="13" t="s">
        <v>2265</v>
      </c>
      <c r="M946" s="13"/>
    </row>
    <row r="947" customFormat="false" ht="15" hidden="false" customHeight="false" outlineLevel="0" collapsed="false">
      <c r="A947" s="13" t="s">
        <v>628</v>
      </c>
      <c r="B947" s="13" t="s">
        <v>627</v>
      </c>
      <c r="C947" s="13" t="s">
        <v>2267</v>
      </c>
      <c r="D947" s="13" t="s">
        <v>2270</v>
      </c>
      <c r="E947" s="13" t="s">
        <v>2292</v>
      </c>
      <c r="F947" s="13" t="s">
        <v>381</v>
      </c>
      <c r="G947" s="61" t="n">
        <v>32858118231</v>
      </c>
      <c r="H947" s="13" t="s">
        <v>2255</v>
      </c>
      <c r="I947" s="13" t="s">
        <v>2294</v>
      </c>
      <c r="J947" s="13" t="s">
        <v>2295</v>
      </c>
      <c r="K947" s="13" t="s">
        <v>2278</v>
      </c>
      <c r="L947" s="13" t="s">
        <v>2265</v>
      </c>
      <c r="M947" s="13"/>
    </row>
    <row r="948" customFormat="false" ht="15" hidden="false" customHeight="false" outlineLevel="0" collapsed="false">
      <c r="A948" s="13" t="s">
        <v>628</v>
      </c>
      <c r="B948" s="13" t="s">
        <v>627</v>
      </c>
      <c r="C948" s="13" t="s">
        <v>2254</v>
      </c>
      <c r="D948" s="13" t="s">
        <v>2270</v>
      </c>
      <c r="E948" s="13" t="s">
        <v>2296</v>
      </c>
      <c r="F948" s="13" t="s">
        <v>381</v>
      </c>
      <c r="G948" s="61" t="n">
        <v>-1967450175</v>
      </c>
      <c r="H948" s="13" t="s">
        <v>2255</v>
      </c>
      <c r="I948" s="13" t="s">
        <v>2294</v>
      </c>
      <c r="J948" s="13" t="n">
        <v>7</v>
      </c>
      <c r="K948" s="13" t="s">
        <v>2274</v>
      </c>
      <c r="L948" s="13" t="s">
        <v>2257</v>
      </c>
      <c r="M948" s="13"/>
    </row>
    <row r="949" customFormat="false" ht="15" hidden="false" customHeight="false" outlineLevel="0" collapsed="false">
      <c r="A949" s="13" t="s">
        <v>628</v>
      </c>
      <c r="B949" s="13" t="s">
        <v>627</v>
      </c>
      <c r="C949" s="13" t="s">
        <v>2258</v>
      </c>
      <c r="D949" s="13" t="s">
        <v>2270</v>
      </c>
      <c r="E949" s="13" t="s">
        <v>2296</v>
      </c>
      <c r="F949" s="13" t="s">
        <v>381</v>
      </c>
      <c r="G949" s="61" t="n">
        <v>21738040256</v>
      </c>
      <c r="H949" s="13" t="s">
        <v>2255</v>
      </c>
      <c r="I949" s="13" t="s">
        <v>2294</v>
      </c>
      <c r="J949" s="13" t="n">
        <v>7</v>
      </c>
      <c r="K949" s="13" t="s">
        <v>2275</v>
      </c>
      <c r="L949" s="13" t="s">
        <v>2260</v>
      </c>
      <c r="M949" s="13"/>
    </row>
    <row r="950" customFormat="false" ht="15" hidden="false" customHeight="false" outlineLevel="0" collapsed="false">
      <c r="A950" s="13" t="s">
        <v>628</v>
      </c>
      <c r="B950" s="13" t="s">
        <v>627</v>
      </c>
      <c r="C950" s="13" t="s">
        <v>2266</v>
      </c>
      <c r="D950" s="13" t="s">
        <v>2270</v>
      </c>
      <c r="E950" s="13" t="s">
        <v>2296</v>
      </c>
      <c r="F950" s="13" t="s">
        <v>381</v>
      </c>
      <c r="G950" s="61" t="n">
        <v>-8295473889</v>
      </c>
      <c r="H950" s="13" t="s">
        <v>2255</v>
      </c>
      <c r="I950" s="13" t="s">
        <v>2294</v>
      </c>
      <c r="J950" s="13" t="s">
        <v>2295</v>
      </c>
      <c r="K950" s="13" t="s">
        <v>2278</v>
      </c>
      <c r="L950" s="13" t="s">
        <v>2265</v>
      </c>
      <c r="M950" s="13"/>
    </row>
    <row r="951" customFormat="false" ht="15" hidden="false" customHeight="false" outlineLevel="0" collapsed="false">
      <c r="A951" s="13" t="s">
        <v>628</v>
      </c>
      <c r="B951" s="13" t="s">
        <v>627</v>
      </c>
      <c r="C951" s="13" t="s">
        <v>2267</v>
      </c>
      <c r="D951" s="13" t="s">
        <v>2270</v>
      </c>
      <c r="E951" s="13" t="s">
        <v>2296</v>
      </c>
      <c r="F951" s="13" t="s">
        <v>381</v>
      </c>
      <c r="G951" s="61" t="n">
        <v>-3857446460</v>
      </c>
      <c r="H951" s="13" t="s">
        <v>2255</v>
      </c>
      <c r="I951" s="13" t="s">
        <v>2294</v>
      </c>
      <c r="J951" s="13" t="s">
        <v>2295</v>
      </c>
      <c r="K951" s="13" t="s">
        <v>2278</v>
      </c>
      <c r="L951" s="13" t="s">
        <v>2265</v>
      </c>
      <c r="M951" s="13"/>
    </row>
    <row r="952" customFormat="false" ht="15" hidden="false" customHeight="false" outlineLevel="0" collapsed="false">
      <c r="A952" s="13" t="s">
        <v>628</v>
      </c>
      <c r="B952" s="13" t="s">
        <v>627</v>
      </c>
      <c r="C952" s="13" t="s">
        <v>2254</v>
      </c>
      <c r="D952" s="13" t="s">
        <v>2270</v>
      </c>
      <c r="E952" s="13" t="s">
        <v>2297</v>
      </c>
      <c r="F952" s="13" t="s">
        <v>381</v>
      </c>
      <c r="G952" s="61" t="n">
        <v>7559999968</v>
      </c>
      <c r="H952" s="13" t="s">
        <v>2255</v>
      </c>
      <c r="I952" s="13" t="s">
        <v>2294</v>
      </c>
      <c r="J952" s="13" t="n">
        <v>7</v>
      </c>
      <c r="K952" s="13" t="s">
        <v>2274</v>
      </c>
      <c r="L952" s="13" t="s">
        <v>2257</v>
      </c>
      <c r="M952" s="13"/>
    </row>
    <row r="953" customFormat="false" ht="15" hidden="false" customHeight="false" outlineLevel="0" collapsed="false">
      <c r="A953" s="13" t="s">
        <v>628</v>
      </c>
      <c r="B953" s="13" t="s">
        <v>627</v>
      </c>
      <c r="C953" s="13" t="s">
        <v>2258</v>
      </c>
      <c r="D953" s="13" t="s">
        <v>2270</v>
      </c>
      <c r="E953" s="13" t="s">
        <v>2297</v>
      </c>
      <c r="F953" s="13" t="s">
        <v>381</v>
      </c>
      <c r="G953" s="61" t="n">
        <v>-14322084928</v>
      </c>
      <c r="H953" s="13" t="s">
        <v>2255</v>
      </c>
      <c r="I953" s="13" t="s">
        <v>2294</v>
      </c>
      <c r="J953" s="13" t="n">
        <v>7</v>
      </c>
      <c r="K953" s="13" t="s">
        <v>2275</v>
      </c>
      <c r="L953" s="13" t="s">
        <v>2260</v>
      </c>
      <c r="M953" s="13"/>
    </row>
    <row r="954" customFormat="false" ht="15" hidden="false" customHeight="false" outlineLevel="0" collapsed="false">
      <c r="A954" s="13" t="s">
        <v>628</v>
      </c>
      <c r="B954" s="13" t="s">
        <v>627</v>
      </c>
      <c r="C954" s="13" t="s">
        <v>2266</v>
      </c>
      <c r="D954" s="13" t="s">
        <v>2270</v>
      </c>
      <c r="E954" s="13" t="s">
        <v>2297</v>
      </c>
      <c r="F954" s="13" t="s">
        <v>381</v>
      </c>
      <c r="G954" s="61" t="n">
        <v>2224096539</v>
      </c>
      <c r="H954" s="13" t="s">
        <v>2255</v>
      </c>
      <c r="I954" s="13" t="s">
        <v>2294</v>
      </c>
      <c r="J954" s="13" t="s">
        <v>2295</v>
      </c>
      <c r="K954" s="13" t="s">
        <v>2278</v>
      </c>
      <c r="L954" s="13" t="s">
        <v>2265</v>
      </c>
      <c r="M954" s="13"/>
    </row>
    <row r="955" customFormat="false" ht="15" hidden="false" customHeight="false" outlineLevel="0" collapsed="false">
      <c r="A955" s="13" t="s">
        <v>628</v>
      </c>
      <c r="B955" s="13" t="s">
        <v>627</v>
      </c>
      <c r="C955" s="13" t="s">
        <v>2267</v>
      </c>
      <c r="D955" s="13" t="s">
        <v>2270</v>
      </c>
      <c r="E955" s="13" t="s">
        <v>2297</v>
      </c>
      <c r="F955" s="13" t="s">
        <v>381</v>
      </c>
      <c r="G955" s="61" t="n">
        <v>16281977782</v>
      </c>
      <c r="H955" s="13" t="s">
        <v>2255</v>
      </c>
      <c r="I955" s="13" t="s">
        <v>2294</v>
      </c>
      <c r="J955" s="13" t="s">
        <v>2295</v>
      </c>
      <c r="K955" s="13" t="s">
        <v>2278</v>
      </c>
      <c r="L955" s="13" t="s">
        <v>2265</v>
      </c>
      <c r="M955" s="13"/>
    </row>
    <row r="956" customFormat="false" ht="15" hidden="false" customHeight="false" outlineLevel="0" collapsed="false">
      <c r="A956" s="13" t="s">
        <v>628</v>
      </c>
      <c r="B956" s="13" t="s">
        <v>627</v>
      </c>
      <c r="C956" s="13" t="s">
        <v>2254</v>
      </c>
      <c r="D956" s="13" t="s">
        <v>2270</v>
      </c>
      <c r="E956" s="13" t="s">
        <v>2298</v>
      </c>
      <c r="F956" s="13" t="s">
        <v>381</v>
      </c>
      <c r="G956" s="61" t="n">
        <v>144991937521</v>
      </c>
      <c r="H956" s="13" t="s">
        <v>2255</v>
      </c>
      <c r="I956" s="13" t="s">
        <v>2294</v>
      </c>
      <c r="J956" s="13" t="n">
        <v>7</v>
      </c>
      <c r="K956" s="13" t="s">
        <v>2274</v>
      </c>
      <c r="L956" s="13" t="s">
        <v>2257</v>
      </c>
      <c r="M956" s="13"/>
    </row>
    <row r="957" customFormat="false" ht="15" hidden="false" customHeight="false" outlineLevel="0" collapsed="false">
      <c r="A957" s="13" t="s">
        <v>628</v>
      </c>
      <c r="B957" s="13" t="s">
        <v>627</v>
      </c>
      <c r="C957" s="13" t="s">
        <v>2258</v>
      </c>
      <c r="D957" s="13" t="s">
        <v>2270</v>
      </c>
      <c r="E957" s="13" t="s">
        <v>2298</v>
      </c>
      <c r="F957" s="13" t="s">
        <v>381</v>
      </c>
      <c r="G957" s="61" t="n">
        <v>398891187968</v>
      </c>
      <c r="H957" s="13" t="s">
        <v>2255</v>
      </c>
      <c r="I957" s="13" t="s">
        <v>2294</v>
      </c>
      <c r="J957" s="13" t="n">
        <v>7</v>
      </c>
      <c r="K957" s="13" t="s">
        <v>2275</v>
      </c>
      <c r="L957" s="13" t="s">
        <v>2260</v>
      </c>
      <c r="M957" s="13"/>
    </row>
    <row r="958" customFormat="false" ht="15" hidden="false" customHeight="false" outlineLevel="0" collapsed="false">
      <c r="A958" s="13" t="s">
        <v>628</v>
      </c>
      <c r="B958" s="13" t="s">
        <v>627</v>
      </c>
      <c r="C958" s="13" t="s">
        <v>2266</v>
      </c>
      <c r="D958" s="13" t="s">
        <v>2270</v>
      </c>
      <c r="E958" s="13" t="s">
        <v>2298</v>
      </c>
      <c r="F958" s="13" t="s">
        <v>381</v>
      </c>
      <c r="G958" s="61" t="n">
        <v>38593731509</v>
      </c>
      <c r="H958" s="13" t="s">
        <v>2255</v>
      </c>
      <c r="I958" s="13" t="s">
        <v>2294</v>
      </c>
      <c r="J958" s="13" t="s">
        <v>2295</v>
      </c>
      <c r="K958" s="13" t="s">
        <v>2278</v>
      </c>
      <c r="L958" s="13" t="s">
        <v>2265</v>
      </c>
      <c r="M958" s="13"/>
    </row>
    <row r="959" customFormat="false" ht="15" hidden="false" customHeight="false" outlineLevel="0" collapsed="false">
      <c r="A959" s="13" t="s">
        <v>628</v>
      </c>
      <c r="B959" s="13" t="s">
        <v>627</v>
      </c>
      <c r="C959" s="13" t="s">
        <v>2267</v>
      </c>
      <c r="D959" s="13" t="s">
        <v>2270</v>
      </c>
      <c r="E959" s="13" t="s">
        <v>2298</v>
      </c>
      <c r="F959" s="13" t="s">
        <v>381</v>
      </c>
      <c r="G959" s="61" t="n">
        <v>45282649553</v>
      </c>
      <c r="H959" s="13" t="s">
        <v>2255</v>
      </c>
      <c r="I959" s="13" t="s">
        <v>2294</v>
      </c>
      <c r="J959" s="13" t="s">
        <v>2295</v>
      </c>
      <c r="K959" s="13" t="s">
        <v>2278</v>
      </c>
      <c r="L959" s="13" t="s">
        <v>2265</v>
      </c>
      <c r="M959" s="13"/>
    </row>
    <row r="960" customFormat="false" ht="15" hidden="false" customHeight="false" outlineLevel="0" collapsed="false">
      <c r="A960" s="13" t="s">
        <v>628</v>
      </c>
      <c r="B960" s="13" t="s">
        <v>627</v>
      </c>
      <c r="C960" s="13" t="s">
        <v>2254</v>
      </c>
      <c r="D960" s="13" t="s">
        <v>2270</v>
      </c>
      <c r="E960" s="13" t="s">
        <v>2292</v>
      </c>
      <c r="F960" s="13" t="s">
        <v>383</v>
      </c>
      <c r="G960" s="61" t="n">
        <v>-25801109311</v>
      </c>
      <c r="H960" s="13" t="s">
        <v>2255</v>
      </c>
      <c r="I960" s="13" t="s">
        <v>2294</v>
      </c>
      <c r="J960" s="13" t="n">
        <v>7</v>
      </c>
      <c r="K960" s="13" t="s">
        <v>2274</v>
      </c>
      <c r="L960" s="13" t="s">
        <v>2257</v>
      </c>
      <c r="M960" s="13"/>
    </row>
    <row r="961" customFormat="false" ht="15" hidden="false" customHeight="false" outlineLevel="0" collapsed="false">
      <c r="A961" s="13" t="s">
        <v>628</v>
      </c>
      <c r="B961" s="13" t="s">
        <v>627</v>
      </c>
      <c r="C961" s="13" t="s">
        <v>2258</v>
      </c>
      <c r="D961" s="13" t="s">
        <v>2270</v>
      </c>
      <c r="E961" s="13" t="s">
        <v>2292</v>
      </c>
      <c r="F961" s="13" t="s">
        <v>383</v>
      </c>
      <c r="G961" s="61" t="n">
        <v>-82998797448</v>
      </c>
      <c r="H961" s="13" t="s">
        <v>2255</v>
      </c>
      <c r="I961" s="13" t="s">
        <v>2294</v>
      </c>
      <c r="J961" s="13" t="n">
        <v>7</v>
      </c>
      <c r="K961" s="13" t="s">
        <v>2275</v>
      </c>
      <c r="L961" s="13" t="s">
        <v>2260</v>
      </c>
      <c r="M961" s="13"/>
    </row>
    <row r="962" customFormat="false" ht="15" hidden="false" customHeight="false" outlineLevel="0" collapsed="false">
      <c r="A962" s="13" t="s">
        <v>628</v>
      </c>
      <c r="B962" s="13" t="s">
        <v>627</v>
      </c>
      <c r="C962" s="13" t="s">
        <v>2266</v>
      </c>
      <c r="D962" s="13" t="s">
        <v>2270</v>
      </c>
      <c r="E962" s="13" t="s">
        <v>2292</v>
      </c>
      <c r="F962" s="13" t="s">
        <v>383</v>
      </c>
      <c r="G962" s="61" t="n">
        <v>-19067980258</v>
      </c>
      <c r="H962" s="13" t="s">
        <v>2255</v>
      </c>
      <c r="I962" s="13" t="s">
        <v>2294</v>
      </c>
      <c r="J962" s="13" t="s">
        <v>2295</v>
      </c>
      <c r="K962" s="13" t="s">
        <v>2278</v>
      </c>
      <c r="L962" s="13" t="s">
        <v>2265</v>
      </c>
      <c r="M962" s="13"/>
    </row>
    <row r="963" customFormat="false" ht="15" hidden="false" customHeight="false" outlineLevel="0" collapsed="false">
      <c r="A963" s="13" t="s">
        <v>628</v>
      </c>
      <c r="B963" s="13" t="s">
        <v>627</v>
      </c>
      <c r="C963" s="13" t="s">
        <v>2267</v>
      </c>
      <c r="D963" s="13" t="s">
        <v>2270</v>
      </c>
      <c r="E963" s="13" t="s">
        <v>2292</v>
      </c>
      <c r="F963" s="13" t="s">
        <v>383</v>
      </c>
      <c r="G963" s="61" t="n">
        <v>-14664076545</v>
      </c>
      <c r="H963" s="13" t="s">
        <v>2255</v>
      </c>
      <c r="I963" s="13" t="s">
        <v>2294</v>
      </c>
      <c r="J963" s="13" t="s">
        <v>2295</v>
      </c>
      <c r="K963" s="13" t="s">
        <v>2278</v>
      </c>
      <c r="L963" s="13" t="s">
        <v>2265</v>
      </c>
      <c r="M963" s="13"/>
    </row>
    <row r="964" customFormat="false" ht="15" hidden="false" customHeight="false" outlineLevel="0" collapsed="false">
      <c r="A964" s="13" t="s">
        <v>628</v>
      </c>
      <c r="B964" s="13" t="s">
        <v>627</v>
      </c>
      <c r="C964" s="13" t="s">
        <v>2254</v>
      </c>
      <c r="D964" s="13" t="s">
        <v>2270</v>
      </c>
      <c r="E964" s="13" t="s">
        <v>2296</v>
      </c>
      <c r="F964" s="13" t="s">
        <v>383</v>
      </c>
      <c r="G964" s="61" t="n">
        <v>-730742434</v>
      </c>
      <c r="H964" s="13" t="s">
        <v>2255</v>
      </c>
      <c r="I964" s="13" t="s">
        <v>2294</v>
      </c>
      <c r="J964" s="13" t="n">
        <v>7</v>
      </c>
      <c r="K964" s="13" t="s">
        <v>2274</v>
      </c>
      <c r="L964" s="13" t="s">
        <v>2257</v>
      </c>
      <c r="M964" s="13"/>
    </row>
    <row r="965" customFormat="false" ht="15" hidden="false" customHeight="false" outlineLevel="0" collapsed="false">
      <c r="A965" s="13" t="s">
        <v>628</v>
      </c>
      <c r="B965" s="13" t="s">
        <v>627</v>
      </c>
      <c r="C965" s="13" t="s">
        <v>2258</v>
      </c>
      <c r="D965" s="13" t="s">
        <v>2270</v>
      </c>
      <c r="E965" s="13" t="s">
        <v>2296</v>
      </c>
      <c r="F965" s="13" t="s">
        <v>383</v>
      </c>
      <c r="G965" s="61" t="n">
        <v>-528493766</v>
      </c>
      <c r="H965" s="13" t="s">
        <v>2255</v>
      </c>
      <c r="I965" s="13" t="s">
        <v>2294</v>
      </c>
      <c r="J965" s="13" t="n">
        <v>7</v>
      </c>
      <c r="K965" s="13" t="s">
        <v>2275</v>
      </c>
      <c r="L965" s="13" t="s">
        <v>2260</v>
      </c>
      <c r="M965" s="13"/>
    </row>
    <row r="966" customFormat="false" ht="15" hidden="false" customHeight="false" outlineLevel="0" collapsed="false">
      <c r="A966" s="13" t="s">
        <v>628</v>
      </c>
      <c r="B966" s="13" t="s">
        <v>627</v>
      </c>
      <c r="C966" s="13" t="s">
        <v>2266</v>
      </c>
      <c r="D966" s="13" t="s">
        <v>2270</v>
      </c>
      <c r="E966" s="13" t="s">
        <v>2296</v>
      </c>
      <c r="F966" s="13" t="s">
        <v>383</v>
      </c>
      <c r="G966" s="61" t="n">
        <v>-629966984</v>
      </c>
      <c r="H966" s="13" t="s">
        <v>2255</v>
      </c>
      <c r="I966" s="13" t="s">
        <v>2294</v>
      </c>
      <c r="J966" s="13" t="s">
        <v>2295</v>
      </c>
      <c r="K966" s="13" t="s">
        <v>2278</v>
      </c>
      <c r="L966" s="13" t="s">
        <v>2265</v>
      </c>
      <c r="M966" s="13"/>
    </row>
    <row r="967" customFormat="false" ht="15" hidden="false" customHeight="false" outlineLevel="0" collapsed="false">
      <c r="A967" s="13" t="s">
        <v>628</v>
      </c>
      <c r="B967" s="13" t="s">
        <v>627</v>
      </c>
      <c r="C967" s="13" t="s">
        <v>2267</v>
      </c>
      <c r="D967" s="13" t="s">
        <v>2270</v>
      </c>
      <c r="E967" s="13" t="s">
        <v>2296</v>
      </c>
      <c r="F967" s="13" t="s">
        <v>383</v>
      </c>
      <c r="G967" s="61" t="n">
        <v>-945430475</v>
      </c>
      <c r="H967" s="13" t="s">
        <v>2255</v>
      </c>
      <c r="I967" s="13" t="s">
        <v>2294</v>
      </c>
      <c r="J967" s="13" t="s">
        <v>2295</v>
      </c>
      <c r="K967" s="13" t="s">
        <v>2278</v>
      </c>
      <c r="L967" s="13" t="s">
        <v>2265</v>
      </c>
      <c r="M967" s="13"/>
    </row>
    <row r="968" customFormat="false" ht="15" hidden="false" customHeight="false" outlineLevel="0" collapsed="false">
      <c r="A968" s="13" t="s">
        <v>628</v>
      </c>
      <c r="B968" s="13" t="s">
        <v>627</v>
      </c>
      <c r="C968" s="13" t="s">
        <v>2254</v>
      </c>
      <c r="D968" s="13" t="s">
        <v>2270</v>
      </c>
      <c r="E968" s="13" t="s">
        <v>2297</v>
      </c>
      <c r="F968" s="13" t="s">
        <v>383</v>
      </c>
      <c r="G968" s="61" t="n">
        <v>0</v>
      </c>
      <c r="H968" s="13" t="s">
        <v>2255</v>
      </c>
      <c r="I968" s="13" t="s">
        <v>2294</v>
      </c>
      <c r="J968" s="13" t="n">
        <v>7</v>
      </c>
      <c r="K968" s="13" t="s">
        <v>2274</v>
      </c>
      <c r="L968" s="13" t="s">
        <v>2257</v>
      </c>
      <c r="M968" s="13"/>
    </row>
    <row r="969" customFormat="false" ht="15" hidden="false" customHeight="false" outlineLevel="0" collapsed="false">
      <c r="A969" s="13" t="s">
        <v>628</v>
      </c>
      <c r="B969" s="13" t="s">
        <v>627</v>
      </c>
      <c r="C969" s="13" t="s">
        <v>2258</v>
      </c>
      <c r="D969" s="13" t="s">
        <v>2270</v>
      </c>
      <c r="E969" s="13" t="s">
        <v>2297</v>
      </c>
      <c r="F969" s="13" t="s">
        <v>383</v>
      </c>
      <c r="G969" s="61" t="n">
        <v>0</v>
      </c>
      <c r="H969" s="13" t="s">
        <v>2255</v>
      </c>
      <c r="I969" s="13" t="s">
        <v>2294</v>
      </c>
      <c r="J969" s="13" t="n">
        <v>7</v>
      </c>
      <c r="K969" s="13" t="s">
        <v>2275</v>
      </c>
      <c r="L969" s="13" t="s">
        <v>2260</v>
      </c>
      <c r="M969" s="13"/>
    </row>
    <row r="970" customFormat="false" ht="15" hidden="false" customHeight="false" outlineLevel="0" collapsed="false">
      <c r="A970" s="13" t="s">
        <v>628</v>
      </c>
      <c r="B970" s="13" t="s">
        <v>627</v>
      </c>
      <c r="C970" s="13" t="s">
        <v>2266</v>
      </c>
      <c r="D970" s="13" t="s">
        <v>2270</v>
      </c>
      <c r="E970" s="13" t="s">
        <v>2297</v>
      </c>
      <c r="F970" s="13" t="s">
        <v>383</v>
      </c>
      <c r="G970" s="61" t="n">
        <v>0</v>
      </c>
      <c r="H970" s="13" t="s">
        <v>2255</v>
      </c>
      <c r="I970" s="13" t="s">
        <v>2294</v>
      </c>
      <c r="J970" s="13" t="s">
        <v>2295</v>
      </c>
      <c r="K970" s="13" t="s">
        <v>2278</v>
      </c>
      <c r="L970" s="13" t="s">
        <v>2265</v>
      </c>
      <c r="M970" s="13"/>
    </row>
    <row r="971" customFormat="false" ht="15" hidden="false" customHeight="false" outlineLevel="0" collapsed="false">
      <c r="A971" s="13" t="s">
        <v>628</v>
      </c>
      <c r="B971" s="13" t="s">
        <v>627</v>
      </c>
      <c r="C971" s="13" t="s">
        <v>2267</v>
      </c>
      <c r="D971" s="13" t="s">
        <v>2270</v>
      </c>
      <c r="E971" s="13" t="s">
        <v>2297</v>
      </c>
      <c r="F971" s="13" t="s">
        <v>383</v>
      </c>
      <c r="G971" s="61" t="n">
        <v>0</v>
      </c>
      <c r="H971" s="13" t="s">
        <v>2255</v>
      </c>
      <c r="I971" s="13" t="s">
        <v>2294</v>
      </c>
      <c r="J971" s="13" t="s">
        <v>2295</v>
      </c>
      <c r="K971" s="13" t="s">
        <v>2278</v>
      </c>
      <c r="L971" s="13" t="s">
        <v>2265</v>
      </c>
      <c r="M971" s="13"/>
    </row>
    <row r="972" customFormat="false" ht="15" hidden="false" customHeight="false" outlineLevel="0" collapsed="false">
      <c r="A972" s="13" t="s">
        <v>628</v>
      </c>
      <c r="B972" s="13" t="s">
        <v>627</v>
      </c>
      <c r="C972" s="13" t="s">
        <v>2254</v>
      </c>
      <c r="D972" s="13" t="s">
        <v>2270</v>
      </c>
      <c r="E972" s="13" t="s">
        <v>2298</v>
      </c>
      <c r="F972" s="13" t="s">
        <v>383</v>
      </c>
      <c r="G972" s="61" t="n">
        <v>-26531851745</v>
      </c>
      <c r="H972" s="13" t="s">
        <v>2255</v>
      </c>
      <c r="I972" s="13" t="s">
        <v>2294</v>
      </c>
      <c r="J972" s="13" t="n">
        <v>7</v>
      </c>
      <c r="K972" s="13" t="s">
        <v>2274</v>
      </c>
      <c r="L972" s="13" t="s">
        <v>2257</v>
      </c>
      <c r="M972" s="13"/>
    </row>
    <row r="973" customFormat="false" ht="15" hidden="false" customHeight="false" outlineLevel="0" collapsed="false">
      <c r="A973" s="13" t="s">
        <v>628</v>
      </c>
      <c r="B973" s="13" t="s">
        <v>627</v>
      </c>
      <c r="C973" s="13" t="s">
        <v>2258</v>
      </c>
      <c r="D973" s="13" t="s">
        <v>2270</v>
      </c>
      <c r="E973" s="13" t="s">
        <v>2298</v>
      </c>
      <c r="F973" s="13" t="s">
        <v>383</v>
      </c>
      <c r="G973" s="61" t="n">
        <v>-83527291214</v>
      </c>
      <c r="H973" s="13" t="s">
        <v>2255</v>
      </c>
      <c r="I973" s="13" t="s">
        <v>2294</v>
      </c>
      <c r="J973" s="13" t="n">
        <v>7</v>
      </c>
      <c r="K973" s="13" t="s">
        <v>2275</v>
      </c>
      <c r="L973" s="13" t="s">
        <v>2260</v>
      </c>
      <c r="M973" s="13"/>
    </row>
    <row r="974" customFormat="false" ht="15" hidden="false" customHeight="false" outlineLevel="0" collapsed="false">
      <c r="A974" s="13" t="s">
        <v>628</v>
      </c>
      <c r="B974" s="13" t="s">
        <v>627</v>
      </c>
      <c r="C974" s="13" t="s">
        <v>2266</v>
      </c>
      <c r="D974" s="13" t="s">
        <v>2270</v>
      </c>
      <c r="E974" s="13" t="s">
        <v>2298</v>
      </c>
      <c r="F974" s="13" t="s">
        <v>383</v>
      </c>
      <c r="G974" s="61" t="n">
        <v>-19697947242</v>
      </c>
      <c r="H974" s="13" t="s">
        <v>2255</v>
      </c>
      <c r="I974" s="13" t="s">
        <v>2294</v>
      </c>
      <c r="J974" s="13" t="s">
        <v>2295</v>
      </c>
      <c r="K974" s="13" t="s">
        <v>2278</v>
      </c>
      <c r="L974" s="13" t="s">
        <v>2265</v>
      </c>
      <c r="M974" s="13"/>
    </row>
    <row r="975" customFormat="false" ht="15" hidden="false" customHeight="false" outlineLevel="0" collapsed="false">
      <c r="A975" s="13" t="s">
        <v>628</v>
      </c>
      <c r="B975" s="13" t="s">
        <v>627</v>
      </c>
      <c r="C975" s="13" t="s">
        <v>2267</v>
      </c>
      <c r="D975" s="13" t="s">
        <v>2270</v>
      </c>
      <c r="E975" s="13" t="s">
        <v>2298</v>
      </c>
      <c r="F975" s="13" t="s">
        <v>383</v>
      </c>
      <c r="G975" s="61" t="n">
        <v>-15609507020</v>
      </c>
      <c r="H975" s="13" t="s">
        <v>2255</v>
      </c>
      <c r="I975" s="13" t="s">
        <v>2294</v>
      </c>
      <c r="J975" s="13" t="s">
        <v>2295</v>
      </c>
      <c r="K975" s="13" t="s">
        <v>2278</v>
      </c>
      <c r="L975" s="13" t="s">
        <v>2265</v>
      </c>
      <c r="M975" s="13"/>
    </row>
    <row r="976" customFormat="false" ht="15" hidden="false" customHeight="false" outlineLevel="0" collapsed="false">
      <c r="A976" s="13" t="s">
        <v>628</v>
      </c>
      <c r="B976" s="13" t="s">
        <v>627</v>
      </c>
      <c r="C976" s="13" t="s">
        <v>2254</v>
      </c>
      <c r="D976" s="13" t="s">
        <v>2270</v>
      </c>
      <c r="E976" s="13" t="s">
        <v>2292</v>
      </c>
      <c r="F976" s="13" t="s">
        <v>141</v>
      </c>
      <c r="G976" s="61" t="n">
        <v>113598278417</v>
      </c>
      <c r="H976" s="13" t="s">
        <v>2255</v>
      </c>
      <c r="I976" s="13" t="s">
        <v>2294</v>
      </c>
      <c r="J976" s="13" t="n">
        <v>7</v>
      </c>
      <c r="K976" s="13" t="s">
        <v>2274</v>
      </c>
      <c r="L976" s="13" t="s">
        <v>2257</v>
      </c>
      <c r="M976" s="13"/>
    </row>
    <row r="977" customFormat="false" ht="15" hidden="false" customHeight="false" outlineLevel="0" collapsed="false">
      <c r="A977" s="13" t="s">
        <v>628</v>
      </c>
      <c r="B977" s="13" t="s">
        <v>627</v>
      </c>
      <c r="C977" s="13" t="s">
        <v>2258</v>
      </c>
      <c r="D977" s="13" t="s">
        <v>2270</v>
      </c>
      <c r="E977" s="13" t="s">
        <v>2292</v>
      </c>
      <c r="F977" s="13" t="s">
        <v>141</v>
      </c>
      <c r="G977" s="61" t="n">
        <v>308476435192</v>
      </c>
      <c r="H977" s="13" t="s">
        <v>2255</v>
      </c>
      <c r="I977" s="13" t="s">
        <v>2294</v>
      </c>
      <c r="J977" s="13" t="n">
        <v>7</v>
      </c>
      <c r="K977" s="13" t="s">
        <v>2275</v>
      </c>
      <c r="L977" s="13" t="s">
        <v>2260</v>
      </c>
      <c r="M977" s="13"/>
    </row>
    <row r="978" customFormat="false" ht="15" hidden="false" customHeight="false" outlineLevel="0" collapsed="false">
      <c r="A978" s="13" t="s">
        <v>628</v>
      </c>
      <c r="B978" s="13" t="s">
        <v>627</v>
      </c>
      <c r="C978" s="13" t="s">
        <v>2266</v>
      </c>
      <c r="D978" s="13" t="s">
        <v>2270</v>
      </c>
      <c r="E978" s="13" t="s">
        <v>2292</v>
      </c>
      <c r="F978" s="13" t="s">
        <v>141</v>
      </c>
      <c r="G978" s="61" t="n">
        <v>25597128601</v>
      </c>
      <c r="H978" s="13" t="s">
        <v>2255</v>
      </c>
      <c r="I978" s="13" t="s">
        <v>2294</v>
      </c>
      <c r="J978" s="13" t="s">
        <v>2295</v>
      </c>
      <c r="K978" s="13" t="s">
        <v>2278</v>
      </c>
      <c r="L978" s="13" t="s">
        <v>2265</v>
      </c>
      <c r="M978" s="13"/>
    </row>
    <row r="979" customFormat="false" ht="15" hidden="false" customHeight="false" outlineLevel="0" collapsed="false">
      <c r="A979" s="13" t="s">
        <v>628</v>
      </c>
      <c r="B979" s="13" t="s">
        <v>627</v>
      </c>
      <c r="C979" s="13" t="s">
        <v>2267</v>
      </c>
      <c r="D979" s="13" t="s">
        <v>2270</v>
      </c>
      <c r="E979" s="13" t="s">
        <v>2292</v>
      </c>
      <c r="F979" s="13" t="s">
        <v>141</v>
      </c>
      <c r="G979" s="61" t="n">
        <v>18194041686</v>
      </c>
      <c r="H979" s="13" t="s">
        <v>2255</v>
      </c>
      <c r="I979" s="13" t="s">
        <v>2294</v>
      </c>
      <c r="J979" s="13" t="s">
        <v>2295</v>
      </c>
      <c r="K979" s="13" t="s">
        <v>2278</v>
      </c>
      <c r="L979" s="13" t="s">
        <v>2265</v>
      </c>
      <c r="M979" s="13"/>
    </row>
    <row r="980" customFormat="false" ht="15" hidden="false" customHeight="false" outlineLevel="0" collapsed="false">
      <c r="A980" s="13" t="s">
        <v>628</v>
      </c>
      <c r="B980" s="13" t="s">
        <v>627</v>
      </c>
      <c r="C980" s="13" t="s">
        <v>2254</v>
      </c>
      <c r="D980" s="13" t="s">
        <v>2270</v>
      </c>
      <c r="E980" s="13" t="s">
        <v>2296</v>
      </c>
      <c r="F980" s="13" t="s">
        <v>141</v>
      </c>
      <c r="G980" s="61" t="n">
        <v>-2698192609</v>
      </c>
      <c r="H980" s="13" t="s">
        <v>2255</v>
      </c>
      <c r="I980" s="13" t="s">
        <v>2294</v>
      </c>
      <c r="J980" s="13" t="n">
        <v>7</v>
      </c>
      <c r="K980" s="13" t="s">
        <v>2274</v>
      </c>
      <c r="L980" s="13" t="s">
        <v>2257</v>
      </c>
      <c r="M980" s="13"/>
    </row>
    <row r="981" customFormat="false" ht="15" hidden="false" customHeight="false" outlineLevel="0" collapsed="false">
      <c r="A981" s="13" t="s">
        <v>628</v>
      </c>
      <c r="B981" s="13" t="s">
        <v>627</v>
      </c>
      <c r="C981" s="13" t="s">
        <v>2258</v>
      </c>
      <c r="D981" s="13" t="s">
        <v>2270</v>
      </c>
      <c r="E981" s="13" t="s">
        <v>2296</v>
      </c>
      <c r="F981" s="13" t="s">
        <v>141</v>
      </c>
      <c r="G981" s="61" t="n">
        <v>21209546490</v>
      </c>
      <c r="H981" s="13" t="s">
        <v>2255</v>
      </c>
      <c r="I981" s="13" t="s">
        <v>2294</v>
      </c>
      <c r="J981" s="13" t="n">
        <v>7</v>
      </c>
      <c r="K981" s="13" t="s">
        <v>2275</v>
      </c>
      <c r="L981" s="13" t="s">
        <v>2260</v>
      </c>
      <c r="M981" s="13"/>
    </row>
    <row r="982" customFormat="false" ht="15" hidden="false" customHeight="false" outlineLevel="0" collapsed="false">
      <c r="A982" s="13" t="s">
        <v>628</v>
      </c>
      <c r="B982" s="13" t="s">
        <v>627</v>
      </c>
      <c r="C982" s="13" t="s">
        <v>2266</v>
      </c>
      <c r="D982" s="13" t="s">
        <v>2270</v>
      </c>
      <c r="E982" s="13" t="s">
        <v>2296</v>
      </c>
      <c r="F982" s="13" t="s">
        <v>141</v>
      </c>
      <c r="G982" s="61" t="n">
        <v>-8925440873</v>
      </c>
      <c r="H982" s="13" t="s">
        <v>2255</v>
      </c>
      <c r="I982" s="13" t="s">
        <v>2294</v>
      </c>
      <c r="J982" s="13" t="s">
        <v>2295</v>
      </c>
      <c r="K982" s="13" t="s">
        <v>2278</v>
      </c>
      <c r="L982" s="13" t="s">
        <v>2265</v>
      </c>
      <c r="M982" s="13"/>
    </row>
    <row r="983" customFormat="false" ht="15" hidden="false" customHeight="false" outlineLevel="0" collapsed="false">
      <c r="A983" s="13" t="s">
        <v>628</v>
      </c>
      <c r="B983" s="13" t="s">
        <v>627</v>
      </c>
      <c r="C983" s="13" t="s">
        <v>2267</v>
      </c>
      <c r="D983" s="13" t="s">
        <v>2270</v>
      </c>
      <c r="E983" s="13" t="s">
        <v>2296</v>
      </c>
      <c r="F983" s="13" t="s">
        <v>141</v>
      </c>
      <c r="G983" s="61" t="n">
        <v>-4802876935</v>
      </c>
      <c r="H983" s="13" t="s">
        <v>2255</v>
      </c>
      <c r="I983" s="13" t="s">
        <v>2294</v>
      </c>
      <c r="J983" s="13" t="s">
        <v>2295</v>
      </c>
      <c r="K983" s="13" t="s">
        <v>2278</v>
      </c>
      <c r="L983" s="13" t="s">
        <v>2265</v>
      </c>
      <c r="M983" s="13"/>
    </row>
    <row r="984" customFormat="false" ht="15" hidden="false" customHeight="false" outlineLevel="0" collapsed="false">
      <c r="A984" s="13" t="s">
        <v>628</v>
      </c>
      <c r="B984" s="13" t="s">
        <v>627</v>
      </c>
      <c r="C984" s="13" t="s">
        <v>2254</v>
      </c>
      <c r="D984" s="13" t="s">
        <v>2270</v>
      </c>
      <c r="E984" s="13" t="s">
        <v>2297</v>
      </c>
      <c r="F984" s="13" t="s">
        <v>141</v>
      </c>
      <c r="G984" s="61" t="n">
        <v>7559999968</v>
      </c>
      <c r="H984" s="13" t="s">
        <v>2255</v>
      </c>
      <c r="I984" s="13" t="s">
        <v>2294</v>
      </c>
      <c r="J984" s="13" t="n">
        <v>7</v>
      </c>
      <c r="K984" s="13" t="s">
        <v>2274</v>
      </c>
      <c r="L984" s="13" t="s">
        <v>2257</v>
      </c>
      <c r="M984" s="13"/>
    </row>
    <row r="985" customFormat="false" ht="15" hidden="false" customHeight="false" outlineLevel="0" collapsed="false">
      <c r="A985" s="13" t="s">
        <v>628</v>
      </c>
      <c r="B985" s="13" t="s">
        <v>627</v>
      </c>
      <c r="C985" s="13" t="s">
        <v>2258</v>
      </c>
      <c r="D985" s="13" t="s">
        <v>2270</v>
      </c>
      <c r="E985" s="13" t="s">
        <v>2297</v>
      </c>
      <c r="F985" s="13" t="s">
        <v>141</v>
      </c>
      <c r="G985" s="61" t="n">
        <v>-14322084928</v>
      </c>
      <c r="H985" s="13" t="s">
        <v>2255</v>
      </c>
      <c r="I985" s="13" t="s">
        <v>2294</v>
      </c>
      <c r="J985" s="13" t="n">
        <v>7</v>
      </c>
      <c r="K985" s="13" t="s">
        <v>2275</v>
      </c>
      <c r="L985" s="13" t="s">
        <v>2260</v>
      </c>
      <c r="M985" s="13"/>
    </row>
    <row r="986" customFormat="false" ht="15" hidden="false" customHeight="false" outlineLevel="0" collapsed="false">
      <c r="A986" s="13" t="s">
        <v>628</v>
      </c>
      <c r="B986" s="13" t="s">
        <v>627</v>
      </c>
      <c r="C986" s="13" t="s">
        <v>2266</v>
      </c>
      <c r="D986" s="13" t="s">
        <v>2270</v>
      </c>
      <c r="E986" s="13" t="s">
        <v>2297</v>
      </c>
      <c r="F986" s="13" t="s">
        <v>141</v>
      </c>
      <c r="G986" s="61" t="n">
        <v>2224096539</v>
      </c>
      <c r="H986" s="13" t="s">
        <v>2255</v>
      </c>
      <c r="I986" s="13" t="s">
        <v>2294</v>
      </c>
      <c r="J986" s="13" t="s">
        <v>2295</v>
      </c>
      <c r="K986" s="13" t="s">
        <v>2278</v>
      </c>
      <c r="L986" s="13" t="s">
        <v>2265</v>
      </c>
      <c r="M986" s="13"/>
    </row>
    <row r="987" customFormat="false" ht="15" hidden="false" customHeight="false" outlineLevel="0" collapsed="false">
      <c r="A987" s="13" t="s">
        <v>628</v>
      </c>
      <c r="B987" s="13" t="s">
        <v>627</v>
      </c>
      <c r="C987" s="13" t="s">
        <v>2267</v>
      </c>
      <c r="D987" s="13" t="s">
        <v>2270</v>
      </c>
      <c r="E987" s="13" t="s">
        <v>2297</v>
      </c>
      <c r="F987" s="13" t="s">
        <v>141</v>
      </c>
      <c r="G987" s="61" t="n">
        <v>16281977782</v>
      </c>
      <c r="H987" s="13" t="s">
        <v>2255</v>
      </c>
      <c r="I987" s="13" t="s">
        <v>2294</v>
      </c>
      <c r="J987" s="13" t="s">
        <v>2295</v>
      </c>
      <c r="K987" s="13" t="s">
        <v>2278</v>
      </c>
      <c r="L987" s="13" t="s">
        <v>2265</v>
      </c>
      <c r="M987" s="13"/>
    </row>
    <row r="988" customFormat="false" ht="15" hidden="false" customHeight="false" outlineLevel="0" collapsed="false">
      <c r="A988" s="13" t="s">
        <v>628</v>
      </c>
      <c r="B988" s="13" t="s">
        <v>627</v>
      </c>
      <c r="C988" s="13" t="s">
        <v>2254</v>
      </c>
      <c r="D988" s="13" t="s">
        <v>2270</v>
      </c>
      <c r="E988" s="13" t="s">
        <v>2298</v>
      </c>
      <c r="F988" s="13" t="s">
        <v>141</v>
      </c>
      <c r="G988" s="61" t="n">
        <v>118460085776</v>
      </c>
      <c r="H988" s="13" t="s">
        <v>2255</v>
      </c>
      <c r="I988" s="13" t="s">
        <v>2294</v>
      </c>
      <c r="J988" s="13" t="n">
        <v>7</v>
      </c>
      <c r="K988" s="13" t="s">
        <v>2274</v>
      </c>
      <c r="L988" s="13" t="s">
        <v>2257</v>
      </c>
      <c r="M988" s="13"/>
    </row>
    <row r="989" customFormat="false" ht="15" hidden="false" customHeight="false" outlineLevel="0" collapsed="false">
      <c r="A989" s="13" t="s">
        <v>628</v>
      </c>
      <c r="B989" s="13" t="s">
        <v>627</v>
      </c>
      <c r="C989" s="13" t="s">
        <v>2258</v>
      </c>
      <c r="D989" s="13" t="s">
        <v>2270</v>
      </c>
      <c r="E989" s="13" t="s">
        <v>2298</v>
      </c>
      <c r="F989" s="13" t="s">
        <v>141</v>
      </c>
      <c r="G989" s="61" t="n">
        <v>315363896754</v>
      </c>
      <c r="H989" s="13" t="s">
        <v>2255</v>
      </c>
      <c r="I989" s="13" t="s">
        <v>2294</v>
      </c>
      <c r="J989" s="13" t="n">
        <v>7</v>
      </c>
      <c r="K989" s="13" t="s">
        <v>2275</v>
      </c>
      <c r="L989" s="13" t="s">
        <v>2260</v>
      </c>
      <c r="M989" s="13"/>
    </row>
    <row r="990" customFormat="false" ht="15" hidden="false" customHeight="false" outlineLevel="0" collapsed="false">
      <c r="A990" s="13" t="s">
        <v>628</v>
      </c>
      <c r="B990" s="13" t="s">
        <v>627</v>
      </c>
      <c r="C990" s="13" t="s">
        <v>2266</v>
      </c>
      <c r="D990" s="13" t="s">
        <v>2270</v>
      </c>
      <c r="E990" s="13" t="s">
        <v>2298</v>
      </c>
      <c r="F990" s="13" t="s">
        <v>141</v>
      </c>
      <c r="G990" s="61" t="n">
        <v>18895784267</v>
      </c>
      <c r="H990" s="13" t="s">
        <v>2255</v>
      </c>
      <c r="I990" s="13" t="s">
        <v>2294</v>
      </c>
      <c r="J990" s="13" t="s">
        <v>2295</v>
      </c>
      <c r="K990" s="13" t="s">
        <v>2278</v>
      </c>
      <c r="L990" s="13" t="s">
        <v>2265</v>
      </c>
      <c r="M990" s="13"/>
    </row>
    <row r="991" customFormat="false" ht="15" hidden="false" customHeight="false" outlineLevel="0" collapsed="false">
      <c r="A991" s="13" t="s">
        <v>628</v>
      </c>
      <c r="B991" s="13" t="s">
        <v>627</v>
      </c>
      <c r="C991" s="13" t="s">
        <v>2267</v>
      </c>
      <c r="D991" s="13" t="s">
        <v>2270</v>
      </c>
      <c r="E991" s="13" t="s">
        <v>2298</v>
      </c>
      <c r="F991" s="13" t="s">
        <v>141</v>
      </c>
      <c r="G991" s="61" t="n">
        <v>29673142533</v>
      </c>
      <c r="H991" s="13" t="s">
        <v>2255</v>
      </c>
      <c r="I991" s="13" t="s">
        <v>2294</v>
      </c>
      <c r="J991" s="13" t="s">
        <v>2295</v>
      </c>
      <c r="K991" s="13" t="s">
        <v>2278</v>
      </c>
      <c r="L991" s="13" t="s">
        <v>2265</v>
      </c>
      <c r="M991" s="13"/>
    </row>
    <row r="992" customFormat="false" ht="15" hidden="false" customHeight="false" outlineLevel="0" collapsed="false">
      <c r="A992" s="13" t="s">
        <v>628</v>
      </c>
      <c r="B992" s="13" t="s">
        <v>627</v>
      </c>
      <c r="C992" s="13" t="s">
        <v>2254</v>
      </c>
      <c r="D992" s="13" t="s">
        <v>2270</v>
      </c>
      <c r="E992" s="13" t="s">
        <v>2292</v>
      </c>
      <c r="F992" s="13" t="s">
        <v>1282</v>
      </c>
      <c r="G992" s="61" t="n">
        <v>124382403325</v>
      </c>
      <c r="H992" s="13" t="s">
        <v>2255</v>
      </c>
      <c r="I992" s="13" t="s">
        <v>2294</v>
      </c>
      <c r="J992" s="13" t="n">
        <v>7</v>
      </c>
      <c r="K992" s="13" t="s">
        <v>2274</v>
      </c>
      <c r="L992" s="13" t="s">
        <v>2257</v>
      </c>
      <c r="M992" s="13"/>
    </row>
    <row r="993" customFormat="false" ht="15" hidden="false" customHeight="false" outlineLevel="0" collapsed="false">
      <c r="A993" s="13" t="s">
        <v>628</v>
      </c>
      <c r="B993" s="13" t="s">
        <v>627</v>
      </c>
      <c r="C993" s="13" t="s">
        <v>2258</v>
      </c>
      <c r="D993" s="13" t="s">
        <v>2270</v>
      </c>
      <c r="E993" s="13" t="s">
        <v>2292</v>
      </c>
      <c r="F993" s="13" t="s">
        <v>1282</v>
      </c>
      <c r="G993" s="61" t="n">
        <v>-3168306756</v>
      </c>
      <c r="H993" s="13" t="s">
        <v>2255</v>
      </c>
      <c r="I993" s="13" t="s">
        <v>2294</v>
      </c>
      <c r="J993" s="13" t="n">
        <v>7</v>
      </c>
      <c r="K993" s="13" t="s">
        <v>2275</v>
      </c>
      <c r="L993" s="13" t="s">
        <v>2260</v>
      </c>
      <c r="M993" s="13"/>
    </row>
    <row r="994" customFormat="false" ht="15" hidden="false" customHeight="false" outlineLevel="0" collapsed="false">
      <c r="A994" s="13" t="s">
        <v>628</v>
      </c>
      <c r="B994" s="13" t="s">
        <v>627</v>
      </c>
      <c r="C994" s="13" t="s">
        <v>2266</v>
      </c>
      <c r="D994" s="13" t="s">
        <v>2270</v>
      </c>
      <c r="E994" s="13" t="s">
        <v>2292</v>
      </c>
      <c r="F994" s="13" t="s">
        <v>1282</v>
      </c>
      <c r="G994" s="61" t="n">
        <v>-3117429829</v>
      </c>
      <c r="H994" s="13" t="s">
        <v>2255</v>
      </c>
      <c r="I994" s="13" t="s">
        <v>2294</v>
      </c>
      <c r="J994" s="13" t="s">
        <v>2295</v>
      </c>
      <c r="K994" s="13" t="s">
        <v>2278</v>
      </c>
      <c r="L994" s="13" t="s">
        <v>2265</v>
      </c>
      <c r="M994" s="13"/>
    </row>
    <row r="995" customFormat="false" ht="15" hidden="false" customHeight="false" outlineLevel="0" collapsed="false">
      <c r="A995" s="13" t="s">
        <v>628</v>
      </c>
      <c r="B995" s="13" t="s">
        <v>627</v>
      </c>
      <c r="C995" s="13" t="s">
        <v>2267</v>
      </c>
      <c r="D995" s="13" t="s">
        <v>2270</v>
      </c>
      <c r="E995" s="13" t="s">
        <v>2292</v>
      </c>
      <c r="F995" s="13" t="s">
        <v>1282</v>
      </c>
      <c r="G995" s="61" t="n">
        <v>234611626618</v>
      </c>
      <c r="H995" s="13" t="s">
        <v>2255</v>
      </c>
      <c r="I995" s="13" t="s">
        <v>2294</v>
      </c>
      <c r="J995" s="13" t="s">
        <v>2295</v>
      </c>
      <c r="K995" s="13" t="s">
        <v>2278</v>
      </c>
      <c r="L995" s="13" t="s">
        <v>2265</v>
      </c>
      <c r="M995" s="13"/>
    </row>
    <row r="996" customFormat="false" ht="15" hidden="false" customHeight="false" outlineLevel="0" collapsed="false">
      <c r="A996" s="13" t="s">
        <v>628</v>
      </c>
      <c r="B996" s="13" t="s">
        <v>627</v>
      </c>
      <c r="C996" s="13" t="s">
        <v>2254</v>
      </c>
      <c r="D996" s="13" t="s">
        <v>2270</v>
      </c>
      <c r="E996" s="13" t="s">
        <v>2296</v>
      </c>
      <c r="F996" s="13" t="s">
        <v>1282</v>
      </c>
      <c r="G996" s="61" t="n">
        <v>2163191443</v>
      </c>
      <c r="H996" s="13" t="s">
        <v>2255</v>
      </c>
      <c r="I996" s="13" t="s">
        <v>2294</v>
      </c>
      <c r="J996" s="13" t="n">
        <v>7</v>
      </c>
      <c r="K996" s="13" t="s">
        <v>2274</v>
      </c>
      <c r="L996" s="13" t="s">
        <v>2257</v>
      </c>
      <c r="M996" s="13"/>
    </row>
    <row r="997" customFormat="false" ht="15" hidden="false" customHeight="false" outlineLevel="0" collapsed="false">
      <c r="A997" s="13" t="s">
        <v>628</v>
      </c>
      <c r="B997" s="13" t="s">
        <v>627</v>
      </c>
      <c r="C997" s="13" t="s">
        <v>2258</v>
      </c>
      <c r="D997" s="13" t="s">
        <v>2270</v>
      </c>
      <c r="E997" s="13" t="s">
        <v>2296</v>
      </c>
      <c r="F997" s="13" t="s">
        <v>1282</v>
      </c>
      <c r="G997" s="61" t="n">
        <v>2130646789</v>
      </c>
      <c r="H997" s="13" t="s">
        <v>2255</v>
      </c>
      <c r="I997" s="13" t="s">
        <v>2294</v>
      </c>
      <c r="J997" s="13" t="n">
        <v>7</v>
      </c>
      <c r="K997" s="13" t="s">
        <v>2275</v>
      </c>
      <c r="L997" s="13" t="s">
        <v>2260</v>
      </c>
      <c r="M997" s="13"/>
    </row>
    <row r="998" customFormat="false" ht="15" hidden="false" customHeight="false" outlineLevel="0" collapsed="false">
      <c r="A998" s="13" t="s">
        <v>628</v>
      </c>
      <c r="B998" s="13" t="s">
        <v>627</v>
      </c>
      <c r="C998" s="13" t="s">
        <v>2266</v>
      </c>
      <c r="D998" s="13" t="s">
        <v>2270</v>
      </c>
      <c r="E998" s="13" t="s">
        <v>2296</v>
      </c>
      <c r="F998" s="13" t="s">
        <v>1282</v>
      </c>
      <c r="G998" s="61" t="n">
        <v>-914575214</v>
      </c>
      <c r="H998" s="13" t="s">
        <v>2255</v>
      </c>
      <c r="I998" s="13" t="s">
        <v>2294</v>
      </c>
      <c r="J998" s="13" t="s">
        <v>2295</v>
      </c>
      <c r="K998" s="13" t="s">
        <v>2278</v>
      </c>
      <c r="L998" s="13" t="s">
        <v>2265</v>
      </c>
      <c r="M998" s="13"/>
    </row>
    <row r="999" customFormat="false" ht="15" hidden="false" customHeight="false" outlineLevel="0" collapsed="false">
      <c r="A999" s="13" t="s">
        <v>628</v>
      </c>
      <c r="B999" s="13" t="s">
        <v>627</v>
      </c>
      <c r="C999" s="13" t="s">
        <v>2267</v>
      </c>
      <c r="D999" s="13" t="s">
        <v>2270</v>
      </c>
      <c r="E999" s="13" t="s">
        <v>2296</v>
      </c>
      <c r="F999" s="13" t="s">
        <v>1282</v>
      </c>
      <c r="G999" s="61" t="n">
        <v>-1473048710</v>
      </c>
      <c r="H999" s="13" t="s">
        <v>2255</v>
      </c>
      <c r="I999" s="13" t="s">
        <v>2294</v>
      </c>
      <c r="J999" s="13" t="s">
        <v>2295</v>
      </c>
      <c r="K999" s="13" t="s">
        <v>2278</v>
      </c>
      <c r="L999" s="13" t="s">
        <v>2265</v>
      </c>
      <c r="M999" s="13"/>
    </row>
    <row r="1000" customFormat="false" ht="15" hidden="false" customHeight="false" outlineLevel="0" collapsed="false">
      <c r="A1000" s="13" t="s">
        <v>628</v>
      </c>
      <c r="B1000" s="13" t="s">
        <v>627</v>
      </c>
      <c r="C1000" s="13" t="s">
        <v>2254</v>
      </c>
      <c r="D1000" s="13" t="s">
        <v>2270</v>
      </c>
      <c r="E1000" s="13" t="s">
        <v>2297</v>
      </c>
      <c r="F1000" s="13" t="s">
        <v>1282</v>
      </c>
      <c r="G1000" s="61" t="n">
        <v>760941828</v>
      </c>
      <c r="H1000" s="13" t="s">
        <v>2255</v>
      </c>
      <c r="I1000" s="13" t="s">
        <v>2294</v>
      </c>
      <c r="J1000" s="13" t="n">
        <v>7</v>
      </c>
      <c r="K1000" s="13" t="s">
        <v>2274</v>
      </c>
      <c r="L1000" s="13" t="s">
        <v>2257</v>
      </c>
      <c r="M1000" s="13"/>
    </row>
    <row r="1001" customFormat="false" ht="15" hidden="false" customHeight="false" outlineLevel="0" collapsed="false">
      <c r="A1001" s="13" t="s">
        <v>628</v>
      </c>
      <c r="B1001" s="13" t="s">
        <v>627</v>
      </c>
      <c r="C1001" s="13" t="s">
        <v>2258</v>
      </c>
      <c r="D1001" s="13" t="s">
        <v>2270</v>
      </c>
      <c r="E1001" s="13" t="s">
        <v>2297</v>
      </c>
      <c r="F1001" s="13" t="s">
        <v>1282</v>
      </c>
      <c r="G1001" s="61" t="n">
        <v>0</v>
      </c>
      <c r="H1001" s="13" t="s">
        <v>2255</v>
      </c>
      <c r="I1001" s="13" t="s">
        <v>2294</v>
      </c>
      <c r="J1001" s="13" t="n">
        <v>7</v>
      </c>
      <c r="K1001" s="13" t="s">
        <v>2275</v>
      </c>
      <c r="L1001" s="13" t="s">
        <v>2260</v>
      </c>
      <c r="M1001" s="13"/>
    </row>
    <row r="1002" customFormat="false" ht="15" hidden="false" customHeight="false" outlineLevel="0" collapsed="false">
      <c r="A1002" s="13" t="s">
        <v>628</v>
      </c>
      <c r="B1002" s="13" t="s">
        <v>627</v>
      </c>
      <c r="C1002" s="13" t="s">
        <v>2266</v>
      </c>
      <c r="D1002" s="13" t="s">
        <v>2270</v>
      </c>
      <c r="E1002" s="13" t="s">
        <v>2297</v>
      </c>
      <c r="F1002" s="13" t="s">
        <v>1282</v>
      </c>
      <c r="G1002" s="61" t="n">
        <v>0</v>
      </c>
      <c r="H1002" s="13" t="s">
        <v>2255</v>
      </c>
      <c r="I1002" s="13" t="s">
        <v>2294</v>
      </c>
      <c r="J1002" s="13" t="s">
        <v>2295</v>
      </c>
      <c r="K1002" s="13" t="s">
        <v>2278</v>
      </c>
      <c r="L1002" s="13" t="s">
        <v>2265</v>
      </c>
      <c r="M1002" s="13"/>
    </row>
    <row r="1003" customFormat="false" ht="15" hidden="false" customHeight="false" outlineLevel="0" collapsed="false">
      <c r="A1003" s="13" t="s">
        <v>628</v>
      </c>
      <c r="B1003" s="13" t="s">
        <v>627</v>
      </c>
      <c r="C1003" s="13" t="s">
        <v>2267</v>
      </c>
      <c r="D1003" s="13" t="s">
        <v>2270</v>
      </c>
      <c r="E1003" s="13" t="s">
        <v>2297</v>
      </c>
      <c r="F1003" s="13" t="s">
        <v>1282</v>
      </c>
      <c r="G1003" s="61" t="n">
        <v>0</v>
      </c>
      <c r="H1003" s="13" t="s">
        <v>2255</v>
      </c>
      <c r="I1003" s="13" t="s">
        <v>2294</v>
      </c>
      <c r="J1003" s="13" t="s">
        <v>2295</v>
      </c>
      <c r="K1003" s="13" t="s">
        <v>2278</v>
      </c>
      <c r="L1003" s="13" t="s">
        <v>2265</v>
      </c>
      <c r="M1003" s="13"/>
    </row>
    <row r="1004" customFormat="false" ht="15" hidden="false" customHeight="false" outlineLevel="0" collapsed="false">
      <c r="A1004" s="13" t="s">
        <v>628</v>
      </c>
      <c r="B1004" s="13" t="s">
        <v>627</v>
      </c>
      <c r="C1004" s="13" t="s">
        <v>2254</v>
      </c>
      <c r="D1004" s="13" t="s">
        <v>2270</v>
      </c>
      <c r="E1004" s="13" t="s">
        <v>2298</v>
      </c>
      <c r="F1004" s="13" t="s">
        <v>1282</v>
      </c>
      <c r="G1004" s="61" t="n">
        <v>127306536596</v>
      </c>
      <c r="H1004" s="13" t="s">
        <v>2255</v>
      </c>
      <c r="I1004" s="13" t="s">
        <v>2294</v>
      </c>
      <c r="J1004" s="13" t="n">
        <v>7</v>
      </c>
      <c r="K1004" s="13" t="s">
        <v>2274</v>
      </c>
      <c r="L1004" s="13" t="s">
        <v>2257</v>
      </c>
      <c r="M1004" s="13"/>
    </row>
    <row r="1005" customFormat="false" ht="15" hidden="false" customHeight="false" outlineLevel="0" collapsed="false">
      <c r="A1005" s="13" t="s">
        <v>628</v>
      </c>
      <c r="B1005" s="13" t="s">
        <v>627</v>
      </c>
      <c r="C1005" s="13" t="s">
        <v>2258</v>
      </c>
      <c r="D1005" s="13" t="s">
        <v>2270</v>
      </c>
      <c r="E1005" s="13" t="s">
        <v>2298</v>
      </c>
      <c r="F1005" s="13" t="s">
        <v>1282</v>
      </c>
      <c r="G1005" s="61" t="n">
        <v>-1037659967</v>
      </c>
      <c r="H1005" s="13" t="s">
        <v>2255</v>
      </c>
      <c r="I1005" s="13" t="s">
        <v>2294</v>
      </c>
      <c r="J1005" s="13" t="n">
        <v>7</v>
      </c>
      <c r="K1005" s="13" t="s">
        <v>2275</v>
      </c>
      <c r="L1005" s="13" t="s">
        <v>2260</v>
      </c>
      <c r="M1005" s="13"/>
    </row>
    <row r="1006" customFormat="false" ht="15" hidden="false" customHeight="false" outlineLevel="0" collapsed="false">
      <c r="A1006" s="13" t="s">
        <v>628</v>
      </c>
      <c r="B1006" s="13" t="s">
        <v>627</v>
      </c>
      <c r="C1006" s="13" t="s">
        <v>2266</v>
      </c>
      <c r="D1006" s="13" t="s">
        <v>2270</v>
      </c>
      <c r="E1006" s="13" t="s">
        <v>2298</v>
      </c>
      <c r="F1006" s="13" t="s">
        <v>1282</v>
      </c>
      <c r="G1006" s="61" t="n">
        <v>-4032005043</v>
      </c>
      <c r="H1006" s="13" t="s">
        <v>2255</v>
      </c>
      <c r="I1006" s="13" t="s">
        <v>2294</v>
      </c>
      <c r="J1006" s="13" t="s">
        <v>2295</v>
      </c>
      <c r="K1006" s="13" t="s">
        <v>2278</v>
      </c>
      <c r="L1006" s="13" t="s">
        <v>2265</v>
      </c>
      <c r="M1006" s="13"/>
    </row>
    <row r="1007" customFormat="false" ht="15" hidden="false" customHeight="false" outlineLevel="0" collapsed="false">
      <c r="A1007" s="13" t="s">
        <v>628</v>
      </c>
      <c r="B1007" s="13" t="s">
        <v>627</v>
      </c>
      <c r="C1007" s="13" t="s">
        <v>2267</v>
      </c>
      <c r="D1007" s="13" t="s">
        <v>2270</v>
      </c>
      <c r="E1007" s="13" t="s">
        <v>2298</v>
      </c>
      <c r="F1007" s="13" t="s">
        <v>1282</v>
      </c>
      <c r="G1007" s="61" t="n">
        <v>233138577908</v>
      </c>
      <c r="H1007" s="13" t="s">
        <v>2255</v>
      </c>
      <c r="I1007" s="13" t="s">
        <v>2294</v>
      </c>
      <c r="J1007" s="13" t="s">
        <v>2295</v>
      </c>
      <c r="K1007" s="13" t="s">
        <v>2278</v>
      </c>
      <c r="L1007" s="13" t="s">
        <v>2265</v>
      </c>
      <c r="M1007" s="13"/>
    </row>
    <row r="1008" customFormat="false" ht="15" hidden="false" customHeight="false" outlineLevel="0" collapsed="false">
      <c r="A1008" s="13" t="s">
        <v>628</v>
      </c>
      <c r="B1008" s="13" t="s">
        <v>627</v>
      </c>
      <c r="C1008" s="13" t="s">
        <v>2254</v>
      </c>
      <c r="D1008" s="13" t="s">
        <v>2270</v>
      </c>
      <c r="E1008" s="13" t="s">
        <v>2292</v>
      </c>
      <c r="F1008" s="13" t="s">
        <v>2302</v>
      </c>
      <c r="G1008" s="61" t="n">
        <v>237980681742</v>
      </c>
      <c r="H1008" s="13" t="s">
        <v>2255</v>
      </c>
      <c r="I1008" s="13" t="s">
        <v>2294</v>
      </c>
      <c r="J1008" s="13" t="n">
        <v>7</v>
      </c>
      <c r="K1008" s="13" t="s">
        <v>2274</v>
      </c>
      <c r="L1008" s="13" t="s">
        <v>2257</v>
      </c>
      <c r="M1008" s="13"/>
    </row>
    <row r="1009" customFormat="false" ht="15" hidden="false" customHeight="false" outlineLevel="0" collapsed="false">
      <c r="A1009" s="13" t="s">
        <v>628</v>
      </c>
      <c r="B1009" s="13" t="s">
        <v>627</v>
      </c>
      <c r="C1009" s="13" t="s">
        <v>2258</v>
      </c>
      <c r="D1009" s="13" t="s">
        <v>2270</v>
      </c>
      <c r="E1009" s="13" t="s">
        <v>2292</v>
      </c>
      <c r="F1009" s="13" t="s">
        <v>2302</v>
      </c>
      <c r="G1009" s="61" t="n">
        <v>305308128436</v>
      </c>
      <c r="H1009" s="13" t="s">
        <v>2255</v>
      </c>
      <c r="I1009" s="13" t="s">
        <v>2294</v>
      </c>
      <c r="J1009" s="13" t="n">
        <v>7</v>
      </c>
      <c r="K1009" s="13" t="s">
        <v>2275</v>
      </c>
      <c r="L1009" s="13" t="s">
        <v>2260</v>
      </c>
      <c r="M1009" s="13"/>
    </row>
    <row r="1010" customFormat="false" ht="15" hidden="false" customHeight="false" outlineLevel="0" collapsed="false">
      <c r="A1010" s="13" t="s">
        <v>628</v>
      </c>
      <c r="B1010" s="13" t="s">
        <v>627</v>
      </c>
      <c r="C1010" s="13" t="s">
        <v>2266</v>
      </c>
      <c r="D1010" s="13" t="s">
        <v>2270</v>
      </c>
      <c r="E1010" s="13" t="s">
        <v>2292</v>
      </c>
      <c r="F1010" s="13" t="s">
        <v>2302</v>
      </c>
      <c r="G1010" s="61" t="n">
        <v>22479698772</v>
      </c>
      <c r="H1010" s="13" t="s">
        <v>2255</v>
      </c>
      <c r="I1010" s="13" t="s">
        <v>2294</v>
      </c>
      <c r="J1010" s="13" t="s">
        <v>2295</v>
      </c>
      <c r="K1010" s="13" t="s">
        <v>2278</v>
      </c>
      <c r="L1010" s="13" t="s">
        <v>2265</v>
      </c>
      <c r="M1010" s="13"/>
    </row>
    <row r="1011" customFormat="false" ht="15" hidden="false" customHeight="false" outlineLevel="0" collapsed="false">
      <c r="A1011" s="13" t="s">
        <v>628</v>
      </c>
      <c r="B1011" s="13" t="s">
        <v>627</v>
      </c>
      <c r="C1011" s="13" t="s">
        <v>2267</v>
      </c>
      <c r="D1011" s="13" t="s">
        <v>2270</v>
      </c>
      <c r="E1011" s="13" t="s">
        <v>2292</v>
      </c>
      <c r="F1011" s="13" t="s">
        <v>2302</v>
      </c>
      <c r="G1011" s="61" t="n">
        <v>252805668304</v>
      </c>
      <c r="H1011" s="13" t="s">
        <v>2255</v>
      </c>
      <c r="I1011" s="13" t="s">
        <v>2294</v>
      </c>
      <c r="J1011" s="13" t="s">
        <v>2295</v>
      </c>
      <c r="K1011" s="13" t="s">
        <v>2278</v>
      </c>
      <c r="L1011" s="13" t="s">
        <v>2265</v>
      </c>
      <c r="M1011" s="13"/>
    </row>
    <row r="1012" customFormat="false" ht="15" hidden="false" customHeight="false" outlineLevel="0" collapsed="false">
      <c r="A1012" s="13" t="s">
        <v>628</v>
      </c>
      <c r="B1012" s="13" t="s">
        <v>627</v>
      </c>
      <c r="C1012" s="13" t="s">
        <v>2254</v>
      </c>
      <c r="D1012" s="13" t="s">
        <v>2270</v>
      </c>
      <c r="E1012" s="13" t="s">
        <v>2296</v>
      </c>
      <c r="F1012" s="13" t="s">
        <v>2302</v>
      </c>
      <c r="G1012" s="61" t="n">
        <v>-535001166</v>
      </c>
      <c r="H1012" s="13" t="s">
        <v>2255</v>
      </c>
      <c r="I1012" s="13" t="s">
        <v>2294</v>
      </c>
      <c r="J1012" s="13" t="n">
        <v>7</v>
      </c>
      <c r="K1012" s="13" t="s">
        <v>2274</v>
      </c>
      <c r="L1012" s="13" t="s">
        <v>2257</v>
      </c>
      <c r="M1012" s="13"/>
    </row>
    <row r="1013" customFormat="false" ht="15" hidden="false" customHeight="false" outlineLevel="0" collapsed="false">
      <c r="A1013" s="13" t="s">
        <v>628</v>
      </c>
      <c r="B1013" s="13" t="s">
        <v>627</v>
      </c>
      <c r="C1013" s="13" t="s">
        <v>2258</v>
      </c>
      <c r="D1013" s="13" t="s">
        <v>2270</v>
      </c>
      <c r="E1013" s="13" t="s">
        <v>2296</v>
      </c>
      <c r="F1013" s="13" t="s">
        <v>2302</v>
      </c>
      <c r="G1013" s="61" t="n">
        <v>23340193279</v>
      </c>
      <c r="H1013" s="13" t="s">
        <v>2255</v>
      </c>
      <c r="I1013" s="13" t="s">
        <v>2294</v>
      </c>
      <c r="J1013" s="13" t="n">
        <v>7</v>
      </c>
      <c r="K1013" s="13" t="s">
        <v>2275</v>
      </c>
      <c r="L1013" s="13" t="s">
        <v>2260</v>
      </c>
      <c r="M1013" s="13"/>
    </row>
    <row r="1014" customFormat="false" ht="15" hidden="false" customHeight="false" outlineLevel="0" collapsed="false">
      <c r="A1014" s="13" t="s">
        <v>628</v>
      </c>
      <c r="B1014" s="13" t="s">
        <v>627</v>
      </c>
      <c r="C1014" s="13" t="s">
        <v>2266</v>
      </c>
      <c r="D1014" s="13" t="s">
        <v>2270</v>
      </c>
      <c r="E1014" s="13" t="s">
        <v>2296</v>
      </c>
      <c r="F1014" s="13" t="s">
        <v>2302</v>
      </c>
      <c r="G1014" s="61" t="n">
        <v>-9840016087</v>
      </c>
      <c r="H1014" s="13" t="s">
        <v>2255</v>
      </c>
      <c r="I1014" s="13" t="s">
        <v>2294</v>
      </c>
      <c r="J1014" s="13" t="s">
        <v>2295</v>
      </c>
      <c r="K1014" s="13" t="s">
        <v>2278</v>
      </c>
      <c r="L1014" s="13" t="s">
        <v>2265</v>
      </c>
      <c r="M1014" s="13"/>
    </row>
    <row r="1015" customFormat="false" ht="15" hidden="false" customHeight="false" outlineLevel="0" collapsed="false">
      <c r="A1015" s="13" t="s">
        <v>628</v>
      </c>
      <c r="B1015" s="13" t="s">
        <v>627</v>
      </c>
      <c r="C1015" s="13" t="s">
        <v>2267</v>
      </c>
      <c r="D1015" s="13" t="s">
        <v>2270</v>
      </c>
      <c r="E1015" s="13" t="s">
        <v>2296</v>
      </c>
      <c r="F1015" s="13" t="s">
        <v>2302</v>
      </c>
      <c r="G1015" s="61" t="n">
        <v>-6275925645</v>
      </c>
      <c r="H1015" s="13" t="s">
        <v>2255</v>
      </c>
      <c r="I1015" s="13" t="s">
        <v>2294</v>
      </c>
      <c r="J1015" s="13" t="s">
        <v>2295</v>
      </c>
      <c r="K1015" s="13" t="s">
        <v>2278</v>
      </c>
      <c r="L1015" s="13" t="s">
        <v>2265</v>
      </c>
      <c r="M1015" s="13"/>
    </row>
    <row r="1016" customFormat="false" ht="15" hidden="false" customHeight="false" outlineLevel="0" collapsed="false">
      <c r="A1016" s="13" t="s">
        <v>628</v>
      </c>
      <c r="B1016" s="13" t="s">
        <v>627</v>
      </c>
      <c r="C1016" s="13" t="s">
        <v>2254</v>
      </c>
      <c r="D1016" s="13" t="s">
        <v>2270</v>
      </c>
      <c r="E1016" s="13" t="s">
        <v>2297</v>
      </c>
      <c r="F1016" s="13" t="s">
        <v>2302</v>
      </c>
      <c r="G1016" s="61" t="n">
        <v>8320941796</v>
      </c>
      <c r="H1016" s="13" t="s">
        <v>2255</v>
      </c>
      <c r="I1016" s="13" t="s">
        <v>2294</v>
      </c>
      <c r="J1016" s="13" t="n">
        <v>7</v>
      </c>
      <c r="K1016" s="13" t="s">
        <v>2274</v>
      </c>
      <c r="L1016" s="13" t="s">
        <v>2257</v>
      </c>
      <c r="M1016" s="13"/>
    </row>
    <row r="1017" customFormat="false" ht="15" hidden="false" customHeight="false" outlineLevel="0" collapsed="false">
      <c r="A1017" s="13" t="s">
        <v>628</v>
      </c>
      <c r="B1017" s="13" t="s">
        <v>627</v>
      </c>
      <c r="C1017" s="13" t="s">
        <v>2258</v>
      </c>
      <c r="D1017" s="13" t="s">
        <v>2270</v>
      </c>
      <c r="E1017" s="13" t="s">
        <v>2297</v>
      </c>
      <c r="F1017" s="13" t="s">
        <v>2302</v>
      </c>
      <c r="G1017" s="61" t="n">
        <v>-14322084928</v>
      </c>
      <c r="H1017" s="13" t="s">
        <v>2255</v>
      </c>
      <c r="I1017" s="13" t="s">
        <v>2294</v>
      </c>
      <c r="J1017" s="13" t="n">
        <v>7</v>
      </c>
      <c r="K1017" s="13" t="s">
        <v>2275</v>
      </c>
      <c r="L1017" s="13" t="s">
        <v>2260</v>
      </c>
      <c r="M1017" s="13"/>
    </row>
    <row r="1018" customFormat="false" ht="15" hidden="false" customHeight="false" outlineLevel="0" collapsed="false">
      <c r="A1018" s="13" t="s">
        <v>628</v>
      </c>
      <c r="B1018" s="13" t="s">
        <v>627</v>
      </c>
      <c r="C1018" s="13" t="s">
        <v>2266</v>
      </c>
      <c r="D1018" s="13" t="s">
        <v>2270</v>
      </c>
      <c r="E1018" s="13" t="s">
        <v>2297</v>
      </c>
      <c r="F1018" s="13" t="s">
        <v>2302</v>
      </c>
      <c r="G1018" s="61" t="n">
        <v>2224096539</v>
      </c>
      <c r="H1018" s="13" t="s">
        <v>2255</v>
      </c>
      <c r="I1018" s="13" t="s">
        <v>2294</v>
      </c>
      <c r="J1018" s="13" t="s">
        <v>2295</v>
      </c>
      <c r="K1018" s="13" t="s">
        <v>2278</v>
      </c>
      <c r="L1018" s="13" t="s">
        <v>2265</v>
      </c>
      <c r="M1018" s="13"/>
    </row>
    <row r="1019" customFormat="false" ht="15" hidden="false" customHeight="false" outlineLevel="0" collapsed="false">
      <c r="A1019" s="13" t="s">
        <v>628</v>
      </c>
      <c r="B1019" s="13" t="s">
        <v>627</v>
      </c>
      <c r="C1019" s="13" t="s">
        <v>2267</v>
      </c>
      <c r="D1019" s="13" t="s">
        <v>2270</v>
      </c>
      <c r="E1019" s="13" t="s">
        <v>2297</v>
      </c>
      <c r="F1019" s="13" t="s">
        <v>2302</v>
      </c>
      <c r="G1019" s="61" t="n">
        <v>16281977782</v>
      </c>
      <c r="H1019" s="13" t="s">
        <v>2255</v>
      </c>
      <c r="I1019" s="13" t="s">
        <v>2294</v>
      </c>
      <c r="J1019" s="13" t="s">
        <v>2295</v>
      </c>
      <c r="K1019" s="13" t="s">
        <v>2278</v>
      </c>
      <c r="L1019" s="13" t="s">
        <v>2265</v>
      </c>
      <c r="M1019" s="13"/>
    </row>
    <row r="1020" customFormat="false" ht="15" hidden="false" customHeight="false" outlineLevel="0" collapsed="false">
      <c r="A1020" s="13" t="s">
        <v>628</v>
      </c>
      <c r="B1020" s="13" t="s">
        <v>627</v>
      </c>
      <c r="C1020" s="13" t="s">
        <v>2254</v>
      </c>
      <c r="D1020" s="13" t="s">
        <v>2270</v>
      </c>
      <c r="E1020" s="13" t="s">
        <v>2298</v>
      </c>
      <c r="F1020" s="13" t="s">
        <v>2302</v>
      </c>
      <c r="G1020" s="61" t="n">
        <v>245766622372</v>
      </c>
      <c r="H1020" s="13" t="s">
        <v>2255</v>
      </c>
      <c r="I1020" s="13" t="s">
        <v>2294</v>
      </c>
      <c r="J1020" s="13" t="n">
        <v>7</v>
      </c>
      <c r="K1020" s="13" t="s">
        <v>2274</v>
      </c>
      <c r="L1020" s="13" t="s">
        <v>2257</v>
      </c>
      <c r="M1020" s="13"/>
    </row>
    <row r="1021" customFormat="false" ht="15" hidden="false" customHeight="false" outlineLevel="0" collapsed="false">
      <c r="A1021" s="13" t="s">
        <v>628</v>
      </c>
      <c r="B1021" s="13" t="s">
        <v>627</v>
      </c>
      <c r="C1021" s="13" t="s">
        <v>2258</v>
      </c>
      <c r="D1021" s="13" t="s">
        <v>2270</v>
      </c>
      <c r="E1021" s="13" t="s">
        <v>2298</v>
      </c>
      <c r="F1021" s="13" t="s">
        <v>2302</v>
      </c>
      <c r="G1021" s="61" t="n">
        <v>314326236787</v>
      </c>
      <c r="H1021" s="13" t="s">
        <v>2255</v>
      </c>
      <c r="I1021" s="13" t="s">
        <v>2294</v>
      </c>
      <c r="J1021" s="13" t="n">
        <v>7</v>
      </c>
      <c r="K1021" s="13" t="s">
        <v>2275</v>
      </c>
      <c r="L1021" s="13" t="s">
        <v>2260</v>
      </c>
      <c r="M1021" s="13"/>
    </row>
    <row r="1022" customFormat="false" ht="15" hidden="false" customHeight="false" outlineLevel="0" collapsed="false">
      <c r="A1022" s="13" t="s">
        <v>628</v>
      </c>
      <c r="B1022" s="13" t="s">
        <v>627</v>
      </c>
      <c r="C1022" s="13" t="s">
        <v>2266</v>
      </c>
      <c r="D1022" s="13" t="s">
        <v>2270</v>
      </c>
      <c r="E1022" s="13" t="s">
        <v>2298</v>
      </c>
      <c r="F1022" s="13" t="s">
        <v>2302</v>
      </c>
      <c r="G1022" s="61" t="n">
        <v>14863779224</v>
      </c>
      <c r="H1022" s="13" t="s">
        <v>2255</v>
      </c>
      <c r="I1022" s="13" t="s">
        <v>2294</v>
      </c>
      <c r="J1022" s="13" t="s">
        <v>2295</v>
      </c>
      <c r="K1022" s="13" t="s">
        <v>2278</v>
      </c>
      <c r="L1022" s="13" t="s">
        <v>2265</v>
      </c>
      <c r="M1022" s="13"/>
    </row>
    <row r="1023" customFormat="false" ht="15" hidden="false" customHeight="false" outlineLevel="0" collapsed="false">
      <c r="A1023" s="13" t="s">
        <v>628</v>
      </c>
      <c r="B1023" s="13" t="s">
        <v>627</v>
      </c>
      <c r="C1023" s="13" t="s">
        <v>2267</v>
      </c>
      <c r="D1023" s="13" t="s">
        <v>2270</v>
      </c>
      <c r="E1023" s="13" t="s">
        <v>2298</v>
      </c>
      <c r="F1023" s="13" t="s">
        <v>2302</v>
      </c>
      <c r="G1023" s="61" t="n">
        <v>262811720441</v>
      </c>
      <c r="H1023" s="13" t="s">
        <v>2255</v>
      </c>
      <c r="I1023" s="13" t="s">
        <v>2294</v>
      </c>
      <c r="J1023" s="13" t="s">
        <v>2295</v>
      </c>
      <c r="K1023" s="13" t="s">
        <v>2278</v>
      </c>
      <c r="L1023" s="13" t="s">
        <v>2265</v>
      </c>
      <c r="M1023" s="13"/>
    </row>
    <row r="1024" customFormat="false" ht="15" hidden="false" customHeight="false" outlineLevel="0" collapsed="false">
      <c r="A1024" s="13" t="s">
        <v>628</v>
      </c>
      <c r="B1024" s="13" t="s">
        <v>627</v>
      </c>
      <c r="C1024" s="13" t="s">
        <v>2254</v>
      </c>
      <c r="D1024" s="13" t="s">
        <v>2270</v>
      </c>
      <c r="E1024" s="13" t="s">
        <v>2292</v>
      </c>
      <c r="F1024" s="13" t="s">
        <v>2303</v>
      </c>
      <c r="G1024" s="61" t="n">
        <v>2307799767003</v>
      </c>
      <c r="H1024" s="13" t="s">
        <v>2255</v>
      </c>
      <c r="I1024" s="13" t="s">
        <v>2294</v>
      </c>
      <c r="J1024" s="13" t="n">
        <v>7</v>
      </c>
      <c r="K1024" s="13" t="s">
        <v>2274</v>
      </c>
      <c r="L1024" s="13" t="s">
        <v>2257</v>
      </c>
      <c r="M1024" s="13"/>
    </row>
    <row r="1025" customFormat="false" ht="15" hidden="false" customHeight="false" outlineLevel="0" collapsed="false">
      <c r="A1025" s="13" t="s">
        <v>628</v>
      </c>
      <c r="B1025" s="13" t="s">
        <v>627</v>
      </c>
      <c r="C1025" s="13" t="s">
        <v>2258</v>
      </c>
      <c r="D1025" s="13" t="s">
        <v>2270</v>
      </c>
      <c r="E1025" s="13" t="s">
        <v>2292</v>
      </c>
      <c r="F1025" s="13" t="s">
        <v>2303</v>
      </c>
      <c r="G1025" s="61" t="n">
        <v>2907796241234</v>
      </c>
      <c r="H1025" s="13" t="s">
        <v>2255</v>
      </c>
      <c r="I1025" s="13" t="s">
        <v>2294</v>
      </c>
      <c r="J1025" s="13" t="n">
        <v>7</v>
      </c>
      <c r="K1025" s="13" t="s">
        <v>2275</v>
      </c>
      <c r="L1025" s="13" t="s">
        <v>2260</v>
      </c>
      <c r="M1025" s="13"/>
    </row>
    <row r="1026" customFormat="false" ht="15" hidden="false" customHeight="false" outlineLevel="0" collapsed="false">
      <c r="A1026" s="13" t="s">
        <v>628</v>
      </c>
      <c r="B1026" s="13" t="s">
        <v>627</v>
      </c>
      <c r="C1026" s="13" t="s">
        <v>2266</v>
      </c>
      <c r="D1026" s="13" t="s">
        <v>2270</v>
      </c>
      <c r="E1026" s="13" t="s">
        <v>2292</v>
      </c>
      <c r="F1026" s="13" t="s">
        <v>2303</v>
      </c>
      <c r="G1026" s="61" t="n">
        <v>4407722937143</v>
      </c>
      <c r="H1026" s="13" t="s">
        <v>2255</v>
      </c>
      <c r="I1026" s="13" t="s">
        <v>2294</v>
      </c>
      <c r="J1026" s="13" t="s">
        <v>2295</v>
      </c>
      <c r="K1026" s="13" t="s">
        <v>2278</v>
      </c>
      <c r="L1026" s="13" t="s">
        <v>2265</v>
      </c>
      <c r="M1026" s="13"/>
    </row>
    <row r="1027" customFormat="false" ht="15" hidden="false" customHeight="false" outlineLevel="0" collapsed="false">
      <c r="A1027" s="13" t="s">
        <v>628</v>
      </c>
      <c r="B1027" s="13" t="s">
        <v>627</v>
      </c>
      <c r="C1027" s="13" t="s">
        <v>2267</v>
      </c>
      <c r="D1027" s="13" t="s">
        <v>2270</v>
      </c>
      <c r="E1027" s="13" t="s">
        <v>2292</v>
      </c>
      <c r="F1027" s="13" t="s">
        <v>2303</v>
      </c>
      <c r="G1027" s="61" t="n">
        <v>5030918162976</v>
      </c>
      <c r="H1027" s="13" t="s">
        <v>2255</v>
      </c>
      <c r="I1027" s="13" t="s">
        <v>2294</v>
      </c>
      <c r="J1027" s="13" t="s">
        <v>2295</v>
      </c>
      <c r="K1027" s="13" t="s">
        <v>2278</v>
      </c>
      <c r="L1027" s="13" t="s">
        <v>2265</v>
      </c>
      <c r="M1027" s="13"/>
    </row>
    <row r="1028" customFormat="false" ht="15" hidden="false" customHeight="false" outlineLevel="0" collapsed="false">
      <c r="A1028" s="13" t="s">
        <v>628</v>
      </c>
      <c r="B1028" s="13" t="s">
        <v>627</v>
      </c>
      <c r="C1028" s="13" t="s">
        <v>2254</v>
      </c>
      <c r="D1028" s="13" t="s">
        <v>2270</v>
      </c>
      <c r="E1028" s="13" t="s">
        <v>2296</v>
      </c>
      <c r="F1028" s="13" t="s">
        <v>2303</v>
      </c>
      <c r="G1028" s="61" t="n">
        <v>70567303895</v>
      </c>
      <c r="H1028" s="13" t="s">
        <v>2255</v>
      </c>
      <c r="I1028" s="13" t="s">
        <v>2294</v>
      </c>
      <c r="J1028" s="13" t="n">
        <v>7</v>
      </c>
      <c r="K1028" s="13" t="s">
        <v>2274</v>
      </c>
      <c r="L1028" s="13" t="s">
        <v>2257</v>
      </c>
      <c r="M1028" s="13"/>
    </row>
    <row r="1029" customFormat="false" ht="15" hidden="false" customHeight="false" outlineLevel="0" collapsed="false">
      <c r="A1029" s="13" t="s">
        <v>628</v>
      </c>
      <c r="B1029" s="13" t="s">
        <v>627</v>
      </c>
      <c r="C1029" s="13" t="s">
        <v>2258</v>
      </c>
      <c r="D1029" s="13" t="s">
        <v>2270</v>
      </c>
      <c r="E1029" s="13" t="s">
        <v>2296</v>
      </c>
      <c r="F1029" s="13" t="s">
        <v>2303</v>
      </c>
      <c r="G1029" s="61" t="n">
        <v>77970716682</v>
      </c>
      <c r="H1029" s="13" t="s">
        <v>2255</v>
      </c>
      <c r="I1029" s="13" t="s">
        <v>2294</v>
      </c>
      <c r="J1029" s="13" t="n">
        <v>7</v>
      </c>
      <c r="K1029" s="13" t="s">
        <v>2275</v>
      </c>
      <c r="L1029" s="13" t="s">
        <v>2260</v>
      </c>
      <c r="M1029" s="13"/>
    </row>
    <row r="1030" customFormat="false" ht="15" hidden="false" customHeight="false" outlineLevel="0" collapsed="false">
      <c r="A1030" s="13" t="s">
        <v>628</v>
      </c>
      <c r="B1030" s="13" t="s">
        <v>627</v>
      </c>
      <c r="C1030" s="13" t="s">
        <v>2266</v>
      </c>
      <c r="D1030" s="13" t="s">
        <v>2270</v>
      </c>
      <c r="E1030" s="13" t="s">
        <v>2296</v>
      </c>
      <c r="F1030" s="13" t="s">
        <v>2303</v>
      </c>
      <c r="G1030" s="61" t="n">
        <v>355648110160</v>
      </c>
      <c r="H1030" s="13" t="s">
        <v>2255</v>
      </c>
      <c r="I1030" s="13" t="s">
        <v>2294</v>
      </c>
      <c r="J1030" s="13" t="s">
        <v>2295</v>
      </c>
      <c r="K1030" s="13" t="s">
        <v>2278</v>
      </c>
      <c r="L1030" s="13" t="s">
        <v>2265</v>
      </c>
      <c r="M1030" s="13"/>
    </row>
    <row r="1031" customFormat="false" ht="15" hidden="false" customHeight="false" outlineLevel="0" collapsed="false">
      <c r="A1031" s="13" t="s">
        <v>628</v>
      </c>
      <c r="B1031" s="13" t="s">
        <v>627</v>
      </c>
      <c r="C1031" s="13" t="s">
        <v>2267</v>
      </c>
      <c r="D1031" s="13" t="s">
        <v>2270</v>
      </c>
      <c r="E1031" s="13" t="s">
        <v>2296</v>
      </c>
      <c r="F1031" s="13" t="s">
        <v>2303</v>
      </c>
      <c r="G1031" s="61" t="n">
        <v>387578562815</v>
      </c>
      <c r="H1031" s="13" t="s">
        <v>2255</v>
      </c>
      <c r="I1031" s="13" t="s">
        <v>2294</v>
      </c>
      <c r="J1031" s="13" t="s">
        <v>2295</v>
      </c>
      <c r="K1031" s="13" t="s">
        <v>2278</v>
      </c>
      <c r="L1031" s="13" t="s">
        <v>2265</v>
      </c>
      <c r="M1031" s="13"/>
    </row>
    <row r="1032" customFormat="false" ht="15" hidden="false" customHeight="false" outlineLevel="0" collapsed="false">
      <c r="A1032" s="13" t="s">
        <v>628</v>
      </c>
      <c r="B1032" s="13" t="s">
        <v>627</v>
      </c>
      <c r="C1032" s="13" t="s">
        <v>2254</v>
      </c>
      <c r="D1032" s="13" t="s">
        <v>2270</v>
      </c>
      <c r="E1032" s="13" t="s">
        <v>2297</v>
      </c>
      <c r="F1032" s="13" t="s">
        <v>2303</v>
      </c>
      <c r="G1032" s="61" t="n">
        <v>-215830236433</v>
      </c>
      <c r="H1032" s="13" t="s">
        <v>2255</v>
      </c>
      <c r="I1032" s="13" t="s">
        <v>2294</v>
      </c>
      <c r="J1032" s="13" t="n">
        <v>7</v>
      </c>
      <c r="K1032" s="13" t="s">
        <v>2274</v>
      </c>
      <c r="L1032" s="13" t="s">
        <v>2257</v>
      </c>
      <c r="M1032" s="13"/>
    </row>
    <row r="1033" customFormat="false" ht="15" hidden="false" customHeight="false" outlineLevel="0" collapsed="false">
      <c r="A1033" s="13" t="s">
        <v>628</v>
      </c>
      <c r="B1033" s="13" t="s">
        <v>627</v>
      </c>
      <c r="C1033" s="13" t="s">
        <v>2258</v>
      </c>
      <c r="D1033" s="13" t="s">
        <v>2270</v>
      </c>
      <c r="E1033" s="13" t="s">
        <v>2297</v>
      </c>
      <c r="F1033" s="13" t="s">
        <v>2303</v>
      </c>
      <c r="G1033" s="61" t="n">
        <v>-298136412202</v>
      </c>
      <c r="H1033" s="13" t="s">
        <v>2255</v>
      </c>
      <c r="I1033" s="13" t="s">
        <v>2294</v>
      </c>
      <c r="J1033" s="13" t="n">
        <v>7</v>
      </c>
      <c r="K1033" s="13" t="s">
        <v>2275</v>
      </c>
      <c r="L1033" s="13" t="s">
        <v>2260</v>
      </c>
      <c r="M1033" s="13"/>
    </row>
    <row r="1034" customFormat="false" ht="15" hidden="false" customHeight="false" outlineLevel="0" collapsed="false">
      <c r="A1034" s="13" t="s">
        <v>628</v>
      </c>
      <c r="B1034" s="13" t="s">
        <v>627</v>
      </c>
      <c r="C1034" s="13" t="s">
        <v>2266</v>
      </c>
      <c r="D1034" s="13" t="s">
        <v>2270</v>
      </c>
      <c r="E1034" s="13" t="s">
        <v>2297</v>
      </c>
      <c r="F1034" s="13" t="s">
        <v>2303</v>
      </c>
      <c r="G1034" s="61" t="n">
        <v>-1317010143555</v>
      </c>
      <c r="H1034" s="13" t="s">
        <v>2255</v>
      </c>
      <c r="I1034" s="13" t="s">
        <v>2294</v>
      </c>
      <c r="J1034" s="13" t="s">
        <v>2295</v>
      </c>
      <c r="K1034" s="13" t="s">
        <v>2278</v>
      </c>
      <c r="L1034" s="13" t="s">
        <v>2265</v>
      </c>
      <c r="M1034" s="13"/>
    </row>
    <row r="1035" customFormat="false" ht="15" hidden="false" customHeight="false" outlineLevel="0" collapsed="false">
      <c r="A1035" s="13" t="s">
        <v>628</v>
      </c>
      <c r="B1035" s="13" t="s">
        <v>627</v>
      </c>
      <c r="C1035" s="13" t="s">
        <v>2267</v>
      </c>
      <c r="D1035" s="13" t="s">
        <v>2270</v>
      </c>
      <c r="E1035" s="13" t="s">
        <v>2297</v>
      </c>
      <c r="F1035" s="13" t="s">
        <v>2303</v>
      </c>
      <c r="G1035" s="61" t="n">
        <v>-1402067290648</v>
      </c>
      <c r="H1035" s="13" t="s">
        <v>2255</v>
      </c>
      <c r="I1035" s="13" t="s">
        <v>2294</v>
      </c>
      <c r="J1035" s="13" t="s">
        <v>2295</v>
      </c>
      <c r="K1035" s="13" t="s">
        <v>2278</v>
      </c>
      <c r="L1035" s="13" t="s">
        <v>2265</v>
      </c>
      <c r="M1035" s="13"/>
    </row>
    <row r="1036" customFormat="false" ht="15" hidden="false" customHeight="false" outlineLevel="0" collapsed="false">
      <c r="A1036" s="13" t="s">
        <v>628</v>
      </c>
      <c r="B1036" s="13" t="s">
        <v>627</v>
      </c>
      <c r="C1036" s="13" t="s">
        <v>2254</v>
      </c>
      <c r="D1036" s="13" t="s">
        <v>2270</v>
      </c>
      <c r="E1036" s="13" t="s">
        <v>2298</v>
      </c>
      <c r="F1036" s="13" t="s">
        <v>2303</v>
      </c>
      <c r="G1036" s="61" t="n">
        <v>2162536834465</v>
      </c>
      <c r="H1036" s="13" t="s">
        <v>2255</v>
      </c>
      <c r="I1036" s="13" t="s">
        <v>2294</v>
      </c>
      <c r="J1036" s="13" t="n">
        <v>7</v>
      </c>
      <c r="K1036" s="13" t="s">
        <v>2274</v>
      </c>
      <c r="L1036" s="13" t="s">
        <v>2257</v>
      </c>
      <c r="M1036" s="13"/>
    </row>
    <row r="1037" customFormat="false" ht="15" hidden="false" customHeight="false" outlineLevel="0" collapsed="false">
      <c r="A1037" s="13" t="s">
        <v>628</v>
      </c>
      <c r="B1037" s="13" t="s">
        <v>627</v>
      </c>
      <c r="C1037" s="13" t="s">
        <v>2258</v>
      </c>
      <c r="D1037" s="13" t="s">
        <v>2270</v>
      </c>
      <c r="E1037" s="13" t="s">
        <v>2298</v>
      </c>
      <c r="F1037" s="13" t="s">
        <v>2303</v>
      </c>
      <c r="G1037" s="61" t="n">
        <v>2687630545714</v>
      </c>
      <c r="H1037" s="13" t="s">
        <v>2255</v>
      </c>
      <c r="I1037" s="13" t="s">
        <v>2294</v>
      </c>
      <c r="J1037" s="13" t="n">
        <v>7</v>
      </c>
      <c r="K1037" s="13" t="s">
        <v>2275</v>
      </c>
      <c r="L1037" s="13" t="s">
        <v>2260</v>
      </c>
      <c r="M1037" s="13"/>
    </row>
    <row r="1038" customFormat="false" ht="15" hidden="false" customHeight="false" outlineLevel="0" collapsed="false">
      <c r="A1038" s="13" t="s">
        <v>628</v>
      </c>
      <c r="B1038" s="13" t="s">
        <v>627</v>
      </c>
      <c r="C1038" s="13" t="s">
        <v>2266</v>
      </c>
      <c r="D1038" s="13" t="s">
        <v>2270</v>
      </c>
      <c r="E1038" s="13" t="s">
        <v>2298</v>
      </c>
      <c r="F1038" s="13" t="s">
        <v>2303</v>
      </c>
      <c r="G1038" s="61" t="n">
        <v>3446360903748</v>
      </c>
      <c r="H1038" s="13" t="s">
        <v>2255</v>
      </c>
      <c r="I1038" s="13" t="s">
        <v>2294</v>
      </c>
      <c r="J1038" s="13" t="s">
        <v>2295</v>
      </c>
      <c r="K1038" s="13" t="s">
        <v>2278</v>
      </c>
      <c r="L1038" s="13" t="s">
        <v>2265</v>
      </c>
      <c r="M1038" s="13"/>
    </row>
    <row r="1039" customFormat="false" ht="15" hidden="false" customHeight="false" outlineLevel="0" collapsed="false">
      <c r="A1039" s="13" t="s">
        <v>628</v>
      </c>
      <c r="B1039" s="13" t="s">
        <v>627</v>
      </c>
      <c r="C1039" s="13" t="s">
        <v>2267</v>
      </c>
      <c r="D1039" s="13" t="s">
        <v>2270</v>
      </c>
      <c r="E1039" s="13" t="s">
        <v>2298</v>
      </c>
      <c r="F1039" s="13" t="s">
        <v>2303</v>
      </c>
      <c r="G1039" s="61" t="n">
        <v>4016429435143</v>
      </c>
      <c r="H1039" s="13" t="s">
        <v>2255</v>
      </c>
      <c r="I1039" s="13" t="s">
        <v>2294</v>
      </c>
      <c r="J1039" s="13" t="s">
        <v>2295</v>
      </c>
      <c r="K1039" s="13" t="s">
        <v>2278</v>
      </c>
      <c r="L1039" s="13" t="s">
        <v>2265</v>
      </c>
      <c r="M1039" s="13"/>
    </row>
    <row r="1040" customFormat="false" ht="15" hidden="false" customHeight="false" outlineLevel="0" collapsed="false">
      <c r="A1040" s="13" t="s">
        <v>628</v>
      </c>
      <c r="B1040" s="13" t="s">
        <v>627</v>
      </c>
      <c r="C1040" s="13" t="s">
        <v>2254</v>
      </c>
      <c r="D1040" s="13" t="s">
        <v>2270</v>
      </c>
      <c r="E1040" s="13" t="s">
        <v>2292</v>
      </c>
      <c r="F1040" s="13" t="s">
        <v>2304</v>
      </c>
      <c r="G1040" s="61" t="n">
        <v>1248070998695</v>
      </c>
      <c r="H1040" s="13" t="s">
        <v>2255</v>
      </c>
      <c r="I1040" s="13" t="s">
        <v>2294</v>
      </c>
      <c r="J1040" s="13" t="n">
        <v>7</v>
      </c>
      <c r="K1040" s="13" t="s">
        <v>2274</v>
      </c>
      <c r="L1040" s="13" t="s">
        <v>2257</v>
      </c>
      <c r="M1040" s="13"/>
    </row>
    <row r="1041" customFormat="false" ht="15" hidden="false" customHeight="false" outlineLevel="0" collapsed="false">
      <c r="A1041" s="13" t="s">
        <v>628</v>
      </c>
      <c r="B1041" s="13" t="s">
        <v>627</v>
      </c>
      <c r="C1041" s="13" t="s">
        <v>2258</v>
      </c>
      <c r="D1041" s="13" t="s">
        <v>2270</v>
      </c>
      <c r="E1041" s="13" t="s">
        <v>2292</v>
      </c>
      <c r="F1041" s="13" t="s">
        <v>2304</v>
      </c>
      <c r="G1041" s="61" t="n">
        <v>1222582681915</v>
      </c>
      <c r="H1041" s="13" t="s">
        <v>2255</v>
      </c>
      <c r="I1041" s="13" t="s">
        <v>2294</v>
      </c>
      <c r="J1041" s="13" t="n">
        <v>7</v>
      </c>
      <c r="K1041" s="13" t="s">
        <v>2275</v>
      </c>
      <c r="L1041" s="13" t="s">
        <v>2260</v>
      </c>
      <c r="M1041" s="13"/>
    </row>
    <row r="1042" customFormat="false" ht="15" hidden="false" customHeight="false" outlineLevel="0" collapsed="false">
      <c r="A1042" s="13" t="s">
        <v>628</v>
      </c>
      <c r="B1042" s="13" t="s">
        <v>627</v>
      </c>
      <c r="C1042" s="13" t="s">
        <v>2266</v>
      </c>
      <c r="D1042" s="13" t="s">
        <v>2270</v>
      </c>
      <c r="E1042" s="13" t="s">
        <v>2292</v>
      </c>
      <c r="F1042" s="13" t="s">
        <v>2304</v>
      </c>
      <c r="G1042" s="61" t="n">
        <v>1779350874631</v>
      </c>
      <c r="H1042" s="13" t="s">
        <v>2255</v>
      </c>
      <c r="I1042" s="13" t="s">
        <v>2294</v>
      </c>
      <c r="J1042" s="13" t="s">
        <v>2295</v>
      </c>
      <c r="K1042" s="13" t="s">
        <v>2278</v>
      </c>
      <c r="L1042" s="13" t="s">
        <v>2265</v>
      </c>
      <c r="M1042" s="13"/>
    </row>
    <row r="1043" customFormat="false" ht="15" hidden="false" customHeight="false" outlineLevel="0" collapsed="false">
      <c r="A1043" s="13" t="s">
        <v>628</v>
      </c>
      <c r="B1043" s="13" t="s">
        <v>627</v>
      </c>
      <c r="C1043" s="13" t="s">
        <v>2267</v>
      </c>
      <c r="D1043" s="13" t="s">
        <v>2270</v>
      </c>
      <c r="E1043" s="13" t="s">
        <v>2292</v>
      </c>
      <c r="F1043" s="13" t="s">
        <v>2304</v>
      </c>
      <c r="G1043" s="61" t="n">
        <v>2114900993357</v>
      </c>
      <c r="H1043" s="13" t="s">
        <v>2255</v>
      </c>
      <c r="I1043" s="13" t="s">
        <v>2294</v>
      </c>
      <c r="J1043" s="13" t="s">
        <v>2295</v>
      </c>
      <c r="K1043" s="13" t="s">
        <v>2278</v>
      </c>
      <c r="L1043" s="13" t="s">
        <v>2265</v>
      </c>
      <c r="M1043" s="13"/>
    </row>
    <row r="1044" customFormat="false" ht="15" hidden="false" customHeight="false" outlineLevel="0" collapsed="false">
      <c r="A1044" s="13" t="s">
        <v>628</v>
      </c>
      <c r="B1044" s="13" t="s">
        <v>627</v>
      </c>
      <c r="C1044" s="13" t="s">
        <v>2254</v>
      </c>
      <c r="D1044" s="13" t="s">
        <v>2270</v>
      </c>
      <c r="E1044" s="13" t="s">
        <v>2296</v>
      </c>
      <c r="F1044" s="13" t="s">
        <v>2304</v>
      </c>
      <c r="G1044" s="61" t="n">
        <v>50604326041</v>
      </c>
      <c r="H1044" s="13" t="s">
        <v>2255</v>
      </c>
      <c r="I1044" s="13" t="s">
        <v>2294</v>
      </c>
      <c r="J1044" s="13" t="n">
        <v>7</v>
      </c>
      <c r="K1044" s="13" t="s">
        <v>2274</v>
      </c>
      <c r="L1044" s="13" t="s">
        <v>2257</v>
      </c>
      <c r="M1044" s="13"/>
    </row>
    <row r="1045" customFormat="false" ht="15" hidden="false" customHeight="false" outlineLevel="0" collapsed="false">
      <c r="A1045" s="13" t="s">
        <v>628</v>
      </c>
      <c r="B1045" s="13" t="s">
        <v>627</v>
      </c>
      <c r="C1045" s="13" t="s">
        <v>2258</v>
      </c>
      <c r="D1045" s="13" t="s">
        <v>2270</v>
      </c>
      <c r="E1045" s="13" t="s">
        <v>2296</v>
      </c>
      <c r="F1045" s="13" t="s">
        <v>2304</v>
      </c>
      <c r="G1045" s="61" t="n">
        <v>49960902775</v>
      </c>
      <c r="H1045" s="13" t="s">
        <v>2255</v>
      </c>
      <c r="I1045" s="13" t="s">
        <v>2294</v>
      </c>
      <c r="J1045" s="13" t="n">
        <v>7</v>
      </c>
      <c r="K1045" s="13" t="s">
        <v>2275</v>
      </c>
      <c r="L1045" s="13" t="s">
        <v>2260</v>
      </c>
      <c r="M1045" s="13"/>
    </row>
    <row r="1046" customFormat="false" ht="15" hidden="false" customHeight="false" outlineLevel="0" collapsed="false">
      <c r="A1046" s="13" t="s">
        <v>628</v>
      </c>
      <c r="B1046" s="13" t="s">
        <v>627</v>
      </c>
      <c r="C1046" s="13" t="s">
        <v>2266</v>
      </c>
      <c r="D1046" s="13" t="s">
        <v>2270</v>
      </c>
      <c r="E1046" s="13" t="s">
        <v>2296</v>
      </c>
      <c r="F1046" s="13" t="s">
        <v>2304</v>
      </c>
      <c r="G1046" s="61" t="n">
        <v>215743278220</v>
      </c>
      <c r="H1046" s="13" t="s">
        <v>2255</v>
      </c>
      <c r="I1046" s="13" t="s">
        <v>2294</v>
      </c>
      <c r="J1046" s="13" t="s">
        <v>2295</v>
      </c>
      <c r="K1046" s="13" t="s">
        <v>2278</v>
      </c>
      <c r="L1046" s="13" t="s">
        <v>2265</v>
      </c>
      <c r="M1046" s="13"/>
    </row>
    <row r="1047" customFormat="false" ht="15" hidden="false" customHeight="false" outlineLevel="0" collapsed="false">
      <c r="A1047" s="13" t="s">
        <v>628</v>
      </c>
      <c r="B1047" s="13" t="s">
        <v>627</v>
      </c>
      <c r="C1047" s="13" t="s">
        <v>2267</v>
      </c>
      <c r="D1047" s="13" t="s">
        <v>2270</v>
      </c>
      <c r="E1047" s="13" t="s">
        <v>2296</v>
      </c>
      <c r="F1047" s="13" t="s">
        <v>2304</v>
      </c>
      <c r="G1047" s="61" t="n">
        <v>250308423694</v>
      </c>
      <c r="H1047" s="13" t="s">
        <v>2255</v>
      </c>
      <c r="I1047" s="13" t="s">
        <v>2294</v>
      </c>
      <c r="J1047" s="13" t="s">
        <v>2295</v>
      </c>
      <c r="K1047" s="13" t="s">
        <v>2278</v>
      </c>
      <c r="L1047" s="13" t="s">
        <v>2265</v>
      </c>
      <c r="M1047" s="13"/>
    </row>
    <row r="1048" customFormat="false" ht="15" hidden="false" customHeight="false" outlineLevel="0" collapsed="false">
      <c r="A1048" s="13" t="s">
        <v>628</v>
      </c>
      <c r="B1048" s="13" t="s">
        <v>627</v>
      </c>
      <c r="C1048" s="13" t="s">
        <v>2254</v>
      </c>
      <c r="D1048" s="13" t="s">
        <v>2270</v>
      </c>
      <c r="E1048" s="13" t="s">
        <v>2297</v>
      </c>
      <c r="F1048" s="13" t="s">
        <v>2304</v>
      </c>
      <c r="G1048" s="61" t="n">
        <v>-185837875884</v>
      </c>
      <c r="H1048" s="13" t="s">
        <v>2255</v>
      </c>
      <c r="I1048" s="13" t="s">
        <v>2294</v>
      </c>
      <c r="J1048" s="13" t="n">
        <v>7</v>
      </c>
      <c r="K1048" s="13" t="s">
        <v>2274</v>
      </c>
      <c r="L1048" s="13" t="s">
        <v>2257</v>
      </c>
      <c r="M1048" s="13"/>
    </row>
    <row r="1049" customFormat="false" ht="15" hidden="false" customHeight="false" outlineLevel="0" collapsed="false">
      <c r="A1049" s="13" t="s">
        <v>628</v>
      </c>
      <c r="B1049" s="13" t="s">
        <v>627</v>
      </c>
      <c r="C1049" s="13" t="s">
        <v>2258</v>
      </c>
      <c r="D1049" s="13" t="s">
        <v>2270</v>
      </c>
      <c r="E1049" s="13" t="s">
        <v>2297</v>
      </c>
      <c r="F1049" s="13" t="s">
        <v>2304</v>
      </c>
      <c r="G1049" s="61" t="n">
        <v>-271687870413</v>
      </c>
      <c r="H1049" s="13" t="s">
        <v>2255</v>
      </c>
      <c r="I1049" s="13" t="s">
        <v>2294</v>
      </c>
      <c r="J1049" s="13" t="n">
        <v>7</v>
      </c>
      <c r="K1049" s="13" t="s">
        <v>2275</v>
      </c>
      <c r="L1049" s="13" t="s">
        <v>2260</v>
      </c>
      <c r="M1049" s="13"/>
    </row>
    <row r="1050" customFormat="false" ht="15" hidden="false" customHeight="false" outlineLevel="0" collapsed="false">
      <c r="A1050" s="13" t="s">
        <v>628</v>
      </c>
      <c r="B1050" s="13" t="s">
        <v>627</v>
      </c>
      <c r="C1050" s="13" t="s">
        <v>2266</v>
      </c>
      <c r="D1050" s="13" t="s">
        <v>2270</v>
      </c>
      <c r="E1050" s="13" t="s">
        <v>2297</v>
      </c>
      <c r="F1050" s="13" t="s">
        <v>2304</v>
      </c>
      <c r="G1050" s="61" t="n">
        <v>-696468933824</v>
      </c>
      <c r="H1050" s="13" t="s">
        <v>2255</v>
      </c>
      <c r="I1050" s="13" t="s">
        <v>2294</v>
      </c>
      <c r="J1050" s="13" t="s">
        <v>2295</v>
      </c>
      <c r="K1050" s="13" t="s">
        <v>2278</v>
      </c>
      <c r="L1050" s="13" t="s">
        <v>2265</v>
      </c>
      <c r="M1050" s="13"/>
    </row>
    <row r="1051" customFormat="false" ht="15" hidden="false" customHeight="false" outlineLevel="0" collapsed="false">
      <c r="A1051" s="13" t="s">
        <v>628</v>
      </c>
      <c r="B1051" s="13" t="s">
        <v>627</v>
      </c>
      <c r="C1051" s="13" t="s">
        <v>2267</v>
      </c>
      <c r="D1051" s="13" t="s">
        <v>2270</v>
      </c>
      <c r="E1051" s="13" t="s">
        <v>2297</v>
      </c>
      <c r="F1051" s="13" t="s">
        <v>2304</v>
      </c>
      <c r="G1051" s="61" t="n">
        <v>-743286998420</v>
      </c>
      <c r="H1051" s="13" t="s">
        <v>2255</v>
      </c>
      <c r="I1051" s="13" t="s">
        <v>2294</v>
      </c>
      <c r="J1051" s="13" t="s">
        <v>2295</v>
      </c>
      <c r="K1051" s="13" t="s">
        <v>2278</v>
      </c>
      <c r="L1051" s="13" t="s">
        <v>2265</v>
      </c>
      <c r="M1051" s="13"/>
    </row>
    <row r="1052" customFormat="false" ht="15" hidden="false" customHeight="false" outlineLevel="0" collapsed="false">
      <c r="A1052" s="13" t="s">
        <v>628</v>
      </c>
      <c r="B1052" s="13" t="s">
        <v>627</v>
      </c>
      <c r="C1052" s="13" t="s">
        <v>2254</v>
      </c>
      <c r="D1052" s="13" t="s">
        <v>2270</v>
      </c>
      <c r="E1052" s="13" t="s">
        <v>2298</v>
      </c>
      <c r="F1052" s="13" t="s">
        <v>2304</v>
      </c>
      <c r="G1052" s="61" t="n">
        <v>1112837448853</v>
      </c>
      <c r="H1052" s="13" t="s">
        <v>2255</v>
      </c>
      <c r="I1052" s="13" t="s">
        <v>2294</v>
      </c>
      <c r="J1052" s="13" t="n">
        <v>7</v>
      </c>
      <c r="K1052" s="13" t="s">
        <v>2274</v>
      </c>
      <c r="L1052" s="13" t="s">
        <v>2257</v>
      </c>
      <c r="M1052" s="13"/>
    </row>
    <row r="1053" customFormat="false" ht="15" hidden="false" customHeight="false" outlineLevel="0" collapsed="false">
      <c r="A1053" s="13" t="s">
        <v>628</v>
      </c>
      <c r="B1053" s="13" t="s">
        <v>627</v>
      </c>
      <c r="C1053" s="13" t="s">
        <v>2258</v>
      </c>
      <c r="D1053" s="13" t="s">
        <v>2270</v>
      </c>
      <c r="E1053" s="13" t="s">
        <v>2298</v>
      </c>
      <c r="F1053" s="13" t="s">
        <v>2304</v>
      </c>
      <c r="G1053" s="61" t="n">
        <v>1000855714277</v>
      </c>
      <c r="H1053" s="13" t="s">
        <v>2255</v>
      </c>
      <c r="I1053" s="13" t="s">
        <v>2294</v>
      </c>
      <c r="J1053" s="13" t="n">
        <v>7</v>
      </c>
      <c r="K1053" s="13" t="s">
        <v>2275</v>
      </c>
      <c r="L1053" s="13" t="s">
        <v>2260</v>
      </c>
      <c r="M1053" s="13"/>
    </row>
    <row r="1054" customFormat="false" ht="15" hidden="false" customHeight="false" outlineLevel="0" collapsed="false">
      <c r="A1054" s="13" t="s">
        <v>628</v>
      </c>
      <c r="B1054" s="13" t="s">
        <v>627</v>
      </c>
      <c r="C1054" s="13" t="s">
        <v>2266</v>
      </c>
      <c r="D1054" s="13" t="s">
        <v>2270</v>
      </c>
      <c r="E1054" s="13" t="s">
        <v>2298</v>
      </c>
      <c r="F1054" s="13" t="s">
        <v>2304</v>
      </c>
      <c r="G1054" s="61" t="n">
        <v>1298625219027</v>
      </c>
      <c r="H1054" s="13" t="s">
        <v>2255</v>
      </c>
      <c r="I1054" s="13" t="s">
        <v>2294</v>
      </c>
      <c r="J1054" s="13" t="s">
        <v>2295</v>
      </c>
      <c r="K1054" s="13" t="s">
        <v>2278</v>
      </c>
      <c r="L1054" s="13" t="s">
        <v>2265</v>
      </c>
      <c r="M1054" s="13"/>
    </row>
    <row r="1055" customFormat="false" ht="15" hidden="false" customHeight="false" outlineLevel="0" collapsed="false">
      <c r="A1055" s="13" t="s">
        <v>628</v>
      </c>
      <c r="B1055" s="13" t="s">
        <v>627</v>
      </c>
      <c r="C1055" s="13" t="s">
        <v>2267</v>
      </c>
      <c r="D1055" s="13" t="s">
        <v>2270</v>
      </c>
      <c r="E1055" s="13" t="s">
        <v>2298</v>
      </c>
      <c r="F1055" s="13" t="s">
        <v>2304</v>
      </c>
      <c r="G1055" s="61" t="n">
        <v>1621922418631</v>
      </c>
      <c r="H1055" s="13" t="s">
        <v>2255</v>
      </c>
      <c r="I1055" s="13" t="s">
        <v>2294</v>
      </c>
      <c r="J1055" s="13" t="s">
        <v>2295</v>
      </c>
      <c r="K1055" s="13" t="s">
        <v>2278</v>
      </c>
      <c r="L1055" s="13" t="s">
        <v>2265</v>
      </c>
      <c r="M1055" s="13"/>
    </row>
    <row r="1056" customFormat="false" ht="15" hidden="false" customHeight="false" outlineLevel="0" collapsed="false">
      <c r="A1056" s="13" t="s">
        <v>628</v>
      </c>
      <c r="B1056" s="13" t="s">
        <v>627</v>
      </c>
      <c r="C1056" s="13" t="s">
        <v>2254</v>
      </c>
      <c r="D1056" s="13" t="s">
        <v>2270</v>
      </c>
      <c r="E1056" s="13" t="s">
        <v>2292</v>
      </c>
      <c r="F1056" s="13" t="s">
        <v>2305</v>
      </c>
      <c r="G1056" s="61" t="n">
        <v>79203422006</v>
      </c>
      <c r="H1056" s="13" t="s">
        <v>2255</v>
      </c>
      <c r="I1056" s="13" t="s">
        <v>2294</v>
      </c>
      <c r="J1056" s="13" t="n">
        <v>7</v>
      </c>
      <c r="K1056" s="13" t="s">
        <v>2274</v>
      </c>
      <c r="L1056" s="13" t="s">
        <v>2257</v>
      </c>
      <c r="M1056" s="13"/>
    </row>
    <row r="1057" customFormat="false" ht="15" hidden="false" customHeight="false" outlineLevel="0" collapsed="false">
      <c r="A1057" s="13" t="s">
        <v>628</v>
      </c>
      <c r="B1057" s="13" t="s">
        <v>627</v>
      </c>
      <c r="C1057" s="13" t="s">
        <v>2258</v>
      </c>
      <c r="D1057" s="13" t="s">
        <v>2270</v>
      </c>
      <c r="E1057" s="13" t="s">
        <v>2292</v>
      </c>
      <c r="F1057" s="13" t="s">
        <v>2305</v>
      </c>
      <c r="G1057" s="61" t="n">
        <v>221522249320</v>
      </c>
      <c r="H1057" s="13" t="s">
        <v>2255</v>
      </c>
      <c r="I1057" s="13" t="s">
        <v>2294</v>
      </c>
      <c r="J1057" s="13" t="n">
        <v>7</v>
      </c>
      <c r="K1057" s="13" t="s">
        <v>2275</v>
      </c>
      <c r="L1057" s="13" t="s">
        <v>2260</v>
      </c>
      <c r="M1057" s="13"/>
    </row>
    <row r="1058" customFormat="false" ht="15" hidden="false" customHeight="false" outlineLevel="0" collapsed="false">
      <c r="A1058" s="13" t="s">
        <v>628</v>
      </c>
      <c r="B1058" s="13" t="s">
        <v>627</v>
      </c>
      <c r="C1058" s="13" t="s">
        <v>2266</v>
      </c>
      <c r="D1058" s="13" t="s">
        <v>2270</v>
      </c>
      <c r="E1058" s="13" t="s">
        <v>2292</v>
      </c>
      <c r="F1058" s="13" t="s">
        <v>2305</v>
      </c>
      <c r="G1058" s="61" t="n">
        <v>163357162218</v>
      </c>
      <c r="H1058" s="13" t="s">
        <v>2255</v>
      </c>
      <c r="I1058" s="13" t="s">
        <v>2294</v>
      </c>
      <c r="J1058" s="13" t="s">
        <v>2295</v>
      </c>
      <c r="K1058" s="13" t="s">
        <v>2278</v>
      </c>
      <c r="L1058" s="13" t="s">
        <v>2265</v>
      </c>
      <c r="M1058" s="13"/>
    </row>
    <row r="1059" customFormat="false" ht="15" hidden="false" customHeight="false" outlineLevel="0" collapsed="false">
      <c r="A1059" s="13" t="s">
        <v>628</v>
      </c>
      <c r="B1059" s="13" t="s">
        <v>627</v>
      </c>
      <c r="C1059" s="13" t="s">
        <v>2267</v>
      </c>
      <c r="D1059" s="13" t="s">
        <v>2270</v>
      </c>
      <c r="E1059" s="13" t="s">
        <v>2292</v>
      </c>
      <c r="F1059" s="13" t="s">
        <v>2305</v>
      </c>
      <c r="G1059" s="61" t="n">
        <v>294221671641</v>
      </c>
      <c r="H1059" s="13" t="s">
        <v>2255</v>
      </c>
      <c r="I1059" s="13" t="s">
        <v>2294</v>
      </c>
      <c r="J1059" s="13" t="s">
        <v>2295</v>
      </c>
      <c r="K1059" s="13" t="s">
        <v>2278</v>
      </c>
      <c r="L1059" s="13" t="s">
        <v>2265</v>
      </c>
      <c r="M1059" s="13"/>
    </row>
    <row r="1060" customFormat="false" ht="15" hidden="false" customHeight="false" outlineLevel="0" collapsed="false">
      <c r="A1060" s="13" t="s">
        <v>628</v>
      </c>
      <c r="B1060" s="13" t="s">
        <v>627</v>
      </c>
      <c r="C1060" s="13" t="s">
        <v>2254</v>
      </c>
      <c r="D1060" s="13" t="s">
        <v>2270</v>
      </c>
      <c r="E1060" s="13" t="s">
        <v>2296</v>
      </c>
      <c r="F1060" s="13" t="s">
        <v>2305</v>
      </c>
      <c r="G1060" s="61" t="n">
        <v>5681537887</v>
      </c>
      <c r="H1060" s="13" t="s">
        <v>2255</v>
      </c>
      <c r="I1060" s="13" t="s">
        <v>2294</v>
      </c>
      <c r="J1060" s="13" t="n">
        <v>7</v>
      </c>
      <c r="K1060" s="13" t="s">
        <v>2274</v>
      </c>
      <c r="L1060" s="13" t="s">
        <v>2257</v>
      </c>
      <c r="M1060" s="13"/>
    </row>
    <row r="1061" customFormat="false" ht="15" hidden="false" customHeight="false" outlineLevel="0" collapsed="false">
      <c r="A1061" s="13" t="s">
        <v>628</v>
      </c>
      <c r="B1061" s="13" t="s">
        <v>627</v>
      </c>
      <c r="C1061" s="13" t="s">
        <v>2258</v>
      </c>
      <c r="D1061" s="13" t="s">
        <v>2270</v>
      </c>
      <c r="E1061" s="13" t="s">
        <v>2296</v>
      </c>
      <c r="F1061" s="13" t="s">
        <v>2305</v>
      </c>
      <c r="G1061" s="61" t="n">
        <v>6557225899</v>
      </c>
      <c r="H1061" s="13" t="s">
        <v>2255</v>
      </c>
      <c r="I1061" s="13" t="s">
        <v>2294</v>
      </c>
      <c r="J1061" s="13" t="n">
        <v>7</v>
      </c>
      <c r="K1061" s="13" t="s">
        <v>2275</v>
      </c>
      <c r="L1061" s="13" t="s">
        <v>2260</v>
      </c>
      <c r="M1061" s="13"/>
    </row>
    <row r="1062" customFormat="false" ht="15" hidden="false" customHeight="false" outlineLevel="0" collapsed="false">
      <c r="A1062" s="13" t="s">
        <v>628</v>
      </c>
      <c r="B1062" s="13" t="s">
        <v>627</v>
      </c>
      <c r="C1062" s="13" t="s">
        <v>2266</v>
      </c>
      <c r="D1062" s="13" t="s">
        <v>2270</v>
      </c>
      <c r="E1062" s="13" t="s">
        <v>2296</v>
      </c>
      <c r="F1062" s="13" t="s">
        <v>2305</v>
      </c>
      <c r="G1062" s="61" t="n">
        <v>4531102590</v>
      </c>
      <c r="H1062" s="13" t="s">
        <v>2255</v>
      </c>
      <c r="I1062" s="13" t="s">
        <v>2294</v>
      </c>
      <c r="J1062" s="13" t="s">
        <v>2295</v>
      </c>
      <c r="K1062" s="13" t="s">
        <v>2278</v>
      </c>
      <c r="L1062" s="13" t="s">
        <v>2265</v>
      </c>
      <c r="M1062" s="13"/>
    </row>
    <row r="1063" customFormat="false" ht="15" hidden="false" customHeight="false" outlineLevel="0" collapsed="false">
      <c r="A1063" s="13" t="s">
        <v>628</v>
      </c>
      <c r="B1063" s="13" t="s">
        <v>627</v>
      </c>
      <c r="C1063" s="13" t="s">
        <v>2267</v>
      </c>
      <c r="D1063" s="13" t="s">
        <v>2270</v>
      </c>
      <c r="E1063" s="13" t="s">
        <v>2296</v>
      </c>
      <c r="F1063" s="13" t="s">
        <v>2305</v>
      </c>
      <c r="G1063" s="61" t="n">
        <v>84705439</v>
      </c>
      <c r="H1063" s="13" t="s">
        <v>2255</v>
      </c>
      <c r="I1063" s="13" t="s">
        <v>2294</v>
      </c>
      <c r="J1063" s="13" t="s">
        <v>2295</v>
      </c>
      <c r="K1063" s="13" t="s">
        <v>2278</v>
      </c>
      <c r="L1063" s="13" t="s">
        <v>2265</v>
      </c>
      <c r="M1063" s="13"/>
    </row>
    <row r="1064" customFormat="false" ht="15" hidden="false" customHeight="false" outlineLevel="0" collapsed="false">
      <c r="A1064" s="13" t="s">
        <v>628</v>
      </c>
      <c r="B1064" s="13" t="s">
        <v>627</v>
      </c>
      <c r="C1064" s="13" t="s">
        <v>2254</v>
      </c>
      <c r="D1064" s="13" t="s">
        <v>2270</v>
      </c>
      <c r="E1064" s="13" t="s">
        <v>2297</v>
      </c>
      <c r="F1064" s="13" t="s">
        <v>2305</v>
      </c>
      <c r="G1064" s="61" t="n">
        <v>0</v>
      </c>
      <c r="H1064" s="13" t="s">
        <v>2255</v>
      </c>
      <c r="I1064" s="13" t="s">
        <v>2294</v>
      </c>
      <c r="J1064" s="13" t="n">
        <v>7</v>
      </c>
      <c r="K1064" s="13" t="s">
        <v>2274</v>
      </c>
      <c r="L1064" s="13" t="s">
        <v>2257</v>
      </c>
      <c r="M1064" s="13"/>
    </row>
    <row r="1065" customFormat="false" ht="15" hidden="false" customHeight="false" outlineLevel="0" collapsed="false">
      <c r="A1065" s="13" t="s">
        <v>628</v>
      </c>
      <c r="B1065" s="13" t="s">
        <v>627</v>
      </c>
      <c r="C1065" s="13" t="s">
        <v>2258</v>
      </c>
      <c r="D1065" s="13" t="s">
        <v>2270</v>
      </c>
      <c r="E1065" s="13" t="s">
        <v>2297</v>
      </c>
      <c r="F1065" s="13" t="s">
        <v>2305</v>
      </c>
      <c r="G1065" s="61" t="n">
        <v>0</v>
      </c>
      <c r="H1065" s="13" t="s">
        <v>2255</v>
      </c>
      <c r="I1065" s="13" t="s">
        <v>2294</v>
      </c>
      <c r="J1065" s="13" t="n">
        <v>7</v>
      </c>
      <c r="K1065" s="13" t="s">
        <v>2275</v>
      </c>
      <c r="L1065" s="13" t="s">
        <v>2260</v>
      </c>
      <c r="M1065" s="13"/>
    </row>
    <row r="1066" customFormat="false" ht="15" hidden="false" customHeight="false" outlineLevel="0" collapsed="false">
      <c r="A1066" s="13" t="s">
        <v>628</v>
      </c>
      <c r="B1066" s="13" t="s">
        <v>627</v>
      </c>
      <c r="C1066" s="13" t="s">
        <v>2266</v>
      </c>
      <c r="D1066" s="13" t="s">
        <v>2270</v>
      </c>
      <c r="E1066" s="13" t="s">
        <v>2297</v>
      </c>
      <c r="F1066" s="13" t="s">
        <v>2305</v>
      </c>
      <c r="G1066" s="61" t="n">
        <v>0</v>
      </c>
      <c r="H1066" s="13" t="s">
        <v>2255</v>
      </c>
      <c r="I1066" s="13" t="s">
        <v>2294</v>
      </c>
      <c r="J1066" s="13" t="s">
        <v>2295</v>
      </c>
      <c r="K1066" s="13" t="s">
        <v>2278</v>
      </c>
      <c r="L1066" s="13" t="s">
        <v>2265</v>
      </c>
      <c r="M1066" s="13"/>
    </row>
    <row r="1067" customFormat="false" ht="15" hidden="false" customHeight="false" outlineLevel="0" collapsed="false">
      <c r="A1067" s="13" t="s">
        <v>628</v>
      </c>
      <c r="B1067" s="13" t="s">
        <v>627</v>
      </c>
      <c r="C1067" s="13" t="s">
        <v>2267</v>
      </c>
      <c r="D1067" s="13" t="s">
        <v>2270</v>
      </c>
      <c r="E1067" s="13" t="s">
        <v>2297</v>
      </c>
      <c r="F1067" s="13" t="s">
        <v>2305</v>
      </c>
      <c r="G1067" s="61" t="n">
        <v>0</v>
      </c>
      <c r="H1067" s="13" t="s">
        <v>2255</v>
      </c>
      <c r="I1067" s="13" t="s">
        <v>2294</v>
      </c>
      <c r="J1067" s="13" t="s">
        <v>2295</v>
      </c>
      <c r="K1067" s="13" t="s">
        <v>2278</v>
      </c>
      <c r="L1067" s="13" t="s">
        <v>2265</v>
      </c>
      <c r="M1067" s="13"/>
    </row>
    <row r="1068" customFormat="false" ht="15" hidden="false" customHeight="false" outlineLevel="0" collapsed="false">
      <c r="A1068" s="13" t="s">
        <v>628</v>
      </c>
      <c r="B1068" s="13" t="s">
        <v>627</v>
      </c>
      <c r="C1068" s="13" t="s">
        <v>2254</v>
      </c>
      <c r="D1068" s="13" t="s">
        <v>2270</v>
      </c>
      <c r="E1068" s="13" t="s">
        <v>2298</v>
      </c>
      <c r="F1068" s="13" t="s">
        <v>2305</v>
      </c>
      <c r="G1068" s="61" t="n">
        <v>84884959893</v>
      </c>
      <c r="H1068" s="13" t="s">
        <v>2255</v>
      </c>
      <c r="I1068" s="13" t="s">
        <v>2294</v>
      </c>
      <c r="J1068" s="13" t="n">
        <v>7</v>
      </c>
      <c r="K1068" s="13" t="s">
        <v>2274</v>
      </c>
      <c r="L1068" s="13" t="s">
        <v>2257</v>
      </c>
      <c r="M1068" s="13"/>
    </row>
    <row r="1069" customFormat="false" ht="15" hidden="false" customHeight="false" outlineLevel="0" collapsed="false">
      <c r="A1069" s="13" t="s">
        <v>628</v>
      </c>
      <c r="B1069" s="13" t="s">
        <v>627</v>
      </c>
      <c r="C1069" s="13" t="s">
        <v>2258</v>
      </c>
      <c r="D1069" s="13" t="s">
        <v>2270</v>
      </c>
      <c r="E1069" s="13" t="s">
        <v>2298</v>
      </c>
      <c r="F1069" s="13" t="s">
        <v>2305</v>
      </c>
      <c r="G1069" s="61" t="n">
        <v>228079475219</v>
      </c>
      <c r="H1069" s="13" t="s">
        <v>2255</v>
      </c>
      <c r="I1069" s="13" t="s">
        <v>2294</v>
      </c>
      <c r="J1069" s="13" t="n">
        <v>7</v>
      </c>
      <c r="K1069" s="13" t="s">
        <v>2275</v>
      </c>
      <c r="L1069" s="13" t="s">
        <v>2260</v>
      </c>
      <c r="M1069" s="13"/>
    </row>
    <row r="1070" customFormat="false" ht="15" hidden="false" customHeight="false" outlineLevel="0" collapsed="false">
      <c r="A1070" s="13" t="s">
        <v>628</v>
      </c>
      <c r="B1070" s="13" t="s">
        <v>627</v>
      </c>
      <c r="C1070" s="13" t="s">
        <v>2266</v>
      </c>
      <c r="D1070" s="13" t="s">
        <v>2270</v>
      </c>
      <c r="E1070" s="13" t="s">
        <v>2298</v>
      </c>
      <c r="F1070" s="13" t="s">
        <v>2305</v>
      </c>
      <c r="G1070" s="61" t="n">
        <v>167888264808</v>
      </c>
      <c r="H1070" s="13" t="s">
        <v>2255</v>
      </c>
      <c r="I1070" s="13" t="s">
        <v>2294</v>
      </c>
      <c r="J1070" s="13" t="s">
        <v>2295</v>
      </c>
      <c r="K1070" s="13" t="s">
        <v>2278</v>
      </c>
      <c r="L1070" s="13" t="s">
        <v>2265</v>
      </c>
      <c r="M1070" s="13"/>
    </row>
    <row r="1071" customFormat="false" ht="15" hidden="false" customHeight="false" outlineLevel="0" collapsed="false">
      <c r="A1071" s="13" t="s">
        <v>628</v>
      </c>
      <c r="B1071" s="13" t="s">
        <v>627</v>
      </c>
      <c r="C1071" s="13" t="s">
        <v>2267</v>
      </c>
      <c r="D1071" s="13" t="s">
        <v>2270</v>
      </c>
      <c r="E1071" s="13" t="s">
        <v>2298</v>
      </c>
      <c r="F1071" s="13" t="s">
        <v>2305</v>
      </c>
      <c r="G1071" s="61" t="n">
        <v>294306377080</v>
      </c>
      <c r="H1071" s="13" t="s">
        <v>2255</v>
      </c>
      <c r="I1071" s="13" t="s">
        <v>2294</v>
      </c>
      <c r="J1071" s="13" t="s">
        <v>2295</v>
      </c>
      <c r="K1071" s="13" t="s">
        <v>2278</v>
      </c>
      <c r="L1071" s="13" t="s">
        <v>2265</v>
      </c>
      <c r="M1071" s="13"/>
    </row>
    <row r="1072" customFormat="false" ht="15" hidden="false" customHeight="false" outlineLevel="0" collapsed="false">
      <c r="A1072" s="13" t="s">
        <v>628</v>
      </c>
      <c r="B1072" s="13" t="s">
        <v>627</v>
      </c>
      <c r="C1072" s="13" t="s">
        <v>2254</v>
      </c>
      <c r="D1072" s="13" t="s">
        <v>2270</v>
      </c>
      <c r="E1072" s="13" t="s">
        <v>2292</v>
      </c>
      <c r="F1072" s="13" t="s">
        <v>368</v>
      </c>
      <c r="G1072" s="61" t="n">
        <v>53852154725</v>
      </c>
      <c r="H1072" s="13" t="s">
        <v>2255</v>
      </c>
      <c r="I1072" s="13" t="s">
        <v>2294</v>
      </c>
      <c r="J1072" s="13" t="n">
        <v>7</v>
      </c>
      <c r="K1072" s="13" t="s">
        <v>2274</v>
      </c>
      <c r="L1072" s="13" t="s">
        <v>2257</v>
      </c>
      <c r="M1072" s="13"/>
    </row>
    <row r="1073" customFormat="false" ht="15" hidden="false" customHeight="false" outlineLevel="0" collapsed="false">
      <c r="A1073" s="13" t="s">
        <v>628</v>
      </c>
      <c r="B1073" s="13" t="s">
        <v>627</v>
      </c>
      <c r="C1073" s="13" t="s">
        <v>2258</v>
      </c>
      <c r="D1073" s="13" t="s">
        <v>2270</v>
      </c>
      <c r="E1073" s="13" t="s">
        <v>2292</v>
      </c>
      <c r="F1073" s="13" t="s">
        <v>368</v>
      </c>
      <c r="G1073" s="61" t="n">
        <v>54060878438</v>
      </c>
      <c r="H1073" s="13" t="s">
        <v>2255</v>
      </c>
      <c r="I1073" s="13" t="s">
        <v>2294</v>
      </c>
      <c r="J1073" s="13" t="n">
        <v>7</v>
      </c>
      <c r="K1073" s="13" t="s">
        <v>2275</v>
      </c>
      <c r="L1073" s="13" t="s">
        <v>2260</v>
      </c>
      <c r="M1073" s="13"/>
    </row>
    <row r="1074" customFormat="false" ht="15" hidden="false" customHeight="false" outlineLevel="0" collapsed="false">
      <c r="A1074" s="13" t="s">
        <v>628</v>
      </c>
      <c r="B1074" s="13" t="s">
        <v>627</v>
      </c>
      <c r="C1074" s="13" t="s">
        <v>2266</v>
      </c>
      <c r="D1074" s="13" t="s">
        <v>2270</v>
      </c>
      <c r="E1074" s="13" t="s">
        <v>2292</v>
      </c>
      <c r="F1074" s="13" t="s">
        <v>368</v>
      </c>
      <c r="G1074" s="61" t="n">
        <v>95177492806</v>
      </c>
      <c r="H1074" s="13" t="s">
        <v>2255</v>
      </c>
      <c r="I1074" s="13" t="s">
        <v>2294</v>
      </c>
      <c r="J1074" s="13" t="s">
        <v>2295</v>
      </c>
      <c r="K1074" s="13" t="s">
        <v>2278</v>
      </c>
      <c r="L1074" s="13" t="s">
        <v>2265</v>
      </c>
      <c r="M1074" s="13"/>
    </row>
    <row r="1075" customFormat="false" ht="15" hidden="false" customHeight="false" outlineLevel="0" collapsed="false">
      <c r="A1075" s="13" t="s">
        <v>628</v>
      </c>
      <c r="B1075" s="13" t="s">
        <v>627</v>
      </c>
      <c r="C1075" s="13" t="s">
        <v>2267</v>
      </c>
      <c r="D1075" s="13" t="s">
        <v>2270</v>
      </c>
      <c r="E1075" s="13" t="s">
        <v>2292</v>
      </c>
      <c r="F1075" s="13" t="s">
        <v>368</v>
      </c>
      <c r="G1075" s="61" t="n">
        <v>72398811838</v>
      </c>
      <c r="H1075" s="13" t="s">
        <v>2255</v>
      </c>
      <c r="I1075" s="13" t="s">
        <v>2294</v>
      </c>
      <c r="J1075" s="13" t="s">
        <v>2295</v>
      </c>
      <c r="K1075" s="13" t="s">
        <v>2278</v>
      </c>
      <c r="L1075" s="13" t="s">
        <v>2265</v>
      </c>
      <c r="M1075" s="13"/>
    </row>
    <row r="1076" customFormat="false" ht="15" hidden="false" customHeight="false" outlineLevel="0" collapsed="false">
      <c r="A1076" s="13" t="s">
        <v>628</v>
      </c>
      <c r="B1076" s="13" t="s">
        <v>627</v>
      </c>
      <c r="C1076" s="13" t="s">
        <v>2254</v>
      </c>
      <c r="D1076" s="13" t="s">
        <v>2270</v>
      </c>
      <c r="E1076" s="13" t="s">
        <v>2296</v>
      </c>
      <c r="F1076" s="13" t="s">
        <v>368</v>
      </c>
      <c r="G1076" s="61" t="n">
        <v>1743910496</v>
      </c>
      <c r="H1076" s="13" t="s">
        <v>2255</v>
      </c>
      <c r="I1076" s="13" t="s">
        <v>2294</v>
      </c>
      <c r="J1076" s="13" t="n">
        <v>7</v>
      </c>
      <c r="K1076" s="13" t="s">
        <v>2274</v>
      </c>
      <c r="L1076" s="13" t="s">
        <v>2257</v>
      </c>
      <c r="M1076" s="13"/>
    </row>
    <row r="1077" customFormat="false" ht="15" hidden="false" customHeight="false" outlineLevel="0" collapsed="false">
      <c r="A1077" s="13" t="s">
        <v>628</v>
      </c>
      <c r="B1077" s="13" t="s">
        <v>627</v>
      </c>
      <c r="C1077" s="13" t="s">
        <v>2258</v>
      </c>
      <c r="D1077" s="13" t="s">
        <v>2270</v>
      </c>
      <c r="E1077" s="13" t="s">
        <v>2296</v>
      </c>
      <c r="F1077" s="13" t="s">
        <v>368</v>
      </c>
      <c r="G1077" s="61" t="n">
        <v>3728025421</v>
      </c>
      <c r="H1077" s="13" t="s">
        <v>2255</v>
      </c>
      <c r="I1077" s="13" t="s">
        <v>2294</v>
      </c>
      <c r="J1077" s="13" t="n">
        <v>7</v>
      </c>
      <c r="K1077" s="13" t="s">
        <v>2275</v>
      </c>
      <c r="L1077" s="13" t="s">
        <v>2260</v>
      </c>
      <c r="M1077" s="13"/>
    </row>
    <row r="1078" customFormat="false" ht="15" hidden="false" customHeight="false" outlineLevel="0" collapsed="false">
      <c r="A1078" s="13" t="s">
        <v>628</v>
      </c>
      <c r="B1078" s="13" t="s">
        <v>627</v>
      </c>
      <c r="C1078" s="13" t="s">
        <v>2266</v>
      </c>
      <c r="D1078" s="13" t="s">
        <v>2270</v>
      </c>
      <c r="E1078" s="13" t="s">
        <v>2296</v>
      </c>
      <c r="F1078" s="13" t="s">
        <v>368</v>
      </c>
      <c r="G1078" s="61" t="n">
        <v>6032997404</v>
      </c>
      <c r="H1078" s="13" t="s">
        <v>2255</v>
      </c>
      <c r="I1078" s="13" t="s">
        <v>2294</v>
      </c>
      <c r="J1078" s="13" t="s">
        <v>2295</v>
      </c>
      <c r="K1078" s="13" t="s">
        <v>2278</v>
      </c>
      <c r="L1078" s="13" t="s">
        <v>2265</v>
      </c>
      <c r="M1078" s="13"/>
    </row>
    <row r="1079" customFormat="false" ht="15" hidden="false" customHeight="false" outlineLevel="0" collapsed="false">
      <c r="A1079" s="13" t="s">
        <v>628</v>
      </c>
      <c r="B1079" s="13" t="s">
        <v>627</v>
      </c>
      <c r="C1079" s="13" t="s">
        <v>2267</v>
      </c>
      <c r="D1079" s="13" t="s">
        <v>2270</v>
      </c>
      <c r="E1079" s="13" t="s">
        <v>2296</v>
      </c>
      <c r="F1079" s="13" t="s">
        <v>368</v>
      </c>
      <c r="G1079" s="61" t="n">
        <v>6919818160</v>
      </c>
      <c r="H1079" s="13" t="s">
        <v>2255</v>
      </c>
      <c r="I1079" s="13" t="s">
        <v>2294</v>
      </c>
      <c r="J1079" s="13" t="s">
        <v>2295</v>
      </c>
      <c r="K1079" s="13" t="s">
        <v>2278</v>
      </c>
      <c r="L1079" s="13" t="s">
        <v>2265</v>
      </c>
      <c r="M1079" s="13"/>
    </row>
    <row r="1080" customFormat="false" ht="15" hidden="false" customHeight="false" outlineLevel="0" collapsed="false">
      <c r="A1080" s="13" t="s">
        <v>628</v>
      </c>
      <c r="B1080" s="13" t="s">
        <v>627</v>
      </c>
      <c r="C1080" s="13" t="s">
        <v>2254</v>
      </c>
      <c r="D1080" s="13" t="s">
        <v>2270</v>
      </c>
      <c r="E1080" s="13" t="s">
        <v>2297</v>
      </c>
      <c r="F1080" s="13" t="s">
        <v>368</v>
      </c>
      <c r="G1080" s="61" t="n">
        <v>0</v>
      </c>
      <c r="H1080" s="13" t="s">
        <v>2255</v>
      </c>
      <c r="I1080" s="13" t="s">
        <v>2294</v>
      </c>
      <c r="J1080" s="13" t="n">
        <v>7</v>
      </c>
      <c r="K1080" s="13" t="s">
        <v>2274</v>
      </c>
      <c r="L1080" s="13" t="s">
        <v>2257</v>
      </c>
      <c r="M1080" s="13"/>
    </row>
    <row r="1081" customFormat="false" ht="15" hidden="false" customHeight="false" outlineLevel="0" collapsed="false">
      <c r="A1081" s="13" t="s">
        <v>628</v>
      </c>
      <c r="B1081" s="13" t="s">
        <v>627</v>
      </c>
      <c r="C1081" s="13" t="s">
        <v>2258</v>
      </c>
      <c r="D1081" s="13" t="s">
        <v>2270</v>
      </c>
      <c r="E1081" s="13" t="s">
        <v>2297</v>
      </c>
      <c r="F1081" s="13" t="s">
        <v>368</v>
      </c>
      <c r="G1081" s="61" t="n">
        <v>0</v>
      </c>
      <c r="H1081" s="13" t="s">
        <v>2255</v>
      </c>
      <c r="I1081" s="13" t="s">
        <v>2294</v>
      </c>
      <c r="J1081" s="13" t="n">
        <v>7</v>
      </c>
      <c r="K1081" s="13" t="s">
        <v>2275</v>
      </c>
      <c r="L1081" s="13" t="s">
        <v>2260</v>
      </c>
      <c r="M1081" s="13"/>
    </row>
    <row r="1082" customFormat="false" ht="15" hidden="false" customHeight="false" outlineLevel="0" collapsed="false">
      <c r="A1082" s="13" t="s">
        <v>628</v>
      </c>
      <c r="B1082" s="13" t="s">
        <v>627</v>
      </c>
      <c r="C1082" s="13" t="s">
        <v>2266</v>
      </c>
      <c r="D1082" s="13" t="s">
        <v>2270</v>
      </c>
      <c r="E1082" s="13" t="s">
        <v>2297</v>
      </c>
      <c r="F1082" s="13" t="s">
        <v>368</v>
      </c>
      <c r="G1082" s="61" t="n">
        <v>-6125258648</v>
      </c>
      <c r="H1082" s="13" t="s">
        <v>2255</v>
      </c>
      <c r="I1082" s="13" t="s">
        <v>2294</v>
      </c>
      <c r="J1082" s="13" t="s">
        <v>2295</v>
      </c>
      <c r="K1082" s="13" t="s">
        <v>2278</v>
      </c>
      <c r="L1082" s="13" t="s">
        <v>2265</v>
      </c>
      <c r="M1082" s="13"/>
    </row>
    <row r="1083" customFormat="false" ht="15" hidden="false" customHeight="false" outlineLevel="0" collapsed="false">
      <c r="A1083" s="13" t="s">
        <v>628</v>
      </c>
      <c r="B1083" s="13" t="s">
        <v>627</v>
      </c>
      <c r="C1083" s="13" t="s">
        <v>2267</v>
      </c>
      <c r="D1083" s="13" t="s">
        <v>2270</v>
      </c>
      <c r="E1083" s="13" t="s">
        <v>2297</v>
      </c>
      <c r="F1083" s="13" t="s">
        <v>368</v>
      </c>
      <c r="G1083" s="61" t="n">
        <v>0</v>
      </c>
      <c r="H1083" s="13" t="s">
        <v>2255</v>
      </c>
      <c r="I1083" s="13" t="s">
        <v>2294</v>
      </c>
      <c r="J1083" s="13" t="s">
        <v>2295</v>
      </c>
      <c r="K1083" s="13" t="s">
        <v>2278</v>
      </c>
      <c r="L1083" s="13" t="s">
        <v>2265</v>
      </c>
      <c r="M1083" s="13"/>
    </row>
    <row r="1084" customFormat="false" ht="15" hidden="false" customHeight="false" outlineLevel="0" collapsed="false">
      <c r="A1084" s="13" t="s">
        <v>628</v>
      </c>
      <c r="B1084" s="13" t="s">
        <v>627</v>
      </c>
      <c r="C1084" s="13" t="s">
        <v>2254</v>
      </c>
      <c r="D1084" s="13" t="s">
        <v>2270</v>
      </c>
      <c r="E1084" s="13" t="s">
        <v>2298</v>
      </c>
      <c r="F1084" s="13" t="s">
        <v>368</v>
      </c>
      <c r="G1084" s="61" t="n">
        <v>55596065221</v>
      </c>
      <c r="H1084" s="13" t="s">
        <v>2255</v>
      </c>
      <c r="I1084" s="13" t="s">
        <v>2294</v>
      </c>
      <c r="J1084" s="13" t="n">
        <v>7</v>
      </c>
      <c r="K1084" s="13" t="s">
        <v>2274</v>
      </c>
      <c r="L1084" s="13" t="s">
        <v>2257</v>
      </c>
      <c r="M1084" s="13"/>
    </row>
    <row r="1085" customFormat="false" ht="15" hidden="false" customHeight="false" outlineLevel="0" collapsed="false">
      <c r="A1085" s="13" t="s">
        <v>628</v>
      </c>
      <c r="B1085" s="13" t="s">
        <v>627</v>
      </c>
      <c r="C1085" s="13" t="s">
        <v>2258</v>
      </c>
      <c r="D1085" s="13" t="s">
        <v>2270</v>
      </c>
      <c r="E1085" s="13" t="s">
        <v>2298</v>
      </c>
      <c r="F1085" s="13" t="s">
        <v>368</v>
      </c>
      <c r="G1085" s="61" t="n">
        <v>57788903859</v>
      </c>
      <c r="H1085" s="13" t="s">
        <v>2255</v>
      </c>
      <c r="I1085" s="13" t="s">
        <v>2294</v>
      </c>
      <c r="J1085" s="13" t="n">
        <v>7</v>
      </c>
      <c r="K1085" s="13" t="s">
        <v>2275</v>
      </c>
      <c r="L1085" s="13" t="s">
        <v>2260</v>
      </c>
      <c r="M1085" s="13"/>
    </row>
    <row r="1086" customFormat="false" ht="15" hidden="false" customHeight="false" outlineLevel="0" collapsed="false">
      <c r="A1086" s="13" t="s">
        <v>628</v>
      </c>
      <c r="B1086" s="13" t="s">
        <v>627</v>
      </c>
      <c r="C1086" s="13" t="s">
        <v>2266</v>
      </c>
      <c r="D1086" s="13" t="s">
        <v>2270</v>
      </c>
      <c r="E1086" s="13" t="s">
        <v>2298</v>
      </c>
      <c r="F1086" s="13" t="s">
        <v>368</v>
      </c>
      <c r="G1086" s="61" t="n">
        <v>95085231562</v>
      </c>
      <c r="H1086" s="13" t="s">
        <v>2255</v>
      </c>
      <c r="I1086" s="13" t="s">
        <v>2294</v>
      </c>
      <c r="J1086" s="13" t="s">
        <v>2295</v>
      </c>
      <c r="K1086" s="13" t="s">
        <v>2278</v>
      </c>
      <c r="L1086" s="13" t="s">
        <v>2265</v>
      </c>
      <c r="M1086" s="13"/>
    </row>
    <row r="1087" customFormat="false" ht="15" hidden="false" customHeight="false" outlineLevel="0" collapsed="false">
      <c r="A1087" s="13" t="s">
        <v>628</v>
      </c>
      <c r="B1087" s="13" t="s">
        <v>627</v>
      </c>
      <c r="C1087" s="13" t="s">
        <v>2267</v>
      </c>
      <c r="D1087" s="13" t="s">
        <v>2270</v>
      </c>
      <c r="E1087" s="13" t="s">
        <v>2298</v>
      </c>
      <c r="F1087" s="13" t="s">
        <v>368</v>
      </c>
      <c r="G1087" s="61" t="n">
        <v>79318629998</v>
      </c>
      <c r="H1087" s="13" t="s">
        <v>2255</v>
      </c>
      <c r="I1087" s="13" t="s">
        <v>2294</v>
      </c>
      <c r="J1087" s="13" t="s">
        <v>2295</v>
      </c>
      <c r="K1087" s="13" t="s">
        <v>2278</v>
      </c>
      <c r="L1087" s="13" t="s">
        <v>2265</v>
      </c>
      <c r="M1087" s="13"/>
    </row>
    <row r="1088" customFormat="false" ht="15" hidden="false" customHeight="false" outlineLevel="0" collapsed="false">
      <c r="A1088" s="13" t="s">
        <v>628</v>
      </c>
      <c r="B1088" s="13" t="s">
        <v>627</v>
      </c>
      <c r="C1088" s="13" t="s">
        <v>2254</v>
      </c>
      <c r="D1088" s="13" t="s">
        <v>2270</v>
      </c>
      <c r="E1088" s="13" t="s">
        <v>2306</v>
      </c>
      <c r="F1088" s="13" t="s">
        <v>2307</v>
      </c>
      <c r="G1088" s="61" t="n">
        <v>244787739295</v>
      </c>
      <c r="H1088" s="13" t="s">
        <v>2255</v>
      </c>
      <c r="I1088" s="13" t="s">
        <v>2308</v>
      </c>
      <c r="J1088" s="13" t="n">
        <v>7</v>
      </c>
      <c r="K1088" s="13" t="s">
        <v>2274</v>
      </c>
      <c r="L1088" s="13" t="s">
        <v>2257</v>
      </c>
      <c r="M1088" s="13"/>
    </row>
    <row r="1089" customFormat="false" ht="15" hidden="false" customHeight="false" outlineLevel="0" collapsed="false">
      <c r="A1089" s="13" t="s">
        <v>628</v>
      </c>
      <c r="B1089" s="13" t="s">
        <v>627</v>
      </c>
      <c r="C1089" s="13" t="s">
        <v>2258</v>
      </c>
      <c r="D1089" s="13" t="s">
        <v>2270</v>
      </c>
      <c r="E1089" s="13" t="s">
        <v>2306</v>
      </c>
      <c r="F1089" s="13" t="s">
        <v>2307</v>
      </c>
      <c r="G1089" s="61" t="n">
        <v>509134030250</v>
      </c>
      <c r="H1089" s="13" t="s">
        <v>2255</v>
      </c>
      <c r="I1089" s="13" t="s">
        <v>2308</v>
      </c>
      <c r="J1089" s="13" t="n">
        <v>7</v>
      </c>
      <c r="K1089" s="13" t="s">
        <v>2275</v>
      </c>
      <c r="L1089" s="13" t="s">
        <v>2260</v>
      </c>
      <c r="M1089" s="13"/>
    </row>
    <row r="1090" customFormat="false" ht="15" hidden="false" customHeight="false" outlineLevel="0" collapsed="false">
      <c r="A1090" s="13" t="s">
        <v>628</v>
      </c>
      <c r="B1090" s="13" t="s">
        <v>627</v>
      </c>
      <c r="C1090" s="13" t="s">
        <v>2261</v>
      </c>
      <c r="D1090" s="13" t="s">
        <v>2270</v>
      </c>
      <c r="E1090" s="13" t="s">
        <v>2306</v>
      </c>
      <c r="F1090" s="13" t="s">
        <v>2307</v>
      </c>
      <c r="G1090" s="61" t="n">
        <v>341095239690</v>
      </c>
      <c r="H1090" s="13" t="s">
        <v>2255</v>
      </c>
      <c r="I1090" s="13" t="s">
        <v>2308</v>
      </c>
      <c r="J1090" s="13" t="n">
        <v>7</v>
      </c>
      <c r="K1090" s="13" t="s">
        <v>2276</v>
      </c>
      <c r="L1090" s="13" t="s">
        <v>2263</v>
      </c>
      <c r="M1090" s="13"/>
    </row>
    <row r="1091" customFormat="false" ht="15" hidden="false" customHeight="false" outlineLevel="0" collapsed="false">
      <c r="A1091" s="13" t="s">
        <v>628</v>
      </c>
      <c r="B1091" s="13" t="s">
        <v>627</v>
      </c>
      <c r="C1091" s="13" t="s">
        <v>2264</v>
      </c>
      <c r="D1091" s="13" t="s">
        <v>2270</v>
      </c>
      <c r="E1091" s="13" t="s">
        <v>2306</v>
      </c>
      <c r="F1091" s="13" t="s">
        <v>2307</v>
      </c>
      <c r="G1091" s="61" t="n">
        <v>335422914718</v>
      </c>
      <c r="H1091" s="13" t="s">
        <v>2255</v>
      </c>
      <c r="I1091" s="13" t="s">
        <v>2308</v>
      </c>
      <c r="J1091" s="13" t="n">
        <v>7</v>
      </c>
      <c r="K1091" s="13" t="s">
        <v>2277</v>
      </c>
      <c r="L1091" s="13" t="s">
        <v>2265</v>
      </c>
      <c r="M1091" s="13"/>
    </row>
    <row r="1092" customFormat="false" ht="15" hidden="false" customHeight="false" outlineLevel="0" collapsed="false">
      <c r="A1092" s="13" t="s">
        <v>628</v>
      </c>
      <c r="B1092" s="13" t="s">
        <v>627</v>
      </c>
      <c r="C1092" s="13" t="s">
        <v>2266</v>
      </c>
      <c r="D1092" s="13" t="s">
        <v>2270</v>
      </c>
      <c r="E1092" s="13" t="s">
        <v>2306</v>
      </c>
      <c r="F1092" s="13" t="s">
        <v>2307</v>
      </c>
      <c r="G1092" s="61" t="n">
        <v>368149339874</v>
      </c>
      <c r="H1092" s="13" t="s">
        <v>2255</v>
      </c>
      <c r="I1092" s="13" t="s">
        <v>2308</v>
      </c>
      <c r="J1092" s="13" t="n">
        <v>81</v>
      </c>
      <c r="K1092" s="13" t="s">
        <v>2278</v>
      </c>
      <c r="L1092" s="13" t="s">
        <v>2265</v>
      </c>
      <c r="M1092" s="13"/>
    </row>
    <row r="1093" customFormat="false" ht="15" hidden="false" customHeight="false" outlineLevel="0" collapsed="false">
      <c r="A1093" s="13" t="s">
        <v>628</v>
      </c>
      <c r="B1093" s="13" t="s">
        <v>627</v>
      </c>
      <c r="C1093" s="13" t="s">
        <v>2267</v>
      </c>
      <c r="D1093" s="13" t="s">
        <v>2270</v>
      </c>
      <c r="E1093" s="13" t="s">
        <v>2306</v>
      </c>
      <c r="F1093" s="13" t="s">
        <v>2307</v>
      </c>
      <c r="G1093" s="61" t="n">
        <v>396966532544</v>
      </c>
      <c r="H1093" s="13" t="s">
        <v>2255</v>
      </c>
      <c r="I1093" s="13" t="s">
        <v>2308</v>
      </c>
      <c r="J1093" s="13" t="n">
        <v>81</v>
      </c>
      <c r="K1093" s="13" t="s">
        <v>2278</v>
      </c>
      <c r="L1093" s="13" t="s">
        <v>2265</v>
      </c>
      <c r="M1093" s="13"/>
    </row>
    <row r="1094" customFormat="false" ht="15" hidden="false" customHeight="false" outlineLevel="0" collapsed="false">
      <c r="A1094" s="13" t="s">
        <v>628</v>
      </c>
      <c r="B1094" s="13" t="s">
        <v>627</v>
      </c>
      <c r="C1094" s="13" t="s">
        <v>2254</v>
      </c>
      <c r="D1094" s="13" t="s">
        <v>2270</v>
      </c>
      <c r="E1094" s="13" t="s">
        <v>2306</v>
      </c>
      <c r="F1094" s="13" t="s">
        <v>2309</v>
      </c>
      <c r="G1094" s="61" t="n">
        <v>37645507023</v>
      </c>
      <c r="H1094" s="13" t="s">
        <v>2255</v>
      </c>
      <c r="I1094" s="13" t="s">
        <v>2308</v>
      </c>
      <c r="J1094" s="13" t="n">
        <v>7</v>
      </c>
      <c r="K1094" s="13" t="s">
        <v>2274</v>
      </c>
      <c r="L1094" s="13" t="s">
        <v>2257</v>
      </c>
      <c r="M1094" s="13"/>
    </row>
    <row r="1095" customFormat="false" ht="15" hidden="false" customHeight="false" outlineLevel="0" collapsed="false">
      <c r="A1095" s="13" t="s">
        <v>628</v>
      </c>
      <c r="B1095" s="13" t="s">
        <v>627</v>
      </c>
      <c r="C1095" s="13" t="s">
        <v>2258</v>
      </c>
      <c r="D1095" s="13" t="s">
        <v>2270</v>
      </c>
      <c r="E1095" s="13" t="s">
        <v>2306</v>
      </c>
      <c r="F1095" s="13" t="s">
        <v>2309</v>
      </c>
      <c r="G1095" s="61" t="n">
        <v>61669972683</v>
      </c>
      <c r="H1095" s="13" t="s">
        <v>2255</v>
      </c>
      <c r="I1095" s="13" t="s">
        <v>2308</v>
      </c>
      <c r="J1095" s="13" t="n">
        <v>7</v>
      </c>
      <c r="K1095" s="13" t="s">
        <v>2275</v>
      </c>
      <c r="L1095" s="13" t="s">
        <v>2260</v>
      </c>
      <c r="M1095" s="13"/>
    </row>
    <row r="1096" customFormat="false" ht="15" hidden="false" customHeight="false" outlineLevel="0" collapsed="false">
      <c r="A1096" s="13" t="s">
        <v>628</v>
      </c>
      <c r="B1096" s="13" t="s">
        <v>627</v>
      </c>
      <c r="C1096" s="13" t="s">
        <v>2261</v>
      </c>
      <c r="D1096" s="13" t="s">
        <v>2270</v>
      </c>
      <c r="E1096" s="13" t="s">
        <v>2306</v>
      </c>
      <c r="F1096" s="13" t="s">
        <v>2309</v>
      </c>
      <c r="G1096" s="61" t="n">
        <v>165113818691</v>
      </c>
      <c r="H1096" s="13" t="s">
        <v>2255</v>
      </c>
      <c r="I1096" s="13" t="s">
        <v>2308</v>
      </c>
      <c r="J1096" s="13" t="n">
        <v>7</v>
      </c>
      <c r="K1096" s="13" t="s">
        <v>2276</v>
      </c>
      <c r="L1096" s="13" t="s">
        <v>2263</v>
      </c>
      <c r="M1096" s="13"/>
    </row>
    <row r="1097" customFormat="false" ht="15" hidden="false" customHeight="false" outlineLevel="0" collapsed="false">
      <c r="A1097" s="13" t="s">
        <v>628</v>
      </c>
      <c r="B1097" s="13" t="s">
        <v>627</v>
      </c>
      <c r="C1097" s="13" t="s">
        <v>2264</v>
      </c>
      <c r="D1097" s="13" t="s">
        <v>2270</v>
      </c>
      <c r="E1097" s="13" t="s">
        <v>2306</v>
      </c>
      <c r="F1097" s="13" t="s">
        <v>2309</v>
      </c>
      <c r="G1097" s="61" t="n">
        <v>154152487373</v>
      </c>
      <c r="H1097" s="13" t="s">
        <v>2255</v>
      </c>
      <c r="I1097" s="13" t="s">
        <v>2308</v>
      </c>
      <c r="J1097" s="13" t="n">
        <v>7</v>
      </c>
      <c r="K1097" s="13" t="s">
        <v>2277</v>
      </c>
      <c r="L1097" s="13" t="s">
        <v>2265</v>
      </c>
      <c r="M1097" s="13"/>
    </row>
    <row r="1098" customFormat="false" ht="15" hidden="false" customHeight="false" outlineLevel="0" collapsed="false">
      <c r="A1098" s="13" t="s">
        <v>628</v>
      </c>
      <c r="B1098" s="13" t="s">
        <v>627</v>
      </c>
      <c r="C1098" s="13" t="s">
        <v>2266</v>
      </c>
      <c r="D1098" s="13" t="s">
        <v>2270</v>
      </c>
      <c r="E1098" s="13" t="s">
        <v>2306</v>
      </c>
      <c r="F1098" s="13" t="s">
        <v>2309</v>
      </c>
      <c r="G1098" s="61" t="n">
        <v>141364189362</v>
      </c>
      <c r="H1098" s="13" t="s">
        <v>2255</v>
      </c>
      <c r="I1098" s="13" t="s">
        <v>2308</v>
      </c>
      <c r="J1098" s="13" t="n">
        <v>81</v>
      </c>
      <c r="K1098" s="13" t="s">
        <v>2278</v>
      </c>
      <c r="L1098" s="13" t="s">
        <v>2265</v>
      </c>
      <c r="M1098" s="13"/>
    </row>
    <row r="1099" customFormat="false" ht="15" hidden="false" customHeight="false" outlineLevel="0" collapsed="false">
      <c r="A1099" s="13" t="s">
        <v>628</v>
      </c>
      <c r="B1099" s="13" t="s">
        <v>627</v>
      </c>
      <c r="C1099" s="13" t="s">
        <v>2267</v>
      </c>
      <c r="D1099" s="13" t="s">
        <v>2270</v>
      </c>
      <c r="E1099" s="13" t="s">
        <v>2306</v>
      </c>
      <c r="F1099" s="13" t="s">
        <v>2309</v>
      </c>
      <c r="G1099" s="61" t="n">
        <v>149436971851</v>
      </c>
      <c r="H1099" s="13" t="s">
        <v>2255</v>
      </c>
      <c r="I1099" s="13" t="s">
        <v>2308</v>
      </c>
      <c r="J1099" s="13" t="n">
        <v>81</v>
      </c>
      <c r="K1099" s="13" t="s">
        <v>2278</v>
      </c>
      <c r="L1099" s="13" t="s">
        <v>2265</v>
      </c>
      <c r="M1099" s="13"/>
    </row>
    <row r="1100" customFormat="false" ht="15" hidden="false" customHeight="false" outlineLevel="0" collapsed="false">
      <c r="A1100" s="13" t="s">
        <v>628</v>
      </c>
      <c r="B1100" s="13" t="s">
        <v>627</v>
      </c>
      <c r="C1100" s="13" t="s">
        <v>2254</v>
      </c>
      <c r="D1100" s="13" t="s">
        <v>2270</v>
      </c>
      <c r="E1100" s="13" t="s">
        <v>2306</v>
      </c>
      <c r="F1100" s="13" t="s">
        <v>2310</v>
      </c>
      <c r="G1100" s="61" t="n">
        <v>175507466726</v>
      </c>
      <c r="H1100" s="13" t="s">
        <v>2255</v>
      </c>
      <c r="I1100" s="13" t="s">
        <v>2308</v>
      </c>
      <c r="J1100" s="13" t="n">
        <v>7</v>
      </c>
      <c r="K1100" s="13" t="s">
        <v>2274</v>
      </c>
      <c r="L1100" s="13" t="s">
        <v>2257</v>
      </c>
      <c r="M1100" s="13"/>
    </row>
    <row r="1101" customFormat="false" ht="15" hidden="false" customHeight="false" outlineLevel="0" collapsed="false">
      <c r="A1101" s="13" t="s">
        <v>628</v>
      </c>
      <c r="B1101" s="13" t="s">
        <v>627</v>
      </c>
      <c r="C1101" s="13" t="s">
        <v>2258</v>
      </c>
      <c r="D1101" s="13" t="s">
        <v>2270</v>
      </c>
      <c r="E1101" s="13" t="s">
        <v>2306</v>
      </c>
      <c r="F1101" s="13" t="s">
        <v>2310</v>
      </c>
      <c r="G1101" s="61" t="n">
        <v>213603368834</v>
      </c>
      <c r="H1101" s="13" t="s">
        <v>2255</v>
      </c>
      <c r="I1101" s="13" t="s">
        <v>2308</v>
      </c>
      <c r="J1101" s="13" t="n">
        <v>7</v>
      </c>
      <c r="K1101" s="13" t="s">
        <v>2275</v>
      </c>
      <c r="L1101" s="13" t="s">
        <v>2260</v>
      </c>
      <c r="M1101" s="13"/>
    </row>
    <row r="1102" customFormat="false" ht="15" hidden="false" customHeight="false" outlineLevel="0" collapsed="false">
      <c r="A1102" s="13" t="s">
        <v>628</v>
      </c>
      <c r="B1102" s="13" t="s">
        <v>627</v>
      </c>
      <c r="C1102" s="13" t="s">
        <v>2261</v>
      </c>
      <c r="D1102" s="13" t="s">
        <v>2270</v>
      </c>
      <c r="E1102" s="13" t="s">
        <v>2306</v>
      </c>
      <c r="F1102" s="13" t="s">
        <v>2310</v>
      </c>
      <c r="G1102" s="61" t="n">
        <v>117204932997</v>
      </c>
      <c r="H1102" s="13" t="s">
        <v>2255</v>
      </c>
      <c r="I1102" s="13" t="s">
        <v>2308</v>
      </c>
      <c r="J1102" s="13" t="n">
        <v>7</v>
      </c>
      <c r="K1102" s="13" t="s">
        <v>2276</v>
      </c>
      <c r="L1102" s="13" t="s">
        <v>2263</v>
      </c>
      <c r="M1102" s="13"/>
    </row>
    <row r="1103" customFormat="false" ht="15" hidden="false" customHeight="false" outlineLevel="0" collapsed="false">
      <c r="A1103" s="13" t="s">
        <v>628</v>
      </c>
      <c r="B1103" s="13" t="s">
        <v>627</v>
      </c>
      <c r="C1103" s="13" t="s">
        <v>2264</v>
      </c>
      <c r="D1103" s="13" t="s">
        <v>2270</v>
      </c>
      <c r="E1103" s="13" t="s">
        <v>2306</v>
      </c>
      <c r="F1103" s="13" t="s">
        <v>2310</v>
      </c>
      <c r="G1103" s="61" t="n">
        <v>122880117254</v>
      </c>
      <c r="H1103" s="13" t="s">
        <v>2255</v>
      </c>
      <c r="I1103" s="13" t="s">
        <v>2308</v>
      </c>
      <c r="J1103" s="13" t="n">
        <v>7</v>
      </c>
      <c r="K1103" s="13" t="s">
        <v>2277</v>
      </c>
      <c r="L1103" s="13" t="s">
        <v>2265</v>
      </c>
      <c r="M1103" s="13"/>
    </row>
    <row r="1104" customFormat="false" ht="15" hidden="false" customHeight="false" outlineLevel="0" collapsed="false">
      <c r="A1104" s="13" t="s">
        <v>628</v>
      </c>
      <c r="B1104" s="13" t="s">
        <v>627</v>
      </c>
      <c r="C1104" s="13" t="s">
        <v>2266</v>
      </c>
      <c r="D1104" s="13" t="s">
        <v>2270</v>
      </c>
      <c r="E1104" s="13" t="s">
        <v>2306</v>
      </c>
      <c r="F1104" s="13" t="s">
        <v>2310</v>
      </c>
      <c r="G1104" s="61" t="n">
        <v>129789241147</v>
      </c>
      <c r="H1104" s="13" t="s">
        <v>2255</v>
      </c>
      <c r="I1104" s="13" t="s">
        <v>2308</v>
      </c>
      <c r="J1104" s="13" t="n">
        <v>81</v>
      </c>
      <c r="K1104" s="13" t="s">
        <v>2278</v>
      </c>
      <c r="L1104" s="13" t="s">
        <v>2265</v>
      </c>
      <c r="M1104" s="13"/>
    </row>
    <row r="1105" customFormat="false" ht="15" hidden="false" customHeight="false" outlineLevel="0" collapsed="false">
      <c r="A1105" s="13" t="s">
        <v>628</v>
      </c>
      <c r="B1105" s="13" t="s">
        <v>627</v>
      </c>
      <c r="C1105" s="13" t="s">
        <v>2267</v>
      </c>
      <c r="D1105" s="13" t="s">
        <v>2270</v>
      </c>
      <c r="E1105" s="13" t="s">
        <v>2306</v>
      </c>
      <c r="F1105" s="13" t="s">
        <v>2310</v>
      </c>
      <c r="G1105" s="61" t="n">
        <v>134642093603</v>
      </c>
      <c r="H1105" s="13" t="s">
        <v>2255</v>
      </c>
      <c r="I1105" s="13" t="s">
        <v>2308</v>
      </c>
      <c r="J1105" s="13" t="n">
        <v>81</v>
      </c>
      <c r="K1105" s="13" t="s">
        <v>2278</v>
      </c>
      <c r="L1105" s="13" t="s">
        <v>2265</v>
      </c>
      <c r="M1105" s="13"/>
    </row>
    <row r="1106" customFormat="false" ht="15" hidden="false" customHeight="false" outlineLevel="0" collapsed="false">
      <c r="A1106" s="13" t="s">
        <v>628</v>
      </c>
      <c r="B1106" s="13" t="s">
        <v>627</v>
      </c>
      <c r="C1106" s="13" t="s">
        <v>2254</v>
      </c>
      <c r="D1106" s="13" t="s">
        <v>2270</v>
      </c>
      <c r="E1106" s="13" t="s">
        <v>2306</v>
      </c>
      <c r="F1106" s="13" t="s">
        <v>2311</v>
      </c>
      <c r="G1106" s="61" t="n">
        <v>195836719508</v>
      </c>
      <c r="H1106" s="13" t="s">
        <v>2255</v>
      </c>
      <c r="I1106" s="13" t="s">
        <v>2308</v>
      </c>
      <c r="J1106" s="13" t="n">
        <v>7</v>
      </c>
      <c r="K1106" s="13" t="s">
        <v>2274</v>
      </c>
      <c r="L1106" s="13" t="s">
        <v>2257</v>
      </c>
      <c r="M1106" s="13"/>
    </row>
    <row r="1107" customFormat="false" ht="15" hidden="false" customHeight="false" outlineLevel="0" collapsed="false">
      <c r="A1107" s="13" t="s">
        <v>628</v>
      </c>
      <c r="B1107" s="13" t="s">
        <v>627</v>
      </c>
      <c r="C1107" s="13" t="s">
        <v>2258</v>
      </c>
      <c r="D1107" s="13" t="s">
        <v>2270</v>
      </c>
      <c r="E1107" s="13" t="s">
        <v>2306</v>
      </c>
      <c r="F1107" s="13" t="s">
        <v>2311</v>
      </c>
      <c r="G1107" s="61" t="n">
        <v>128371889753</v>
      </c>
      <c r="H1107" s="13" t="s">
        <v>2255</v>
      </c>
      <c r="I1107" s="13" t="s">
        <v>2308</v>
      </c>
      <c r="J1107" s="13" t="n">
        <v>7</v>
      </c>
      <c r="K1107" s="13" t="s">
        <v>2275</v>
      </c>
      <c r="L1107" s="13" t="s">
        <v>2260</v>
      </c>
      <c r="M1107" s="13"/>
    </row>
    <row r="1108" customFormat="false" ht="15" hidden="false" customHeight="false" outlineLevel="0" collapsed="false">
      <c r="A1108" s="13" t="s">
        <v>628</v>
      </c>
      <c r="B1108" s="13" t="s">
        <v>627</v>
      </c>
      <c r="C1108" s="13" t="s">
        <v>2261</v>
      </c>
      <c r="D1108" s="13" t="s">
        <v>2270</v>
      </c>
      <c r="E1108" s="13" t="s">
        <v>2306</v>
      </c>
      <c r="F1108" s="13" t="s">
        <v>2311</v>
      </c>
      <c r="G1108" s="61" t="n">
        <v>267796469940</v>
      </c>
      <c r="H1108" s="13" t="s">
        <v>2255</v>
      </c>
      <c r="I1108" s="13" t="s">
        <v>2308</v>
      </c>
      <c r="J1108" s="13" t="n">
        <v>7</v>
      </c>
      <c r="K1108" s="13" t="s">
        <v>2276</v>
      </c>
      <c r="L1108" s="13" t="s">
        <v>2263</v>
      </c>
      <c r="M1108" s="13"/>
    </row>
    <row r="1109" customFormat="false" ht="15" hidden="false" customHeight="false" outlineLevel="0" collapsed="false">
      <c r="A1109" s="13" t="s">
        <v>628</v>
      </c>
      <c r="B1109" s="13" t="s">
        <v>627</v>
      </c>
      <c r="C1109" s="13" t="s">
        <v>2264</v>
      </c>
      <c r="D1109" s="13" t="s">
        <v>2270</v>
      </c>
      <c r="E1109" s="13" t="s">
        <v>2306</v>
      </c>
      <c r="F1109" s="13" t="s">
        <v>2311</v>
      </c>
      <c r="G1109" s="61" t="n">
        <v>176898082119</v>
      </c>
      <c r="H1109" s="13" t="s">
        <v>2255</v>
      </c>
      <c r="I1109" s="13" t="s">
        <v>2308</v>
      </c>
      <c r="J1109" s="13" t="n">
        <v>7</v>
      </c>
      <c r="K1109" s="13" t="s">
        <v>2277</v>
      </c>
      <c r="L1109" s="13" t="s">
        <v>2265</v>
      </c>
      <c r="M1109" s="13"/>
    </row>
    <row r="1110" customFormat="false" ht="15" hidden="false" customHeight="false" outlineLevel="0" collapsed="false">
      <c r="A1110" s="13" t="s">
        <v>628</v>
      </c>
      <c r="B1110" s="13" t="s">
        <v>627</v>
      </c>
      <c r="C1110" s="13" t="s">
        <v>2266</v>
      </c>
      <c r="D1110" s="13" t="s">
        <v>2270</v>
      </c>
      <c r="E1110" s="13" t="s">
        <v>2306</v>
      </c>
      <c r="F1110" s="13" t="s">
        <v>2311</v>
      </c>
      <c r="G1110" s="61" t="n">
        <v>205559382713</v>
      </c>
      <c r="H1110" s="13" t="s">
        <v>2255</v>
      </c>
      <c r="I1110" s="13" t="s">
        <v>2308</v>
      </c>
      <c r="J1110" s="13" t="n">
        <v>81</v>
      </c>
      <c r="K1110" s="13" t="s">
        <v>2278</v>
      </c>
      <c r="L1110" s="13" t="s">
        <v>2265</v>
      </c>
      <c r="M1110" s="13"/>
    </row>
    <row r="1111" customFormat="false" ht="15" hidden="false" customHeight="false" outlineLevel="0" collapsed="false">
      <c r="A1111" s="13" t="s">
        <v>628</v>
      </c>
      <c r="B1111" s="13" t="s">
        <v>627</v>
      </c>
      <c r="C1111" s="13" t="s">
        <v>2267</v>
      </c>
      <c r="D1111" s="13" t="s">
        <v>2270</v>
      </c>
      <c r="E1111" s="13" t="s">
        <v>2306</v>
      </c>
      <c r="F1111" s="13" t="s">
        <v>2311</v>
      </c>
      <c r="G1111" s="61" t="n">
        <v>186728546707</v>
      </c>
      <c r="H1111" s="13" t="s">
        <v>2255</v>
      </c>
      <c r="I1111" s="13" t="s">
        <v>2308</v>
      </c>
      <c r="J1111" s="13" t="n">
        <v>81</v>
      </c>
      <c r="K1111" s="13" t="s">
        <v>2278</v>
      </c>
      <c r="L1111" s="13" t="s">
        <v>2265</v>
      </c>
      <c r="M1111" s="13"/>
    </row>
    <row r="1112" customFormat="false" ht="15" hidden="false" customHeight="false" outlineLevel="0" collapsed="false">
      <c r="A1112" s="13" t="s">
        <v>628</v>
      </c>
      <c r="B1112" s="13" t="s">
        <v>627</v>
      </c>
      <c r="C1112" s="13" t="s">
        <v>2254</v>
      </c>
      <c r="D1112" s="13" t="s">
        <v>2270</v>
      </c>
      <c r="E1112" s="13" t="s">
        <v>2306</v>
      </c>
      <c r="F1112" s="13" t="s">
        <v>2289</v>
      </c>
      <c r="G1112" s="61" t="n">
        <v>1216358672</v>
      </c>
      <c r="H1112" s="13" t="s">
        <v>2255</v>
      </c>
      <c r="I1112" s="13" t="s">
        <v>2308</v>
      </c>
      <c r="J1112" s="13" t="n">
        <v>7</v>
      </c>
      <c r="K1112" s="13" t="s">
        <v>2274</v>
      </c>
      <c r="L1112" s="13" t="s">
        <v>2257</v>
      </c>
      <c r="M1112" s="13"/>
    </row>
    <row r="1113" customFormat="false" ht="15" hidden="false" customHeight="false" outlineLevel="0" collapsed="false">
      <c r="A1113" s="13" t="s">
        <v>628</v>
      </c>
      <c r="B1113" s="13" t="s">
        <v>627</v>
      </c>
      <c r="C1113" s="13" t="s">
        <v>2258</v>
      </c>
      <c r="D1113" s="13" t="s">
        <v>2270</v>
      </c>
      <c r="E1113" s="13" t="s">
        <v>2306</v>
      </c>
      <c r="F1113" s="13" t="s">
        <v>2289</v>
      </c>
      <c r="G1113" s="61" t="n">
        <v>3999933159</v>
      </c>
      <c r="H1113" s="13" t="s">
        <v>2255</v>
      </c>
      <c r="I1113" s="13" t="s">
        <v>2308</v>
      </c>
      <c r="J1113" s="13" t="n">
        <v>7</v>
      </c>
      <c r="K1113" s="13" t="s">
        <v>2275</v>
      </c>
      <c r="L1113" s="13" t="s">
        <v>2260</v>
      </c>
      <c r="M1113" s="13"/>
    </row>
    <row r="1114" customFormat="false" ht="15" hidden="false" customHeight="false" outlineLevel="0" collapsed="false">
      <c r="A1114" s="13" t="s">
        <v>628</v>
      </c>
      <c r="B1114" s="13" t="s">
        <v>627</v>
      </c>
      <c r="C1114" s="13" t="s">
        <v>2261</v>
      </c>
      <c r="D1114" s="13" t="s">
        <v>2270</v>
      </c>
      <c r="E1114" s="13" t="s">
        <v>2306</v>
      </c>
      <c r="F1114" s="13" t="s">
        <v>2289</v>
      </c>
      <c r="G1114" s="61" t="n">
        <v>2924812821</v>
      </c>
      <c r="H1114" s="13" t="s">
        <v>2255</v>
      </c>
      <c r="I1114" s="13" t="s">
        <v>2308</v>
      </c>
      <c r="J1114" s="13" t="n">
        <v>7</v>
      </c>
      <c r="K1114" s="13" t="s">
        <v>2276</v>
      </c>
      <c r="L1114" s="13" t="s">
        <v>2263</v>
      </c>
      <c r="M1114" s="13"/>
    </row>
    <row r="1115" customFormat="false" ht="15" hidden="false" customHeight="false" outlineLevel="0" collapsed="false">
      <c r="A1115" s="13" t="s">
        <v>628</v>
      </c>
      <c r="B1115" s="13" t="s">
        <v>627</v>
      </c>
      <c r="C1115" s="13" t="s">
        <v>2264</v>
      </c>
      <c r="D1115" s="13" t="s">
        <v>2270</v>
      </c>
      <c r="E1115" s="13" t="s">
        <v>2306</v>
      </c>
      <c r="F1115" s="13" t="s">
        <v>2289</v>
      </c>
      <c r="G1115" s="61" t="n">
        <v>3031004796</v>
      </c>
      <c r="H1115" s="13" t="s">
        <v>2255</v>
      </c>
      <c r="I1115" s="13" t="s">
        <v>2308</v>
      </c>
      <c r="J1115" s="13" t="n">
        <v>7</v>
      </c>
      <c r="K1115" s="13" t="s">
        <v>2277</v>
      </c>
      <c r="L1115" s="13" t="s">
        <v>2265</v>
      </c>
      <c r="M1115" s="13"/>
    </row>
    <row r="1116" customFormat="false" ht="15" hidden="false" customHeight="false" outlineLevel="0" collapsed="false">
      <c r="A1116" s="13" t="s">
        <v>628</v>
      </c>
      <c r="B1116" s="13" t="s">
        <v>627</v>
      </c>
      <c r="C1116" s="13" t="s">
        <v>2266</v>
      </c>
      <c r="D1116" s="13" t="s">
        <v>2270</v>
      </c>
      <c r="E1116" s="13" t="s">
        <v>2306</v>
      </c>
      <c r="F1116" s="13" t="s">
        <v>2289</v>
      </c>
      <c r="G1116" s="61" t="n">
        <v>2685841748</v>
      </c>
      <c r="H1116" s="13" t="s">
        <v>2255</v>
      </c>
      <c r="I1116" s="13" t="s">
        <v>2308</v>
      </c>
      <c r="J1116" s="13" t="n">
        <v>81</v>
      </c>
      <c r="K1116" s="13" t="s">
        <v>2278</v>
      </c>
      <c r="L1116" s="13" t="s">
        <v>2265</v>
      </c>
      <c r="M1116" s="13"/>
    </row>
    <row r="1117" customFormat="false" ht="15" hidden="false" customHeight="false" outlineLevel="0" collapsed="false">
      <c r="A1117" s="13" t="s">
        <v>628</v>
      </c>
      <c r="B1117" s="13" t="s">
        <v>627</v>
      </c>
      <c r="C1117" s="13" t="s">
        <v>2267</v>
      </c>
      <c r="D1117" s="13" t="s">
        <v>2270</v>
      </c>
      <c r="E1117" s="13" t="s">
        <v>2306</v>
      </c>
      <c r="F1117" s="13" t="s">
        <v>2289</v>
      </c>
      <c r="G1117" s="61" t="n">
        <v>2074160697</v>
      </c>
      <c r="H1117" s="13" t="s">
        <v>2255</v>
      </c>
      <c r="I1117" s="13" t="s">
        <v>2308</v>
      </c>
      <c r="J1117" s="13" t="n">
        <v>81</v>
      </c>
      <c r="K1117" s="13" t="s">
        <v>2278</v>
      </c>
      <c r="L1117" s="13" t="s">
        <v>2265</v>
      </c>
      <c r="M1117" s="13"/>
    </row>
    <row r="1118" customFormat="false" ht="15" hidden="false" customHeight="false" outlineLevel="0" collapsed="false">
      <c r="A1118" s="13" t="s">
        <v>628</v>
      </c>
      <c r="B1118" s="13" t="s">
        <v>627</v>
      </c>
      <c r="C1118" s="13" t="s">
        <v>2254</v>
      </c>
      <c r="D1118" s="13" t="s">
        <v>2270</v>
      </c>
      <c r="E1118" s="13" t="s">
        <v>2306</v>
      </c>
      <c r="F1118" s="13" t="s">
        <v>2290</v>
      </c>
      <c r="G1118" s="61" t="n">
        <v>654993791224</v>
      </c>
      <c r="H1118" s="13" t="s">
        <v>2255</v>
      </c>
      <c r="I1118" s="13" t="s">
        <v>2308</v>
      </c>
      <c r="J1118" s="13" t="n">
        <v>7</v>
      </c>
      <c r="K1118" s="13" t="s">
        <v>2274</v>
      </c>
      <c r="L1118" s="13" t="s">
        <v>2257</v>
      </c>
      <c r="M1118" s="13"/>
    </row>
    <row r="1119" customFormat="false" ht="15" hidden="false" customHeight="false" outlineLevel="0" collapsed="false">
      <c r="A1119" s="13" t="s">
        <v>628</v>
      </c>
      <c r="B1119" s="13" t="s">
        <v>627</v>
      </c>
      <c r="C1119" s="13" t="s">
        <v>2258</v>
      </c>
      <c r="D1119" s="13" t="s">
        <v>2270</v>
      </c>
      <c r="E1119" s="13" t="s">
        <v>2306</v>
      </c>
      <c r="F1119" s="13" t="s">
        <v>2290</v>
      </c>
      <c r="G1119" s="61" t="n">
        <v>916779194679</v>
      </c>
      <c r="H1119" s="13" t="s">
        <v>2255</v>
      </c>
      <c r="I1119" s="13" t="s">
        <v>2308</v>
      </c>
      <c r="J1119" s="13" t="n">
        <v>7</v>
      </c>
      <c r="K1119" s="13" t="s">
        <v>2275</v>
      </c>
      <c r="L1119" s="13" t="s">
        <v>2260</v>
      </c>
      <c r="M1119" s="13"/>
    </row>
    <row r="1120" customFormat="false" ht="15" hidden="false" customHeight="false" outlineLevel="0" collapsed="false">
      <c r="A1120" s="13" t="s">
        <v>628</v>
      </c>
      <c r="B1120" s="13" t="s">
        <v>627</v>
      </c>
      <c r="C1120" s="13" t="s">
        <v>2261</v>
      </c>
      <c r="D1120" s="13" t="s">
        <v>2270</v>
      </c>
      <c r="E1120" s="13" t="s">
        <v>2306</v>
      </c>
      <c r="F1120" s="13" t="s">
        <v>2290</v>
      </c>
      <c r="G1120" s="61" t="n">
        <v>894135274139</v>
      </c>
      <c r="H1120" s="13" t="s">
        <v>2255</v>
      </c>
      <c r="I1120" s="13" t="s">
        <v>2308</v>
      </c>
      <c r="J1120" s="13" t="n">
        <v>7</v>
      </c>
      <c r="K1120" s="13" t="s">
        <v>2276</v>
      </c>
      <c r="L1120" s="13" t="s">
        <v>2263</v>
      </c>
      <c r="M1120" s="13"/>
    </row>
    <row r="1121" customFormat="false" ht="15" hidden="false" customHeight="false" outlineLevel="0" collapsed="false">
      <c r="A1121" s="13" t="s">
        <v>628</v>
      </c>
      <c r="B1121" s="13" t="s">
        <v>627</v>
      </c>
      <c r="C1121" s="13" t="s">
        <v>2264</v>
      </c>
      <c r="D1121" s="13" t="s">
        <v>2270</v>
      </c>
      <c r="E1121" s="13" t="s">
        <v>2306</v>
      </c>
      <c r="F1121" s="13" t="s">
        <v>2290</v>
      </c>
      <c r="G1121" s="61" t="n">
        <v>792384606260</v>
      </c>
      <c r="H1121" s="13" t="s">
        <v>2255</v>
      </c>
      <c r="I1121" s="13" t="s">
        <v>2308</v>
      </c>
      <c r="J1121" s="13" t="n">
        <v>7</v>
      </c>
      <c r="K1121" s="13" t="s">
        <v>2277</v>
      </c>
      <c r="L1121" s="13" t="s">
        <v>2265</v>
      </c>
      <c r="M1121" s="13"/>
    </row>
    <row r="1122" customFormat="false" ht="15" hidden="false" customHeight="false" outlineLevel="0" collapsed="false">
      <c r="A1122" s="13" t="s">
        <v>628</v>
      </c>
      <c r="B1122" s="13" t="s">
        <v>627</v>
      </c>
      <c r="C1122" s="13" t="s">
        <v>2266</v>
      </c>
      <c r="D1122" s="13" t="s">
        <v>2270</v>
      </c>
      <c r="E1122" s="13" t="s">
        <v>2306</v>
      </c>
      <c r="F1122" s="13" t="s">
        <v>2290</v>
      </c>
      <c r="G1122" s="61" t="n">
        <v>847547994844</v>
      </c>
      <c r="H1122" s="13" t="s">
        <v>2255</v>
      </c>
      <c r="I1122" s="13" t="s">
        <v>2308</v>
      </c>
      <c r="J1122" s="13" t="n">
        <v>81</v>
      </c>
      <c r="K1122" s="13" t="s">
        <v>2278</v>
      </c>
      <c r="L1122" s="13" t="s">
        <v>2265</v>
      </c>
      <c r="M1122" s="13"/>
    </row>
    <row r="1123" customFormat="false" ht="15" hidden="false" customHeight="false" outlineLevel="0" collapsed="false">
      <c r="A1123" s="13" t="s">
        <v>628</v>
      </c>
      <c r="B1123" s="13" t="s">
        <v>627</v>
      </c>
      <c r="C1123" s="13" t="s">
        <v>2267</v>
      </c>
      <c r="D1123" s="13" t="s">
        <v>2270</v>
      </c>
      <c r="E1123" s="13" t="s">
        <v>2306</v>
      </c>
      <c r="F1123" s="13" t="s">
        <v>2290</v>
      </c>
      <c r="G1123" s="61" t="n">
        <v>869848305402</v>
      </c>
      <c r="H1123" s="13" t="s">
        <v>2255</v>
      </c>
      <c r="I1123" s="13" t="s">
        <v>2308</v>
      </c>
      <c r="J1123" s="13" t="n">
        <v>81</v>
      </c>
      <c r="K1123" s="13" t="s">
        <v>2278</v>
      </c>
      <c r="L1123" s="13" t="s">
        <v>2265</v>
      </c>
      <c r="M1123" s="13"/>
    </row>
    <row r="1124" customFormat="false" ht="15" hidden="false" customHeight="false" outlineLevel="0" collapsed="false">
      <c r="A1124" s="13" t="s">
        <v>628</v>
      </c>
      <c r="B1124" s="13" t="s">
        <v>627</v>
      </c>
      <c r="C1124" s="13" t="s">
        <v>2254</v>
      </c>
      <c r="D1124" s="13" t="s">
        <v>2270</v>
      </c>
      <c r="E1124" s="13" t="s">
        <v>2312</v>
      </c>
      <c r="F1124" s="13" t="s">
        <v>2313</v>
      </c>
      <c r="G1124" s="61" t="n">
        <v>9925094498</v>
      </c>
      <c r="H1124" s="13" t="s">
        <v>2255</v>
      </c>
      <c r="I1124" s="13" t="s">
        <v>2314</v>
      </c>
      <c r="J1124" s="13" t="n">
        <v>67</v>
      </c>
      <c r="K1124" s="13" t="s">
        <v>2274</v>
      </c>
      <c r="L1124" s="13" t="s">
        <v>2257</v>
      </c>
      <c r="M1124" s="13"/>
    </row>
    <row r="1125" customFormat="false" ht="15" hidden="false" customHeight="false" outlineLevel="0" collapsed="false">
      <c r="A1125" s="13" t="s">
        <v>628</v>
      </c>
      <c r="B1125" s="13" t="s">
        <v>627</v>
      </c>
      <c r="C1125" s="13" t="s">
        <v>2258</v>
      </c>
      <c r="D1125" s="13" t="s">
        <v>2270</v>
      </c>
      <c r="E1125" s="13" t="s">
        <v>2312</v>
      </c>
      <c r="F1125" s="13" t="s">
        <v>2313</v>
      </c>
      <c r="G1125" s="61" t="n">
        <v>33182393918</v>
      </c>
      <c r="H1125" s="13" t="s">
        <v>2255</v>
      </c>
      <c r="I1125" s="13" t="s">
        <v>2314</v>
      </c>
      <c r="J1125" s="13" t="n">
        <v>81</v>
      </c>
      <c r="K1125" s="13" t="s">
        <v>2275</v>
      </c>
      <c r="L1125" s="13" t="s">
        <v>2260</v>
      </c>
      <c r="M1125" s="13"/>
    </row>
    <row r="1126" customFormat="false" ht="15" hidden="false" customHeight="false" outlineLevel="0" collapsed="false">
      <c r="A1126" s="13" t="s">
        <v>628</v>
      </c>
      <c r="B1126" s="13" t="s">
        <v>627</v>
      </c>
      <c r="C1126" s="13" t="s">
        <v>2261</v>
      </c>
      <c r="D1126" s="13" t="s">
        <v>2270</v>
      </c>
      <c r="E1126" s="13" t="s">
        <v>2312</v>
      </c>
      <c r="F1126" s="13" t="s">
        <v>2313</v>
      </c>
      <c r="G1126" s="61" t="n">
        <v>31959311822</v>
      </c>
      <c r="H1126" s="13" t="s">
        <v>2255</v>
      </c>
      <c r="I1126" s="13" t="s">
        <v>2314</v>
      </c>
      <c r="J1126" s="13" t="n">
        <v>79</v>
      </c>
      <c r="K1126" s="13" t="s">
        <v>2276</v>
      </c>
      <c r="L1126" s="13" t="s">
        <v>2263</v>
      </c>
      <c r="M1126" s="13"/>
    </row>
    <row r="1127" customFormat="false" ht="15" hidden="false" customHeight="false" outlineLevel="0" collapsed="false">
      <c r="A1127" s="13" t="s">
        <v>628</v>
      </c>
      <c r="B1127" s="13" t="s">
        <v>627</v>
      </c>
      <c r="C1127" s="13" t="s">
        <v>2264</v>
      </c>
      <c r="D1127" s="13" t="s">
        <v>2270</v>
      </c>
      <c r="E1127" s="13" t="s">
        <v>2312</v>
      </c>
      <c r="F1127" s="13" t="s">
        <v>2313</v>
      </c>
      <c r="G1127" s="61" t="n">
        <v>26906060214</v>
      </c>
      <c r="H1127" s="13" t="s">
        <v>2255</v>
      </c>
      <c r="I1127" s="13" t="s">
        <v>2314</v>
      </c>
      <c r="J1127" s="13" t="n">
        <v>79</v>
      </c>
      <c r="K1127" s="13" t="s">
        <v>2277</v>
      </c>
      <c r="L1127" s="13" t="s">
        <v>2265</v>
      </c>
      <c r="M1127" s="13"/>
    </row>
    <row r="1128" customFormat="false" ht="15" hidden="false" customHeight="false" outlineLevel="0" collapsed="false">
      <c r="A1128" s="13" t="s">
        <v>628</v>
      </c>
      <c r="B1128" s="13" t="s">
        <v>627</v>
      </c>
      <c r="C1128" s="13" t="s">
        <v>2266</v>
      </c>
      <c r="D1128" s="13" t="s">
        <v>2270</v>
      </c>
      <c r="E1128" s="13" t="s">
        <v>2312</v>
      </c>
      <c r="F1128" s="13" t="s">
        <v>2313</v>
      </c>
      <c r="G1128" s="61" t="n">
        <v>25315367731</v>
      </c>
      <c r="H1128" s="13" t="s">
        <v>2255</v>
      </c>
      <c r="I1128" s="13" t="s">
        <v>2314</v>
      </c>
      <c r="J1128" s="13" t="n">
        <v>81</v>
      </c>
      <c r="K1128" s="13" t="s">
        <v>2278</v>
      </c>
      <c r="L1128" s="13" t="s">
        <v>2265</v>
      </c>
      <c r="M1128" s="13"/>
    </row>
    <row r="1129" customFormat="false" ht="15" hidden="false" customHeight="false" outlineLevel="0" collapsed="false">
      <c r="A1129" s="13" t="s">
        <v>628</v>
      </c>
      <c r="B1129" s="13" t="s">
        <v>627</v>
      </c>
      <c r="C1129" s="13" t="s">
        <v>2267</v>
      </c>
      <c r="D1129" s="13" t="s">
        <v>2270</v>
      </c>
      <c r="E1129" s="13" t="s">
        <v>2312</v>
      </c>
      <c r="F1129" s="13" t="s">
        <v>2313</v>
      </c>
      <c r="G1129" s="61" t="n">
        <v>21668465057</v>
      </c>
      <c r="H1129" s="13" t="s">
        <v>2255</v>
      </c>
      <c r="I1129" s="13" t="s">
        <v>2314</v>
      </c>
      <c r="J1129" s="13" t="n">
        <v>81</v>
      </c>
      <c r="K1129" s="13" t="s">
        <v>2278</v>
      </c>
      <c r="L1129" s="13" t="s">
        <v>2265</v>
      </c>
      <c r="M1129" s="13"/>
    </row>
    <row r="1130" customFormat="false" ht="15" hidden="false" customHeight="false" outlineLevel="0" collapsed="false">
      <c r="A1130" s="13" t="s">
        <v>628</v>
      </c>
      <c r="B1130" s="13" t="s">
        <v>627</v>
      </c>
      <c r="C1130" s="13" t="s">
        <v>2254</v>
      </c>
      <c r="D1130" s="13" t="s">
        <v>2270</v>
      </c>
      <c r="E1130" s="13" t="s">
        <v>2312</v>
      </c>
      <c r="F1130" s="13" t="s">
        <v>2315</v>
      </c>
      <c r="G1130" s="61" t="n">
        <v>322007989</v>
      </c>
      <c r="H1130" s="13" t="s">
        <v>2255</v>
      </c>
      <c r="I1130" s="13" t="s">
        <v>2314</v>
      </c>
      <c r="J1130" s="13" t="n">
        <v>67</v>
      </c>
      <c r="K1130" s="13" t="s">
        <v>2274</v>
      </c>
      <c r="L1130" s="13" t="s">
        <v>2257</v>
      </c>
      <c r="M1130" s="13"/>
    </row>
    <row r="1131" customFormat="false" ht="15" hidden="false" customHeight="false" outlineLevel="0" collapsed="false">
      <c r="A1131" s="13" t="s">
        <v>628</v>
      </c>
      <c r="B1131" s="13" t="s">
        <v>627</v>
      </c>
      <c r="C1131" s="13" t="s">
        <v>2258</v>
      </c>
      <c r="D1131" s="13" t="s">
        <v>2270</v>
      </c>
      <c r="E1131" s="13" t="s">
        <v>2312</v>
      </c>
      <c r="F1131" s="13" t="s">
        <v>2315</v>
      </c>
      <c r="G1131" s="61" t="n">
        <v>4553917310</v>
      </c>
      <c r="H1131" s="13" t="s">
        <v>2255</v>
      </c>
      <c r="I1131" s="13" t="s">
        <v>2314</v>
      </c>
      <c r="J1131" s="13" t="n">
        <v>81</v>
      </c>
      <c r="K1131" s="13" t="s">
        <v>2275</v>
      </c>
      <c r="L1131" s="13" t="s">
        <v>2260</v>
      </c>
      <c r="M1131" s="13"/>
    </row>
    <row r="1132" customFormat="false" ht="15" hidden="false" customHeight="false" outlineLevel="0" collapsed="false">
      <c r="A1132" s="13" t="s">
        <v>628</v>
      </c>
      <c r="B1132" s="13" t="s">
        <v>627</v>
      </c>
      <c r="C1132" s="13" t="s">
        <v>2261</v>
      </c>
      <c r="D1132" s="13" t="s">
        <v>2270</v>
      </c>
      <c r="E1132" s="13" t="s">
        <v>2312</v>
      </c>
      <c r="F1132" s="13" t="s">
        <v>2315</v>
      </c>
      <c r="G1132" s="61" t="n">
        <v>4396439046</v>
      </c>
      <c r="H1132" s="13" t="s">
        <v>2255</v>
      </c>
      <c r="I1132" s="13" t="s">
        <v>2314</v>
      </c>
      <c r="J1132" s="13" t="n">
        <v>79</v>
      </c>
      <c r="K1132" s="13" t="s">
        <v>2276</v>
      </c>
      <c r="L1132" s="13" t="s">
        <v>2263</v>
      </c>
      <c r="M1132" s="13"/>
    </row>
    <row r="1133" customFormat="false" ht="15" hidden="false" customHeight="false" outlineLevel="0" collapsed="false">
      <c r="A1133" s="13" t="s">
        <v>628</v>
      </c>
      <c r="B1133" s="13" t="s">
        <v>627</v>
      </c>
      <c r="C1133" s="13" t="s">
        <v>2264</v>
      </c>
      <c r="D1133" s="13" t="s">
        <v>2270</v>
      </c>
      <c r="E1133" s="13" t="s">
        <v>2312</v>
      </c>
      <c r="F1133" s="13" t="s">
        <v>2315</v>
      </c>
      <c r="G1133" s="61" t="n">
        <v>4194790605</v>
      </c>
      <c r="H1133" s="13" t="s">
        <v>2255</v>
      </c>
      <c r="I1133" s="13" t="s">
        <v>2314</v>
      </c>
      <c r="J1133" s="13" t="n">
        <v>79</v>
      </c>
      <c r="K1133" s="13" t="s">
        <v>2277</v>
      </c>
      <c r="L1133" s="13" t="s">
        <v>2265</v>
      </c>
      <c r="M1133" s="13"/>
    </row>
    <row r="1134" customFormat="false" ht="15" hidden="false" customHeight="false" outlineLevel="0" collapsed="false">
      <c r="A1134" s="13" t="s">
        <v>628</v>
      </c>
      <c r="B1134" s="13" t="s">
        <v>627</v>
      </c>
      <c r="C1134" s="13" t="s">
        <v>2266</v>
      </c>
      <c r="D1134" s="13" t="s">
        <v>2270</v>
      </c>
      <c r="E1134" s="13" t="s">
        <v>2312</v>
      </c>
      <c r="F1134" s="13" t="s">
        <v>2315</v>
      </c>
      <c r="G1134" s="61" t="n">
        <v>4086086156</v>
      </c>
      <c r="H1134" s="13" t="s">
        <v>2255</v>
      </c>
      <c r="I1134" s="13" t="s">
        <v>2314</v>
      </c>
      <c r="J1134" s="13" t="n">
        <v>81</v>
      </c>
      <c r="K1134" s="13" t="s">
        <v>2278</v>
      </c>
      <c r="L1134" s="13" t="s">
        <v>2265</v>
      </c>
      <c r="M1134" s="13"/>
    </row>
    <row r="1135" customFormat="false" ht="15" hidden="false" customHeight="false" outlineLevel="0" collapsed="false">
      <c r="A1135" s="13" t="s">
        <v>628</v>
      </c>
      <c r="B1135" s="13" t="s">
        <v>627</v>
      </c>
      <c r="C1135" s="13" t="s">
        <v>2267</v>
      </c>
      <c r="D1135" s="13" t="s">
        <v>2270</v>
      </c>
      <c r="E1135" s="13" t="s">
        <v>2312</v>
      </c>
      <c r="F1135" s="13" t="s">
        <v>2315</v>
      </c>
      <c r="G1135" s="61" t="n">
        <v>3725751792</v>
      </c>
      <c r="H1135" s="13" t="s">
        <v>2255</v>
      </c>
      <c r="I1135" s="13" t="s">
        <v>2314</v>
      </c>
      <c r="J1135" s="13" t="n">
        <v>81</v>
      </c>
      <c r="K1135" s="13" t="s">
        <v>2278</v>
      </c>
      <c r="L1135" s="13" t="s">
        <v>2265</v>
      </c>
      <c r="M1135" s="13"/>
    </row>
    <row r="1136" customFormat="false" ht="15" hidden="false" customHeight="false" outlineLevel="0" collapsed="false">
      <c r="A1136" s="13" t="s">
        <v>628</v>
      </c>
      <c r="B1136" s="13" t="s">
        <v>627</v>
      </c>
      <c r="C1136" s="13" t="s">
        <v>2254</v>
      </c>
      <c r="D1136" s="13" t="s">
        <v>2270</v>
      </c>
      <c r="E1136" s="13" t="s">
        <v>2312</v>
      </c>
      <c r="F1136" s="13" t="s">
        <v>2316</v>
      </c>
      <c r="G1136" s="61" t="n">
        <v>114774616</v>
      </c>
      <c r="H1136" s="13" t="s">
        <v>2255</v>
      </c>
      <c r="I1136" s="13" t="s">
        <v>2314</v>
      </c>
      <c r="J1136" s="13" t="n">
        <v>67</v>
      </c>
      <c r="K1136" s="13" t="s">
        <v>2274</v>
      </c>
      <c r="L1136" s="13" t="s">
        <v>2257</v>
      </c>
      <c r="M1136" s="13"/>
    </row>
    <row r="1137" customFormat="false" ht="15" hidden="false" customHeight="false" outlineLevel="0" collapsed="false">
      <c r="A1137" s="13" t="s">
        <v>628</v>
      </c>
      <c r="B1137" s="13" t="s">
        <v>627</v>
      </c>
      <c r="C1137" s="13" t="s">
        <v>2258</v>
      </c>
      <c r="D1137" s="13" t="s">
        <v>2270</v>
      </c>
      <c r="E1137" s="13" t="s">
        <v>2312</v>
      </c>
      <c r="F1137" s="13" t="s">
        <v>2316</v>
      </c>
      <c r="G1137" s="61" t="n">
        <v>9321350</v>
      </c>
      <c r="H1137" s="13" t="s">
        <v>2255</v>
      </c>
      <c r="I1137" s="13" t="s">
        <v>2314</v>
      </c>
      <c r="J1137" s="13" t="n">
        <v>81</v>
      </c>
      <c r="K1137" s="13" t="s">
        <v>2275</v>
      </c>
      <c r="L1137" s="13" t="s">
        <v>2260</v>
      </c>
      <c r="M1137" s="13"/>
    </row>
    <row r="1138" customFormat="false" ht="15" hidden="false" customHeight="false" outlineLevel="0" collapsed="false">
      <c r="A1138" s="13" t="s">
        <v>628</v>
      </c>
      <c r="B1138" s="13" t="s">
        <v>627</v>
      </c>
      <c r="C1138" s="13" t="s">
        <v>2261</v>
      </c>
      <c r="D1138" s="13" t="s">
        <v>2270</v>
      </c>
      <c r="E1138" s="13" t="s">
        <v>2312</v>
      </c>
      <c r="F1138" s="13" t="s">
        <v>2316</v>
      </c>
      <c r="G1138" s="61" t="n">
        <v>2750746824</v>
      </c>
      <c r="H1138" s="13" t="s">
        <v>2255</v>
      </c>
      <c r="I1138" s="13" t="s">
        <v>2314</v>
      </c>
      <c r="J1138" s="13" t="n">
        <v>79</v>
      </c>
      <c r="K1138" s="13" t="s">
        <v>2276</v>
      </c>
      <c r="L1138" s="13" t="s">
        <v>2263</v>
      </c>
      <c r="M1138" s="13"/>
    </row>
    <row r="1139" customFormat="false" ht="15" hidden="false" customHeight="false" outlineLevel="0" collapsed="false">
      <c r="A1139" s="13" t="s">
        <v>628</v>
      </c>
      <c r="B1139" s="13" t="s">
        <v>627</v>
      </c>
      <c r="C1139" s="13" t="s">
        <v>2264</v>
      </c>
      <c r="D1139" s="13" t="s">
        <v>2270</v>
      </c>
      <c r="E1139" s="13" t="s">
        <v>2312</v>
      </c>
      <c r="F1139" s="13" t="s">
        <v>2316</v>
      </c>
      <c r="G1139" s="61" t="n">
        <v>3751652944</v>
      </c>
      <c r="H1139" s="13" t="s">
        <v>2255</v>
      </c>
      <c r="I1139" s="13" t="s">
        <v>2314</v>
      </c>
      <c r="J1139" s="13" t="n">
        <v>79</v>
      </c>
      <c r="K1139" s="13" t="s">
        <v>2277</v>
      </c>
      <c r="L1139" s="13" t="s">
        <v>2265</v>
      </c>
      <c r="M1139" s="13"/>
    </row>
    <row r="1140" customFormat="false" ht="15" hidden="false" customHeight="false" outlineLevel="0" collapsed="false">
      <c r="A1140" s="13" t="s">
        <v>628</v>
      </c>
      <c r="B1140" s="13" t="s">
        <v>627</v>
      </c>
      <c r="C1140" s="13" t="s">
        <v>2266</v>
      </c>
      <c r="D1140" s="13" t="s">
        <v>2270</v>
      </c>
      <c r="E1140" s="13" t="s">
        <v>2312</v>
      </c>
      <c r="F1140" s="13" t="s">
        <v>2316</v>
      </c>
      <c r="G1140" s="61" t="n">
        <v>1856113730</v>
      </c>
      <c r="H1140" s="13" t="s">
        <v>2255</v>
      </c>
      <c r="I1140" s="13" t="s">
        <v>2314</v>
      </c>
      <c r="J1140" s="13" t="n">
        <v>81</v>
      </c>
      <c r="K1140" s="13" t="s">
        <v>2278</v>
      </c>
      <c r="L1140" s="13" t="s">
        <v>2265</v>
      </c>
      <c r="M1140" s="13"/>
    </row>
    <row r="1141" customFormat="false" ht="15" hidden="false" customHeight="false" outlineLevel="0" collapsed="false">
      <c r="A1141" s="13" t="s">
        <v>628</v>
      </c>
      <c r="B1141" s="13" t="s">
        <v>627</v>
      </c>
      <c r="C1141" s="13" t="s">
        <v>2267</v>
      </c>
      <c r="D1141" s="13" t="s">
        <v>2270</v>
      </c>
      <c r="E1141" s="13" t="s">
        <v>2312</v>
      </c>
      <c r="F1141" s="13" t="s">
        <v>2316</v>
      </c>
      <c r="G1141" s="61" t="n">
        <v>9615463824</v>
      </c>
      <c r="H1141" s="13" t="s">
        <v>2255</v>
      </c>
      <c r="I1141" s="13" t="s">
        <v>2314</v>
      </c>
      <c r="J1141" s="13" t="n">
        <v>81</v>
      </c>
      <c r="K1141" s="13" t="s">
        <v>2278</v>
      </c>
      <c r="L1141" s="13" t="s">
        <v>2265</v>
      </c>
      <c r="M1141" s="13"/>
    </row>
    <row r="1142" customFormat="false" ht="15" hidden="false" customHeight="false" outlineLevel="0" collapsed="false">
      <c r="A1142" s="13" t="s">
        <v>628</v>
      </c>
      <c r="B1142" s="13" t="s">
        <v>627</v>
      </c>
      <c r="C1142" s="13" t="s">
        <v>2254</v>
      </c>
      <c r="D1142" s="13" t="s">
        <v>2270</v>
      </c>
      <c r="E1142" s="13" t="s">
        <v>2312</v>
      </c>
      <c r="F1142" s="13" t="s">
        <v>2290</v>
      </c>
      <c r="G1142" s="61" t="n">
        <v>10361877103</v>
      </c>
      <c r="H1142" s="13" t="s">
        <v>2255</v>
      </c>
      <c r="I1142" s="13" t="s">
        <v>2314</v>
      </c>
      <c r="J1142" s="13" t="n">
        <v>67</v>
      </c>
      <c r="K1142" s="13" t="s">
        <v>2274</v>
      </c>
      <c r="L1142" s="13" t="s">
        <v>2257</v>
      </c>
      <c r="M1142" s="13"/>
    </row>
    <row r="1143" customFormat="false" ht="15" hidden="false" customHeight="false" outlineLevel="0" collapsed="false">
      <c r="A1143" s="13" t="s">
        <v>628</v>
      </c>
      <c r="B1143" s="13" t="s">
        <v>627</v>
      </c>
      <c r="C1143" s="13" t="s">
        <v>2258</v>
      </c>
      <c r="D1143" s="13" t="s">
        <v>2270</v>
      </c>
      <c r="E1143" s="13" t="s">
        <v>2312</v>
      </c>
      <c r="F1143" s="13" t="s">
        <v>2290</v>
      </c>
      <c r="G1143" s="61" t="n">
        <v>37745632578</v>
      </c>
      <c r="H1143" s="13" t="s">
        <v>2255</v>
      </c>
      <c r="I1143" s="13" t="s">
        <v>2314</v>
      </c>
      <c r="J1143" s="13" t="n">
        <v>81</v>
      </c>
      <c r="K1143" s="13" t="s">
        <v>2275</v>
      </c>
      <c r="L1143" s="13" t="s">
        <v>2260</v>
      </c>
      <c r="M1143" s="13"/>
    </row>
    <row r="1144" customFormat="false" ht="15" hidden="false" customHeight="false" outlineLevel="0" collapsed="false">
      <c r="A1144" s="13" t="s">
        <v>628</v>
      </c>
      <c r="B1144" s="13" t="s">
        <v>627</v>
      </c>
      <c r="C1144" s="13" t="s">
        <v>2261</v>
      </c>
      <c r="D1144" s="13" t="s">
        <v>2270</v>
      </c>
      <c r="E1144" s="13" t="s">
        <v>2312</v>
      </c>
      <c r="F1144" s="13" t="s">
        <v>2290</v>
      </c>
      <c r="G1144" s="61" t="n">
        <v>39106497692</v>
      </c>
      <c r="H1144" s="13" t="s">
        <v>2255</v>
      </c>
      <c r="I1144" s="13" t="s">
        <v>2314</v>
      </c>
      <c r="J1144" s="13" t="n">
        <v>79</v>
      </c>
      <c r="K1144" s="13" t="s">
        <v>2276</v>
      </c>
      <c r="L1144" s="13" t="s">
        <v>2263</v>
      </c>
      <c r="M1144" s="13"/>
    </row>
    <row r="1145" customFormat="false" ht="15" hidden="false" customHeight="false" outlineLevel="0" collapsed="false">
      <c r="A1145" s="13" t="s">
        <v>628</v>
      </c>
      <c r="B1145" s="13" t="s">
        <v>627</v>
      </c>
      <c r="C1145" s="13" t="s">
        <v>2264</v>
      </c>
      <c r="D1145" s="13" t="s">
        <v>2270</v>
      </c>
      <c r="E1145" s="13" t="s">
        <v>2312</v>
      </c>
      <c r="F1145" s="13" t="s">
        <v>2290</v>
      </c>
      <c r="G1145" s="61" t="n">
        <v>34852503763</v>
      </c>
      <c r="H1145" s="13" t="s">
        <v>2255</v>
      </c>
      <c r="I1145" s="13" t="s">
        <v>2314</v>
      </c>
      <c r="J1145" s="13" t="n">
        <v>79</v>
      </c>
      <c r="K1145" s="13" t="s">
        <v>2277</v>
      </c>
      <c r="L1145" s="13" t="s">
        <v>2265</v>
      </c>
      <c r="M1145" s="13"/>
    </row>
    <row r="1146" customFormat="false" ht="15" hidden="false" customHeight="false" outlineLevel="0" collapsed="false">
      <c r="A1146" s="13" t="s">
        <v>628</v>
      </c>
      <c r="B1146" s="13" t="s">
        <v>627</v>
      </c>
      <c r="C1146" s="13" t="s">
        <v>2266</v>
      </c>
      <c r="D1146" s="13" t="s">
        <v>2270</v>
      </c>
      <c r="E1146" s="13" t="s">
        <v>2312</v>
      </c>
      <c r="F1146" s="13" t="s">
        <v>2290</v>
      </c>
      <c r="G1146" s="61" t="n">
        <v>31257567617</v>
      </c>
      <c r="H1146" s="13" t="s">
        <v>2255</v>
      </c>
      <c r="I1146" s="13" t="s">
        <v>2314</v>
      </c>
      <c r="J1146" s="13" t="n">
        <v>81</v>
      </c>
      <c r="K1146" s="13" t="s">
        <v>2278</v>
      </c>
      <c r="L1146" s="13" t="s">
        <v>2265</v>
      </c>
      <c r="M1146" s="13"/>
    </row>
    <row r="1147" customFormat="false" ht="15" hidden="false" customHeight="false" outlineLevel="0" collapsed="false">
      <c r="A1147" s="13" t="s">
        <v>628</v>
      </c>
      <c r="B1147" s="13" t="s">
        <v>627</v>
      </c>
      <c r="C1147" s="13" t="s">
        <v>2267</v>
      </c>
      <c r="D1147" s="13" t="s">
        <v>2270</v>
      </c>
      <c r="E1147" s="13" t="s">
        <v>2312</v>
      </c>
      <c r="F1147" s="13" t="s">
        <v>2290</v>
      </c>
      <c r="G1147" s="61" t="n">
        <v>35009680673</v>
      </c>
      <c r="H1147" s="13" t="s">
        <v>2255</v>
      </c>
      <c r="I1147" s="13" t="s">
        <v>2314</v>
      </c>
      <c r="J1147" s="13" t="n">
        <v>81</v>
      </c>
      <c r="K1147" s="13" t="s">
        <v>2278</v>
      </c>
      <c r="L1147" s="13" t="s">
        <v>2265</v>
      </c>
      <c r="M1147" s="13"/>
    </row>
    <row r="1148" customFormat="false" ht="15" hidden="false" customHeight="false" outlineLevel="0" collapsed="false">
      <c r="A1148" s="13" t="s">
        <v>628</v>
      </c>
      <c r="B1148" s="13" t="s">
        <v>627</v>
      </c>
      <c r="C1148" s="13" t="s">
        <v>2254</v>
      </c>
      <c r="D1148" s="13" t="s">
        <v>2270</v>
      </c>
      <c r="E1148" s="13" t="s">
        <v>2317</v>
      </c>
      <c r="F1148" s="13" t="s">
        <v>2318</v>
      </c>
      <c r="G1148" s="61" t="n">
        <v>122290271657</v>
      </c>
      <c r="H1148" s="13" t="s">
        <v>2255</v>
      </c>
      <c r="I1148" s="13" t="s">
        <v>2314</v>
      </c>
      <c r="J1148" s="13" t="n">
        <v>67</v>
      </c>
      <c r="K1148" s="13" t="s">
        <v>2274</v>
      </c>
      <c r="L1148" s="13" t="s">
        <v>2257</v>
      </c>
      <c r="M1148" s="13"/>
    </row>
    <row r="1149" customFormat="false" ht="15" hidden="false" customHeight="false" outlineLevel="0" collapsed="false">
      <c r="A1149" s="13" t="s">
        <v>628</v>
      </c>
      <c r="B1149" s="13" t="s">
        <v>627</v>
      </c>
      <c r="C1149" s="13" t="s">
        <v>2258</v>
      </c>
      <c r="D1149" s="13" t="s">
        <v>2270</v>
      </c>
      <c r="E1149" s="13" t="s">
        <v>2317</v>
      </c>
      <c r="F1149" s="13" t="s">
        <v>2318</v>
      </c>
      <c r="G1149" s="61" t="n">
        <v>196161076772</v>
      </c>
      <c r="H1149" s="13" t="s">
        <v>2255</v>
      </c>
      <c r="I1149" s="13" t="s">
        <v>2314</v>
      </c>
      <c r="J1149" s="13" t="n">
        <v>81</v>
      </c>
      <c r="K1149" s="13" t="s">
        <v>2275</v>
      </c>
      <c r="L1149" s="13" t="s">
        <v>2260</v>
      </c>
      <c r="M1149" s="13"/>
    </row>
    <row r="1150" customFormat="false" ht="15" hidden="false" customHeight="false" outlineLevel="0" collapsed="false">
      <c r="A1150" s="13" t="s">
        <v>628</v>
      </c>
      <c r="B1150" s="13" t="s">
        <v>627</v>
      </c>
      <c r="C1150" s="13" t="s">
        <v>2261</v>
      </c>
      <c r="D1150" s="13" t="s">
        <v>2270</v>
      </c>
      <c r="E1150" s="13" t="s">
        <v>2317</v>
      </c>
      <c r="F1150" s="13" t="s">
        <v>2318</v>
      </c>
      <c r="G1150" s="61" t="n">
        <v>229668475223</v>
      </c>
      <c r="H1150" s="13" t="s">
        <v>2255</v>
      </c>
      <c r="I1150" s="13" t="s">
        <v>2314</v>
      </c>
      <c r="J1150" s="13" t="n">
        <v>80</v>
      </c>
      <c r="K1150" s="13" t="s">
        <v>2276</v>
      </c>
      <c r="L1150" s="13" t="s">
        <v>2263</v>
      </c>
      <c r="M1150" s="13"/>
    </row>
    <row r="1151" customFormat="false" ht="15" hidden="false" customHeight="false" outlineLevel="0" collapsed="false">
      <c r="A1151" s="13" t="s">
        <v>628</v>
      </c>
      <c r="B1151" s="13" t="s">
        <v>627</v>
      </c>
      <c r="C1151" s="13" t="s">
        <v>2264</v>
      </c>
      <c r="D1151" s="13" t="s">
        <v>2270</v>
      </c>
      <c r="E1151" s="13" t="s">
        <v>2317</v>
      </c>
      <c r="F1151" s="13" t="s">
        <v>2318</v>
      </c>
      <c r="G1151" s="61" t="n">
        <v>243622470418</v>
      </c>
      <c r="H1151" s="13" t="s">
        <v>2255</v>
      </c>
      <c r="I1151" s="13" t="s">
        <v>2314</v>
      </c>
      <c r="J1151" s="13" t="n">
        <v>80</v>
      </c>
      <c r="K1151" s="13" t="s">
        <v>2277</v>
      </c>
      <c r="L1151" s="13" t="s">
        <v>2265</v>
      </c>
      <c r="M1151" s="13"/>
    </row>
    <row r="1152" customFormat="false" ht="15" hidden="false" customHeight="false" outlineLevel="0" collapsed="false">
      <c r="A1152" s="13" t="s">
        <v>628</v>
      </c>
      <c r="B1152" s="13" t="s">
        <v>627</v>
      </c>
      <c r="C1152" s="13" t="s">
        <v>2266</v>
      </c>
      <c r="D1152" s="13" t="s">
        <v>2270</v>
      </c>
      <c r="E1152" s="13" t="s">
        <v>2317</v>
      </c>
      <c r="F1152" s="13" t="s">
        <v>2318</v>
      </c>
      <c r="G1152" s="61" t="n">
        <v>262097780562</v>
      </c>
      <c r="H1152" s="13" t="s">
        <v>2255</v>
      </c>
      <c r="I1152" s="13" t="s">
        <v>2314</v>
      </c>
      <c r="J1152" s="13" t="n">
        <v>81</v>
      </c>
      <c r="K1152" s="13" t="s">
        <v>2278</v>
      </c>
      <c r="L1152" s="13" t="s">
        <v>2265</v>
      </c>
      <c r="M1152" s="13"/>
    </row>
    <row r="1153" customFormat="false" ht="15" hidden="false" customHeight="false" outlineLevel="0" collapsed="false">
      <c r="A1153" s="13" t="s">
        <v>628</v>
      </c>
      <c r="B1153" s="13" t="s">
        <v>627</v>
      </c>
      <c r="C1153" s="13" t="s">
        <v>2267</v>
      </c>
      <c r="D1153" s="13" t="s">
        <v>2270</v>
      </c>
      <c r="E1153" s="13" t="s">
        <v>2317</v>
      </c>
      <c r="F1153" s="13" t="s">
        <v>2318</v>
      </c>
      <c r="G1153" s="61" t="n">
        <v>253978217203</v>
      </c>
      <c r="H1153" s="13" t="s">
        <v>2255</v>
      </c>
      <c r="I1153" s="13" t="s">
        <v>2314</v>
      </c>
      <c r="J1153" s="13" t="n">
        <v>81</v>
      </c>
      <c r="K1153" s="13" t="s">
        <v>2278</v>
      </c>
      <c r="L1153" s="13" t="s">
        <v>2265</v>
      </c>
      <c r="M1153" s="13"/>
    </row>
    <row r="1154" customFormat="false" ht="15" hidden="false" customHeight="false" outlineLevel="0" collapsed="false">
      <c r="A1154" s="13" t="s">
        <v>628</v>
      </c>
      <c r="B1154" s="13" t="s">
        <v>627</v>
      </c>
      <c r="C1154" s="13" t="s">
        <v>2254</v>
      </c>
      <c r="D1154" s="13" t="s">
        <v>2270</v>
      </c>
      <c r="E1154" s="13" t="s">
        <v>2317</v>
      </c>
      <c r="F1154" s="13" t="s">
        <v>2319</v>
      </c>
      <c r="G1154" s="61" t="n">
        <v>46145100748</v>
      </c>
      <c r="H1154" s="13" t="s">
        <v>2255</v>
      </c>
      <c r="I1154" s="13" t="s">
        <v>2314</v>
      </c>
      <c r="J1154" s="13" t="n">
        <v>67</v>
      </c>
      <c r="K1154" s="13" t="s">
        <v>2274</v>
      </c>
      <c r="L1154" s="13" t="s">
        <v>2257</v>
      </c>
      <c r="M1154" s="13"/>
    </row>
    <row r="1155" customFormat="false" ht="15" hidden="false" customHeight="false" outlineLevel="0" collapsed="false">
      <c r="A1155" s="13" t="s">
        <v>628</v>
      </c>
      <c r="B1155" s="13" t="s">
        <v>627</v>
      </c>
      <c r="C1155" s="13" t="s">
        <v>2258</v>
      </c>
      <c r="D1155" s="13" t="s">
        <v>2270</v>
      </c>
      <c r="E1155" s="13" t="s">
        <v>2317</v>
      </c>
      <c r="F1155" s="13" t="s">
        <v>2319</v>
      </c>
      <c r="G1155" s="61" t="n">
        <v>48886899137</v>
      </c>
      <c r="H1155" s="13" t="s">
        <v>2255</v>
      </c>
      <c r="I1155" s="13" t="s">
        <v>2314</v>
      </c>
      <c r="J1155" s="13" t="n">
        <v>81</v>
      </c>
      <c r="K1155" s="13" t="s">
        <v>2275</v>
      </c>
      <c r="L1155" s="13" t="s">
        <v>2260</v>
      </c>
      <c r="M1155" s="13"/>
    </row>
    <row r="1156" customFormat="false" ht="15" hidden="false" customHeight="false" outlineLevel="0" collapsed="false">
      <c r="A1156" s="13" t="s">
        <v>628</v>
      </c>
      <c r="B1156" s="13" t="s">
        <v>627</v>
      </c>
      <c r="C1156" s="13" t="s">
        <v>2261</v>
      </c>
      <c r="D1156" s="13" t="s">
        <v>2270</v>
      </c>
      <c r="E1156" s="13" t="s">
        <v>2317</v>
      </c>
      <c r="F1156" s="13" t="s">
        <v>2319</v>
      </c>
      <c r="G1156" s="61" t="n">
        <v>77960717192</v>
      </c>
      <c r="H1156" s="13" t="s">
        <v>2255</v>
      </c>
      <c r="I1156" s="13" t="s">
        <v>2314</v>
      </c>
      <c r="J1156" s="13" t="n">
        <v>80</v>
      </c>
      <c r="K1156" s="13" t="s">
        <v>2276</v>
      </c>
      <c r="L1156" s="13" t="s">
        <v>2263</v>
      </c>
      <c r="M1156" s="13"/>
    </row>
    <row r="1157" customFormat="false" ht="15" hidden="false" customHeight="false" outlineLevel="0" collapsed="false">
      <c r="A1157" s="13" t="s">
        <v>628</v>
      </c>
      <c r="B1157" s="13" t="s">
        <v>627</v>
      </c>
      <c r="C1157" s="13" t="s">
        <v>2264</v>
      </c>
      <c r="D1157" s="13" t="s">
        <v>2270</v>
      </c>
      <c r="E1157" s="13" t="s">
        <v>2317</v>
      </c>
      <c r="F1157" s="13" t="s">
        <v>2319</v>
      </c>
      <c r="G1157" s="61" t="n">
        <v>82492083749</v>
      </c>
      <c r="H1157" s="13" t="s">
        <v>2255</v>
      </c>
      <c r="I1157" s="13" t="s">
        <v>2314</v>
      </c>
      <c r="J1157" s="13" t="n">
        <v>80</v>
      </c>
      <c r="K1157" s="13" t="s">
        <v>2277</v>
      </c>
      <c r="L1157" s="13" t="s">
        <v>2265</v>
      </c>
      <c r="M1157" s="13"/>
    </row>
    <row r="1158" customFormat="false" ht="15" hidden="false" customHeight="false" outlineLevel="0" collapsed="false">
      <c r="A1158" s="13" t="s">
        <v>628</v>
      </c>
      <c r="B1158" s="13" t="s">
        <v>627</v>
      </c>
      <c r="C1158" s="13" t="s">
        <v>2266</v>
      </c>
      <c r="D1158" s="13" t="s">
        <v>2270</v>
      </c>
      <c r="E1158" s="13" t="s">
        <v>2317</v>
      </c>
      <c r="F1158" s="13" t="s">
        <v>2319</v>
      </c>
      <c r="G1158" s="61" t="n">
        <v>85354786101</v>
      </c>
      <c r="H1158" s="13" t="s">
        <v>2255</v>
      </c>
      <c r="I1158" s="13" t="s">
        <v>2314</v>
      </c>
      <c r="J1158" s="13" t="n">
        <v>81</v>
      </c>
      <c r="K1158" s="13" t="s">
        <v>2278</v>
      </c>
      <c r="L1158" s="13" t="s">
        <v>2265</v>
      </c>
      <c r="M1158" s="13"/>
    </row>
    <row r="1159" customFormat="false" ht="15" hidden="false" customHeight="false" outlineLevel="0" collapsed="false">
      <c r="A1159" s="13" t="s">
        <v>628</v>
      </c>
      <c r="B1159" s="13" t="s">
        <v>627</v>
      </c>
      <c r="C1159" s="13" t="s">
        <v>2267</v>
      </c>
      <c r="D1159" s="13" t="s">
        <v>2270</v>
      </c>
      <c r="E1159" s="13" t="s">
        <v>2317</v>
      </c>
      <c r="F1159" s="13" t="s">
        <v>2319</v>
      </c>
      <c r="G1159" s="61" t="n">
        <v>78017175261</v>
      </c>
      <c r="H1159" s="13" t="s">
        <v>2255</v>
      </c>
      <c r="I1159" s="13" t="s">
        <v>2314</v>
      </c>
      <c r="J1159" s="13" t="n">
        <v>81</v>
      </c>
      <c r="K1159" s="13" t="s">
        <v>2278</v>
      </c>
      <c r="L1159" s="13" t="s">
        <v>2265</v>
      </c>
      <c r="M1159" s="13"/>
    </row>
    <row r="1160" customFormat="false" ht="15" hidden="false" customHeight="false" outlineLevel="0" collapsed="false">
      <c r="A1160" s="13" t="s">
        <v>628</v>
      </c>
      <c r="B1160" s="13" t="s">
        <v>627</v>
      </c>
      <c r="C1160" s="13" t="s">
        <v>2254</v>
      </c>
      <c r="D1160" s="13" t="s">
        <v>2270</v>
      </c>
      <c r="E1160" s="13" t="s">
        <v>2317</v>
      </c>
      <c r="F1160" s="13" t="s">
        <v>2320</v>
      </c>
      <c r="G1160" s="61" t="n">
        <v>17106906698</v>
      </c>
      <c r="H1160" s="13" t="s">
        <v>2255</v>
      </c>
      <c r="I1160" s="13" t="s">
        <v>2314</v>
      </c>
      <c r="J1160" s="13" t="n">
        <v>67</v>
      </c>
      <c r="K1160" s="13" t="s">
        <v>2274</v>
      </c>
      <c r="L1160" s="13" t="s">
        <v>2257</v>
      </c>
      <c r="M1160" s="13"/>
    </row>
    <row r="1161" customFormat="false" ht="15" hidden="false" customHeight="false" outlineLevel="0" collapsed="false">
      <c r="A1161" s="13" t="s">
        <v>628</v>
      </c>
      <c r="B1161" s="13" t="s">
        <v>627</v>
      </c>
      <c r="C1161" s="13" t="s">
        <v>2258</v>
      </c>
      <c r="D1161" s="13" t="s">
        <v>2270</v>
      </c>
      <c r="E1161" s="13" t="s">
        <v>2317</v>
      </c>
      <c r="F1161" s="13" t="s">
        <v>2320</v>
      </c>
      <c r="G1161" s="61" t="n">
        <v>35953426001</v>
      </c>
      <c r="H1161" s="13" t="s">
        <v>2255</v>
      </c>
      <c r="I1161" s="13" t="s">
        <v>2314</v>
      </c>
      <c r="J1161" s="13" t="n">
        <v>81</v>
      </c>
      <c r="K1161" s="13" t="s">
        <v>2275</v>
      </c>
      <c r="L1161" s="13" t="s">
        <v>2260</v>
      </c>
      <c r="M1161" s="13"/>
    </row>
    <row r="1162" customFormat="false" ht="15" hidden="false" customHeight="false" outlineLevel="0" collapsed="false">
      <c r="A1162" s="13" t="s">
        <v>628</v>
      </c>
      <c r="B1162" s="13" t="s">
        <v>627</v>
      </c>
      <c r="C1162" s="13" t="s">
        <v>2261</v>
      </c>
      <c r="D1162" s="13" t="s">
        <v>2270</v>
      </c>
      <c r="E1162" s="13" t="s">
        <v>2317</v>
      </c>
      <c r="F1162" s="13" t="s">
        <v>2320</v>
      </c>
      <c r="G1162" s="61" t="n">
        <v>37822134599</v>
      </c>
      <c r="H1162" s="13" t="s">
        <v>2255</v>
      </c>
      <c r="I1162" s="13" t="s">
        <v>2314</v>
      </c>
      <c r="J1162" s="13" t="n">
        <v>80</v>
      </c>
      <c r="K1162" s="13" t="s">
        <v>2276</v>
      </c>
      <c r="L1162" s="13" t="s">
        <v>2263</v>
      </c>
      <c r="M1162" s="13"/>
    </row>
    <row r="1163" customFormat="false" ht="15" hidden="false" customHeight="false" outlineLevel="0" collapsed="false">
      <c r="A1163" s="13" t="s">
        <v>628</v>
      </c>
      <c r="B1163" s="13" t="s">
        <v>627</v>
      </c>
      <c r="C1163" s="13" t="s">
        <v>2264</v>
      </c>
      <c r="D1163" s="13" t="s">
        <v>2270</v>
      </c>
      <c r="E1163" s="13" t="s">
        <v>2317</v>
      </c>
      <c r="F1163" s="13" t="s">
        <v>2320</v>
      </c>
      <c r="G1163" s="61" t="n">
        <v>39404202689</v>
      </c>
      <c r="H1163" s="13" t="s">
        <v>2255</v>
      </c>
      <c r="I1163" s="13" t="s">
        <v>2314</v>
      </c>
      <c r="J1163" s="13" t="n">
        <v>80</v>
      </c>
      <c r="K1163" s="13" t="s">
        <v>2277</v>
      </c>
      <c r="L1163" s="13" t="s">
        <v>2265</v>
      </c>
      <c r="M1163" s="13"/>
    </row>
    <row r="1164" customFormat="false" ht="15" hidden="false" customHeight="false" outlineLevel="0" collapsed="false">
      <c r="A1164" s="13" t="s">
        <v>628</v>
      </c>
      <c r="B1164" s="13" t="s">
        <v>627</v>
      </c>
      <c r="C1164" s="13" t="s">
        <v>2266</v>
      </c>
      <c r="D1164" s="13" t="s">
        <v>2270</v>
      </c>
      <c r="E1164" s="13" t="s">
        <v>2317</v>
      </c>
      <c r="F1164" s="13" t="s">
        <v>2320</v>
      </c>
      <c r="G1164" s="61" t="n">
        <v>32238811785</v>
      </c>
      <c r="H1164" s="13" t="s">
        <v>2255</v>
      </c>
      <c r="I1164" s="13" t="s">
        <v>2314</v>
      </c>
      <c r="J1164" s="13" t="n">
        <v>81</v>
      </c>
      <c r="K1164" s="13" t="s">
        <v>2278</v>
      </c>
      <c r="L1164" s="13" t="s">
        <v>2265</v>
      </c>
      <c r="M1164" s="13"/>
    </row>
    <row r="1165" customFormat="false" ht="15" hidden="false" customHeight="false" outlineLevel="0" collapsed="false">
      <c r="A1165" s="13" t="s">
        <v>628</v>
      </c>
      <c r="B1165" s="13" t="s">
        <v>627</v>
      </c>
      <c r="C1165" s="13" t="s">
        <v>2267</v>
      </c>
      <c r="D1165" s="13" t="s">
        <v>2270</v>
      </c>
      <c r="E1165" s="13" t="s">
        <v>2317</v>
      </c>
      <c r="F1165" s="13" t="s">
        <v>2320</v>
      </c>
      <c r="G1165" s="61" t="n">
        <v>50027210200</v>
      </c>
      <c r="H1165" s="13" t="s">
        <v>2255</v>
      </c>
      <c r="I1165" s="13" t="s">
        <v>2314</v>
      </c>
      <c r="J1165" s="13" t="n">
        <v>81</v>
      </c>
      <c r="K1165" s="13" t="s">
        <v>2278</v>
      </c>
      <c r="L1165" s="13" t="s">
        <v>2265</v>
      </c>
      <c r="M1165" s="13"/>
    </row>
    <row r="1166" customFormat="false" ht="15" hidden="false" customHeight="false" outlineLevel="0" collapsed="false">
      <c r="A1166" s="13" t="s">
        <v>628</v>
      </c>
      <c r="B1166" s="13" t="s">
        <v>627</v>
      </c>
      <c r="C1166" s="13" t="s">
        <v>2254</v>
      </c>
      <c r="D1166" s="13" t="s">
        <v>2270</v>
      </c>
      <c r="E1166" s="13" t="s">
        <v>2317</v>
      </c>
      <c r="F1166" s="13" t="s">
        <v>2321</v>
      </c>
      <c r="G1166" s="61" t="n">
        <v>12144495437</v>
      </c>
      <c r="H1166" s="13" t="s">
        <v>2255</v>
      </c>
      <c r="I1166" s="13" t="s">
        <v>2314</v>
      </c>
      <c r="J1166" s="13" t="n">
        <v>67</v>
      </c>
      <c r="K1166" s="13" t="s">
        <v>2274</v>
      </c>
      <c r="L1166" s="13" t="s">
        <v>2257</v>
      </c>
      <c r="M1166" s="13"/>
    </row>
    <row r="1167" customFormat="false" ht="15" hidden="false" customHeight="false" outlineLevel="0" collapsed="false">
      <c r="A1167" s="13" t="s">
        <v>628</v>
      </c>
      <c r="B1167" s="13" t="s">
        <v>627</v>
      </c>
      <c r="C1167" s="13" t="s">
        <v>2258</v>
      </c>
      <c r="D1167" s="13" t="s">
        <v>2270</v>
      </c>
      <c r="E1167" s="13" t="s">
        <v>2317</v>
      </c>
      <c r="F1167" s="13" t="s">
        <v>2321</v>
      </c>
      <c r="G1167" s="61" t="n">
        <v>22523019455</v>
      </c>
      <c r="H1167" s="13" t="s">
        <v>2255</v>
      </c>
      <c r="I1167" s="13" t="s">
        <v>2314</v>
      </c>
      <c r="J1167" s="13" t="n">
        <v>81</v>
      </c>
      <c r="K1167" s="13" t="s">
        <v>2275</v>
      </c>
      <c r="L1167" s="13" t="s">
        <v>2260</v>
      </c>
      <c r="M1167" s="13"/>
    </row>
    <row r="1168" customFormat="false" ht="15" hidden="false" customHeight="false" outlineLevel="0" collapsed="false">
      <c r="A1168" s="13" t="s">
        <v>628</v>
      </c>
      <c r="B1168" s="13" t="s">
        <v>627</v>
      </c>
      <c r="C1168" s="13" t="s">
        <v>2261</v>
      </c>
      <c r="D1168" s="13" t="s">
        <v>2270</v>
      </c>
      <c r="E1168" s="13" t="s">
        <v>2317</v>
      </c>
      <c r="F1168" s="13" t="s">
        <v>2321</v>
      </c>
      <c r="G1168" s="61" t="n">
        <v>30576498120</v>
      </c>
      <c r="H1168" s="13" t="s">
        <v>2255</v>
      </c>
      <c r="I1168" s="13" t="s">
        <v>2314</v>
      </c>
      <c r="J1168" s="13" t="n">
        <v>80</v>
      </c>
      <c r="K1168" s="13" t="s">
        <v>2276</v>
      </c>
      <c r="L1168" s="13" t="s">
        <v>2263</v>
      </c>
      <c r="M1168" s="13"/>
    </row>
    <row r="1169" customFormat="false" ht="15" hidden="false" customHeight="false" outlineLevel="0" collapsed="false">
      <c r="A1169" s="13" t="s">
        <v>628</v>
      </c>
      <c r="B1169" s="13" t="s">
        <v>627</v>
      </c>
      <c r="C1169" s="13" t="s">
        <v>2264</v>
      </c>
      <c r="D1169" s="13" t="s">
        <v>2270</v>
      </c>
      <c r="E1169" s="13" t="s">
        <v>2317</v>
      </c>
      <c r="F1169" s="13" t="s">
        <v>2321</v>
      </c>
      <c r="G1169" s="61" t="n">
        <v>31061918084</v>
      </c>
      <c r="H1169" s="13" t="s">
        <v>2255</v>
      </c>
      <c r="I1169" s="13" t="s">
        <v>2314</v>
      </c>
      <c r="J1169" s="13" t="n">
        <v>80</v>
      </c>
      <c r="K1169" s="13" t="s">
        <v>2277</v>
      </c>
      <c r="L1169" s="13" t="s">
        <v>2265</v>
      </c>
      <c r="M1169" s="13"/>
    </row>
    <row r="1170" customFormat="false" ht="15" hidden="false" customHeight="false" outlineLevel="0" collapsed="false">
      <c r="A1170" s="13" t="s">
        <v>628</v>
      </c>
      <c r="B1170" s="13" t="s">
        <v>627</v>
      </c>
      <c r="C1170" s="13" t="s">
        <v>2266</v>
      </c>
      <c r="D1170" s="13" t="s">
        <v>2270</v>
      </c>
      <c r="E1170" s="13" t="s">
        <v>2317</v>
      </c>
      <c r="F1170" s="13" t="s">
        <v>2321</v>
      </c>
      <c r="G1170" s="61" t="n">
        <v>24643746342</v>
      </c>
      <c r="H1170" s="13" t="s">
        <v>2255</v>
      </c>
      <c r="I1170" s="13" t="s">
        <v>2314</v>
      </c>
      <c r="J1170" s="13" t="n">
        <v>81</v>
      </c>
      <c r="K1170" s="13" t="s">
        <v>2278</v>
      </c>
      <c r="L1170" s="13" t="s">
        <v>2265</v>
      </c>
      <c r="M1170" s="13"/>
    </row>
    <row r="1171" customFormat="false" ht="15" hidden="false" customHeight="false" outlineLevel="0" collapsed="false">
      <c r="A1171" s="13" t="s">
        <v>628</v>
      </c>
      <c r="B1171" s="13" t="s">
        <v>627</v>
      </c>
      <c r="C1171" s="13" t="s">
        <v>2267</v>
      </c>
      <c r="D1171" s="13" t="s">
        <v>2270</v>
      </c>
      <c r="E1171" s="13" t="s">
        <v>2317</v>
      </c>
      <c r="F1171" s="13" t="s">
        <v>2321</v>
      </c>
      <c r="G1171" s="61" t="n">
        <v>43384485751</v>
      </c>
      <c r="H1171" s="13" t="s">
        <v>2255</v>
      </c>
      <c r="I1171" s="13" t="s">
        <v>2314</v>
      </c>
      <c r="J1171" s="13" t="n">
        <v>81</v>
      </c>
      <c r="K1171" s="13" t="s">
        <v>2278</v>
      </c>
      <c r="L1171" s="13" t="s">
        <v>2265</v>
      </c>
      <c r="M1171" s="13"/>
    </row>
    <row r="1172" customFormat="false" ht="15" hidden="false" customHeight="false" outlineLevel="0" collapsed="false">
      <c r="A1172" s="13" t="s">
        <v>628</v>
      </c>
      <c r="B1172" s="13" t="s">
        <v>627</v>
      </c>
      <c r="C1172" s="13" t="s">
        <v>2254</v>
      </c>
      <c r="D1172" s="13" t="s">
        <v>2270</v>
      </c>
      <c r="E1172" s="13" t="s">
        <v>2317</v>
      </c>
      <c r="F1172" s="13" t="s">
        <v>2322</v>
      </c>
      <c r="G1172" s="61" t="n">
        <v>22520410932</v>
      </c>
      <c r="H1172" s="13" t="s">
        <v>2255</v>
      </c>
      <c r="I1172" s="13" t="s">
        <v>2314</v>
      </c>
      <c r="J1172" s="13" t="n">
        <v>67</v>
      </c>
      <c r="K1172" s="13" t="s">
        <v>2274</v>
      </c>
      <c r="L1172" s="13" t="s">
        <v>2257</v>
      </c>
      <c r="M1172" s="13"/>
    </row>
    <row r="1173" customFormat="false" ht="15" hidden="false" customHeight="false" outlineLevel="0" collapsed="false">
      <c r="A1173" s="13" t="s">
        <v>628</v>
      </c>
      <c r="B1173" s="13" t="s">
        <v>627</v>
      </c>
      <c r="C1173" s="13" t="s">
        <v>2258</v>
      </c>
      <c r="D1173" s="13" t="s">
        <v>2270</v>
      </c>
      <c r="E1173" s="13" t="s">
        <v>2317</v>
      </c>
      <c r="F1173" s="13" t="s">
        <v>2322</v>
      </c>
      <c r="G1173" s="61" t="n">
        <v>22089849141</v>
      </c>
      <c r="H1173" s="13" t="s">
        <v>2255</v>
      </c>
      <c r="I1173" s="13" t="s">
        <v>2314</v>
      </c>
      <c r="J1173" s="13" t="n">
        <v>81</v>
      </c>
      <c r="K1173" s="13" t="s">
        <v>2275</v>
      </c>
      <c r="L1173" s="13" t="s">
        <v>2260</v>
      </c>
      <c r="M1173" s="13"/>
    </row>
    <row r="1174" customFormat="false" ht="15" hidden="false" customHeight="false" outlineLevel="0" collapsed="false">
      <c r="A1174" s="13" t="s">
        <v>628</v>
      </c>
      <c r="B1174" s="13" t="s">
        <v>627</v>
      </c>
      <c r="C1174" s="13" t="s">
        <v>2261</v>
      </c>
      <c r="D1174" s="13" t="s">
        <v>2270</v>
      </c>
      <c r="E1174" s="13" t="s">
        <v>2317</v>
      </c>
      <c r="F1174" s="13" t="s">
        <v>2322</v>
      </c>
      <c r="G1174" s="61" t="n">
        <v>23120307102</v>
      </c>
      <c r="H1174" s="13" t="s">
        <v>2255</v>
      </c>
      <c r="I1174" s="13" t="s">
        <v>2314</v>
      </c>
      <c r="J1174" s="13" t="n">
        <v>80</v>
      </c>
      <c r="K1174" s="13" t="s">
        <v>2276</v>
      </c>
      <c r="L1174" s="13" t="s">
        <v>2263</v>
      </c>
      <c r="M1174" s="13"/>
    </row>
    <row r="1175" customFormat="false" ht="15" hidden="false" customHeight="false" outlineLevel="0" collapsed="false">
      <c r="A1175" s="13" t="s">
        <v>628</v>
      </c>
      <c r="B1175" s="13" t="s">
        <v>627</v>
      </c>
      <c r="C1175" s="13" t="s">
        <v>2264</v>
      </c>
      <c r="D1175" s="13" t="s">
        <v>2270</v>
      </c>
      <c r="E1175" s="13" t="s">
        <v>2317</v>
      </c>
      <c r="F1175" s="13" t="s">
        <v>2322</v>
      </c>
      <c r="G1175" s="61" t="n">
        <v>26923063737</v>
      </c>
      <c r="H1175" s="13" t="s">
        <v>2255</v>
      </c>
      <c r="I1175" s="13" t="s">
        <v>2314</v>
      </c>
      <c r="J1175" s="13" t="n">
        <v>80</v>
      </c>
      <c r="K1175" s="13" t="s">
        <v>2277</v>
      </c>
      <c r="L1175" s="13" t="s">
        <v>2265</v>
      </c>
      <c r="M1175" s="13"/>
    </row>
    <row r="1176" customFormat="false" ht="15" hidden="false" customHeight="false" outlineLevel="0" collapsed="false">
      <c r="A1176" s="13" t="s">
        <v>628</v>
      </c>
      <c r="B1176" s="13" t="s">
        <v>627</v>
      </c>
      <c r="C1176" s="13" t="s">
        <v>2266</v>
      </c>
      <c r="D1176" s="13" t="s">
        <v>2270</v>
      </c>
      <c r="E1176" s="13" t="s">
        <v>2317</v>
      </c>
      <c r="F1176" s="13" t="s">
        <v>2322</v>
      </c>
      <c r="G1176" s="61" t="n">
        <v>30012550267</v>
      </c>
      <c r="H1176" s="13" t="s">
        <v>2255</v>
      </c>
      <c r="I1176" s="13" t="s">
        <v>2314</v>
      </c>
      <c r="J1176" s="13" t="n">
        <v>81</v>
      </c>
      <c r="K1176" s="13" t="s">
        <v>2278</v>
      </c>
      <c r="L1176" s="13" t="s">
        <v>2265</v>
      </c>
      <c r="M1176" s="13"/>
    </row>
    <row r="1177" customFormat="false" ht="15" hidden="false" customHeight="false" outlineLevel="0" collapsed="false">
      <c r="A1177" s="13" t="s">
        <v>628</v>
      </c>
      <c r="B1177" s="13" t="s">
        <v>627</v>
      </c>
      <c r="C1177" s="13" t="s">
        <v>2267</v>
      </c>
      <c r="D1177" s="13" t="s">
        <v>2270</v>
      </c>
      <c r="E1177" s="13" t="s">
        <v>2317</v>
      </c>
      <c r="F1177" s="13" t="s">
        <v>2322</v>
      </c>
      <c r="G1177" s="61" t="n">
        <v>35442145614</v>
      </c>
      <c r="H1177" s="13" t="s">
        <v>2255</v>
      </c>
      <c r="I1177" s="13" t="s">
        <v>2314</v>
      </c>
      <c r="J1177" s="13" t="n">
        <v>81</v>
      </c>
      <c r="K1177" s="13" t="s">
        <v>2278</v>
      </c>
      <c r="L1177" s="13" t="s">
        <v>2265</v>
      </c>
      <c r="M1177" s="13"/>
    </row>
    <row r="1178" customFormat="false" ht="15" hidden="false" customHeight="false" outlineLevel="0" collapsed="false">
      <c r="A1178" s="13" t="s">
        <v>628</v>
      </c>
      <c r="B1178" s="13" t="s">
        <v>627</v>
      </c>
      <c r="C1178" s="13" t="s">
        <v>2254</v>
      </c>
      <c r="D1178" s="13" t="s">
        <v>2270</v>
      </c>
      <c r="E1178" s="13" t="s">
        <v>2317</v>
      </c>
      <c r="F1178" s="13" t="s">
        <v>2323</v>
      </c>
      <c r="G1178" s="61" t="n">
        <v>37081215015</v>
      </c>
      <c r="H1178" s="13" t="s">
        <v>2255</v>
      </c>
      <c r="I1178" s="13" t="s">
        <v>2314</v>
      </c>
      <c r="J1178" s="13" t="n">
        <v>67</v>
      </c>
      <c r="K1178" s="13" t="s">
        <v>2274</v>
      </c>
      <c r="L1178" s="13" t="s">
        <v>2257</v>
      </c>
      <c r="M1178" s="13"/>
    </row>
    <row r="1179" customFormat="false" ht="15" hidden="false" customHeight="false" outlineLevel="0" collapsed="false">
      <c r="A1179" s="13" t="s">
        <v>628</v>
      </c>
      <c r="B1179" s="13" t="s">
        <v>627</v>
      </c>
      <c r="C1179" s="13" t="s">
        <v>2258</v>
      </c>
      <c r="D1179" s="13" t="s">
        <v>2270</v>
      </c>
      <c r="E1179" s="13" t="s">
        <v>2317</v>
      </c>
      <c r="F1179" s="13" t="s">
        <v>2323</v>
      </c>
      <c r="G1179" s="61" t="n">
        <v>38662521503</v>
      </c>
      <c r="H1179" s="13" t="s">
        <v>2255</v>
      </c>
      <c r="I1179" s="13" t="s">
        <v>2314</v>
      </c>
      <c r="J1179" s="13" t="n">
        <v>81</v>
      </c>
      <c r="K1179" s="13" t="s">
        <v>2275</v>
      </c>
      <c r="L1179" s="13" t="s">
        <v>2260</v>
      </c>
      <c r="M1179" s="13"/>
    </row>
    <row r="1180" customFormat="false" ht="15" hidden="false" customHeight="false" outlineLevel="0" collapsed="false">
      <c r="A1180" s="13" t="s">
        <v>628</v>
      </c>
      <c r="B1180" s="13" t="s">
        <v>627</v>
      </c>
      <c r="C1180" s="13" t="s">
        <v>2261</v>
      </c>
      <c r="D1180" s="13" t="s">
        <v>2270</v>
      </c>
      <c r="E1180" s="13" t="s">
        <v>2317</v>
      </c>
      <c r="F1180" s="13" t="s">
        <v>2323</v>
      </c>
      <c r="G1180" s="61" t="n">
        <v>22572582460</v>
      </c>
      <c r="H1180" s="13" t="s">
        <v>2255</v>
      </c>
      <c r="I1180" s="13" t="s">
        <v>2314</v>
      </c>
      <c r="J1180" s="13" t="n">
        <v>80</v>
      </c>
      <c r="K1180" s="13" t="s">
        <v>2276</v>
      </c>
      <c r="L1180" s="13" t="s">
        <v>2263</v>
      </c>
      <c r="M1180" s="13"/>
    </row>
    <row r="1181" customFormat="false" ht="15" hidden="false" customHeight="false" outlineLevel="0" collapsed="false">
      <c r="A1181" s="13" t="s">
        <v>628</v>
      </c>
      <c r="B1181" s="13" t="s">
        <v>627</v>
      </c>
      <c r="C1181" s="13" t="s">
        <v>2264</v>
      </c>
      <c r="D1181" s="13" t="s">
        <v>2270</v>
      </c>
      <c r="E1181" s="13" t="s">
        <v>2317</v>
      </c>
      <c r="F1181" s="13" t="s">
        <v>2323</v>
      </c>
      <c r="G1181" s="61" t="n">
        <v>25832531155</v>
      </c>
      <c r="H1181" s="13" t="s">
        <v>2255</v>
      </c>
      <c r="I1181" s="13" t="s">
        <v>2314</v>
      </c>
      <c r="J1181" s="13" t="n">
        <v>80</v>
      </c>
      <c r="K1181" s="13" t="s">
        <v>2277</v>
      </c>
      <c r="L1181" s="13" t="s">
        <v>2265</v>
      </c>
      <c r="M1181" s="13"/>
    </row>
    <row r="1182" customFormat="false" ht="15" hidden="false" customHeight="false" outlineLevel="0" collapsed="false">
      <c r="A1182" s="13" t="s">
        <v>628</v>
      </c>
      <c r="B1182" s="13" t="s">
        <v>627</v>
      </c>
      <c r="C1182" s="13" t="s">
        <v>2266</v>
      </c>
      <c r="D1182" s="13" t="s">
        <v>2270</v>
      </c>
      <c r="E1182" s="13" t="s">
        <v>2317</v>
      </c>
      <c r="F1182" s="13" t="s">
        <v>2323</v>
      </c>
      <c r="G1182" s="61" t="n">
        <v>27267185590</v>
      </c>
      <c r="H1182" s="13" t="s">
        <v>2255</v>
      </c>
      <c r="I1182" s="13" t="s">
        <v>2314</v>
      </c>
      <c r="J1182" s="13" t="n">
        <v>81</v>
      </c>
      <c r="K1182" s="13" t="s">
        <v>2278</v>
      </c>
      <c r="L1182" s="13" t="s">
        <v>2265</v>
      </c>
      <c r="M1182" s="13"/>
    </row>
    <row r="1183" customFormat="false" ht="15" hidden="false" customHeight="false" outlineLevel="0" collapsed="false">
      <c r="A1183" s="13" t="s">
        <v>628</v>
      </c>
      <c r="B1183" s="13" t="s">
        <v>627</v>
      </c>
      <c r="C1183" s="13" t="s">
        <v>2267</v>
      </c>
      <c r="D1183" s="13" t="s">
        <v>2270</v>
      </c>
      <c r="E1183" s="13" t="s">
        <v>2317</v>
      </c>
      <c r="F1183" s="13" t="s">
        <v>2323</v>
      </c>
      <c r="G1183" s="61" t="n">
        <v>22930391177</v>
      </c>
      <c r="H1183" s="13" t="s">
        <v>2255</v>
      </c>
      <c r="I1183" s="13" t="s">
        <v>2314</v>
      </c>
      <c r="J1183" s="13" t="n">
        <v>81</v>
      </c>
      <c r="K1183" s="13" t="s">
        <v>2278</v>
      </c>
      <c r="L1183" s="13" t="s">
        <v>2265</v>
      </c>
      <c r="M1183" s="13"/>
    </row>
    <row r="1184" customFormat="false" ht="15" hidden="false" customHeight="false" outlineLevel="0" collapsed="false">
      <c r="A1184" s="13" t="s">
        <v>628</v>
      </c>
      <c r="B1184" s="13" t="s">
        <v>627</v>
      </c>
      <c r="C1184" s="13" t="s">
        <v>2254</v>
      </c>
      <c r="D1184" s="13" t="s">
        <v>2270</v>
      </c>
      <c r="E1184" s="13" t="s">
        <v>2317</v>
      </c>
      <c r="F1184" s="13" t="s">
        <v>2324</v>
      </c>
      <c r="G1184" s="61" t="n">
        <v>12476449114</v>
      </c>
      <c r="H1184" s="13" t="s">
        <v>2255</v>
      </c>
      <c r="I1184" s="13" t="s">
        <v>2314</v>
      </c>
      <c r="J1184" s="13" t="n">
        <v>67</v>
      </c>
      <c r="K1184" s="13" t="s">
        <v>2274</v>
      </c>
      <c r="L1184" s="13" t="s">
        <v>2257</v>
      </c>
      <c r="M1184" s="13"/>
    </row>
    <row r="1185" customFormat="false" ht="15" hidden="false" customHeight="false" outlineLevel="0" collapsed="false">
      <c r="A1185" s="13" t="s">
        <v>628</v>
      </c>
      <c r="B1185" s="13" t="s">
        <v>627</v>
      </c>
      <c r="C1185" s="13" t="s">
        <v>2258</v>
      </c>
      <c r="D1185" s="13" t="s">
        <v>2270</v>
      </c>
      <c r="E1185" s="13" t="s">
        <v>2317</v>
      </c>
      <c r="F1185" s="13" t="s">
        <v>2324</v>
      </c>
      <c r="G1185" s="61" t="n">
        <v>15563274752</v>
      </c>
      <c r="H1185" s="13" t="s">
        <v>2255</v>
      </c>
      <c r="I1185" s="13" t="s">
        <v>2314</v>
      </c>
      <c r="J1185" s="13" t="n">
        <v>81</v>
      </c>
      <c r="K1185" s="13" t="s">
        <v>2275</v>
      </c>
      <c r="L1185" s="13" t="s">
        <v>2260</v>
      </c>
      <c r="M1185" s="13"/>
    </row>
    <row r="1186" customFormat="false" ht="15" hidden="false" customHeight="false" outlineLevel="0" collapsed="false">
      <c r="A1186" s="13" t="s">
        <v>628</v>
      </c>
      <c r="B1186" s="13" t="s">
        <v>627</v>
      </c>
      <c r="C1186" s="13" t="s">
        <v>2261</v>
      </c>
      <c r="D1186" s="13" t="s">
        <v>2270</v>
      </c>
      <c r="E1186" s="13" t="s">
        <v>2317</v>
      </c>
      <c r="F1186" s="13" t="s">
        <v>2324</v>
      </c>
      <c r="G1186" s="61" t="n">
        <v>16162910512</v>
      </c>
      <c r="H1186" s="13" t="s">
        <v>2255</v>
      </c>
      <c r="I1186" s="13" t="s">
        <v>2314</v>
      </c>
      <c r="J1186" s="13" t="n">
        <v>80</v>
      </c>
      <c r="K1186" s="13" t="s">
        <v>2276</v>
      </c>
      <c r="L1186" s="13" t="s">
        <v>2263</v>
      </c>
      <c r="M1186" s="13"/>
    </row>
    <row r="1187" customFormat="false" ht="15" hidden="false" customHeight="false" outlineLevel="0" collapsed="false">
      <c r="A1187" s="13" t="s">
        <v>628</v>
      </c>
      <c r="B1187" s="13" t="s">
        <v>627</v>
      </c>
      <c r="C1187" s="13" t="s">
        <v>2264</v>
      </c>
      <c r="D1187" s="13" t="s">
        <v>2270</v>
      </c>
      <c r="E1187" s="13" t="s">
        <v>2317</v>
      </c>
      <c r="F1187" s="13" t="s">
        <v>2324</v>
      </c>
      <c r="G1187" s="61" t="n">
        <v>17658124873</v>
      </c>
      <c r="H1187" s="13" t="s">
        <v>2255</v>
      </c>
      <c r="I1187" s="13" t="s">
        <v>2314</v>
      </c>
      <c r="J1187" s="13" t="n">
        <v>80</v>
      </c>
      <c r="K1187" s="13" t="s">
        <v>2277</v>
      </c>
      <c r="L1187" s="13" t="s">
        <v>2265</v>
      </c>
      <c r="M1187" s="13"/>
    </row>
    <row r="1188" customFormat="false" ht="15" hidden="false" customHeight="false" outlineLevel="0" collapsed="false">
      <c r="A1188" s="13" t="s">
        <v>628</v>
      </c>
      <c r="B1188" s="13" t="s">
        <v>627</v>
      </c>
      <c r="C1188" s="13" t="s">
        <v>2266</v>
      </c>
      <c r="D1188" s="13" t="s">
        <v>2270</v>
      </c>
      <c r="E1188" s="13" t="s">
        <v>2317</v>
      </c>
      <c r="F1188" s="13" t="s">
        <v>2324</v>
      </c>
      <c r="G1188" s="61" t="n">
        <v>18756248821</v>
      </c>
      <c r="H1188" s="13" t="s">
        <v>2255</v>
      </c>
      <c r="I1188" s="13" t="s">
        <v>2314</v>
      </c>
      <c r="J1188" s="13" t="n">
        <v>81</v>
      </c>
      <c r="K1188" s="13" t="s">
        <v>2278</v>
      </c>
      <c r="L1188" s="13" t="s">
        <v>2265</v>
      </c>
      <c r="M1188" s="13"/>
    </row>
    <row r="1189" customFormat="false" ht="15" hidden="false" customHeight="false" outlineLevel="0" collapsed="false">
      <c r="A1189" s="13" t="s">
        <v>628</v>
      </c>
      <c r="B1189" s="13" t="s">
        <v>627</v>
      </c>
      <c r="C1189" s="13" t="s">
        <v>2267</v>
      </c>
      <c r="D1189" s="13" t="s">
        <v>2270</v>
      </c>
      <c r="E1189" s="13" t="s">
        <v>2317</v>
      </c>
      <c r="F1189" s="13" t="s">
        <v>2324</v>
      </c>
      <c r="G1189" s="61" t="n">
        <v>18805469386</v>
      </c>
      <c r="H1189" s="13" t="s">
        <v>2255</v>
      </c>
      <c r="I1189" s="13" t="s">
        <v>2314</v>
      </c>
      <c r="J1189" s="13" t="n">
        <v>81</v>
      </c>
      <c r="K1189" s="13" t="s">
        <v>2278</v>
      </c>
      <c r="L1189" s="13" t="s">
        <v>2265</v>
      </c>
      <c r="M1189" s="13"/>
    </row>
    <row r="1190" customFormat="false" ht="15" hidden="false" customHeight="false" outlineLevel="0" collapsed="false">
      <c r="A1190" s="13" t="s">
        <v>628</v>
      </c>
      <c r="B1190" s="13" t="s">
        <v>627</v>
      </c>
      <c r="C1190" s="13" t="s">
        <v>2254</v>
      </c>
      <c r="D1190" s="13" t="s">
        <v>2270</v>
      </c>
      <c r="E1190" s="13" t="s">
        <v>2317</v>
      </c>
      <c r="F1190" s="13" t="s">
        <v>2325</v>
      </c>
      <c r="G1190" s="61" t="n">
        <v>24919489898</v>
      </c>
      <c r="H1190" s="13" t="s">
        <v>2255</v>
      </c>
      <c r="I1190" s="13" t="s">
        <v>2314</v>
      </c>
      <c r="J1190" s="13" t="n">
        <v>67</v>
      </c>
      <c r="K1190" s="13" t="s">
        <v>2274</v>
      </c>
      <c r="L1190" s="13" t="s">
        <v>2257</v>
      </c>
      <c r="M1190" s="13"/>
    </row>
    <row r="1191" customFormat="false" ht="15" hidden="false" customHeight="false" outlineLevel="0" collapsed="false">
      <c r="A1191" s="13" t="s">
        <v>628</v>
      </c>
      <c r="B1191" s="13" t="s">
        <v>627</v>
      </c>
      <c r="C1191" s="13" t="s">
        <v>2258</v>
      </c>
      <c r="D1191" s="13" t="s">
        <v>2270</v>
      </c>
      <c r="E1191" s="13" t="s">
        <v>2317</v>
      </c>
      <c r="F1191" s="13" t="s">
        <v>2325</v>
      </c>
      <c r="G1191" s="61" t="n">
        <v>26160096228</v>
      </c>
      <c r="H1191" s="13" t="s">
        <v>2255</v>
      </c>
      <c r="I1191" s="13" t="s">
        <v>2314</v>
      </c>
      <c r="J1191" s="13" t="n">
        <v>81</v>
      </c>
      <c r="K1191" s="13" t="s">
        <v>2275</v>
      </c>
      <c r="L1191" s="13" t="s">
        <v>2260</v>
      </c>
      <c r="M1191" s="13"/>
    </row>
    <row r="1192" customFormat="false" ht="15" hidden="false" customHeight="false" outlineLevel="0" collapsed="false">
      <c r="A1192" s="13" t="s">
        <v>628</v>
      </c>
      <c r="B1192" s="13" t="s">
        <v>627</v>
      </c>
      <c r="C1192" s="13" t="s">
        <v>2261</v>
      </c>
      <c r="D1192" s="13" t="s">
        <v>2270</v>
      </c>
      <c r="E1192" s="13" t="s">
        <v>2317</v>
      </c>
      <c r="F1192" s="13" t="s">
        <v>2325</v>
      </c>
      <c r="G1192" s="61" t="n">
        <v>21712315161</v>
      </c>
      <c r="H1192" s="13" t="s">
        <v>2255</v>
      </c>
      <c r="I1192" s="13" t="s">
        <v>2314</v>
      </c>
      <c r="J1192" s="13" t="n">
        <v>80</v>
      </c>
      <c r="K1192" s="13" t="s">
        <v>2276</v>
      </c>
      <c r="L1192" s="13" t="s">
        <v>2263</v>
      </c>
      <c r="M1192" s="13"/>
    </row>
    <row r="1193" customFormat="false" ht="15" hidden="false" customHeight="false" outlineLevel="0" collapsed="false">
      <c r="A1193" s="13" t="s">
        <v>628</v>
      </c>
      <c r="B1193" s="13" t="s">
        <v>627</v>
      </c>
      <c r="C1193" s="13" t="s">
        <v>2264</v>
      </c>
      <c r="D1193" s="13" t="s">
        <v>2270</v>
      </c>
      <c r="E1193" s="13" t="s">
        <v>2317</v>
      </c>
      <c r="F1193" s="13" t="s">
        <v>2325</v>
      </c>
      <c r="G1193" s="61" t="n">
        <v>21205395071</v>
      </c>
      <c r="H1193" s="13" t="s">
        <v>2255</v>
      </c>
      <c r="I1193" s="13" t="s">
        <v>2314</v>
      </c>
      <c r="J1193" s="13" t="n">
        <v>80</v>
      </c>
      <c r="K1193" s="13" t="s">
        <v>2277</v>
      </c>
      <c r="L1193" s="13" t="s">
        <v>2265</v>
      </c>
      <c r="M1193" s="13"/>
    </row>
    <row r="1194" customFormat="false" ht="15" hidden="false" customHeight="false" outlineLevel="0" collapsed="false">
      <c r="A1194" s="13" t="s">
        <v>628</v>
      </c>
      <c r="B1194" s="13" t="s">
        <v>627</v>
      </c>
      <c r="C1194" s="13" t="s">
        <v>2266</v>
      </c>
      <c r="D1194" s="13" t="s">
        <v>2270</v>
      </c>
      <c r="E1194" s="13" t="s">
        <v>2317</v>
      </c>
      <c r="F1194" s="13" t="s">
        <v>2325</v>
      </c>
      <c r="G1194" s="61" t="n">
        <v>19298315836</v>
      </c>
      <c r="H1194" s="13" t="s">
        <v>2255</v>
      </c>
      <c r="I1194" s="13" t="s">
        <v>2314</v>
      </c>
      <c r="J1194" s="13" t="n">
        <v>81</v>
      </c>
      <c r="K1194" s="13" t="s">
        <v>2278</v>
      </c>
      <c r="L1194" s="13" t="s">
        <v>2265</v>
      </c>
      <c r="M1194" s="13"/>
    </row>
    <row r="1195" customFormat="false" ht="15" hidden="false" customHeight="false" outlineLevel="0" collapsed="false">
      <c r="A1195" s="13" t="s">
        <v>628</v>
      </c>
      <c r="B1195" s="13" t="s">
        <v>627</v>
      </c>
      <c r="C1195" s="13" t="s">
        <v>2267</v>
      </c>
      <c r="D1195" s="13" t="s">
        <v>2270</v>
      </c>
      <c r="E1195" s="13" t="s">
        <v>2317</v>
      </c>
      <c r="F1195" s="13" t="s">
        <v>2325</v>
      </c>
      <c r="G1195" s="61" t="n">
        <v>18384907594</v>
      </c>
      <c r="H1195" s="13" t="s">
        <v>2255</v>
      </c>
      <c r="I1195" s="13" t="s">
        <v>2314</v>
      </c>
      <c r="J1195" s="13" t="n">
        <v>81</v>
      </c>
      <c r="K1195" s="13" t="s">
        <v>2278</v>
      </c>
      <c r="L1195" s="13" t="s">
        <v>2265</v>
      </c>
      <c r="M1195" s="13"/>
    </row>
    <row r="1196" customFormat="false" ht="15" hidden="false" customHeight="false" outlineLevel="0" collapsed="false">
      <c r="A1196" s="13" t="s">
        <v>628</v>
      </c>
      <c r="B1196" s="13" t="s">
        <v>627</v>
      </c>
      <c r="C1196" s="13" t="s">
        <v>2254</v>
      </c>
      <c r="D1196" s="13" t="s">
        <v>2270</v>
      </c>
      <c r="E1196" s="13" t="s">
        <v>2317</v>
      </c>
      <c r="F1196" s="13" t="s">
        <v>2326</v>
      </c>
      <c r="G1196" s="61" t="n">
        <v>3304991077</v>
      </c>
      <c r="H1196" s="13" t="s">
        <v>2255</v>
      </c>
      <c r="I1196" s="13" t="s">
        <v>2314</v>
      </c>
      <c r="J1196" s="13" t="n">
        <v>67</v>
      </c>
      <c r="K1196" s="13" t="s">
        <v>2274</v>
      </c>
      <c r="L1196" s="13" t="s">
        <v>2257</v>
      </c>
      <c r="M1196" s="13"/>
    </row>
    <row r="1197" customFormat="false" ht="15" hidden="false" customHeight="false" outlineLevel="0" collapsed="false">
      <c r="A1197" s="13" t="s">
        <v>628</v>
      </c>
      <c r="B1197" s="13" t="s">
        <v>627</v>
      </c>
      <c r="C1197" s="13" t="s">
        <v>2258</v>
      </c>
      <c r="D1197" s="13" t="s">
        <v>2270</v>
      </c>
      <c r="E1197" s="13" t="s">
        <v>2317</v>
      </c>
      <c r="F1197" s="13" t="s">
        <v>2326</v>
      </c>
      <c r="G1197" s="61" t="n">
        <v>8005214838</v>
      </c>
      <c r="H1197" s="13" t="s">
        <v>2255</v>
      </c>
      <c r="I1197" s="13" t="s">
        <v>2314</v>
      </c>
      <c r="J1197" s="13" t="n">
        <v>81</v>
      </c>
      <c r="K1197" s="13" t="s">
        <v>2275</v>
      </c>
      <c r="L1197" s="13" t="s">
        <v>2260</v>
      </c>
      <c r="M1197" s="13"/>
    </row>
    <row r="1198" customFormat="false" ht="15" hidden="false" customHeight="false" outlineLevel="0" collapsed="false">
      <c r="A1198" s="13" t="s">
        <v>628</v>
      </c>
      <c r="B1198" s="13" t="s">
        <v>627</v>
      </c>
      <c r="C1198" s="13" t="s">
        <v>2261</v>
      </c>
      <c r="D1198" s="13" t="s">
        <v>2270</v>
      </c>
      <c r="E1198" s="13" t="s">
        <v>2317</v>
      </c>
      <c r="F1198" s="13" t="s">
        <v>2326</v>
      </c>
      <c r="G1198" s="61" t="n">
        <v>6996701535</v>
      </c>
      <c r="H1198" s="13" t="s">
        <v>2255</v>
      </c>
      <c r="I1198" s="13" t="s">
        <v>2314</v>
      </c>
      <c r="J1198" s="13" t="n">
        <v>80</v>
      </c>
      <c r="K1198" s="13" t="s">
        <v>2276</v>
      </c>
      <c r="L1198" s="13" t="s">
        <v>2263</v>
      </c>
      <c r="M1198" s="13"/>
    </row>
    <row r="1199" customFormat="false" ht="15" hidden="false" customHeight="false" outlineLevel="0" collapsed="false">
      <c r="A1199" s="13" t="s">
        <v>628</v>
      </c>
      <c r="B1199" s="13" t="s">
        <v>627</v>
      </c>
      <c r="C1199" s="13" t="s">
        <v>2264</v>
      </c>
      <c r="D1199" s="13" t="s">
        <v>2270</v>
      </c>
      <c r="E1199" s="13" t="s">
        <v>2317</v>
      </c>
      <c r="F1199" s="13" t="s">
        <v>2326</v>
      </c>
      <c r="G1199" s="61" t="n">
        <v>6969888402</v>
      </c>
      <c r="H1199" s="13" t="s">
        <v>2255</v>
      </c>
      <c r="I1199" s="13" t="s">
        <v>2314</v>
      </c>
      <c r="J1199" s="13" t="n">
        <v>80</v>
      </c>
      <c r="K1199" s="13" t="s">
        <v>2277</v>
      </c>
      <c r="L1199" s="13" t="s">
        <v>2265</v>
      </c>
      <c r="M1199" s="13"/>
    </row>
    <row r="1200" customFormat="false" ht="15" hidden="false" customHeight="false" outlineLevel="0" collapsed="false">
      <c r="A1200" s="13" t="s">
        <v>628</v>
      </c>
      <c r="B1200" s="13" t="s">
        <v>627</v>
      </c>
      <c r="C1200" s="13" t="s">
        <v>2266</v>
      </c>
      <c r="D1200" s="13" t="s">
        <v>2270</v>
      </c>
      <c r="E1200" s="13" t="s">
        <v>2317</v>
      </c>
      <c r="F1200" s="13" t="s">
        <v>2326</v>
      </c>
      <c r="G1200" s="61" t="n">
        <v>7894985435</v>
      </c>
      <c r="H1200" s="13" t="s">
        <v>2255</v>
      </c>
      <c r="I1200" s="13" t="s">
        <v>2314</v>
      </c>
      <c r="J1200" s="13" t="n">
        <v>81</v>
      </c>
      <c r="K1200" s="13" t="s">
        <v>2278</v>
      </c>
      <c r="L1200" s="13" t="s">
        <v>2265</v>
      </c>
      <c r="M1200" s="13"/>
    </row>
    <row r="1201" customFormat="false" ht="15" hidden="false" customHeight="false" outlineLevel="0" collapsed="false">
      <c r="A1201" s="13" t="s">
        <v>628</v>
      </c>
      <c r="B1201" s="13" t="s">
        <v>627</v>
      </c>
      <c r="C1201" s="13" t="s">
        <v>2267</v>
      </c>
      <c r="D1201" s="13" t="s">
        <v>2270</v>
      </c>
      <c r="E1201" s="13" t="s">
        <v>2317</v>
      </c>
      <c r="F1201" s="13" t="s">
        <v>2326</v>
      </c>
      <c r="G1201" s="61" t="n">
        <v>10373857726</v>
      </c>
      <c r="H1201" s="13" t="s">
        <v>2255</v>
      </c>
      <c r="I1201" s="13" t="s">
        <v>2314</v>
      </c>
      <c r="J1201" s="13" t="n">
        <v>81</v>
      </c>
      <c r="K1201" s="13" t="s">
        <v>2278</v>
      </c>
      <c r="L1201" s="13" t="s">
        <v>2265</v>
      </c>
      <c r="M1201" s="13"/>
    </row>
    <row r="1202" customFormat="false" ht="15" hidden="false" customHeight="false" outlineLevel="0" collapsed="false">
      <c r="A1202" s="13" t="s">
        <v>628</v>
      </c>
      <c r="B1202" s="13" t="s">
        <v>627</v>
      </c>
      <c r="C1202" s="13" t="s">
        <v>2254</v>
      </c>
      <c r="D1202" s="13" t="s">
        <v>2270</v>
      </c>
      <c r="E1202" s="13" t="s">
        <v>2317</v>
      </c>
      <c r="F1202" s="13" t="s">
        <v>2327</v>
      </c>
      <c r="G1202" s="61" t="n">
        <v>7629130152</v>
      </c>
      <c r="H1202" s="13" t="s">
        <v>2255</v>
      </c>
      <c r="I1202" s="13" t="s">
        <v>2314</v>
      </c>
      <c r="J1202" s="13" t="n">
        <v>67</v>
      </c>
      <c r="K1202" s="13" t="s">
        <v>2274</v>
      </c>
      <c r="L1202" s="13" t="s">
        <v>2257</v>
      </c>
      <c r="M1202" s="13"/>
    </row>
    <row r="1203" customFormat="false" ht="15" hidden="false" customHeight="false" outlineLevel="0" collapsed="false">
      <c r="A1203" s="13" t="s">
        <v>628</v>
      </c>
      <c r="B1203" s="13" t="s">
        <v>627</v>
      </c>
      <c r="C1203" s="13" t="s">
        <v>2258</v>
      </c>
      <c r="D1203" s="13" t="s">
        <v>2270</v>
      </c>
      <c r="E1203" s="13" t="s">
        <v>2317</v>
      </c>
      <c r="F1203" s="13" t="s">
        <v>2327</v>
      </c>
      <c r="G1203" s="61" t="n">
        <v>15880018857</v>
      </c>
      <c r="H1203" s="13" t="s">
        <v>2255</v>
      </c>
      <c r="I1203" s="13" t="s">
        <v>2314</v>
      </c>
      <c r="J1203" s="13" t="n">
        <v>81</v>
      </c>
      <c r="K1203" s="13" t="s">
        <v>2275</v>
      </c>
      <c r="L1203" s="13" t="s">
        <v>2260</v>
      </c>
      <c r="M1203" s="13"/>
    </row>
    <row r="1204" customFormat="false" ht="15" hidden="false" customHeight="false" outlineLevel="0" collapsed="false">
      <c r="A1204" s="13" t="s">
        <v>628</v>
      </c>
      <c r="B1204" s="13" t="s">
        <v>627</v>
      </c>
      <c r="C1204" s="13" t="s">
        <v>2261</v>
      </c>
      <c r="D1204" s="13" t="s">
        <v>2270</v>
      </c>
      <c r="E1204" s="13" t="s">
        <v>2317</v>
      </c>
      <c r="F1204" s="13" t="s">
        <v>2327</v>
      </c>
      <c r="G1204" s="61" t="n">
        <v>-3830525560</v>
      </c>
      <c r="H1204" s="13" t="s">
        <v>2255</v>
      </c>
      <c r="I1204" s="13" t="s">
        <v>2314</v>
      </c>
      <c r="J1204" s="13" t="n">
        <v>80</v>
      </c>
      <c r="K1204" s="13" t="s">
        <v>2276</v>
      </c>
      <c r="L1204" s="13" t="s">
        <v>2263</v>
      </c>
      <c r="M1204" s="13"/>
    </row>
    <row r="1205" customFormat="false" ht="15" hidden="false" customHeight="false" outlineLevel="0" collapsed="false">
      <c r="A1205" s="13" t="s">
        <v>628</v>
      </c>
      <c r="B1205" s="13" t="s">
        <v>627</v>
      </c>
      <c r="C1205" s="13" t="s">
        <v>2264</v>
      </c>
      <c r="D1205" s="13" t="s">
        <v>2270</v>
      </c>
      <c r="E1205" s="13" t="s">
        <v>2317</v>
      </c>
      <c r="F1205" s="13" t="s">
        <v>2327</v>
      </c>
      <c r="G1205" s="61" t="n">
        <v>6484009640</v>
      </c>
      <c r="H1205" s="13" t="s">
        <v>2255</v>
      </c>
      <c r="I1205" s="13" t="s">
        <v>2314</v>
      </c>
      <c r="J1205" s="13" t="n">
        <v>80</v>
      </c>
      <c r="K1205" s="13" t="s">
        <v>2277</v>
      </c>
      <c r="L1205" s="13" t="s">
        <v>2265</v>
      </c>
      <c r="M1205" s="13"/>
    </row>
    <row r="1206" customFormat="false" ht="15" hidden="false" customHeight="false" outlineLevel="0" collapsed="false">
      <c r="A1206" s="13" t="s">
        <v>628</v>
      </c>
      <c r="B1206" s="13" t="s">
        <v>627</v>
      </c>
      <c r="C1206" s="13" t="s">
        <v>2266</v>
      </c>
      <c r="D1206" s="13" t="s">
        <v>2270</v>
      </c>
      <c r="E1206" s="13" t="s">
        <v>2317</v>
      </c>
      <c r="F1206" s="13" t="s">
        <v>2327</v>
      </c>
      <c r="G1206" s="61" t="n">
        <v>7345183576</v>
      </c>
      <c r="H1206" s="13" t="s">
        <v>2255</v>
      </c>
      <c r="I1206" s="13" t="s">
        <v>2314</v>
      </c>
      <c r="J1206" s="13" t="n">
        <v>81</v>
      </c>
      <c r="K1206" s="13" t="s">
        <v>2278</v>
      </c>
      <c r="L1206" s="13" t="s">
        <v>2265</v>
      </c>
      <c r="M1206" s="13"/>
    </row>
    <row r="1207" customFormat="false" ht="15" hidden="false" customHeight="false" outlineLevel="0" collapsed="false">
      <c r="A1207" s="13" t="s">
        <v>628</v>
      </c>
      <c r="B1207" s="13" t="s">
        <v>627</v>
      </c>
      <c r="C1207" s="13" t="s">
        <v>2267</v>
      </c>
      <c r="D1207" s="13" t="s">
        <v>2270</v>
      </c>
      <c r="E1207" s="13" t="s">
        <v>2317</v>
      </c>
      <c r="F1207" s="13" t="s">
        <v>2327</v>
      </c>
      <c r="G1207" s="61" t="n">
        <v>9855310533</v>
      </c>
      <c r="H1207" s="13" t="s">
        <v>2255</v>
      </c>
      <c r="I1207" s="13" t="s">
        <v>2314</v>
      </c>
      <c r="J1207" s="13" t="n">
        <v>81</v>
      </c>
      <c r="K1207" s="13" t="s">
        <v>2278</v>
      </c>
      <c r="L1207" s="13" t="s">
        <v>2265</v>
      </c>
      <c r="M1207" s="13"/>
    </row>
    <row r="1208" customFormat="false" ht="15" hidden="false" customHeight="false" outlineLevel="0" collapsed="false">
      <c r="A1208" s="13" t="s">
        <v>628</v>
      </c>
      <c r="B1208" s="13" t="s">
        <v>627</v>
      </c>
      <c r="C1208" s="13" t="s">
        <v>2254</v>
      </c>
      <c r="D1208" s="13" t="s">
        <v>2270</v>
      </c>
      <c r="E1208" s="13" t="s">
        <v>2317</v>
      </c>
      <c r="F1208" s="13" t="s">
        <v>2328</v>
      </c>
      <c r="G1208" s="61" t="n">
        <v>2514525196</v>
      </c>
      <c r="H1208" s="13" t="s">
        <v>2255</v>
      </c>
      <c r="I1208" s="13" t="s">
        <v>2314</v>
      </c>
      <c r="J1208" s="13" t="n">
        <v>67</v>
      </c>
      <c r="K1208" s="13" t="s">
        <v>2274</v>
      </c>
      <c r="L1208" s="13" t="s">
        <v>2257</v>
      </c>
      <c r="M1208" s="13"/>
    </row>
    <row r="1209" customFormat="false" ht="15" hidden="false" customHeight="false" outlineLevel="0" collapsed="false">
      <c r="A1209" s="13" t="s">
        <v>628</v>
      </c>
      <c r="B1209" s="13" t="s">
        <v>627</v>
      </c>
      <c r="C1209" s="13" t="s">
        <v>2258</v>
      </c>
      <c r="D1209" s="13" t="s">
        <v>2270</v>
      </c>
      <c r="E1209" s="13" t="s">
        <v>2317</v>
      </c>
      <c r="F1209" s="13" t="s">
        <v>2328</v>
      </c>
      <c r="G1209" s="61" t="n">
        <v>4969095550</v>
      </c>
      <c r="H1209" s="13" t="s">
        <v>2255</v>
      </c>
      <c r="I1209" s="13" t="s">
        <v>2314</v>
      </c>
      <c r="J1209" s="13" t="n">
        <v>81</v>
      </c>
      <c r="K1209" s="13" t="s">
        <v>2275</v>
      </c>
      <c r="L1209" s="13" t="s">
        <v>2260</v>
      </c>
      <c r="M1209" s="13"/>
    </row>
    <row r="1210" customFormat="false" ht="15" hidden="false" customHeight="false" outlineLevel="0" collapsed="false">
      <c r="A1210" s="13" t="s">
        <v>628</v>
      </c>
      <c r="B1210" s="13" t="s">
        <v>627</v>
      </c>
      <c r="C1210" s="13" t="s">
        <v>2261</v>
      </c>
      <c r="D1210" s="13" t="s">
        <v>2270</v>
      </c>
      <c r="E1210" s="13" t="s">
        <v>2317</v>
      </c>
      <c r="F1210" s="13" t="s">
        <v>2328</v>
      </c>
      <c r="G1210" s="61" t="n">
        <v>6468339108</v>
      </c>
      <c r="H1210" s="13" t="s">
        <v>2255</v>
      </c>
      <c r="I1210" s="13" t="s">
        <v>2314</v>
      </c>
      <c r="J1210" s="13" t="n">
        <v>80</v>
      </c>
      <c r="K1210" s="13" t="s">
        <v>2276</v>
      </c>
      <c r="L1210" s="13" t="s">
        <v>2263</v>
      </c>
      <c r="M1210" s="13"/>
    </row>
    <row r="1211" customFormat="false" ht="15" hidden="false" customHeight="false" outlineLevel="0" collapsed="false">
      <c r="A1211" s="13" t="s">
        <v>628</v>
      </c>
      <c r="B1211" s="13" t="s">
        <v>627</v>
      </c>
      <c r="C1211" s="13" t="s">
        <v>2264</v>
      </c>
      <c r="D1211" s="13" t="s">
        <v>2270</v>
      </c>
      <c r="E1211" s="13" t="s">
        <v>2317</v>
      </c>
      <c r="F1211" s="13" t="s">
        <v>2328</v>
      </c>
      <c r="G1211" s="61" t="n">
        <v>7946060048</v>
      </c>
      <c r="H1211" s="13" t="s">
        <v>2255</v>
      </c>
      <c r="I1211" s="13" t="s">
        <v>2314</v>
      </c>
      <c r="J1211" s="13" t="n">
        <v>80</v>
      </c>
      <c r="K1211" s="13" t="s">
        <v>2277</v>
      </c>
      <c r="L1211" s="13" t="s">
        <v>2265</v>
      </c>
      <c r="M1211" s="13"/>
    </row>
    <row r="1212" customFormat="false" ht="15" hidden="false" customHeight="false" outlineLevel="0" collapsed="false">
      <c r="A1212" s="13" t="s">
        <v>628</v>
      </c>
      <c r="B1212" s="13" t="s">
        <v>627</v>
      </c>
      <c r="C1212" s="13" t="s">
        <v>2266</v>
      </c>
      <c r="D1212" s="13" t="s">
        <v>2270</v>
      </c>
      <c r="E1212" s="13" t="s">
        <v>2317</v>
      </c>
      <c r="F1212" s="13" t="s">
        <v>2328</v>
      </c>
      <c r="G1212" s="61" t="n">
        <v>10099093898</v>
      </c>
      <c r="H1212" s="13" t="s">
        <v>2255</v>
      </c>
      <c r="I1212" s="13" t="s">
        <v>2314</v>
      </c>
      <c r="J1212" s="13" t="n">
        <v>81</v>
      </c>
      <c r="K1212" s="13" t="s">
        <v>2278</v>
      </c>
      <c r="L1212" s="13" t="s">
        <v>2265</v>
      </c>
      <c r="M1212" s="13"/>
    </row>
    <row r="1213" customFormat="false" ht="15" hidden="false" customHeight="false" outlineLevel="0" collapsed="false">
      <c r="A1213" s="13" t="s">
        <v>628</v>
      </c>
      <c r="B1213" s="13" t="s">
        <v>627</v>
      </c>
      <c r="C1213" s="13" t="s">
        <v>2267</v>
      </c>
      <c r="D1213" s="13" t="s">
        <v>2270</v>
      </c>
      <c r="E1213" s="13" t="s">
        <v>2317</v>
      </c>
      <c r="F1213" s="13" t="s">
        <v>2328</v>
      </c>
      <c r="G1213" s="61" t="n">
        <v>9539239885</v>
      </c>
      <c r="H1213" s="13" t="s">
        <v>2255</v>
      </c>
      <c r="I1213" s="13" t="s">
        <v>2314</v>
      </c>
      <c r="J1213" s="13" t="n">
        <v>81</v>
      </c>
      <c r="K1213" s="13" t="s">
        <v>2278</v>
      </c>
      <c r="L1213" s="13" t="s">
        <v>2265</v>
      </c>
      <c r="M1213" s="13"/>
    </row>
    <row r="1214" customFormat="false" ht="15" hidden="false" customHeight="false" outlineLevel="0" collapsed="false">
      <c r="A1214" s="13" t="s">
        <v>628</v>
      </c>
      <c r="B1214" s="13" t="s">
        <v>627</v>
      </c>
      <c r="C1214" s="13" t="s">
        <v>2254</v>
      </c>
      <c r="D1214" s="13" t="s">
        <v>2270</v>
      </c>
      <c r="E1214" s="13" t="s">
        <v>2317</v>
      </c>
      <c r="F1214" s="13" t="s">
        <v>2329</v>
      </c>
      <c r="G1214" s="61" t="n">
        <v>3818496432</v>
      </c>
      <c r="H1214" s="13" t="s">
        <v>2255</v>
      </c>
      <c r="I1214" s="13" t="s">
        <v>2314</v>
      </c>
      <c r="J1214" s="13" t="n">
        <v>67</v>
      </c>
      <c r="K1214" s="13" t="s">
        <v>2274</v>
      </c>
      <c r="L1214" s="13" t="s">
        <v>2257</v>
      </c>
      <c r="M1214" s="13"/>
    </row>
    <row r="1215" customFormat="false" ht="15" hidden="false" customHeight="false" outlineLevel="0" collapsed="false">
      <c r="A1215" s="13" t="s">
        <v>628</v>
      </c>
      <c r="B1215" s="13" t="s">
        <v>627</v>
      </c>
      <c r="C1215" s="13" t="s">
        <v>2258</v>
      </c>
      <c r="D1215" s="13" t="s">
        <v>2270</v>
      </c>
      <c r="E1215" s="13" t="s">
        <v>2317</v>
      </c>
      <c r="F1215" s="13" t="s">
        <v>2329</v>
      </c>
      <c r="G1215" s="61" t="n">
        <v>8507605363</v>
      </c>
      <c r="H1215" s="13" t="s">
        <v>2255</v>
      </c>
      <c r="I1215" s="13" t="s">
        <v>2314</v>
      </c>
      <c r="J1215" s="13" t="n">
        <v>81</v>
      </c>
      <c r="K1215" s="13" t="s">
        <v>2275</v>
      </c>
      <c r="L1215" s="13" t="s">
        <v>2260</v>
      </c>
      <c r="M1215" s="13"/>
    </row>
    <row r="1216" customFormat="false" ht="15" hidden="false" customHeight="false" outlineLevel="0" collapsed="false">
      <c r="A1216" s="13" t="s">
        <v>628</v>
      </c>
      <c r="B1216" s="13" t="s">
        <v>627</v>
      </c>
      <c r="C1216" s="13" t="s">
        <v>2261</v>
      </c>
      <c r="D1216" s="13" t="s">
        <v>2270</v>
      </c>
      <c r="E1216" s="13" t="s">
        <v>2317</v>
      </c>
      <c r="F1216" s="13" t="s">
        <v>2329</v>
      </c>
      <c r="G1216" s="61" t="n">
        <v>8269420365</v>
      </c>
      <c r="H1216" s="13" t="s">
        <v>2255</v>
      </c>
      <c r="I1216" s="13" t="s">
        <v>2314</v>
      </c>
      <c r="J1216" s="13" t="n">
        <v>80</v>
      </c>
      <c r="K1216" s="13" t="s">
        <v>2276</v>
      </c>
      <c r="L1216" s="13" t="s">
        <v>2263</v>
      </c>
      <c r="M1216" s="13"/>
    </row>
    <row r="1217" customFormat="false" ht="15" hidden="false" customHeight="false" outlineLevel="0" collapsed="false">
      <c r="A1217" s="13" t="s">
        <v>628</v>
      </c>
      <c r="B1217" s="13" t="s">
        <v>627</v>
      </c>
      <c r="C1217" s="13" t="s">
        <v>2264</v>
      </c>
      <c r="D1217" s="13" t="s">
        <v>2270</v>
      </c>
      <c r="E1217" s="13" t="s">
        <v>2317</v>
      </c>
      <c r="F1217" s="13" t="s">
        <v>2329</v>
      </c>
      <c r="G1217" s="61" t="n">
        <v>8442712126</v>
      </c>
      <c r="H1217" s="13" t="s">
        <v>2255</v>
      </c>
      <c r="I1217" s="13" t="s">
        <v>2314</v>
      </c>
      <c r="J1217" s="13" t="n">
        <v>80</v>
      </c>
      <c r="K1217" s="13" t="s">
        <v>2277</v>
      </c>
      <c r="L1217" s="13" t="s">
        <v>2265</v>
      </c>
      <c r="M1217" s="13"/>
    </row>
    <row r="1218" customFormat="false" ht="15" hidden="false" customHeight="false" outlineLevel="0" collapsed="false">
      <c r="A1218" s="13" t="s">
        <v>628</v>
      </c>
      <c r="B1218" s="13" t="s">
        <v>627</v>
      </c>
      <c r="C1218" s="13" t="s">
        <v>2266</v>
      </c>
      <c r="D1218" s="13" t="s">
        <v>2270</v>
      </c>
      <c r="E1218" s="13" t="s">
        <v>2317</v>
      </c>
      <c r="F1218" s="13" t="s">
        <v>2329</v>
      </c>
      <c r="G1218" s="61" t="n">
        <v>7050244692</v>
      </c>
      <c r="H1218" s="13" t="s">
        <v>2255</v>
      </c>
      <c r="I1218" s="13" t="s">
        <v>2314</v>
      </c>
      <c r="J1218" s="13" t="n">
        <v>81</v>
      </c>
      <c r="K1218" s="13" t="s">
        <v>2278</v>
      </c>
      <c r="L1218" s="13" t="s">
        <v>2265</v>
      </c>
      <c r="M1218" s="13"/>
    </row>
    <row r="1219" customFormat="false" ht="15" hidden="false" customHeight="false" outlineLevel="0" collapsed="false">
      <c r="A1219" s="13" t="s">
        <v>628</v>
      </c>
      <c r="B1219" s="13" t="s">
        <v>627</v>
      </c>
      <c r="C1219" s="13" t="s">
        <v>2267</v>
      </c>
      <c r="D1219" s="13" t="s">
        <v>2270</v>
      </c>
      <c r="E1219" s="13" t="s">
        <v>2317</v>
      </c>
      <c r="F1219" s="13" t="s">
        <v>2329</v>
      </c>
      <c r="G1219" s="61" t="n">
        <v>7120964139</v>
      </c>
      <c r="H1219" s="13" t="s">
        <v>2255</v>
      </c>
      <c r="I1219" s="13" t="s">
        <v>2314</v>
      </c>
      <c r="J1219" s="13" t="n">
        <v>81</v>
      </c>
      <c r="K1219" s="13" t="s">
        <v>2278</v>
      </c>
      <c r="L1219" s="13" t="s">
        <v>2265</v>
      </c>
      <c r="M1219" s="13"/>
    </row>
    <row r="1220" customFormat="false" ht="15" hidden="false" customHeight="false" outlineLevel="0" collapsed="false">
      <c r="A1220" s="13" t="s">
        <v>628</v>
      </c>
      <c r="B1220" s="13" t="s">
        <v>627</v>
      </c>
      <c r="C1220" s="13" t="s">
        <v>2254</v>
      </c>
      <c r="D1220" s="13" t="s">
        <v>2270</v>
      </c>
      <c r="E1220" s="13" t="s">
        <v>2317</v>
      </c>
      <c r="F1220" s="13" t="s">
        <v>2330</v>
      </c>
      <c r="G1220" s="61" t="n">
        <v>503931793</v>
      </c>
      <c r="H1220" s="13" t="s">
        <v>2255</v>
      </c>
      <c r="I1220" s="13" t="s">
        <v>2314</v>
      </c>
      <c r="J1220" s="13" t="n">
        <v>67</v>
      </c>
      <c r="K1220" s="13" t="s">
        <v>2274</v>
      </c>
      <c r="L1220" s="13" t="s">
        <v>2257</v>
      </c>
      <c r="M1220" s="13"/>
    </row>
    <row r="1221" customFormat="false" ht="15" hidden="false" customHeight="false" outlineLevel="0" collapsed="false">
      <c r="A1221" s="13" t="s">
        <v>628</v>
      </c>
      <c r="B1221" s="13" t="s">
        <v>627</v>
      </c>
      <c r="C1221" s="13" t="s">
        <v>2258</v>
      </c>
      <c r="D1221" s="13" t="s">
        <v>2270</v>
      </c>
      <c r="E1221" s="13" t="s">
        <v>2317</v>
      </c>
      <c r="F1221" s="13" t="s">
        <v>2330</v>
      </c>
      <c r="G1221" s="61" t="n">
        <v>3352312565</v>
      </c>
      <c r="H1221" s="13" t="s">
        <v>2255</v>
      </c>
      <c r="I1221" s="13" t="s">
        <v>2314</v>
      </c>
      <c r="J1221" s="13" t="n">
        <v>81</v>
      </c>
      <c r="K1221" s="13" t="s">
        <v>2275</v>
      </c>
      <c r="L1221" s="13" t="s">
        <v>2260</v>
      </c>
      <c r="M1221" s="13"/>
    </row>
    <row r="1222" customFormat="false" ht="15" hidden="false" customHeight="false" outlineLevel="0" collapsed="false">
      <c r="A1222" s="13" t="s">
        <v>628</v>
      </c>
      <c r="B1222" s="13" t="s">
        <v>627</v>
      </c>
      <c r="C1222" s="13" t="s">
        <v>2261</v>
      </c>
      <c r="D1222" s="13" t="s">
        <v>2270</v>
      </c>
      <c r="E1222" s="13" t="s">
        <v>2317</v>
      </c>
      <c r="F1222" s="13" t="s">
        <v>2330</v>
      </c>
      <c r="G1222" s="61" t="n">
        <v>2568169637</v>
      </c>
      <c r="H1222" s="13" t="s">
        <v>2255</v>
      </c>
      <c r="I1222" s="13" t="s">
        <v>2314</v>
      </c>
      <c r="J1222" s="13" t="n">
        <v>80</v>
      </c>
      <c r="K1222" s="13" t="s">
        <v>2276</v>
      </c>
      <c r="L1222" s="13" t="s">
        <v>2263</v>
      </c>
      <c r="M1222" s="13"/>
    </row>
    <row r="1223" customFormat="false" ht="15" hidden="false" customHeight="false" outlineLevel="0" collapsed="false">
      <c r="A1223" s="13" t="s">
        <v>628</v>
      </c>
      <c r="B1223" s="13" t="s">
        <v>627</v>
      </c>
      <c r="C1223" s="13" t="s">
        <v>2264</v>
      </c>
      <c r="D1223" s="13" t="s">
        <v>2270</v>
      </c>
      <c r="E1223" s="13" t="s">
        <v>2317</v>
      </c>
      <c r="F1223" s="13" t="s">
        <v>2330</v>
      </c>
      <c r="G1223" s="61" t="n">
        <v>3239695080</v>
      </c>
      <c r="H1223" s="13" t="s">
        <v>2255</v>
      </c>
      <c r="I1223" s="13" t="s">
        <v>2314</v>
      </c>
      <c r="J1223" s="13" t="n">
        <v>80</v>
      </c>
      <c r="K1223" s="13" t="s">
        <v>2277</v>
      </c>
      <c r="L1223" s="13" t="s">
        <v>2265</v>
      </c>
      <c r="M1223" s="13"/>
    </row>
    <row r="1224" customFormat="false" ht="15" hidden="false" customHeight="false" outlineLevel="0" collapsed="false">
      <c r="A1224" s="13" t="s">
        <v>628</v>
      </c>
      <c r="B1224" s="13" t="s">
        <v>627</v>
      </c>
      <c r="C1224" s="13" t="s">
        <v>2266</v>
      </c>
      <c r="D1224" s="13" t="s">
        <v>2270</v>
      </c>
      <c r="E1224" s="13" t="s">
        <v>2317</v>
      </c>
      <c r="F1224" s="13" t="s">
        <v>2330</v>
      </c>
      <c r="G1224" s="61" t="n">
        <v>3085131685</v>
      </c>
      <c r="H1224" s="13" t="s">
        <v>2255</v>
      </c>
      <c r="I1224" s="13" t="s">
        <v>2314</v>
      </c>
      <c r="J1224" s="13" t="n">
        <v>81</v>
      </c>
      <c r="K1224" s="13" t="s">
        <v>2278</v>
      </c>
      <c r="L1224" s="13" t="s">
        <v>2265</v>
      </c>
      <c r="M1224" s="13"/>
    </row>
    <row r="1225" customFormat="false" ht="15" hidden="false" customHeight="false" outlineLevel="0" collapsed="false">
      <c r="A1225" s="13" t="s">
        <v>628</v>
      </c>
      <c r="B1225" s="13" t="s">
        <v>627</v>
      </c>
      <c r="C1225" s="13" t="s">
        <v>2267</v>
      </c>
      <c r="D1225" s="13" t="s">
        <v>2270</v>
      </c>
      <c r="E1225" s="13" t="s">
        <v>2317</v>
      </c>
      <c r="F1225" s="13" t="s">
        <v>2330</v>
      </c>
      <c r="G1225" s="61" t="n">
        <v>3333960837</v>
      </c>
      <c r="H1225" s="13" t="s">
        <v>2255</v>
      </c>
      <c r="I1225" s="13" t="s">
        <v>2314</v>
      </c>
      <c r="J1225" s="13" t="n">
        <v>81</v>
      </c>
      <c r="K1225" s="13" t="s">
        <v>2278</v>
      </c>
      <c r="L1225" s="13" t="s">
        <v>2265</v>
      </c>
      <c r="M1225" s="13"/>
    </row>
    <row r="1226" customFormat="false" ht="15" hidden="false" customHeight="false" outlineLevel="0" collapsed="false">
      <c r="A1226" s="13" t="s">
        <v>628</v>
      </c>
      <c r="B1226" s="13" t="s">
        <v>627</v>
      </c>
      <c r="C1226" s="13" t="s">
        <v>2254</v>
      </c>
      <c r="D1226" s="13" t="s">
        <v>2270</v>
      </c>
      <c r="E1226" s="13" t="s">
        <v>2317</v>
      </c>
      <c r="F1226" s="13" t="s">
        <v>2331</v>
      </c>
      <c r="G1226" s="61" t="n">
        <v>3998263762</v>
      </c>
      <c r="H1226" s="13" t="s">
        <v>2255</v>
      </c>
      <c r="I1226" s="13" t="s">
        <v>2314</v>
      </c>
      <c r="J1226" s="13" t="n">
        <v>67</v>
      </c>
      <c r="K1226" s="13" t="s">
        <v>2274</v>
      </c>
      <c r="L1226" s="13" t="s">
        <v>2257</v>
      </c>
      <c r="M1226" s="13"/>
    </row>
    <row r="1227" customFormat="false" ht="15" hidden="false" customHeight="false" outlineLevel="0" collapsed="false">
      <c r="A1227" s="13" t="s">
        <v>628</v>
      </c>
      <c r="B1227" s="13" t="s">
        <v>627</v>
      </c>
      <c r="C1227" s="13" t="s">
        <v>2258</v>
      </c>
      <c r="D1227" s="13" t="s">
        <v>2270</v>
      </c>
      <c r="E1227" s="13" t="s">
        <v>2317</v>
      </c>
      <c r="F1227" s="13" t="s">
        <v>2331</v>
      </c>
      <c r="G1227" s="61" t="n">
        <v>3484443563</v>
      </c>
      <c r="H1227" s="13" t="s">
        <v>2255</v>
      </c>
      <c r="I1227" s="13" t="s">
        <v>2314</v>
      </c>
      <c r="J1227" s="13" t="n">
        <v>81</v>
      </c>
      <c r="K1227" s="13" t="s">
        <v>2275</v>
      </c>
      <c r="L1227" s="13" t="s">
        <v>2260</v>
      </c>
      <c r="M1227" s="13"/>
    </row>
    <row r="1228" customFormat="false" ht="15" hidden="false" customHeight="false" outlineLevel="0" collapsed="false">
      <c r="A1228" s="13" t="s">
        <v>628</v>
      </c>
      <c r="B1228" s="13" t="s">
        <v>627</v>
      </c>
      <c r="C1228" s="13" t="s">
        <v>2261</v>
      </c>
      <c r="D1228" s="13" t="s">
        <v>2270</v>
      </c>
      <c r="E1228" s="13" t="s">
        <v>2317</v>
      </c>
      <c r="F1228" s="13" t="s">
        <v>2331</v>
      </c>
      <c r="G1228" s="61" t="n">
        <v>1730731618</v>
      </c>
      <c r="H1228" s="13" t="s">
        <v>2255</v>
      </c>
      <c r="I1228" s="13" t="s">
        <v>2314</v>
      </c>
      <c r="J1228" s="13" t="n">
        <v>80</v>
      </c>
      <c r="K1228" s="13" t="s">
        <v>2276</v>
      </c>
      <c r="L1228" s="13" t="s">
        <v>2263</v>
      </c>
      <c r="M1228" s="13"/>
    </row>
    <row r="1229" customFormat="false" ht="15" hidden="false" customHeight="false" outlineLevel="0" collapsed="false">
      <c r="A1229" s="13" t="s">
        <v>628</v>
      </c>
      <c r="B1229" s="13" t="s">
        <v>627</v>
      </c>
      <c r="C1229" s="13" t="s">
        <v>2264</v>
      </c>
      <c r="D1229" s="13" t="s">
        <v>2270</v>
      </c>
      <c r="E1229" s="13" t="s">
        <v>2317</v>
      </c>
      <c r="F1229" s="13" t="s">
        <v>2331</v>
      </c>
      <c r="G1229" s="61" t="n">
        <v>2686836072</v>
      </c>
      <c r="H1229" s="13" t="s">
        <v>2255</v>
      </c>
      <c r="I1229" s="13" t="s">
        <v>2314</v>
      </c>
      <c r="J1229" s="13" t="n">
        <v>80</v>
      </c>
      <c r="K1229" s="13" t="s">
        <v>2277</v>
      </c>
      <c r="L1229" s="13" t="s">
        <v>2265</v>
      </c>
      <c r="M1229" s="13"/>
    </row>
    <row r="1230" customFormat="false" ht="15" hidden="false" customHeight="false" outlineLevel="0" collapsed="false">
      <c r="A1230" s="13" t="s">
        <v>628</v>
      </c>
      <c r="B1230" s="13" t="s">
        <v>627</v>
      </c>
      <c r="C1230" s="13" t="s">
        <v>2266</v>
      </c>
      <c r="D1230" s="13" t="s">
        <v>2270</v>
      </c>
      <c r="E1230" s="13" t="s">
        <v>2317</v>
      </c>
      <c r="F1230" s="13" t="s">
        <v>2331</v>
      </c>
      <c r="G1230" s="61" t="n">
        <v>2226389071</v>
      </c>
      <c r="H1230" s="13" t="s">
        <v>2255</v>
      </c>
      <c r="I1230" s="13" t="s">
        <v>2314</v>
      </c>
      <c r="J1230" s="13" t="n">
        <v>81</v>
      </c>
      <c r="K1230" s="13" t="s">
        <v>2278</v>
      </c>
      <c r="L1230" s="13" t="s">
        <v>2265</v>
      </c>
      <c r="M1230" s="13"/>
    </row>
    <row r="1231" customFormat="false" ht="15" hidden="false" customHeight="false" outlineLevel="0" collapsed="false">
      <c r="A1231" s="13" t="s">
        <v>628</v>
      </c>
      <c r="B1231" s="13" t="s">
        <v>627</v>
      </c>
      <c r="C1231" s="13" t="s">
        <v>2267</v>
      </c>
      <c r="D1231" s="13" t="s">
        <v>2270</v>
      </c>
      <c r="E1231" s="13" t="s">
        <v>2317</v>
      </c>
      <c r="F1231" s="13" t="s">
        <v>2331</v>
      </c>
      <c r="G1231" s="61" t="n">
        <v>3062979487</v>
      </c>
      <c r="H1231" s="13" t="s">
        <v>2255</v>
      </c>
      <c r="I1231" s="13" t="s">
        <v>2314</v>
      </c>
      <c r="J1231" s="13" t="n">
        <v>81</v>
      </c>
      <c r="K1231" s="13" t="s">
        <v>2278</v>
      </c>
      <c r="L1231" s="13" t="s">
        <v>2265</v>
      </c>
      <c r="M1231" s="13"/>
    </row>
    <row r="1232" customFormat="false" ht="15" hidden="false" customHeight="false" outlineLevel="0" collapsed="false">
      <c r="A1232" s="13" t="s">
        <v>628</v>
      </c>
      <c r="B1232" s="13" t="s">
        <v>627</v>
      </c>
      <c r="C1232" s="13" t="s">
        <v>2254</v>
      </c>
      <c r="D1232" s="13" t="s">
        <v>2270</v>
      </c>
      <c r="E1232" s="13" t="s">
        <v>2317</v>
      </c>
      <c r="F1232" s="13" t="s">
        <v>2332</v>
      </c>
      <c r="G1232" s="61" t="n">
        <v>4300111102</v>
      </c>
      <c r="H1232" s="13" t="s">
        <v>2255</v>
      </c>
      <c r="I1232" s="13" t="s">
        <v>2314</v>
      </c>
      <c r="J1232" s="13" t="n">
        <v>67</v>
      </c>
      <c r="K1232" s="13" t="s">
        <v>2274</v>
      </c>
      <c r="L1232" s="13" t="s">
        <v>2257</v>
      </c>
      <c r="M1232" s="13"/>
    </row>
    <row r="1233" customFormat="false" ht="15" hidden="false" customHeight="false" outlineLevel="0" collapsed="false">
      <c r="A1233" s="13" t="s">
        <v>628</v>
      </c>
      <c r="B1233" s="13" t="s">
        <v>627</v>
      </c>
      <c r="C1233" s="13" t="s">
        <v>2258</v>
      </c>
      <c r="D1233" s="13" t="s">
        <v>2270</v>
      </c>
      <c r="E1233" s="13" t="s">
        <v>2317</v>
      </c>
      <c r="F1233" s="13" t="s">
        <v>2332</v>
      </c>
      <c r="G1233" s="61" t="n">
        <v>7592276905</v>
      </c>
      <c r="H1233" s="13" t="s">
        <v>2255</v>
      </c>
      <c r="I1233" s="13" t="s">
        <v>2314</v>
      </c>
      <c r="J1233" s="13" t="n">
        <v>81</v>
      </c>
      <c r="K1233" s="13" t="s">
        <v>2275</v>
      </c>
      <c r="L1233" s="13" t="s">
        <v>2260</v>
      </c>
      <c r="M1233" s="13"/>
    </row>
    <row r="1234" customFormat="false" ht="15" hidden="false" customHeight="false" outlineLevel="0" collapsed="false">
      <c r="A1234" s="13" t="s">
        <v>628</v>
      </c>
      <c r="B1234" s="13" t="s">
        <v>627</v>
      </c>
      <c r="C1234" s="13" t="s">
        <v>2261</v>
      </c>
      <c r="D1234" s="13" t="s">
        <v>2270</v>
      </c>
      <c r="E1234" s="13" t="s">
        <v>2317</v>
      </c>
      <c r="F1234" s="13" t="s">
        <v>2332</v>
      </c>
      <c r="G1234" s="61" t="n">
        <v>1558779319</v>
      </c>
      <c r="H1234" s="13" t="s">
        <v>2255</v>
      </c>
      <c r="I1234" s="13" t="s">
        <v>2314</v>
      </c>
      <c r="J1234" s="13" t="n">
        <v>80</v>
      </c>
      <c r="K1234" s="13" t="s">
        <v>2276</v>
      </c>
      <c r="L1234" s="13" t="s">
        <v>2263</v>
      </c>
      <c r="M1234" s="13"/>
    </row>
    <row r="1235" customFormat="false" ht="15" hidden="false" customHeight="false" outlineLevel="0" collapsed="false">
      <c r="A1235" s="13" t="s">
        <v>628</v>
      </c>
      <c r="B1235" s="13" t="s">
        <v>627</v>
      </c>
      <c r="C1235" s="13" t="s">
        <v>2264</v>
      </c>
      <c r="D1235" s="13" t="s">
        <v>2270</v>
      </c>
      <c r="E1235" s="13" t="s">
        <v>2317</v>
      </c>
      <c r="F1235" s="13" t="s">
        <v>2332</v>
      </c>
      <c r="G1235" s="61" t="n">
        <v>3141542926</v>
      </c>
      <c r="H1235" s="13" t="s">
        <v>2255</v>
      </c>
      <c r="I1235" s="13" t="s">
        <v>2314</v>
      </c>
      <c r="J1235" s="13" t="n">
        <v>80</v>
      </c>
      <c r="K1235" s="13" t="s">
        <v>2277</v>
      </c>
      <c r="L1235" s="13" t="s">
        <v>2265</v>
      </c>
      <c r="M1235" s="13"/>
    </row>
    <row r="1236" customFormat="false" ht="15" hidden="false" customHeight="false" outlineLevel="0" collapsed="false">
      <c r="A1236" s="13" t="s">
        <v>628</v>
      </c>
      <c r="B1236" s="13" t="s">
        <v>627</v>
      </c>
      <c r="C1236" s="13" t="s">
        <v>2266</v>
      </c>
      <c r="D1236" s="13" t="s">
        <v>2270</v>
      </c>
      <c r="E1236" s="13" t="s">
        <v>2317</v>
      </c>
      <c r="F1236" s="13" t="s">
        <v>2332</v>
      </c>
      <c r="G1236" s="61" t="n">
        <v>2844622405</v>
      </c>
      <c r="H1236" s="13" t="s">
        <v>2255</v>
      </c>
      <c r="I1236" s="13" t="s">
        <v>2314</v>
      </c>
      <c r="J1236" s="13" t="n">
        <v>81</v>
      </c>
      <c r="K1236" s="13" t="s">
        <v>2278</v>
      </c>
      <c r="L1236" s="13" t="s">
        <v>2265</v>
      </c>
      <c r="M1236" s="13"/>
    </row>
    <row r="1237" customFormat="false" ht="15" hidden="false" customHeight="false" outlineLevel="0" collapsed="false">
      <c r="A1237" s="13" t="s">
        <v>628</v>
      </c>
      <c r="B1237" s="13" t="s">
        <v>627</v>
      </c>
      <c r="C1237" s="13" t="s">
        <v>2267</v>
      </c>
      <c r="D1237" s="13" t="s">
        <v>2270</v>
      </c>
      <c r="E1237" s="13" t="s">
        <v>2317</v>
      </c>
      <c r="F1237" s="13" t="s">
        <v>2332</v>
      </c>
      <c r="G1237" s="61" t="n">
        <v>1406228709</v>
      </c>
      <c r="H1237" s="13" t="s">
        <v>2255</v>
      </c>
      <c r="I1237" s="13" t="s">
        <v>2314</v>
      </c>
      <c r="J1237" s="13" t="n">
        <v>81</v>
      </c>
      <c r="K1237" s="13" t="s">
        <v>2278</v>
      </c>
      <c r="L1237" s="13" t="s">
        <v>2265</v>
      </c>
      <c r="M1237" s="13"/>
    </row>
    <row r="1238" customFormat="false" ht="15" hidden="false" customHeight="false" outlineLevel="0" collapsed="false">
      <c r="A1238" s="13" t="s">
        <v>628</v>
      </c>
      <c r="B1238" s="13" t="s">
        <v>627</v>
      </c>
      <c r="C1238" s="13" t="s">
        <v>2266</v>
      </c>
      <c r="D1238" s="13" t="s">
        <v>2270</v>
      </c>
      <c r="E1238" s="13" t="s">
        <v>2317</v>
      </c>
      <c r="F1238" s="13" t="s">
        <v>2333</v>
      </c>
      <c r="G1238" s="61" t="n">
        <v>3700208333</v>
      </c>
      <c r="H1238" s="13" t="s">
        <v>2255</v>
      </c>
      <c r="I1238" s="13" t="s">
        <v>2314</v>
      </c>
      <c r="J1238" s="13" t="n">
        <v>81</v>
      </c>
      <c r="K1238" s="13" t="s">
        <v>2278</v>
      </c>
      <c r="L1238" s="13" t="s">
        <v>2265</v>
      </c>
      <c r="M1238" s="13"/>
    </row>
    <row r="1239" customFormat="false" ht="15" hidden="false" customHeight="false" outlineLevel="0" collapsed="false">
      <c r="A1239" s="13" t="s">
        <v>628</v>
      </c>
      <c r="B1239" s="13" t="s">
        <v>627</v>
      </c>
      <c r="C1239" s="13" t="s">
        <v>2267</v>
      </c>
      <c r="D1239" s="13" t="s">
        <v>2270</v>
      </c>
      <c r="E1239" s="13" t="s">
        <v>2317</v>
      </c>
      <c r="F1239" s="13" t="s">
        <v>2333</v>
      </c>
      <c r="G1239" s="61" t="n">
        <v>1303158902</v>
      </c>
      <c r="H1239" s="13" t="s">
        <v>2255</v>
      </c>
      <c r="I1239" s="13" t="s">
        <v>2314</v>
      </c>
      <c r="J1239" s="13" t="n">
        <v>81</v>
      </c>
      <c r="K1239" s="13" t="s">
        <v>2278</v>
      </c>
      <c r="L1239" s="13" t="s">
        <v>2265</v>
      </c>
      <c r="M1239" s="13"/>
    </row>
    <row r="1240" customFormat="false" ht="15" hidden="false" customHeight="false" outlineLevel="0" collapsed="false">
      <c r="A1240" s="13" t="s">
        <v>628</v>
      </c>
      <c r="B1240" s="13" t="s">
        <v>627</v>
      </c>
      <c r="C1240" s="13" t="s">
        <v>2254</v>
      </c>
      <c r="D1240" s="13" t="s">
        <v>2270</v>
      </c>
      <c r="E1240" s="13" t="s">
        <v>2317</v>
      </c>
      <c r="F1240" s="13" t="s">
        <v>2334</v>
      </c>
      <c r="G1240" s="61" t="n">
        <v>424186397</v>
      </c>
      <c r="H1240" s="13" t="s">
        <v>2255</v>
      </c>
      <c r="I1240" s="13" t="s">
        <v>2314</v>
      </c>
      <c r="J1240" s="13" t="n">
        <v>67</v>
      </c>
      <c r="K1240" s="13" t="s">
        <v>2274</v>
      </c>
      <c r="L1240" s="13" t="s">
        <v>2257</v>
      </c>
      <c r="M1240" s="13"/>
    </row>
    <row r="1241" customFormat="false" ht="15" hidden="false" customHeight="false" outlineLevel="0" collapsed="false">
      <c r="A1241" s="13" t="s">
        <v>628</v>
      </c>
      <c r="B1241" s="13" t="s">
        <v>627</v>
      </c>
      <c r="C1241" s="13" t="s">
        <v>2258</v>
      </c>
      <c r="D1241" s="13" t="s">
        <v>2270</v>
      </c>
      <c r="E1241" s="13" t="s">
        <v>2317</v>
      </c>
      <c r="F1241" s="13" t="s">
        <v>2334</v>
      </c>
      <c r="G1241" s="61" t="n">
        <v>4397236850</v>
      </c>
      <c r="H1241" s="13" t="s">
        <v>2255</v>
      </c>
      <c r="I1241" s="13" t="s">
        <v>2314</v>
      </c>
      <c r="J1241" s="13" t="n">
        <v>81</v>
      </c>
      <c r="K1241" s="13" t="s">
        <v>2275</v>
      </c>
      <c r="L1241" s="13" t="s">
        <v>2260</v>
      </c>
      <c r="M1241" s="13"/>
    </row>
    <row r="1242" customFormat="false" ht="15" hidden="false" customHeight="false" outlineLevel="0" collapsed="false">
      <c r="A1242" s="13" t="s">
        <v>628</v>
      </c>
      <c r="B1242" s="13" t="s">
        <v>627</v>
      </c>
      <c r="C1242" s="13" t="s">
        <v>2261</v>
      </c>
      <c r="D1242" s="13" t="s">
        <v>2270</v>
      </c>
      <c r="E1242" s="13" t="s">
        <v>2317</v>
      </c>
      <c r="F1242" s="13" t="s">
        <v>2334</v>
      </c>
      <c r="G1242" s="61" t="n">
        <v>1788183297</v>
      </c>
      <c r="H1242" s="13" t="s">
        <v>2255</v>
      </c>
      <c r="I1242" s="13" t="s">
        <v>2314</v>
      </c>
      <c r="J1242" s="13" t="n">
        <v>80</v>
      </c>
      <c r="K1242" s="13" t="s">
        <v>2276</v>
      </c>
      <c r="L1242" s="13" t="s">
        <v>2263</v>
      </c>
      <c r="M1242" s="13"/>
    </row>
    <row r="1243" customFormat="false" ht="15" hidden="false" customHeight="false" outlineLevel="0" collapsed="false">
      <c r="A1243" s="13" t="s">
        <v>628</v>
      </c>
      <c r="B1243" s="13" t="s">
        <v>627</v>
      </c>
      <c r="C1243" s="13" t="s">
        <v>2264</v>
      </c>
      <c r="D1243" s="13" t="s">
        <v>2270</v>
      </c>
      <c r="E1243" s="13" t="s">
        <v>2317</v>
      </c>
      <c r="F1243" s="13" t="s">
        <v>2334</v>
      </c>
      <c r="G1243" s="61" t="n">
        <v>4646060074</v>
      </c>
      <c r="H1243" s="13" t="s">
        <v>2255</v>
      </c>
      <c r="I1243" s="13" t="s">
        <v>2314</v>
      </c>
      <c r="J1243" s="13" t="n">
        <v>80</v>
      </c>
      <c r="K1243" s="13" t="s">
        <v>2277</v>
      </c>
      <c r="L1243" s="13" t="s">
        <v>2265</v>
      </c>
      <c r="M1243" s="13"/>
    </row>
    <row r="1244" customFormat="false" ht="15" hidden="false" customHeight="false" outlineLevel="0" collapsed="false">
      <c r="A1244" s="13" t="s">
        <v>628</v>
      </c>
      <c r="B1244" s="13" t="s">
        <v>627</v>
      </c>
      <c r="C1244" s="13" t="s">
        <v>2266</v>
      </c>
      <c r="D1244" s="13" t="s">
        <v>2270</v>
      </c>
      <c r="E1244" s="13" t="s">
        <v>2317</v>
      </c>
      <c r="F1244" s="13" t="s">
        <v>2334</v>
      </c>
      <c r="G1244" s="61" t="n">
        <v>1692685776</v>
      </c>
      <c r="H1244" s="13" t="s">
        <v>2255</v>
      </c>
      <c r="I1244" s="13" t="s">
        <v>2314</v>
      </c>
      <c r="J1244" s="13" t="n">
        <v>81</v>
      </c>
      <c r="K1244" s="13" t="s">
        <v>2278</v>
      </c>
      <c r="L1244" s="13" t="s">
        <v>2265</v>
      </c>
      <c r="M1244" s="13"/>
    </row>
    <row r="1245" customFormat="false" ht="15" hidden="false" customHeight="false" outlineLevel="0" collapsed="false">
      <c r="A1245" s="13" t="s">
        <v>628</v>
      </c>
      <c r="B1245" s="13" t="s">
        <v>627</v>
      </c>
      <c r="C1245" s="13" t="s">
        <v>2267</v>
      </c>
      <c r="D1245" s="13" t="s">
        <v>2270</v>
      </c>
      <c r="E1245" s="13" t="s">
        <v>2317</v>
      </c>
      <c r="F1245" s="13" t="s">
        <v>2334</v>
      </c>
      <c r="G1245" s="61" t="n">
        <v>977150554</v>
      </c>
      <c r="H1245" s="13" t="s">
        <v>2255</v>
      </c>
      <c r="I1245" s="13" t="s">
        <v>2314</v>
      </c>
      <c r="J1245" s="13" t="n">
        <v>81</v>
      </c>
      <c r="K1245" s="13" t="s">
        <v>2278</v>
      </c>
      <c r="L1245" s="13" t="s">
        <v>2265</v>
      </c>
      <c r="M1245" s="13"/>
    </row>
    <row r="1246" customFormat="false" ht="15" hidden="false" customHeight="false" outlineLevel="0" collapsed="false">
      <c r="A1246" s="13" t="s">
        <v>628</v>
      </c>
      <c r="B1246" s="13" t="s">
        <v>627</v>
      </c>
      <c r="C1246" s="13" t="s">
        <v>2254</v>
      </c>
      <c r="D1246" s="13" t="s">
        <v>2270</v>
      </c>
      <c r="E1246" s="13" t="s">
        <v>2317</v>
      </c>
      <c r="F1246" s="13" t="s">
        <v>2335</v>
      </c>
      <c r="G1246" s="61" t="n">
        <v>331152317</v>
      </c>
      <c r="H1246" s="13" t="s">
        <v>2255</v>
      </c>
      <c r="I1246" s="13" t="s">
        <v>2314</v>
      </c>
      <c r="J1246" s="13" t="n">
        <v>67</v>
      </c>
      <c r="K1246" s="13" t="s">
        <v>2274</v>
      </c>
      <c r="L1246" s="13" t="s">
        <v>2257</v>
      </c>
      <c r="M1246" s="13"/>
    </row>
    <row r="1247" customFormat="false" ht="15" hidden="false" customHeight="false" outlineLevel="0" collapsed="false">
      <c r="A1247" s="13" t="s">
        <v>628</v>
      </c>
      <c r="B1247" s="13" t="s">
        <v>627</v>
      </c>
      <c r="C1247" s="13" t="s">
        <v>2258</v>
      </c>
      <c r="D1247" s="13" t="s">
        <v>2270</v>
      </c>
      <c r="E1247" s="13" t="s">
        <v>2317</v>
      </c>
      <c r="F1247" s="13" t="s">
        <v>2335</v>
      </c>
      <c r="G1247" s="61" t="n">
        <v>255402057</v>
      </c>
      <c r="H1247" s="13" t="s">
        <v>2255</v>
      </c>
      <c r="I1247" s="13" t="s">
        <v>2314</v>
      </c>
      <c r="J1247" s="13" t="n">
        <v>81</v>
      </c>
      <c r="K1247" s="13" t="s">
        <v>2275</v>
      </c>
      <c r="L1247" s="13" t="s">
        <v>2260</v>
      </c>
      <c r="M1247" s="13"/>
    </row>
    <row r="1248" customFormat="false" ht="15" hidden="false" customHeight="false" outlineLevel="0" collapsed="false">
      <c r="A1248" s="13" t="s">
        <v>628</v>
      </c>
      <c r="B1248" s="13" t="s">
        <v>627</v>
      </c>
      <c r="C1248" s="13" t="s">
        <v>2261</v>
      </c>
      <c r="D1248" s="13" t="s">
        <v>2270</v>
      </c>
      <c r="E1248" s="13" t="s">
        <v>2317</v>
      </c>
      <c r="F1248" s="13" t="s">
        <v>2335</v>
      </c>
      <c r="G1248" s="61" t="n">
        <v>409496755</v>
      </c>
      <c r="H1248" s="13" t="s">
        <v>2255</v>
      </c>
      <c r="I1248" s="13" t="s">
        <v>2314</v>
      </c>
      <c r="J1248" s="13" t="n">
        <v>80</v>
      </c>
      <c r="K1248" s="13" t="s">
        <v>2276</v>
      </c>
      <c r="L1248" s="13" t="s">
        <v>2263</v>
      </c>
      <c r="M1248" s="13"/>
    </row>
    <row r="1249" customFormat="false" ht="15" hidden="false" customHeight="false" outlineLevel="0" collapsed="false">
      <c r="A1249" s="13" t="s">
        <v>628</v>
      </c>
      <c r="B1249" s="13" t="s">
        <v>627</v>
      </c>
      <c r="C1249" s="13" t="s">
        <v>2264</v>
      </c>
      <c r="D1249" s="13" t="s">
        <v>2270</v>
      </c>
      <c r="E1249" s="13" t="s">
        <v>2317</v>
      </c>
      <c r="F1249" s="13" t="s">
        <v>2335</v>
      </c>
      <c r="G1249" s="61" t="n">
        <v>249808963</v>
      </c>
      <c r="H1249" s="13" t="s">
        <v>2255</v>
      </c>
      <c r="I1249" s="13" t="s">
        <v>2314</v>
      </c>
      <c r="J1249" s="13" t="n">
        <v>80</v>
      </c>
      <c r="K1249" s="13" t="s">
        <v>2277</v>
      </c>
      <c r="L1249" s="13" t="s">
        <v>2265</v>
      </c>
      <c r="M1249" s="13"/>
    </row>
    <row r="1250" customFormat="false" ht="15" hidden="false" customHeight="false" outlineLevel="0" collapsed="false">
      <c r="A1250" s="13" t="s">
        <v>628</v>
      </c>
      <c r="B1250" s="13" t="s">
        <v>627</v>
      </c>
      <c r="C1250" s="13" t="s">
        <v>2266</v>
      </c>
      <c r="D1250" s="13" t="s">
        <v>2270</v>
      </c>
      <c r="E1250" s="13" t="s">
        <v>2317</v>
      </c>
      <c r="F1250" s="13" t="s">
        <v>2335</v>
      </c>
      <c r="G1250" s="61" t="n">
        <v>315769183</v>
      </c>
      <c r="H1250" s="13" t="s">
        <v>2255</v>
      </c>
      <c r="I1250" s="13" t="s">
        <v>2314</v>
      </c>
      <c r="J1250" s="13" t="n">
        <v>81</v>
      </c>
      <c r="K1250" s="13" t="s">
        <v>2278</v>
      </c>
      <c r="L1250" s="13" t="s">
        <v>2265</v>
      </c>
      <c r="M1250" s="13"/>
    </row>
    <row r="1251" customFormat="false" ht="15" hidden="false" customHeight="false" outlineLevel="0" collapsed="false">
      <c r="A1251" s="13" t="s">
        <v>628</v>
      </c>
      <c r="B1251" s="13" t="s">
        <v>627</v>
      </c>
      <c r="C1251" s="13" t="s">
        <v>2267</v>
      </c>
      <c r="D1251" s="13" t="s">
        <v>2270</v>
      </c>
      <c r="E1251" s="13" t="s">
        <v>2317</v>
      </c>
      <c r="F1251" s="13" t="s">
        <v>2335</v>
      </c>
      <c r="G1251" s="61" t="n">
        <v>229166297</v>
      </c>
      <c r="H1251" s="13" t="s">
        <v>2255</v>
      </c>
      <c r="I1251" s="13" t="s">
        <v>2314</v>
      </c>
      <c r="J1251" s="13" t="n">
        <v>81</v>
      </c>
      <c r="K1251" s="13" t="s">
        <v>2278</v>
      </c>
      <c r="L1251" s="13" t="s">
        <v>2265</v>
      </c>
      <c r="M1251" s="13"/>
    </row>
    <row r="1252" customFormat="false" ht="15" hidden="false" customHeight="false" outlineLevel="0" collapsed="false">
      <c r="A1252" s="13" t="s">
        <v>628</v>
      </c>
      <c r="B1252" s="13" t="s">
        <v>627</v>
      </c>
      <c r="C1252" s="13" t="s">
        <v>2254</v>
      </c>
      <c r="D1252" s="13" t="s">
        <v>2270</v>
      </c>
      <c r="E1252" s="13" t="s">
        <v>2317</v>
      </c>
      <c r="F1252" s="13" t="s">
        <v>2336</v>
      </c>
      <c r="G1252" s="61" t="n">
        <v>478819177</v>
      </c>
      <c r="H1252" s="13" t="s">
        <v>2255</v>
      </c>
      <c r="I1252" s="13" t="s">
        <v>2314</v>
      </c>
      <c r="J1252" s="13" t="n">
        <v>67</v>
      </c>
      <c r="K1252" s="13" t="s">
        <v>2274</v>
      </c>
      <c r="L1252" s="13" t="s">
        <v>2257</v>
      </c>
      <c r="M1252" s="13"/>
    </row>
    <row r="1253" customFormat="false" ht="15" hidden="false" customHeight="false" outlineLevel="0" collapsed="false">
      <c r="A1253" s="13" t="s">
        <v>628</v>
      </c>
      <c r="B1253" s="13" t="s">
        <v>627</v>
      </c>
      <c r="C1253" s="13" t="s">
        <v>2258</v>
      </c>
      <c r="D1253" s="13" t="s">
        <v>2270</v>
      </c>
      <c r="E1253" s="13" t="s">
        <v>2317</v>
      </c>
      <c r="F1253" s="13" t="s">
        <v>2336</v>
      </c>
      <c r="G1253" s="61" t="n">
        <v>7952954189</v>
      </c>
      <c r="H1253" s="13" t="s">
        <v>2255</v>
      </c>
      <c r="I1253" s="13" t="s">
        <v>2314</v>
      </c>
      <c r="J1253" s="13" t="n">
        <v>81</v>
      </c>
      <c r="K1253" s="13" t="s">
        <v>2275</v>
      </c>
      <c r="L1253" s="13" t="s">
        <v>2260</v>
      </c>
      <c r="M1253" s="13"/>
    </row>
    <row r="1254" customFormat="false" ht="15" hidden="false" customHeight="false" outlineLevel="0" collapsed="false">
      <c r="A1254" s="13" t="s">
        <v>628</v>
      </c>
      <c r="B1254" s="13" t="s">
        <v>627</v>
      </c>
      <c r="C1254" s="13" t="s">
        <v>2261</v>
      </c>
      <c r="D1254" s="13" t="s">
        <v>2270</v>
      </c>
      <c r="E1254" s="13" t="s">
        <v>2317</v>
      </c>
      <c r="F1254" s="13" t="s">
        <v>2336</v>
      </c>
      <c r="G1254" s="61" t="n">
        <v>19714312735</v>
      </c>
      <c r="H1254" s="13" t="s">
        <v>2255</v>
      </c>
      <c r="I1254" s="13" t="s">
        <v>2314</v>
      </c>
      <c r="J1254" s="13" t="n">
        <v>80</v>
      </c>
      <c r="K1254" s="13" t="s">
        <v>2276</v>
      </c>
      <c r="L1254" s="13" t="s">
        <v>2263</v>
      </c>
      <c r="M1254" s="13"/>
    </row>
    <row r="1255" customFormat="false" ht="15" hidden="false" customHeight="false" outlineLevel="0" collapsed="false">
      <c r="A1255" s="13" t="s">
        <v>628</v>
      </c>
      <c r="B1255" s="13" t="s">
        <v>627</v>
      </c>
      <c r="C1255" s="13" t="s">
        <v>2264</v>
      </c>
      <c r="D1255" s="13" t="s">
        <v>2270</v>
      </c>
      <c r="E1255" s="13" t="s">
        <v>2317</v>
      </c>
      <c r="F1255" s="13" t="s">
        <v>2336</v>
      </c>
      <c r="G1255" s="61" t="n">
        <v>27225466427</v>
      </c>
      <c r="H1255" s="13" t="s">
        <v>2255</v>
      </c>
      <c r="I1255" s="13" t="s">
        <v>2314</v>
      </c>
      <c r="J1255" s="13" t="n">
        <v>80</v>
      </c>
      <c r="K1255" s="13" t="s">
        <v>2277</v>
      </c>
      <c r="L1255" s="13" t="s">
        <v>2265</v>
      </c>
      <c r="M1255" s="13"/>
    </row>
    <row r="1256" customFormat="false" ht="15" hidden="false" customHeight="false" outlineLevel="0" collapsed="false">
      <c r="A1256" s="13" t="s">
        <v>628</v>
      </c>
      <c r="B1256" s="13" t="s">
        <v>627</v>
      </c>
      <c r="C1256" s="13" t="s">
        <v>2266</v>
      </c>
      <c r="D1256" s="13" t="s">
        <v>2270</v>
      </c>
      <c r="E1256" s="13" t="s">
        <v>2317</v>
      </c>
      <c r="F1256" s="13" t="s">
        <v>2336</v>
      </c>
      <c r="G1256" s="61" t="n">
        <v>19634696669</v>
      </c>
      <c r="H1256" s="13" t="s">
        <v>2255</v>
      </c>
      <c r="I1256" s="13" t="s">
        <v>2314</v>
      </c>
      <c r="J1256" s="13" t="n">
        <v>81</v>
      </c>
      <c r="K1256" s="13" t="s">
        <v>2278</v>
      </c>
      <c r="L1256" s="13" t="s">
        <v>2265</v>
      </c>
      <c r="M1256" s="13"/>
    </row>
    <row r="1257" customFormat="false" ht="15" hidden="false" customHeight="false" outlineLevel="0" collapsed="false">
      <c r="A1257" s="13" t="s">
        <v>628</v>
      </c>
      <c r="B1257" s="13" t="s">
        <v>627</v>
      </c>
      <c r="C1257" s="13" t="s">
        <v>2267</v>
      </c>
      <c r="D1257" s="13" t="s">
        <v>2270</v>
      </c>
      <c r="E1257" s="13" t="s">
        <v>2317</v>
      </c>
      <c r="F1257" s="13" t="s">
        <v>2336</v>
      </c>
      <c r="G1257" s="61" t="n">
        <v>773785027</v>
      </c>
      <c r="H1257" s="13" t="s">
        <v>2255</v>
      </c>
      <c r="I1257" s="13" t="s">
        <v>2314</v>
      </c>
      <c r="J1257" s="13" t="n">
        <v>81</v>
      </c>
      <c r="K1257" s="13" t="s">
        <v>2278</v>
      </c>
      <c r="L1257" s="13" t="s">
        <v>2265</v>
      </c>
      <c r="M1257" s="13"/>
    </row>
    <row r="1258" customFormat="false" ht="15" hidden="false" customHeight="false" outlineLevel="0" collapsed="false">
      <c r="A1258" s="13" t="s">
        <v>628</v>
      </c>
      <c r="B1258" s="13" t="s">
        <v>627</v>
      </c>
      <c r="C1258" s="13" t="s">
        <v>2254</v>
      </c>
      <c r="D1258" s="13" t="s">
        <v>2270</v>
      </c>
      <c r="E1258" s="13" t="s">
        <v>2317</v>
      </c>
      <c r="F1258" s="13" t="s">
        <v>2316</v>
      </c>
      <c r="G1258" s="61" t="n">
        <v>4525026927</v>
      </c>
      <c r="H1258" s="13" t="s">
        <v>2255</v>
      </c>
      <c r="I1258" s="13" t="s">
        <v>2314</v>
      </c>
      <c r="J1258" s="13" t="n">
        <v>67</v>
      </c>
      <c r="K1258" s="13" t="s">
        <v>2274</v>
      </c>
      <c r="L1258" s="13" t="s">
        <v>2257</v>
      </c>
      <c r="M1258" s="13"/>
    </row>
    <row r="1259" customFormat="false" ht="15" hidden="false" customHeight="false" outlineLevel="0" collapsed="false">
      <c r="A1259" s="13" t="s">
        <v>628</v>
      </c>
      <c r="B1259" s="13" t="s">
        <v>627</v>
      </c>
      <c r="C1259" s="13" t="s">
        <v>2258</v>
      </c>
      <c r="D1259" s="13" t="s">
        <v>2270</v>
      </c>
      <c r="E1259" s="13" t="s">
        <v>2317</v>
      </c>
      <c r="F1259" s="13" t="s">
        <v>2316</v>
      </c>
      <c r="G1259" s="61" t="n">
        <v>2505411129</v>
      </c>
      <c r="H1259" s="13" t="s">
        <v>2255</v>
      </c>
      <c r="I1259" s="13" t="s">
        <v>2314</v>
      </c>
      <c r="J1259" s="13" t="n">
        <v>81</v>
      </c>
      <c r="K1259" s="13" t="s">
        <v>2275</v>
      </c>
      <c r="L1259" s="13" t="s">
        <v>2260</v>
      </c>
      <c r="M1259" s="13"/>
    </row>
    <row r="1260" customFormat="false" ht="15" hidden="false" customHeight="false" outlineLevel="0" collapsed="false">
      <c r="A1260" s="13" t="s">
        <v>628</v>
      </c>
      <c r="B1260" s="13" t="s">
        <v>627</v>
      </c>
      <c r="C1260" s="13" t="s">
        <v>2261</v>
      </c>
      <c r="D1260" s="13" t="s">
        <v>2270</v>
      </c>
      <c r="E1260" s="13" t="s">
        <v>2317</v>
      </c>
      <c r="F1260" s="13" t="s">
        <v>2316</v>
      </c>
      <c r="G1260" s="61" t="n">
        <v>5077764859</v>
      </c>
      <c r="H1260" s="13" t="s">
        <v>2255</v>
      </c>
      <c r="I1260" s="13" t="s">
        <v>2314</v>
      </c>
      <c r="J1260" s="13" t="n">
        <v>80</v>
      </c>
      <c r="K1260" s="13" t="s">
        <v>2276</v>
      </c>
      <c r="L1260" s="13" t="s">
        <v>2263</v>
      </c>
      <c r="M1260" s="13"/>
    </row>
    <row r="1261" customFormat="false" ht="15" hidden="false" customHeight="false" outlineLevel="0" collapsed="false">
      <c r="A1261" s="13" t="s">
        <v>628</v>
      </c>
      <c r="B1261" s="13" t="s">
        <v>627</v>
      </c>
      <c r="C1261" s="13" t="s">
        <v>2264</v>
      </c>
      <c r="D1261" s="13" t="s">
        <v>2270</v>
      </c>
      <c r="E1261" s="13" t="s">
        <v>2317</v>
      </c>
      <c r="F1261" s="13" t="s">
        <v>2316</v>
      </c>
      <c r="G1261" s="61" t="n">
        <v>11176989254</v>
      </c>
      <c r="H1261" s="13" t="s">
        <v>2255</v>
      </c>
      <c r="I1261" s="13" t="s">
        <v>2314</v>
      </c>
      <c r="J1261" s="13" t="n">
        <v>80</v>
      </c>
      <c r="K1261" s="13" t="s">
        <v>2277</v>
      </c>
      <c r="L1261" s="13" t="s">
        <v>2265</v>
      </c>
      <c r="M1261" s="13"/>
    </row>
    <row r="1262" customFormat="false" ht="15" hidden="false" customHeight="false" outlineLevel="0" collapsed="false">
      <c r="A1262" s="13" t="s">
        <v>628</v>
      </c>
      <c r="B1262" s="13" t="s">
        <v>627</v>
      </c>
      <c r="C1262" s="13" t="s">
        <v>2266</v>
      </c>
      <c r="D1262" s="13" t="s">
        <v>2270</v>
      </c>
      <c r="E1262" s="13" t="s">
        <v>2317</v>
      </c>
      <c r="F1262" s="13" t="s">
        <v>2316</v>
      </c>
      <c r="G1262" s="61" t="n">
        <v>11254429353</v>
      </c>
      <c r="H1262" s="13" t="s">
        <v>2255</v>
      </c>
      <c r="I1262" s="13" t="s">
        <v>2314</v>
      </c>
      <c r="J1262" s="13" t="n">
        <v>81</v>
      </c>
      <c r="K1262" s="13" t="s">
        <v>2278</v>
      </c>
      <c r="L1262" s="13" t="s">
        <v>2265</v>
      </c>
      <c r="M1262" s="13"/>
    </row>
    <row r="1263" customFormat="false" ht="15" hidden="false" customHeight="false" outlineLevel="0" collapsed="false">
      <c r="A1263" s="13" t="s">
        <v>628</v>
      </c>
      <c r="B1263" s="13" t="s">
        <v>627</v>
      </c>
      <c r="C1263" s="13" t="s">
        <v>2267</v>
      </c>
      <c r="D1263" s="13" t="s">
        <v>2270</v>
      </c>
      <c r="E1263" s="13" t="s">
        <v>2317</v>
      </c>
      <c r="F1263" s="13" t="s">
        <v>2316</v>
      </c>
      <c r="G1263" s="61" t="n">
        <v>24607440040</v>
      </c>
      <c r="H1263" s="13" t="s">
        <v>2255</v>
      </c>
      <c r="I1263" s="13" t="s">
        <v>2314</v>
      </c>
      <c r="J1263" s="13" t="n">
        <v>81</v>
      </c>
      <c r="K1263" s="13" t="s">
        <v>2278</v>
      </c>
      <c r="L1263" s="13" t="s">
        <v>2265</v>
      </c>
      <c r="M1263" s="13"/>
    </row>
    <row r="1264" customFormat="false" ht="15" hidden="false" customHeight="false" outlineLevel="0" collapsed="false">
      <c r="A1264" s="13" t="s">
        <v>628</v>
      </c>
      <c r="B1264" s="13" t="s">
        <v>627</v>
      </c>
      <c r="C1264" s="13" t="s">
        <v>2254</v>
      </c>
      <c r="D1264" s="13" t="s">
        <v>2270</v>
      </c>
      <c r="E1264" s="13" t="s">
        <v>2317</v>
      </c>
      <c r="F1264" s="13" t="s">
        <v>2290</v>
      </c>
      <c r="G1264" s="61" t="n">
        <v>326512973831</v>
      </c>
      <c r="H1264" s="13" t="s">
        <v>2255</v>
      </c>
      <c r="I1264" s="13" t="s">
        <v>2314</v>
      </c>
      <c r="J1264" s="13" t="n">
        <v>67</v>
      </c>
      <c r="K1264" s="13" t="s">
        <v>2274</v>
      </c>
      <c r="L1264" s="13" t="s">
        <v>2257</v>
      </c>
      <c r="M1264" s="13"/>
    </row>
    <row r="1265" customFormat="false" ht="15" hidden="false" customHeight="false" outlineLevel="0" collapsed="false">
      <c r="A1265" s="13" t="s">
        <v>628</v>
      </c>
      <c r="B1265" s="13" t="s">
        <v>627</v>
      </c>
      <c r="C1265" s="13" t="s">
        <v>2258</v>
      </c>
      <c r="D1265" s="13" t="s">
        <v>2270</v>
      </c>
      <c r="E1265" s="13" t="s">
        <v>2317</v>
      </c>
      <c r="F1265" s="13" t="s">
        <v>2290</v>
      </c>
      <c r="G1265" s="61" t="n">
        <v>472902134855</v>
      </c>
      <c r="H1265" s="13" t="s">
        <v>2255</v>
      </c>
      <c r="I1265" s="13" t="s">
        <v>2314</v>
      </c>
      <c r="J1265" s="13" t="n">
        <v>81</v>
      </c>
      <c r="K1265" s="13" t="s">
        <v>2275</v>
      </c>
      <c r="L1265" s="13" t="s">
        <v>2260</v>
      </c>
      <c r="M1265" s="13"/>
    </row>
    <row r="1266" customFormat="false" ht="15" hidden="false" customHeight="false" outlineLevel="0" collapsed="false">
      <c r="A1266" s="13" t="s">
        <v>628</v>
      </c>
      <c r="B1266" s="13" t="s">
        <v>627</v>
      </c>
      <c r="C1266" s="13" t="s">
        <v>2261</v>
      </c>
      <c r="D1266" s="13" t="s">
        <v>2270</v>
      </c>
      <c r="E1266" s="13" t="s">
        <v>2317</v>
      </c>
      <c r="F1266" s="13" t="s">
        <v>2290</v>
      </c>
      <c r="G1266" s="61" t="n">
        <v>510347314037</v>
      </c>
      <c r="H1266" s="13" t="s">
        <v>2255</v>
      </c>
      <c r="I1266" s="13" t="s">
        <v>2314</v>
      </c>
      <c r="J1266" s="13" t="n">
        <v>80</v>
      </c>
      <c r="K1266" s="13" t="s">
        <v>2276</v>
      </c>
      <c r="L1266" s="13" t="s">
        <v>2263</v>
      </c>
      <c r="M1266" s="13"/>
    </row>
    <row r="1267" customFormat="false" ht="15" hidden="false" customHeight="false" outlineLevel="0" collapsed="false">
      <c r="A1267" s="13" t="s">
        <v>628</v>
      </c>
      <c r="B1267" s="13" t="s">
        <v>627</v>
      </c>
      <c r="C1267" s="13" t="s">
        <v>2264</v>
      </c>
      <c r="D1267" s="13" t="s">
        <v>2270</v>
      </c>
      <c r="E1267" s="13" t="s">
        <v>2317</v>
      </c>
      <c r="F1267" s="13" t="s">
        <v>2290</v>
      </c>
      <c r="G1267" s="61" t="n">
        <v>570408858788</v>
      </c>
      <c r="H1267" s="13" t="s">
        <v>2255</v>
      </c>
      <c r="I1267" s="13" t="s">
        <v>2314</v>
      </c>
      <c r="J1267" s="13" t="n">
        <v>80</v>
      </c>
      <c r="K1267" s="13" t="s">
        <v>2277</v>
      </c>
      <c r="L1267" s="13" t="s">
        <v>2265</v>
      </c>
      <c r="M1267" s="13"/>
    </row>
    <row r="1268" customFormat="false" ht="15" hidden="false" customHeight="false" outlineLevel="0" collapsed="false">
      <c r="A1268" s="13" t="s">
        <v>628</v>
      </c>
      <c r="B1268" s="13" t="s">
        <v>627</v>
      </c>
      <c r="C1268" s="13" t="s">
        <v>2266</v>
      </c>
      <c r="D1268" s="13" t="s">
        <v>2270</v>
      </c>
      <c r="E1268" s="13" t="s">
        <v>2317</v>
      </c>
      <c r="F1268" s="13" t="s">
        <v>2290</v>
      </c>
      <c r="G1268" s="61" t="n">
        <v>576812865380</v>
      </c>
      <c r="H1268" s="13" t="s">
        <v>2255</v>
      </c>
      <c r="I1268" s="13" t="s">
        <v>2314</v>
      </c>
      <c r="J1268" s="13" t="n">
        <v>81</v>
      </c>
      <c r="K1268" s="13" t="s">
        <v>2278</v>
      </c>
      <c r="L1268" s="13" t="s">
        <v>2265</v>
      </c>
      <c r="M1268" s="13"/>
    </row>
    <row r="1269" customFormat="false" ht="15" hidden="false" customHeight="false" outlineLevel="0" collapsed="false">
      <c r="A1269" s="13" t="s">
        <v>628</v>
      </c>
      <c r="B1269" s="13" t="s">
        <v>627</v>
      </c>
      <c r="C1269" s="13" t="s">
        <v>2267</v>
      </c>
      <c r="D1269" s="13" t="s">
        <v>2270</v>
      </c>
      <c r="E1269" s="13" t="s">
        <v>2317</v>
      </c>
      <c r="F1269" s="13" t="s">
        <v>2290</v>
      </c>
      <c r="G1269" s="61" t="n">
        <v>593553244322</v>
      </c>
      <c r="H1269" s="13" t="s">
        <v>2255</v>
      </c>
      <c r="I1269" s="13" t="s">
        <v>2314</v>
      </c>
      <c r="J1269" s="13" t="n">
        <v>81</v>
      </c>
      <c r="K1269" s="13" t="s">
        <v>2278</v>
      </c>
      <c r="L1269" s="13" t="s">
        <v>2265</v>
      </c>
      <c r="M1269" s="13"/>
    </row>
    <row r="1270" customFormat="false" ht="15" hidden="false" customHeight="false" outlineLevel="0" collapsed="false">
      <c r="A1270" s="13" t="s">
        <v>628</v>
      </c>
      <c r="B1270" s="13" t="s">
        <v>627</v>
      </c>
      <c r="C1270" s="13" t="s">
        <v>2254</v>
      </c>
      <c r="D1270" s="13" t="s">
        <v>2270</v>
      </c>
      <c r="E1270" s="13" t="s">
        <v>2337</v>
      </c>
      <c r="F1270" s="13" t="s">
        <v>2338</v>
      </c>
      <c r="G1270" s="61" t="n">
        <v>42832048002</v>
      </c>
      <c r="H1270" s="13" t="s">
        <v>2255</v>
      </c>
      <c r="I1270" s="13" t="s">
        <v>2339</v>
      </c>
      <c r="J1270" s="13" t="n">
        <v>39</v>
      </c>
      <c r="K1270" s="13" t="s">
        <v>2274</v>
      </c>
      <c r="L1270" s="13" t="s">
        <v>2257</v>
      </c>
      <c r="M1270" s="13"/>
    </row>
    <row r="1271" customFormat="false" ht="15" hidden="false" customHeight="false" outlineLevel="0" collapsed="false">
      <c r="A1271" s="13" t="s">
        <v>628</v>
      </c>
      <c r="B1271" s="13" t="s">
        <v>627</v>
      </c>
      <c r="C1271" s="13" t="s">
        <v>2258</v>
      </c>
      <c r="D1271" s="13" t="s">
        <v>2270</v>
      </c>
      <c r="E1271" s="13" t="s">
        <v>2337</v>
      </c>
      <c r="F1271" s="13" t="s">
        <v>2338</v>
      </c>
      <c r="G1271" s="61" t="n">
        <v>45294161092</v>
      </c>
      <c r="H1271" s="13" t="s">
        <v>2255</v>
      </c>
      <c r="I1271" s="13" t="s">
        <v>2339</v>
      </c>
      <c r="J1271" s="13" t="n">
        <v>53</v>
      </c>
      <c r="K1271" s="13" t="s">
        <v>2275</v>
      </c>
      <c r="L1271" s="13" t="s">
        <v>2260</v>
      </c>
      <c r="M1271" s="13"/>
    </row>
    <row r="1272" customFormat="false" ht="15" hidden="false" customHeight="false" outlineLevel="0" collapsed="false">
      <c r="A1272" s="13" t="s">
        <v>628</v>
      </c>
      <c r="B1272" s="13" t="s">
        <v>627</v>
      </c>
      <c r="C1272" s="13" t="s">
        <v>2261</v>
      </c>
      <c r="D1272" s="13" t="s">
        <v>2270</v>
      </c>
      <c r="E1272" s="13" t="s">
        <v>2337</v>
      </c>
      <c r="F1272" s="13" t="s">
        <v>2338</v>
      </c>
      <c r="G1272" s="61" t="n">
        <v>59028912575</v>
      </c>
      <c r="H1272" s="13" t="s">
        <v>2255</v>
      </c>
      <c r="I1272" s="13" t="s">
        <v>2339</v>
      </c>
      <c r="J1272" s="13" t="n">
        <v>48</v>
      </c>
      <c r="K1272" s="13" t="s">
        <v>2276</v>
      </c>
      <c r="L1272" s="13" t="s">
        <v>2263</v>
      </c>
      <c r="M1272" s="13"/>
    </row>
    <row r="1273" customFormat="false" ht="15" hidden="false" customHeight="false" outlineLevel="0" collapsed="false">
      <c r="A1273" s="13" t="s">
        <v>628</v>
      </c>
      <c r="B1273" s="13" t="s">
        <v>627</v>
      </c>
      <c r="C1273" s="13" t="s">
        <v>2264</v>
      </c>
      <c r="D1273" s="13" t="s">
        <v>2270</v>
      </c>
      <c r="E1273" s="13" t="s">
        <v>2337</v>
      </c>
      <c r="F1273" s="13" t="s">
        <v>2338</v>
      </c>
      <c r="G1273" s="61" t="n">
        <v>49656815000</v>
      </c>
      <c r="H1273" s="13" t="s">
        <v>2255</v>
      </c>
      <c r="I1273" s="13" t="s">
        <v>2339</v>
      </c>
      <c r="J1273" s="13" t="n">
        <v>48</v>
      </c>
      <c r="K1273" s="13" t="s">
        <v>2277</v>
      </c>
      <c r="L1273" s="13" t="s">
        <v>2265</v>
      </c>
      <c r="M1273" s="13"/>
    </row>
    <row r="1274" customFormat="false" ht="15" hidden="false" customHeight="false" outlineLevel="0" collapsed="false">
      <c r="A1274" s="13" t="s">
        <v>628</v>
      </c>
      <c r="B1274" s="13" t="s">
        <v>627</v>
      </c>
      <c r="C1274" s="13" t="s">
        <v>2266</v>
      </c>
      <c r="D1274" s="13" t="s">
        <v>2270</v>
      </c>
      <c r="E1274" s="13" t="s">
        <v>2337</v>
      </c>
      <c r="F1274" s="13" t="s">
        <v>2338</v>
      </c>
      <c r="G1274" s="61" t="n">
        <v>60792349219</v>
      </c>
      <c r="H1274" s="13" t="s">
        <v>2255</v>
      </c>
      <c r="I1274" s="13" t="s">
        <v>2339</v>
      </c>
      <c r="J1274" s="13" t="n">
        <v>50</v>
      </c>
      <c r="K1274" s="13" t="s">
        <v>2278</v>
      </c>
      <c r="L1274" s="13" t="s">
        <v>2265</v>
      </c>
      <c r="M1274" s="13"/>
    </row>
    <row r="1275" customFormat="false" ht="15" hidden="false" customHeight="false" outlineLevel="0" collapsed="false">
      <c r="A1275" s="13" t="s">
        <v>628</v>
      </c>
      <c r="B1275" s="13" t="s">
        <v>627</v>
      </c>
      <c r="C1275" s="13" t="s">
        <v>2267</v>
      </c>
      <c r="D1275" s="13" t="s">
        <v>2270</v>
      </c>
      <c r="E1275" s="13" t="s">
        <v>2337</v>
      </c>
      <c r="F1275" s="13" t="s">
        <v>2338</v>
      </c>
      <c r="G1275" s="61" t="n">
        <v>73630841178</v>
      </c>
      <c r="H1275" s="13" t="s">
        <v>2255</v>
      </c>
      <c r="I1275" s="13" t="s">
        <v>2339</v>
      </c>
      <c r="J1275" s="13" t="n">
        <v>50</v>
      </c>
      <c r="K1275" s="13" t="s">
        <v>2278</v>
      </c>
      <c r="L1275" s="13" t="s">
        <v>2265</v>
      </c>
      <c r="M1275" s="13"/>
    </row>
    <row r="1276" customFormat="false" ht="15" hidden="false" customHeight="false" outlineLevel="0" collapsed="false">
      <c r="A1276" s="13" t="s">
        <v>628</v>
      </c>
      <c r="B1276" s="13" t="s">
        <v>627</v>
      </c>
      <c r="C1276" s="13" t="s">
        <v>2254</v>
      </c>
      <c r="D1276" s="13" t="s">
        <v>2270</v>
      </c>
      <c r="E1276" s="13" t="s">
        <v>2337</v>
      </c>
      <c r="F1276" s="13" t="s">
        <v>2330</v>
      </c>
      <c r="G1276" s="61" t="n">
        <v>40756688682</v>
      </c>
      <c r="H1276" s="13" t="s">
        <v>2255</v>
      </c>
      <c r="I1276" s="13" t="s">
        <v>2339</v>
      </c>
      <c r="J1276" s="13" t="n">
        <v>39</v>
      </c>
      <c r="K1276" s="13" t="s">
        <v>2274</v>
      </c>
      <c r="L1276" s="13" t="s">
        <v>2257</v>
      </c>
      <c r="M1276" s="13"/>
    </row>
    <row r="1277" customFormat="false" ht="15" hidden="false" customHeight="false" outlineLevel="0" collapsed="false">
      <c r="A1277" s="13" t="s">
        <v>628</v>
      </c>
      <c r="B1277" s="13" t="s">
        <v>627</v>
      </c>
      <c r="C1277" s="13" t="s">
        <v>2258</v>
      </c>
      <c r="D1277" s="13" t="s">
        <v>2270</v>
      </c>
      <c r="E1277" s="13" t="s">
        <v>2337</v>
      </c>
      <c r="F1277" s="13" t="s">
        <v>2330</v>
      </c>
      <c r="G1277" s="61" t="n">
        <v>20502165061</v>
      </c>
      <c r="H1277" s="13" t="s">
        <v>2255</v>
      </c>
      <c r="I1277" s="13" t="s">
        <v>2339</v>
      </c>
      <c r="J1277" s="13" t="n">
        <v>53</v>
      </c>
      <c r="K1277" s="13" t="s">
        <v>2275</v>
      </c>
      <c r="L1277" s="13" t="s">
        <v>2260</v>
      </c>
      <c r="M1277" s="13"/>
    </row>
    <row r="1278" customFormat="false" ht="15" hidden="false" customHeight="false" outlineLevel="0" collapsed="false">
      <c r="A1278" s="13" t="s">
        <v>628</v>
      </c>
      <c r="B1278" s="13" t="s">
        <v>627</v>
      </c>
      <c r="C1278" s="13" t="s">
        <v>2261</v>
      </c>
      <c r="D1278" s="13" t="s">
        <v>2270</v>
      </c>
      <c r="E1278" s="13" t="s">
        <v>2337</v>
      </c>
      <c r="F1278" s="13" t="s">
        <v>2330</v>
      </c>
      <c r="G1278" s="61" t="n">
        <v>39074408499</v>
      </c>
      <c r="H1278" s="13" t="s">
        <v>2255</v>
      </c>
      <c r="I1278" s="13" t="s">
        <v>2339</v>
      </c>
      <c r="J1278" s="13" t="n">
        <v>48</v>
      </c>
      <c r="K1278" s="13" t="s">
        <v>2276</v>
      </c>
      <c r="L1278" s="13" t="s">
        <v>2263</v>
      </c>
      <c r="M1278" s="13"/>
    </row>
    <row r="1279" customFormat="false" ht="15" hidden="false" customHeight="false" outlineLevel="0" collapsed="false">
      <c r="A1279" s="13" t="s">
        <v>628</v>
      </c>
      <c r="B1279" s="13" t="s">
        <v>627</v>
      </c>
      <c r="C1279" s="13" t="s">
        <v>2264</v>
      </c>
      <c r="D1279" s="13" t="s">
        <v>2270</v>
      </c>
      <c r="E1279" s="13" t="s">
        <v>2337</v>
      </c>
      <c r="F1279" s="13" t="s">
        <v>2330</v>
      </c>
      <c r="G1279" s="61" t="n">
        <v>47807263276</v>
      </c>
      <c r="H1279" s="13" t="s">
        <v>2255</v>
      </c>
      <c r="I1279" s="13" t="s">
        <v>2339</v>
      </c>
      <c r="J1279" s="13" t="n">
        <v>48</v>
      </c>
      <c r="K1279" s="13" t="s">
        <v>2277</v>
      </c>
      <c r="L1279" s="13" t="s">
        <v>2265</v>
      </c>
      <c r="M1279" s="13"/>
    </row>
    <row r="1280" customFormat="false" ht="15" hidden="false" customHeight="false" outlineLevel="0" collapsed="false">
      <c r="A1280" s="13" t="s">
        <v>628</v>
      </c>
      <c r="B1280" s="13" t="s">
        <v>627</v>
      </c>
      <c r="C1280" s="13" t="s">
        <v>2266</v>
      </c>
      <c r="D1280" s="13" t="s">
        <v>2270</v>
      </c>
      <c r="E1280" s="13" t="s">
        <v>2337</v>
      </c>
      <c r="F1280" s="13" t="s">
        <v>2330</v>
      </c>
      <c r="G1280" s="61" t="n">
        <v>67505259300</v>
      </c>
      <c r="H1280" s="13" t="s">
        <v>2255</v>
      </c>
      <c r="I1280" s="13" t="s">
        <v>2339</v>
      </c>
      <c r="J1280" s="13" t="n">
        <v>50</v>
      </c>
      <c r="K1280" s="13" t="s">
        <v>2278</v>
      </c>
      <c r="L1280" s="13" t="s">
        <v>2265</v>
      </c>
      <c r="M1280" s="13"/>
    </row>
    <row r="1281" customFormat="false" ht="15" hidden="false" customHeight="false" outlineLevel="0" collapsed="false">
      <c r="A1281" s="13" t="s">
        <v>628</v>
      </c>
      <c r="B1281" s="13" t="s">
        <v>627</v>
      </c>
      <c r="C1281" s="13" t="s">
        <v>2267</v>
      </c>
      <c r="D1281" s="13" t="s">
        <v>2270</v>
      </c>
      <c r="E1281" s="13" t="s">
        <v>2337</v>
      </c>
      <c r="F1281" s="13" t="s">
        <v>2330</v>
      </c>
      <c r="G1281" s="61" t="n">
        <v>66289405612</v>
      </c>
      <c r="H1281" s="13" t="s">
        <v>2255</v>
      </c>
      <c r="I1281" s="13" t="s">
        <v>2339</v>
      </c>
      <c r="J1281" s="13" t="n">
        <v>50</v>
      </c>
      <c r="K1281" s="13" t="s">
        <v>2278</v>
      </c>
      <c r="L1281" s="13" t="s">
        <v>2265</v>
      </c>
      <c r="M1281" s="13"/>
    </row>
    <row r="1282" customFormat="false" ht="15" hidden="false" customHeight="false" outlineLevel="0" collapsed="false">
      <c r="A1282" s="13" t="s">
        <v>628</v>
      </c>
      <c r="B1282" s="13" t="s">
        <v>627</v>
      </c>
      <c r="C1282" s="13" t="s">
        <v>2254</v>
      </c>
      <c r="D1282" s="13" t="s">
        <v>2270</v>
      </c>
      <c r="E1282" s="13" t="s">
        <v>2337</v>
      </c>
      <c r="F1282" s="13" t="s">
        <v>2340</v>
      </c>
      <c r="G1282" s="61" t="n">
        <v>10599566679</v>
      </c>
      <c r="H1282" s="13" t="s">
        <v>2255</v>
      </c>
      <c r="I1282" s="13" t="s">
        <v>2339</v>
      </c>
      <c r="J1282" s="13" t="n">
        <v>39</v>
      </c>
      <c r="K1282" s="13" t="s">
        <v>2274</v>
      </c>
      <c r="L1282" s="13" t="s">
        <v>2257</v>
      </c>
      <c r="M1282" s="13"/>
    </row>
    <row r="1283" customFormat="false" ht="15" hidden="false" customHeight="false" outlineLevel="0" collapsed="false">
      <c r="A1283" s="13" t="s">
        <v>628</v>
      </c>
      <c r="B1283" s="13" t="s">
        <v>627</v>
      </c>
      <c r="C1283" s="13" t="s">
        <v>2258</v>
      </c>
      <c r="D1283" s="13" t="s">
        <v>2270</v>
      </c>
      <c r="E1283" s="13" t="s">
        <v>2337</v>
      </c>
      <c r="F1283" s="13" t="s">
        <v>2340</v>
      </c>
      <c r="G1283" s="61" t="n">
        <v>11254523269</v>
      </c>
      <c r="H1283" s="13" t="s">
        <v>2255</v>
      </c>
      <c r="I1283" s="13" t="s">
        <v>2339</v>
      </c>
      <c r="J1283" s="13" t="n">
        <v>53</v>
      </c>
      <c r="K1283" s="13" t="s">
        <v>2275</v>
      </c>
      <c r="L1283" s="13" t="s">
        <v>2260</v>
      </c>
      <c r="M1283" s="13"/>
    </row>
    <row r="1284" customFormat="false" ht="15" hidden="false" customHeight="false" outlineLevel="0" collapsed="false">
      <c r="A1284" s="13" t="s">
        <v>628</v>
      </c>
      <c r="B1284" s="13" t="s">
        <v>627</v>
      </c>
      <c r="C1284" s="13" t="s">
        <v>2261</v>
      </c>
      <c r="D1284" s="13" t="s">
        <v>2270</v>
      </c>
      <c r="E1284" s="13" t="s">
        <v>2337</v>
      </c>
      <c r="F1284" s="13" t="s">
        <v>2340</v>
      </c>
      <c r="G1284" s="61" t="n">
        <v>8444100913</v>
      </c>
      <c r="H1284" s="13" t="s">
        <v>2255</v>
      </c>
      <c r="I1284" s="13" t="s">
        <v>2339</v>
      </c>
      <c r="J1284" s="13" t="n">
        <v>48</v>
      </c>
      <c r="K1284" s="13" t="s">
        <v>2276</v>
      </c>
      <c r="L1284" s="13" t="s">
        <v>2263</v>
      </c>
      <c r="M1284" s="13"/>
    </row>
    <row r="1285" customFormat="false" ht="15" hidden="false" customHeight="false" outlineLevel="0" collapsed="false">
      <c r="A1285" s="13" t="s">
        <v>628</v>
      </c>
      <c r="B1285" s="13" t="s">
        <v>627</v>
      </c>
      <c r="C1285" s="13" t="s">
        <v>2264</v>
      </c>
      <c r="D1285" s="13" t="s">
        <v>2270</v>
      </c>
      <c r="E1285" s="13" t="s">
        <v>2337</v>
      </c>
      <c r="F1285" s="13" t="s">
        <v>2340</v>
      </c>
      <c r="G1285" s="61" t="n">
        <v>6953612864</v>
      </c>
      <c r="H1285" s="13" t="s">
        <v>2255</v>
      </c>
      <c r="I1285" s="13" t="s">
        <v>2339</v>
      </c>
      <c r="J1285" s="13" t="n">
        <v>48</v>
      </c>
      <c r="K1285" s="13" t="s">
        <v>2277</v>
      </c>
      <c r="L1285" s="13" t="s">
        <v>2265</v>
      </c>
      <c r="M1285" s="13"/>
    </row>
    <row r="1286" customFormat="false" ht="15" hidden="false" customHeight="false" outlineLevel="0" collapsed="false">
      <c r="A1286" s="13" t="s">
        <v>628</v>
      </c>
      <c r="B1286" s="13" t="s">
        <v>627</v>
      </c>
      <c r="C1286" s="13" t="s">
        <v>2266</v>
      </c>
      <c r="D1286" s="13" t="s">
        <v>2270</v>
      </c>
      <c r="E1286" s="13" t="s">
        <v>2337</v>
      </c>
      <c r="F1286" s="13" t="s">
        <v>2340</v>
      </c>
      <c r="G1286" s="61" t="n">
        <v>8414368136</v>
      </c>
      <c r="H1286" s="13" t="s">
        <v>2255</v>
      </c>
      <c r="I1286" s="13" t="s">
        <v>2339</v>
      </c>
      <c r="J1286" s="13" t="n">
        <v>50</v>
      </c>
      <c r="K1286" s="13" t="s">
        <v>2278</v>
      </c>
      <c r="L1286" s="13" t="s">
        <v>2265</v>
      </c>
      <c r="M1286" s="13"/>
    </row>
    <row r="1287" customFormat="false" ht="15" hidden="false" customHeight="false" outlineLevel="0" collapsed="false">
      <c r="A1287" s="13" t="s">
        <v>628</v>
      </c>
      <c r="B1287" s="13" t="s">
        <v>627</v>
      </c>
      <c r="C1287" s="13" t="s">
        <v>2267</v>
      </c>
      <c r="D1287" s="13" t="s">
        <v>2270</v>
      </c>
      <c r="E1287" s="13" t="s">
        <v>2337</v>
      </c>
      <c r="F1287" s="13" t="s">
        <v>2340</v>
      </c>
      <c r="G1287" s="61" t="n">
        <v>8610481624</v>
      </c>
      <c r="H1287" s="13" t="s">
        <v>2255</v>
      </c>
      <c r="I1287" s="13" t="s">
        <v>2339</v>
      </c>
      <c r="J1287" s="13" t="n">
        <v>50</v>
      </c>
      <c r="K1287" s="13" t="s">
        <v>2278</v>
      </c>
      <c r="L1287" s="13" t="s">
        <v>2265</v>
      </c>
      <c r="M1287" s="13"/>
    </row>
    <row r="1288" customFormat="false" ht="15" hidden="false" customHeight="false" outlineLevel="0" collapsed="false">
      <c r="A1288" s="13" t="s">
        <v>628</v>
      </c>
      <c r="B1288" s="13" t="s">
        <v>627</v>
      </c>
      <c r="C1288" s="13" t="s">
        <v>2254</v>
      </c>
      <c r="D1288" s="13" t="s">
        <v>2270</v>
      </c>
      <c r="E1288" s="13" t="s">
        <v>2337</v>
      </c>
      <c r="F1288" s="13" t="s">
        <v>2341</v>
      </c>
      <c r="G1288" s="61" t="n">
        <v>950050156</v>
      </c>
      <c r="H1288" s="13" t="s">
        <v>2255</v>
      </c>
      <c r="I1288" s="13" t="s">
        <v>2339</v>
      </c>
      <c r="J1288" s="13" t="n">
        <v>39</v>
      </c>
      <c r="K1288" s="13" t="s">
        <v>2274</v>
      </c>
      <c r="L1288" s="13" t="s">
        <v>2257</v>
      </c>
      <c r="M1288" s="13"/>
    </row>
    <row r="1289" customFormat="false" ht="15" hidden="false" customHeight="false" outlineLevel="0" collapsed="false">
      <c r="A1289" s="13" t="s">
        <v>628</v>
      </c>
      <c r="B1289" s="13" t="s">
        <v>627</v>
      </c>
      <c r="C1289" s="13" t="s">
        <v>2258</v>
      </c>
      <c r="D1289" s="13" t="s">
        <v>2270</v>
      </c>
      <c r="E1289" s="13" t="s">
        <v>2337</v>
      </c>
      <c r="F1289" s="13" t="s">
        <v>2341</v>
      </c>
      <c r="G1289" s="61" t="n">
        <v>2773059415</v>
      </c>
      <c r="H1289" s="13" t="s">
        <v>2255</v>
      </c>
      <c r="I1289" s="13" t="s">
        <v>2339</v>
      </c>
      <c r="J1289" s="13" t="n">
        <v>53</v>
      </c>
      <c r="K1289" s="13" t="s">
        <v>2275</v>
      </c>
      <c r="L1289" s="13" t="s">
        <v>2260</v>
      </c>
      <c r="M1289" s="13"/>
    </row>
    <row r="1290" customFormat="false" ht="15" hidden="false" customHeight="false" outlineLevel="0" collapsed="false">
      <c r="A1290" s="13" t="s">
        <v>628</v>
      </c>
      <c r="B1290" s="13" t="s">
        <v>627</v>
      </c>
      <c r="C1290" s="13" t="s">
        <v>2261</v>
      </c>
      <c r="D1290" s="13" t="s">
        <v>2270</v>
      </c>
      <c r="E1290" s="13" t="s">
        <v>2337</v>
      </c>
      <c r="F1290" s="13" t="s">
        <v>2341</v>
      </c>
      <c r="G1290" s="61" t="n">
        <v>2172217476</v>
      </c>
      <c r="H1290" s="13" t="s">
        <v>2255</v>
      </c>
      <c r="I1290" s="13" t="s">
        <v>2339</v>
      </c>
      <c r="J1290" s="13" t="n">
        <v>48</v>
      </c>
      <c r="K1290" s="13" t="s">
        <v>2276</v>
      </c>
      <c r="L1290" s="13" t="s">
        <v>2263</v>
      </c>
      <c r="M1290" s="13"/>
    </row>
    <row r="1291" customFormat="false" ht="15" hidden="false" customHeight="false" outlineLevel="0" collapsed="false">
      <c r="A1291" s="13" t="s">
        <v>628</v>
      </c>
      <c r="B1291" s="13" t="s">
        <v>627</v>
      </c>
      <c r="C1291" s="13" t="s">
        <v>2264</v>
      </c>
      <c r="D1291" s="13" t="s">
        <v>2270</v>
      </c>
      <c r="E1291" s="13" t="s">
        <v>2337</v>
      </c>
      <c r="F1291" s="13" t="s">
        <v>2341</v>
      </c>
      <c r="G1291" s="61" t="n">
        <v>1524072509</v>
      </c>
      <c r="H1291" s="13" t="s">
        <v>2255</v>
      </c>
      <c r="I1291" s="13" t="s">
        <v>2339</v>
      </c>
      <c r="J1291" s="13" t="n">
        <v>48</v>
      </c>
      <c r="K1291" s="13" t="s">
        <v>2277</v>
      </c>
      <c r="L1291" s="13" t="s">
        <v>2265</v>
      </c>
      <c r="M1291" s="13"/>
    </row>
    <row r="1292" customFormat="false" ht="15" hidden="false" customHeight="false" outlineLevel="0" collapsed="false">
      <c r="A1292" s="13" t="s">
        <v>628</v>
      </c>
      <c r="B1292" s="13" t="s">
        <v>627</v>
      </c>
      <c r="C1292" s="13" t="s">
        <v>2266</v>
      </c>
      <c r="D1292" s="13" t="s">
        <v>2270</v>
      </c>
      <c r="E1292" s="13" t="s">
        <v>2337</v>
      </c>
      <c r="F1292" s="13" t="s">
        <v>2341</v>
      </c>
      <c r="G1292" s="61" t="n">
        <v>1544761114</v>
      </c>
      <c r="H1292" s="13" t="s">
        <v>2255</v>
      </c>
      <c r="I1292" s="13" t="s">
        <v>2339</v>
      </c>
      <c r="J1292" s="13" t="n">
        <v>50</v>
      </c>
      <c r="K1292" s="13" t="s">
        <v>2278</v>
      </c>
      <c r="L1292" s="13" t="s">
        <v>2265</v>
      </c>
      <c r="M1292" s="13"/>
    </row>
    <row r="1293" customFormat="false" ht="15" hidden="false" customHeight="false" outlineLevel="0" collapsed="false">
      <c r="A1293" s="13" t="s">
        <v>628</v>
      </c>
      <c r="B1293" s="13" t="s">
        <v>627</v>
      </c>
      <c r="C1293" s="13" t="s">
        <v>2267</v>
      </c>
      <c r="D1293" s="13" t="s">
        <v>2270</v>
      </c>
      <c r="E1293" s="13" t="s">
        <v>2337</v>
      </c>
      <c r="F1293" s="13" t="s">
        <v>2341</v>
      </c>
      <c r="G1293" s="61" t="n">
        <v>1026441108</v>
      </c>
      <c r="H1293" s="13" t="s">
        <v>2255</v>
      </c>
      <c r="I1293" s="13" t="s">
        <v>2339</v>
      </c>
      <c r="J1293" s="13" t="n">
        <v>50</v>
      </c>
      <c r="K1293" s="13" t="s">
        <v>2278</v>
      </c>
      <c r="L1293" s="13" t="s">
        <v>2265</v>
      </c>
      <c r="M1293" s="13"/>
    </row>
    <row r="1294" customFormat="false" ht="15" hidden="false" customHeight="false" outlineLevel="0" collapsed="false">
      <c r="A1294" s="13" t="s">
        <v>628</v>
      </c>
      <c r="B1294" s="13" t="s">
        <v>627</v>
      </c>
      <c r="C1294" s="13" t="s">
        <v>2254</v>
      </c>
      <c r="D1294" s="13" t="s">
        <v>2270</v>
      </c>
      <c r="E1294" s="13" t="s">
        <v>2337</v>
      </c>
      <c r="F1294" s="13" t="s">
        <v>2342</v>
      </c>
      <c r="G1294" s="61" t="n">
        <v>1885039412</v>
      </c>
      <c r="H1294" s="13" t="s">
        <v>2255</v>
      </c>
      <c r="I1294" s="13" t="s">
        <v>2339</v>
      </c>
      <c r="J1294" s="13" t="n">
        <v>39</v>
      </c>
      <c r="K1294" s="13" t="s">
        <v>2274</v>
      </c>
      <c r="L1294" s="13" t="s">
        <v>2257</v>
      </c>
      <c r="M1294" s="13"/>
    </row>
    <row r="1295" customFormat="false" ht="15" hidden="false" customHeight="false" outlineLevel="0" collapsed="false">
      <c r="A1295" s="13" t="s">
        <v>628</v>
      </c>
      <c r="B1295" s="13" t="s">
        <v>627</v>
      </c>
      <c r="C1295" s="13" t="s">
        <v>2258</v>
      </c>
      <c r="D1295" s="13" t="s">
        <v>2270</v>
      </c>
      <c r="E1295" s="13" t="s">
        <v>2337</v>
      </c>
      <c r="F1295" s="13" t="s">
        <v>2342</v>
      </c>
      <c r="G1295" s="61" t="n">
        <v>11767522874</v>
      </c>
      <c r="H1295" s="13" t="s">
        <v>2255</v>
      </c>
      <c r="I1295" s="13" t="s">
        <v>2339</v>
      </c>
      <c r="J1295" s="13" t="n">
        <v>53</v>
      </c>
      <c r="K1295" s="13" t="s">
        <v>2275</v>
      </c>
      <c r="L1295" s="13" t="s">
        <v>2260</v>
      </c>
      <c r="M1295" s="13"/>
    </row>
    <row r="1296" customFormat="false" ht="15" hidden="false" customHeight="false" outlineLevel="0" collapsed="false">
      <c r="A1296" s="13" t="s">
        <v>628</v>
      </c>
      <c r="B1296" s="13" t="s">
        <v>627</v>
      </c>
      <c r="C1296" s="13" t="s">
        <v>2261</v>
      </c>
      <c r="D1296" s="13" t="s">
        <v>2270</v>
      </c>
      <c r="E1296" s="13" t="s">
        <v>2337</v>
      </c>
      <c r="F1296" s="13" t="s">
        <v>2342</v>
      </c>
      <c r="G1296" s="61" t="n">
        <v>9941853665</v>
      </c>
      <c r="H1296" s="13" t="s">
        <v>2255</v>
      </c>
      <c r="I1296" s="13" t="s">
        <v>2339</v>
      </c>
      <c r="J1296" s="13" t="n">
        <v>48</v>
      </c>
      <c r="K1296" s="13" t="s">
        <v>2276</v>
      </c>
      <c r="L1296" s="13" t="s">
        <v>2263</v>
      </c>
      <c r="M1296" s="13"/>
    </row>
    <row r="1297" customFormat="false" ht="15" hidden="false" customHeight="false" outlineLevel="0" collapsed="false">
      <c r="A1297" s="13" t="s">
        <v>628</v>
      </c>
      <c r="B1297" s="13" t="s">
        <v>627</v>
      </c>
      <c r="C1297" s="13" t="s">
        <v>2264</v>
      </c>
      <c r="D1297" s="13" t="s">
        <v>2270</v>
      </c>
      <c r="E1297" s="13" t="s">
        <v>2337</v>
      </c>
      <c r="F1297" s="13" t="s">
        <v>2342</v>
      </c>
      <c r="G1297" s="61" t="n">
        <v>8489019528</v>
      </c>
      <c r="H1297" s="13" t="s">
        <v>2255</v>
      </c>
      <c r="I1297" s="13" t="s">
        <v>2339</v>
      </c>
      <c r="J1297" s="13" t="n">
        <v>48</v>
      </c>
      <c r="K1297" s="13" t="s">
        <v>2277</v>
      </c>
      <c r="L1297" s="13" t="s">
        <v>2265</v>
      </c>
      <c r="M1297" s="13"/>
    </row>
    <row r="1298" customFormat="false" ht="15" hidden="false" customHeight="false" outlineLevel="0" collapsed="false">
      <c r="A1298" s="13" t="s">
        <v>628</v>
      </c>
      <c r="B1298" s="13" t="s">
        <v>627</v>
      </c>
      <c r="C1298" s="13" t="s">
        <v>2266</v>
      </c>
      <c r="D1298" s="13" t="s">
        <v>2270</v>
      </c>
      <c r="E1298" s="13" t="s">
        <v>2337</v>
      </c>
      <c r="F1298" s="13" t="s">
        <v>2342</v>
      </c>
      <c r="G1298" s="61" t="n">
        <v>10725365751</v>
      </c>
      <c r="H1298" s="13" t="s">
        <v>2255</v>
      </c>
      <c r="I1298" s="13" t="s">
        <v>2339</v>
      </c>
      <c r="J1298" s="13" t="n">
        <v>50</v>
      </c>
      <c r="K1298" s="13" t="s">
        <v>2278</v>
      </c>
      <c r="L1298" s="13" t="s">
        <v>2265</v>
      </c>
      <c r="M1298" s="13"/>
    </row>
    <row r="1299" customFormat="false" ht="15" hidden="false" customHeight="false" outlineLevel="0" collapsed="false">
      <c r="A1299" s="13" t="s">
        <v>628</v>
      </c>
      <c r="B1299" s="13" t="s">
        <v>627</v>
      </c>
      <c r="C1299" s="13" t="s">
        <v>2267</v>
      </c>
      <c r="D1299" s="13" t="s">
        <v>2270</v>
      </c>
      <c r="E1299" s="13" t="s">
        <v>2337</v>
      </c>
      <c r="F1299" s="13" t="s">
        <v>2342</v>
      </c>
      <c r="G1299" s="61" t="n">
        <v>19962722403</v>
      </c>
      <c r="H1299" s="13" t="s">
        <v>2255</v>
      </c>
      <c r="I1299" s="13" t="s">
        <v>2339</v>
      </c>
      <c r="J1299" s="13" t="n">
        <v>50</v>
      </c>
      <c r="K1299" s="13" t="s">
        <v>2278</v>
      </c>
      <c r="L1299" s="13" t="s">
        <v>2265</v>
      </c>
      <c r="M1299" s="13"/>
    </row>
    <row r="1300" customFormat="false" ht="15" hidden="false" customHeight="false" outlineLevel="0" collapsed="false">
      <c r="A1300" s="13" t="s">
        <v>628</v>
      </c>
      <c r="B1300" s="13" t="s">
        <v>627</v>
      </c>
      <c r="C1300" s="13" t="s">
        <v>2266</v>
      </c>
      <c r="D1300" s="13" t="s">
        <v>2270</v>
      </c>
      <c r="E1300" s="13" t="s">
        <v>2337</v>
      </c>
      <c r="F1300" s="13" t="s">
        <v>2290</v>
      </c>
      <c r="G1300" s="61" t="n">
        <v>148982103520</v>
      </c>
      <c r="H1300" s="13" t="s">
        <v>2255</v>
      </c>
      <c r="I1300" s="13" t="s">
        <v>2339</v>
      </c>
      <c r="J1300" s="13" t="n">
        <v>50</v>
      </c>
      <c r="K1300" s="13" t="s">
        <v>2278</v>
      </c>
      <c r="L1300" s="13" t="s">
        <v>2265</v>
      </c>
      <c r="M1300" s="13"/>
    </row>
    <row r="1301" customFormat="false" ht="15" hidden="false" customHeight="false" outlineLevel="0" collapsed="false">
      <c r="A1301" s="13" t="s">
        <v>628</v>
      </c>
      <c r="B1301" s="13" t="s">
        <v>627</v>
      </c>
      <c r="C1301" s="13" t="s">
        <v>2267</v>
      </c>
      <c r="D1301" s="13" t="s">
        <v>2270</v>
      </c>
      <c r="E1301" s="13" t="s">
        <v>2337</v>
      </c>
      <c r="F1301" s="13" t="s">
        <v>2290</v>
      </c>
      <c r="G1301" s="61" t="n">
        <v>169519891925</v>
      </c>
      <c r="H1301" s="13" t="s">
        <v>2255</v>
      </c>
      <c r="I1301" s="13" t="s">
        <v>2339</v>
      </c>
      <c r="J1301" s="13" t="n">
        <v>50</v>
      </c>
      <c r="K1301" s="13" t="s">
        <v>2278</v>
      </c>
      <c r="L1301" s="13" t="s">
        <v>2265</v>
      </c>
      <c r="M1301" s="13"/>
    </row>
    <row r="1302" customFormat="false" ht="15" hidden="false" customHeight="false" outlineLevel="0" collapsed="false">
      <c r="A1302" s="13" t="s">
        <v>628</v>
      </c>
      <c r="B1302" s="13" t="s">
        <v>627</v>
      </c>
      <c r="C1302" s="13" t="s">
        <v>2254</v>
      </c>
      <c r="D1302" s="13" t="s">
        <v>2270</v>
      </c>
      <c r="E1302" s="13" t="s">
        <v>2343</v>
      </c>
      <c r="F1302" s="13" t="s">
        <v>2344</v>
      </c>
      <c r="G1302" s="61" t="n">
        <v>-3010851985</v>
      </c>
      <c r="H1302" s="13" t="s">
        <v>2255</v>
      </c>
      <c r="I1302" s="13" t="s">
        <v>2339</v>
      </c>
      <c r="J1302" s="13" t="n">
        <v>39</v>
      </c>
      <c r="K1302" s="13" t="s">
        <v>2274</v>
      </c>
      <c r="L1302" s="13" t="s">
        <v>2257</v>
      </c>
      <c r="M1302" s="13"/>
    </row>
    <row r="1303" customFormat="false" ht="15" hidden="false" customHeight="false" outlineLevel="0" collapsed="false">
      <c r="A1303" s="13" t="s">
        <v>628</v>
      </c>
      <c r="B1303" s="13" t="s">
        <v>627</v>
      </c>
      <c r="C1303" s="13" t="s">
        <v>2258</v>
      </c>
      <c r="D1303" s="13" t="s">
        <v>2270</v>
      </c>
      <c r="E1303" s="13" t="s">
        <v>2343</v>
      </c>
      <c r="F1303" s="13" t="s">
        <v>2344</v>
      </c>
      <c r="G1303" s="61" t="n">
        <v>-7309504165</v>
      </c>
      <c r="H1303" s="13" t="s">
        <v>2255</v>
      </c>
      <c r="I1303" s="13" t="s">
        <v>2339</v>
      </c>
      <c r="J1303" s="13" t="n">
        <v>53</v>
      </c>
      <c r="K1303" s="13" t="s">
        <v>2275</v>
      </c>
      <c r="L1303" s="13" t="s">
        <v>2260</v>
      </c>
      <c r="M1303" s="13"/>
    </row>
    <row r="1304" customFormat="false" ht="15" hidden="false" customHeight="false" outlineLevel="0" collapsed="false">
      <c r="A1304" s="13" t="s">
        <v>628</v>
      </c>
      <c r="B1304" s="13" t="s">
        <v>627</v>
      </c>
      <c r="C1304" s="13" t="s">
        <v>2261</v>
      </c>
      <c r="D1304" s="13" t="s">
        <v>2270</v>
      </c>
      <c r="E1304" s="13" t="s">
        <v>2343</v>
      </c>
      <c r="F1304" s="13" t="s">
        <v>2344</v>
      </c>
      <c r="G1304" s="61" t="n">
        <v>-4017971462</v>
      </c>
      <c r="H1304" s="13" t="s">
        <v>2255</v>
      </c>
      <c r="I1304" s="13" t="s">
        <v>2339</v>
      </c>
      <c r="J1304" s="13" t="n">
        <v>48</v>
      </c>
      <c r="K1304" s="13" t="s">
        <v>2276</v>
      </c>
      <c r="L1304" s="13" t="s">
        <v>2263</v>
      </c>
      <c r="M1304" s="13"/>
    </row>
    <row r="1305" customFormat="false" ht="15" hidden="false" customHeight="false" outlineLevel="0" collapsed="false">
      <c r="A1305" s="13" t="s">
        <v>628</v>
      </c>
      <c r="B1305" s="13" t="s">
        <v>627</v>
      </c>
      <c r="C1305" s="13" t="s">
        <v>2264</v>
      </c>
      <c r="D1305" s="13" t="s">
        <v>2270</v>
      </c>
      <c r="E1305" s="13" t="s">
        <v>2343</v>
      </c>
      <c r="F1305" s="13" t="s">
        <v>2344</v>
      </c>
      <c r="G1305" s="61" t="n">
        <v>-3962120381</v>
      </c>
      <c r="H1305" s="13" t="s">
        <v>2255</v>
      </c>
      <c r="I1305" s="13" t="s">
        <v>2339</v>
      </c>
      <c r="J1305" s="13" t="n">
        <v>48</v>
      </c>
      <c r="K1305" s="13" t="s">
        <v>2277</v>
      </c>
      <c r="L1305" s="13" t="s">
        <v>2265</v>
      </c>
      <c r="M1305" s="13"/>
    </row>
    <row r="1306" customFormat="false" ht="15" hidden="false" customHeight="false" outlineLevel="0" collapsed="false">
      <c r="A1306" s="13" t="s">
        <v>628</v>
      </c>
      <c r="B1306" s="13" t="s">
        <v>627</v>
      </c>
      <c r="C1306" s="13" t="s">
        <v>2266</v>
      </c>
      <c r="D1306" s="13" t="s">
        <v>2270</v>
      </c>
      <c r="E1306" s="13" t="s">
        <v>2343</v>
      </c>
      <c r="F1306" s="13" t="s">
        <v>2344</v>
      </c>
      <c r="G1306" s="61" t="n">
        <v>-4267847614</v>
      </c>
      <c r="H1306" s="13" t="s">
        <v>2255</v>
      </c>
      <c r="I1306" s="13" t="s">
        <v>2339</v>
      </c>
      <c r="J1306" s="13" t="n">
        <v>50</v>
      </c>
      <c r="K1306" s="13" t="s">
        <v>2278</v>
      </c>
      <c r="L1306" s="13" t="s">
        <v>2265</v>
      </c>
      <c r="M1306" s="13"/>
    </row>
    <row r="1307" customFormat="false" ht="15" hidden="false" customHeight="false" outlineLevel="0" collapsed="false">
      <c r="A1307" s="13" t="s">
        <v>628</v>
      </c>
      <c r="B1307" s="13" t="s">
        <v>627</v>
      </c>
      <c r="C1307" s="13" t="s">
        <v>2267</v>
      </c>
      <c r="D1307" s="13" t="s">
        <v>2270</v>
      </c>
      <c r="E1307" s="13" t="s">
        <v>2343</v>
      </c>
      <c r="F1307" s="13" t="s">
        <v>2344</v>
      </c>
      <c r="G1307" s="61" t="n">
        <v>-7579979963</v>
      </c>
      <c r="H1307" s="13" t="s">
        <v>2255</v>
      </c>
      <c r="I1307" s="13" t="s">
        <v>2339</v>
      </c>
      <c r="J1307" s="13" t="n">
        <v>50</v>
      </c>
      <c r="K1307" s="13" t="s">
        <v>2278</v>
      </c>
      <c r="L1307" s="13" t="s">
        <v>2265</v>
      </c>
      <c r="M1307" s="13"/>
    </row>
    <row r="1308" customFormat="false" ht="15" hidden="false" customHeight="false" outlineLevel="0" collapsed="false">
      <c r="A1308" s="13" t="s">
        <v>628</v>
      </c>
      <c r="B1308" s="13" t="s">
        <v>627</v>
      </c>
      <c r="C1308" s="13" t="s">
        <v>2266</v>
      </c>
      <c r="D1308" s="13" t="s">
        <v>2270</v>
      </c>
      <c r="E1308" s="13" t="s">
        <v>2343</v>
      </c>
      <c r="F1308" s="13" t="s">
        <v>2345</v>
      </c>
      <c r="G1308" s="61" t="n">
        <v>144714255906</v>
      </c>
      <c r="H1308" s="13" t="s">
        <v>2255</v>
      </c>
      <c r="I1308" s="13" t="s">
        <v>2339</v>
      </c>
      <c r="J1308" s="13" t="n">
        <v>50</v>
      </c>
      <c r="K1308" s="13" t="s">
        <v>2278</v>
      </c>
      <c r="L1308" s="13" t="s">
        <v>2265</v>
      </c>
      <c r="M1308" s="13"/>
    </row>
    <row r="1309" customFormat="false" ht="15" hidden="false" customHeight="false" outlineLevel="0" collapsed="false">
      <c r="A1309" s="13" t="s">
        <v>628</v>
      </c>
      <c r="B1309" s="13" t="s">
        <v>627</v>
      </c>
      <c r="C1309" s="13" t="s">
        <v>2267</v>
      </c>
      <c r="D1309" s="13" t="s">
        <v>2270</v>
      </c>
      <c r="E1309" s="13" t="s">
        <v>2343</v>
      </c>
      <c r="F1309" s="13" t="s">
        <v>2345</v>
      </c>
      <c r="G1309" s="61" t="n">
        <v>161939911962</v>
      </c>
      <c r="H1309" s="13" t="s">
        <v>2255</v>
      </c>
      <c r="I1309" s="13" t="s">
        <v>2339</v>
      </c>
      <c r="J1309" s="13" t="n">
        <v>50</v>
      </c>
      <c r="K1309" s="13" t="s">
        <v>2278</v>
      </c>
      <c r="L1309" s="13" t="s">
        <v>2265</v>
      </c>
      <c r="M1309" s="13"/>
    </row>
    <row r="1310" customFormat="false" ht="15" hidden="false" customHeight="false" outlineLevel="0" collapsed="false">
      <c r="A1310" s="13" t="s">
        <v>628</v>
      </c>
      <c r="B1310" s="13" t="s">
        <v>627</v>
      </c>
      <c r="C1310" s="13" t="s">
        <v>2254</v>
      </c>
      <c r="D1310" s="13" t="s">
        <v>2270</v>
      </c>
      <c r="E1310" s="13" t="s">
        <v>2346</v>
      </c>
      <c r="F1310" s="13" t="s">
        <v>2347</v>
      </c>
      <c r="G1310" s="61" t="n">
        <v>33747336216</v>
      </c>
      <c r="H1310" s="13" t="s">
        <v>2255</v>
      </c>
      <c r="I1310" s="13" t="s">
        <v>2339</v>
      </c>
      <c r="J1310" s="13" t="n">
        <v>39</v>
      </c>
      <c r="K1310" s="13" t="s">
        <v>2274</v>
      </c>
      <c r="L1310" s="13" t="s">
        <v>2257</v>
      </c>
      <c r="M1310" s="13"/>
    </row>
    <row r="1311" customFormat="false" ht="15" hidden="false" customHeight="false" outlineLevel="0" collapsed="false">
      <c r="A1311" s="13" t="s">
        <v>628</v>
      </c>
      <c r="B1311" s="13" t="s">
        <v>627</v>
      </c>
      <c r="C1311" s="13" t="s">
        <v>2258</v>
      </c>
      <c r="D1311" s="13" t="s">
        <v>2270</v>
      </c>
      <c r="E1311" s="13" t="s">
        <v>2346</v>
      </c>
      <c r="F1311" s="13" t="s">
        <v>2347</v>
      </c>
      <c r="G1311" s="61" t="n">
        <v>13013716061</v>
      </c>
      <c r="H1311" s="13" t="s">
        <v>2255</v>
      </c>
      <c r="I1311" s="13" t="s">
        <v>2339</v>
      </c>
      <c r="J1311" s="13" t="n">
        <v>53</v>
      </c>
      <c r="K1311" s="13" t="s">
        <v>2275</v>
      </c>
      <c r="L1311" s="13" t="s">
        <v>2260</v>
      </c>
      <c r="M1311" s="13"/>
    </row>
    <row r="1312" customFormat="false" ht="15" hidden="false" customHeight="false" outlineLevel="0" collapsed="false">
      <c r="A1312" s="13" t="s">
        <v>628</v>
      </c>
      <c r="B1312" s="13" t="s">
        <v>627</v>
      </c>
      <c r="C1312" s="13" t="s">
        <v>2261</v>
      </c>
      <c r="D1312" s="13" t="s">
        <v>2270</v>
      </c>
      <c r="E1312" s="13" t="s">
        <v>2346</v>
      </c>
      <c r="F1312" s="13" t="s">
        <v>2347</v>
      </c>
      <c r="G1312" s="61" t="n">
        <v>15125814048</v>
      </c>
      <c r="H1312" s="13" t="s">
        <v>2255</v>
      </c>
      <c r="I1312" s="13" t="s">
        <v>2339</v>
      </c>
      <c r="J1312" s="13" t="n">
        <v>48</v>
      </c>
      <c r="K1312" s="13" t="s">
        <v>2276</v>
      </c>
      <c r="L1312" s="13" t="s">
        <v>2263</v>
      </c>
      <c r="M1312" s="13"/>
    </row>
    <row r="1313" customFormat="false" ht="15" hidden="false" customHeight="false" outlineLevel="0" collapsed="false">
      <c r="A1313" s="13" t="s">
        <v>628</v>
      </c>
      <c r="B1313" s="13" t="s">
        <v>627</v>
      </c>
      <c r="C1313" s="13" t="s">
        <v>2264</v>
      </c>
      <c r="D1313" s="13" t="s">
        <v>2270</v>
      </c>
      <c r="E1313" s="13" t="s">
        <v>2346</v>
      </c>
      <c r="F1313" s="13" t="s">
        <v>2347</v>
      </c>
      <c r="G1313" s="61" t="n">
        <v>17248209957</v>
      </c>
      <c r="H1313" s="13" t="s">
        <v>2255</v>
      </c>
      <c r="I1313" s="13" t="s">
        <v>2339</v>
      </c>
      <c r="J1313" s="13" t="n">
        <v>48</v>
      </c>
      <c r="K1313" s="13" t="s">
        <v>2277</v>
      </c>
      <c r="L1313" s="13" t="s">
        <v>2265</v>
      </c>
      <c r="M1313" s="13"/>
    </row>
    <row r="1314" customFormat="false" ht="15" hidden="false" customHeight="false" outlineLevel="0" collapsed="false">
      <c r="A1314" s="13" t="s">
        <v>628</v>
      </c>
      <c r="B1314" s="13" t="s">
        <v>627</v>
      </c>
      <c r="C1314" s="13" t="s">
        <v>2266</v>
      </c>
      <c r="D1314" s="13" t="s">
        <v>2270</v>
      </c>
      <c r="E1314" s="13" t="s">
        <v>2346</v>
      </c>
      <c r="F1314" s="13" t="s">
        <v>2347</v>
      </c>
      <c r="G1314" s="61" t="n">
        <v>15110334308</v>
      </c>
      <c r="H1314" s="13" t="s">
        <v>2255</v>
      </c>
      <c r="I1314" s="13" t="s">
        <v>2339</v>
      </c>
      <c r="J1314" s="13" t="n">
        <v>50</v>
      </c>
      <c r="K1314" s="13" t="s">
        <v>2278</v>
      </c>
      <c r="L1314" s="13" t="s">
        <v>2265</v>
      </c>
      <c r="M1314" s="13"/>
    </row>
    <row r="1315" customFormat="false" ht="15" hidden="false" customHeight="false" outlineLevel="0" collapsed="false">
      <c r="A1315" s="13" t="s">
        <v>628</v>
      </c>
      <c r="B1315" s="13" t="s">
        <v>627</v>
      </c>
      <c r="C1315" s="13" t="s">
        <v>2267</v>
      </c>
      <c r="D1315" s="13" t="s">
        <v>2270</v>
      </c>
      <c r="E1315" s="13" t="s">
        <v>2346</v>
      </c>
      <c r="F1315" s="13" t="s">
        <v>2347</v>
      </c>
      <c r="G1315" s="61" t="n">
        <v>9990279226</v>
      </c>
      <c r="H1315" s="13" t="s">
        <v>2255</v>
      </c>
      <c r="I1315" s="13" t="s">
        <v>2339</v>
      </c>
      <c r="J1315" s="13" t="n">
        <v>50</v>
      </c>
      <c r="K1315" s="13" t="s">
        <v>2278</v>
      </c>
      <c r="L1315" s="13" t="s">
        <v>2265</v>
      </c>
      <c r="M1315" s="13"/>
    </row>
    <row r="1316" customFormat="false" ht="15" hidden="false" customHeight="false" outlineLevel="0" collapsed="false">
      <c r="A1316" s="13" t="s">
        <v>628</v>
      </c>
      <c r="B1316" s="13" t="s">
        <v>627</v>
      </c>
      <c r="C1316" s="13" t="s">
        <v>2254</v>
      </c>
      <c r="D1316" s="13" t="s">
        <v>2270</v>
      </c>
      <c r="E1316" s="13" t="s">
        <v>2346</v>
      </c>
      <c r="F1316" s="13" t="s">
        <v>2348</v>
      </c>
      <c r="G1316" s="61" t="n">
        <v>48660339783</v>
      </c>
      <c r="H1316" s="13" t="s">
        <v>2255</v>
      </c>
      <c r="I1316" s="13" t="s">
        <v>2339</v>
      </c>
      <c r="J1316" s="13" t="n">
        <v>39</v>
      </c>
      <c r="K1316" s="13" t="s">
        <v>2274</v>
      </c>
      <c r="L1316" s="13" t="s">
        <v>2257</v>
      </c>
      <c r="M1316" s="13"/>
    </row>
    <row r="1317" customFormat="false" ht="15" hidden="false" customHeight="false" outlineLevel="0" collapsed="false">
      <c r="A1317" s="13" t="s">
        <v>628</v>
      </c>
      <c r="B1317" s="13" t="s">
        <v>627</v>
      </c>
      <c r="C1317" s="13" t="s">
        <v>2258</v>
      </c>
      <c r="D1317" s="13" t="s">
        <v>2270</v>
      </c>
      <c r="E1317" s="13" t="s">
        <v>2346</v>
      </c>
      <c r="F1317" s="13" t="s">
        <v>2348</v>
      </c>
      <c r="G1317" s="61" t="n">
        <v>31842611684</v>
      </c>
      <c r="H1317" s="13" t="s">
        <v>2255</v>
      </c>
      <c r="I1317" s="13" t="s">
        <v>2339</v>
      </c>
      <c r="J1317" s="13" t="n">
        <v>53</v>
      </c>
      <c r="K1317" s="13" t="s">
        <v>2275</v>
      </c>
      <c r="L1317" s="13" t="s">
        <v>2260</v>
      </c>
      <c r="M1317" s="13"/>
    </row>
    <row r="1318" customFormat="false" ht="15" hidden="false" customHeight="false" outlineLevel="0" collapsed="false">
      <c r="A1318" s="13" t="s">
        <v>628</v>
      </c>
      <c r="B1318" s="13" t="s">
        <v>627</v>
      </c>
      <c r="C1318" s="13" t="s">
        <v>2261</v>
      </c>
      <c r="D1318" s="13" t="s">
        <v>2270</v>
      </c>
      <c r="E1318" s="13" t="s">
        <v>2346</v>
      </c>
      <c r="F1318" s="13" t="s">
        <v>2348</v>
      </c>
      <c r="G1318" s="61" t="n">
        <v>42930857155</v>
      </c>
      <c r="H1318" s="13" t="s">
        <v>2255</v>
      </c>
      <c r="I1318" s="13" t="s">
        <v>2339</v>
      </c>
      <c r="J1318" s="13" t="n">
        <v>48</v>
      </c>
      <c r="K1318" s="13" t="s">
        <v>2276</v>
      </c>
      <c r="L1318" s="13" t="s">
        <v>2263</v>
      </c>
      <c r="M1318" s="13"/>
    </row>
    <row r="1319" customFormat="false" ht="15" hidden="false" customHeight="false" outlineLevel="0" collapsed="false">
      <c r="A1319" s="13" t="s">
        <v>628</v>
      </c>
      <c r="B1319" s="13" t="s">
        <v>627</v>
      </c>
      <c r="C1319" s="13" t="s">
        <v>2264</v>
      </c>
      <c r="D1319" s="13" t="s">
        <v>2270</v>
      </c>
      <c r="E1319" s="13" t="s">
        <v>2346</v>
      </c>
      <c r="F1319" s="13" t="s">
        <v>2348</v>
      </c>
      <c r="G1319" s="61" t="n">
        <v>48902079820</v>
      </c>
      <c r="H1319" s="13" t="s">
        <v>2255</v>
      </c>
      <c r="I1319" s="13" t="s">
        <v>2339</v>
      </c>
      <c r="J1319" s="13" t="n">
        <v>48</v>
      </c>
      <c r="K1319" s="13" t="s">
        <v>2277</v>
      </c>
      <c r="L1319" s="13" t="s">
        <v>2265</v>
      </c>
      <c r="M1319" s="13"/>
    </row>
    <row r="1320" customFormat="false" ht="15" hidden="false" customHeight="false" outlineLevel="0" collapsed="false">
      <c r="A1320" s="13" t="s">
        <v>628</v>
      </c>
      <c r="B1320" s="13" t="s">
        <v>627</v>
      </c>
      <c r="C1320" s="13" t="s">
        <v>2266</v>
      </c>
      <c r="D1320" s="13" t="s">
        <v>2270</v>
      </c>
      <c r="E1320" s="13" t="s">
        <v>2346</v>
      </c>
      <c r="F1320" s="13" t="s">
        <v>2348</v>
      </c>
      <c r="G1320" s="61" t="n">
        <v>61458186996</v>
      </c>
      <c r="H1320" s="13" t="s">
        <v>2255</v>
      </c>
      <c r="I1320" s="13" t="s">
        <v>2339</v>
      </c>
      <c r="J1320" s="13" t="n">
        <v>50</v>
      </c>
      <c r="K1320" s="13" t="s">
        <v>2278</v>
      </c>
      <c r="L1320" s="13" t="s">
        <v>2265</v>
      </c>
      <c r="M1320" s="13"/>
    </row>
    <row r="1321" customFormat="false" ht="15" hidden="false" customHeight="false" outlineLevel="0" collapsed="false">
      <c r="A1321" s="13" t="s">
        <v>628</v>
      </c>
      <c r="B1321" s="13" t="s">
        <v>627</v>
      </c>
      <c r="C1321" s="13" t="s">
        <v>2267</v>
      </c>
      <c r="D1321" s="13" t="s">
        <v>2270</v>
      </c>
      <c r="E1321" s="13" t="s">
        <v>2346</v>
      </c>
      <c r="F1321" s="13" t="s">
        <v>2348</v>
      </c>
      <c r="G1321" s="61" t="n">
        <v>65898071327</v>
      </c>
      <c r="H1321" s="13" t="s">
        <v>2255</v>
      </c>
      <c r="I1321" s="13" t="s">
        <v>2339</v>
      </c>
      <c r="J1321" s="13" t="n">
        <v>50</v>
      </c>
      <c r="K1321" s="13" t="s">
        <v>2278</v>
      </c>
      <c r="L1321" s="13" t="s">
        <v>2265</v>
      </c>
      <c r="M1321" s="13"/>
    </row>
    <row r="1322" customFormat="false" ht="15" hidden="false" customHeight="false" outlineLevel="0" collapsed="false">
      <c r="A1322" s="13" t="s">
        <v>628</v>
      </c>
      <c r="B1322" s="13" t="s">
        <v>627</v>
      </c>
      <c r="C1322" s="13" t="s">
        <v>2266</v>
      </c>
      <c r="D1322" s="13" t="s">
        <v>2270</v>
      </c>
      <c r="E1322" s="13" t="s">
        <v>2346</v>
      </c>
      <c r="F1322" s="13" t="s">
        <v>2349</v>
      </c>
      <c r="G1322" s="61" t="n">
        <v>29532511980</v>
      </c>
      <c r="H1322" s="13" t="s">
        <v>2255</v>
      </c>
      <c r="I1322" s="13" t="s">
        <v>2339</v>
      </c>
      <c r="J1322" s="13" t="n">
        <v>50</v>
      </c>
      <c r="K1322" s="13" t="s">
        <v>2278</v>
      </c>
      <c r="L1322" s="13" t="s">
        <v>2265</v>
      </c>
      <c r="M1322" s="13"/>
    </row>
    <row r="1323" customFormat="false" ht="15" hidden="false" customHeight="false" outlineLevel="0" collapsed="false">
      <c r="A1323" s="13" t="s">
        <v>628</v>
      </c>
      <c r="B1323" s="13" t="s">
        <v>627</v>
      </c>
      <c r="C1323" s="13" t="s">
        <v>2267</v>
      </c>
      <c r="D1323" s="13" t="s">
        <v>2270</v>
      </c>
      <c r="E1323" s="13" t="s">
        <v>2346</v>
      </c>
      <c r="F1323" s="13" t="s">
        <v>2349</v>
      </c>
      <c r="G1323" s="61" t="n">
        <v>40681964406</v>
      </c>
      <c r="H1323" s="13" t="s">
        <v>2255</v>
      </c>
      <c r="I1323" s="13" t="s">
        <v>2339</v>
      </c>
      <c r="J1323" s="13" t="n">
        <v>50</v>
      </c>
      <c r="K1323" s="13" t="s">
        <v>2278</v>
      </c>
      <c r="L1323" s="13" t="s">
        <v>2265</v>
      </c>
      <c r="M1323" s="13"/>
    </row>
    <row r="1324" customFormat="false" ht="15" hidden="false" customHeight="false" outlineLevel="0" collapsed="false">
      <c r="A1324" s="13" t="s">
        <v>628</v>
      </c>
      <c r="B1324" s="13" t="s">
        <v>627</v>
      </c>
      <c r="C1324" s="13" t="s">
        <v>2254</v>
      </c>
      <c r="D1324" s="13" t="s">
        <v>2270</v>
      </c>
      <c r="E1324" s="13" t="s">
        <v>2346</v>
      </c>
      <c r="F1324" s="13" t="s">
        <v>2350</v>
      </c>
      <c r="G1324" s="61" t="n">
        <v>16580915484</v>
      </c>
      <c r="H1324" s="13" t="s">
        <v>2255</v>
      </c>
      <c r="I1324" s="13" t="s">
        <v>2339</v>
      </c>
      <c r="J1324" s="13" t="n">
        <v>39</v>
      </c>
      <c r="K1324" s="13" t="s">
        <v>2274</v>
      </c>
      <c r="L1324" s="13" t="s">
        <v>2257</v>
      </c>
      <c r="M1324" s="13"/>
    </row>
    <row r="1325" customFormat="false" ht="15" hidden="false" customHeight="false" outlineLevel="0" collapsed="false">
      <c r="A1325" s="13" t="s">
        <v>628</v>
      </c>
      <c r="B1325" s="13" t="s">
        <v>627</v>
      </c>
      <c r="C1325" s="13" t="s">
        <v>2258</v>
      </c>
      <c r="D1325" s="13" t="s">
        <v>2270</v>
      </c>
      <c r="E1325" s="13" t="s">
        <v>2346</v>
      </c>
      <c r="F1325" s="13" t="s">
        <v>2350</v>
      </c>
      <c r="G1325" s="61" t="n">
        <v>93629019390</v>
      </c>
      <c r="H1325" s="13" t="s">
        <v>2255</v>
      </c>
      <c r="I1325" s="13" t="s">
        <v>2339</v>
      </c>
      <c r="J1325" s="13" t="n">
        <v>53</v>
      </c>
      <c r="K1325" s="13" t="s">
        <v>2275</v>
      </c>
      <c r="L1325" s="13" t="s">
        <v>2260</v>
      </c>
      <c r="M1325" s="13"/>
    </row>
    <row r="1326" customFormat="false" ht="15" hidden="false" customHeight="false" outlineLevel="0" collapsed="false">
      <c r="A1326" s="13" t="s">
        <v>628</v>
      </c>
      <c r="B1326" s="13" t="s">
        <v>627</v>
      </c>
      <c r="C1326" s="13" t="s">
        <v>2261</v>
      </c>
      <c r="D1326" s="13" t="s">
        <v>2270</v>
      </c>
      <c r="E1326" s="13" t="s">
        <v>2346</v>
      </c>
      <c r="F1326" s="13" t="s">
        <v>2350</v>
      </c>
      <c r="G1326" s="61" t="n">
        <v>42703315191</v>
      </c>
      <c r="H1326" s="13" t="s">
        <v>2255</v>
      </c>
      <c r="I1326" s="13" t="s">
        <v>2339</v>
      </c>
      <c r="J1326" s="13" t="n">
        <v>48</v>
      </c>
      <c r="K1326" s="13" t="s">
        <v>2276</v>
      </c>
      <c r="L1326" s="13" t="s">
        <v>2263</v>
      </c>
      <c r="M1326" s="13"/>
    </row>
    <row r="1327" customFormat="false" ht="15" hidden="false" customHeight="false" outlineLevel="0" collapsed="false">
      <c r="A1327" s="13" t="s">
        <v>628</v>
      </c>
      <c r="B1327" s="13" t="s">
        <v>627</v>
      </c>
      <c r="C1327" s="13" t="s">
        <v>2264</v>
      </c>
      <c r="D1327" s="13" t="s">
        <v>2270</v>
      </c>
      <c r="E1327" s="13" t="s">
        <v>2346</v>
      </c>
      <c r="F1327" s="13" t="s">
        <v>2350</v>
      </c>
      <c r="G1327" s="61" t="n">
        <v>27029674247</v>
      </c>
      <c r="H1327" s="13" t="s">
        <v>2255</v>
      </c>
      <c r="I1327" s="13" t="s">
        <v>2339</v>
      </c>
      <c r="J1327" s="13" t="n">
        <v>48</v>
      </c>
      <c r="K1327" s="13" t="s">
        <v>2277</v>
      </c>
      <c r="L1327" s="13" t="s">
        <v>2265</v>
      </c>
      <c r="M1327" s="13"/>
    </row>
    <row r="1328" customFormat="false" ht="15" hidden="false" customHeight="false" outlineLevel="0" collapsed="false">
      <c r="A1328" s="13" t="s">
        <v>628</v>
      </c>
      <c r="B1328" s="13" t="s">
        <v>627</v>
      </c>
      <c r="C1328" s="13" t="s">
        <v>2266</v>
      </c>
      <c r="D1328" s="13" t="s">
        <v>2270</v>
      </c>
      <c r="E1328" s="13" t="s">
        <v>2346</v>
      </c>
      <c r="F1328" s="13" t="s">
        <v>2350</v>
      </c>
      <c r="G1328" s="61" t="n">
        <v>42881070236</v>
      </c>
      <c r="H1328" s="13" t="s">
        <v>2255</v>
      </c>
      <c r="I1328" s="13" t="s">
        <v>2339</v>
      </c>
      <c r="J1328" s="13" t="n">
        <v>50</v>
      </c>
      <c r="K1328" s="13" t="s">
        <v>2278</v>
      </c>
      <c r="L1328" s="13" t="s">
        <v>2265</v>
      </c>
      <c r="M1328" s="13"/>
    </row>
    <row r="1329" customFormat="false" ht="15" hidden="false" customHeight="false" outlineLevel="0" collapsed="false">
      <c r="A1329" s="13" t="s">
        <v>628</v>
      </c>
      <c r="B1329" s="13" t="s">
        <v>627</v>
      </c>
      <c r="C1329" s="13" t="s">
        <v>2267</v>
      </c>
      <c r="D1329" s="13" t="s">
        <v>2270</v>
      </c>
      <c r="E1329" s="13" t="s">
        <v>2346</v>
      </c>
      <c r="F1329" s="13" t="s">
        <v>2350</v>
      </c>
      <c r="G1329" s="61" t="n">
        <v>52949576966</v>
      </c>
      <c r="H1329" s="13" t="s">
        <v>2255</v>
      </c>
      <c r="I1329" s="13" t="s">
        <v>2339</v>
      </c>
      <c r="J1329" s="13" t="n">
        <v>50</v>
      </c>
      <c r="K1329" s="13" t="s">
        <v>2278</v>
      </c>
      <c r="L1329" s="13" t="s">
        <v>2265</v>
      </c>
      <c r="M1329" s="13"/>
    </row>
    <row r="1330" customFormat="false" ht="15" hidden="false" customHeight="false" outlineLevel="0" collapsed="false">
      <c r="A1330" s="13" t="s">
        <v>628</v>
      </c>
      <c r="B1330" s="13" t="s">
        <v>627</v>
      </c>
      <c r="C1330" s="13" t="s">
        <v>2254</v>
      </c>
      <c r="D1330" s="13" t="s">
        <v>2270</v>
      </c>
      <c r="E1330" s="13" t="s">
        <v>2351</v>
      </c>
      <c r="F1330" s="13" t="s">
        <v>1271</v>
      </c>
      <c r="G1330" s="61" t="n">
        <v>1475528350</v>
      </c>
      <c r="H1330" s="13" t="s">
        <v>2255</v>
      </c>
      <c r="I1330" s="13" t="s">
        <v>2339</v>
      </c>
      <c r="J1330" s="13" t="n">
        <v>39</v>
      </c>
      <c r="K1330" s="13" t="s">
        <v>2274</v>
      </c>
      <c r="L1330" s="13" t="s">
        <v>2257</v>
      </c>
      <c r="M1330" s="13"/>
    </row>
    <row r="1331" customFormat="false" ht="15" hidden="false" customHeight="false" outlineLevel="0" collapsed="false">
      <c r="A1331" s="13" t="s">
        <v>628</v>
      </c>
      <c r="B1331" s="13" t="s">
        <v>627</v>
      </c>
      <c r="C1331" s="13" t="s">
        <v>2258</v>
      </c>
      <c r="D1331" s="13" t="s">
        <v>2270</v>
      </c>
      <c r="E1331" s="13" t="s">
        <v>2351</v>
      </c>
      <c r="F1331" s="13" t="s">
        <v>1271</v>
      </c>
      <c r="G1331" s="61" t="n">
        <v>5909652579</v>
      </c>
      <c r="H1331" s="13" t="s">
        <v>2255</v>
      </c>
      <c r="I1331" s="13" t="s">
        <v>2339</v>
      </c>
      <c r="J1331" s="13" t="n">
        <v>53</v>
      </c>
      <c r="K1331" s="13" t="s">
        <v>2275</v>
      </c>
      <c r="L1331" s="13" t="s">
        <v>2260</v>
      </c>
      <c r="M1331" s="13"/>
    </row>
    <row r="1332" customFormat="false" ht="15" hidden="false" customHeight="false" outlineLevel="0" collapsed="false">
      <c r="A1332" s="13" t="s">
        <v>628</v>
      </c>
      <c r="B1332" s="13" t="s">
        <v>627</v>
      </c>
      <c r="C1332" s="13" t="s">
        <v>2261</v>
      </c>
      <c r="D1332" s="13" t="s">
        <v>2270</v>
      </c>
      <c r="E1332" s="13" t="s">
        <v>2351</v>
      </c>
      <c r="F1332" s="13" t="s">
        <v>1271</v>
      </c>
      <c r="G1332" s="61" t="n">
        <v>7309504165</v>
      </c>
      <c r="H1332" s="13" t="s">
        <v>2255</v>
      </c>
      <c r="I1332" s="13" t="s">
        <v>2339</v>
      </c>
      <c r="J1332" s="13" t="n">
        <v>48</v>
      </c>
      <c r="K1332" s="13" t="s">
        <v>2276</v>
      </c>
      <c r="L1332" s="13" t="s">
        <v>2263</v>
      </c>
      <c r="M1332" s="13"/>
    </row>
    <row r="1333" customFormat="false" ht="15" hidden="false" customHeight="false" outlineLevel="0" collapsed="false">
      <c r="A1333" s="13" t="s">
        <v>628</v>
      </c>
      <c r="B1333" s="13" t="s">
        <v>627</v>
      </c>
      <c r="C1333" s="13" t="s">
        <v>2264</v>
      </c>
      <c r="D1333" s="13" t="s">
        <v>2270</v>
      </c>
      <c r="E1333" s="13" t="s">
        <v>2351</v>
      </c>
      <c r="F1333" s="13" t="s">
        <v>1271</v>
      </c>
      <c r="G1333" s="61" t="n">
        <v>4017971462</v>
      </c>
      <c r="H1333" s="13" t="s">
        <v>2255</v>
      </c>
      <c r="I1333" s="13" t="s">
        <v>2339</v>
      </c>
      <c r="J1333" s="13" t="n">
        <v>48</v>
      </c>
      <c r="K1333" s="13" t="s">
        <v>2277</v>
      </c>
      <c r="L1333" s="13" t="s">
        <v>2265</v>
      </c>
      <c r="M1333" s="13"/>
    </row>
    <row r="1334" customFormat="false" ht="15" hidden="false" customHeight="false" outlineLevel="0" collapsed="false">
      <c r="A1334" s="13" t="s">
        <v>628</v>
      </c>
      <c r="B1334" s="13" t="s">
        <v>627</v>
      </c>
      <c r="C1334" s="13" t="s">
        <v>2266</v>
      </c>
      <c r="D1334" s="13" t="s">
        <v>2270</v>
      </c>
      <c r="E1334" s="13" t="s">
        <v>2351</v>
      </c>
      <c r="F1334" s="13" t="s">
        <v>1271</v>
      </c>
      <c r="G1334" s="61" t="n">
        <v>3962120381</v>
      </c>
      <c r="H1334" s="13" t="s">
        <v>2255</v>
      </c>
      <c r="I1334" s="13" t="s">
        <v>2339</v>
      </c>
      <c r="J1334" s="13" t="n">
        <v>50</v>
      </c>
      <c r="K1334" s="13" t="s">
        <v>2278</v>
      </c>
      <c r="L1334" s="13" t="s">
        <v>2265</v>
      </c>
      <c r="M1334" s="13"/>
    </row>
    <row r="1335" customFormat="false" ht="15" hidden="false" customHeight="false" outlineLevel="0" collapsed="false">
      <c r="A1335" s="13" t="s">
        <v>628</v>
      </c>
      <c r="B1335" s="13" t="s">
        <v>627</v>
      </c>
      <c r="C1335" s="13" t="s">
        <v>2267</v>
      </c>
      <c r="D1335" s="13" t="s">
        <v>2270</v>
      </c>
      <c r="E1335" s="13" t="s">
        <v>2351</v>
      </c>
      <c r="F1335" s="13" t="s">
        <v>1271</v>
      </c>
      <c r="G1335" s="61" t="n">
        <v>4267847614</v>
      </c>
      <c r="H1335" s="13" t="s">
        <v>2255</v>
      </c>
      <c r="I1335" s="13" t="s">
        <v>2339</v>
      </c>
      <c r="J1335" s="13" t="n">
        <v>50</v>
      </c>
      <c r="K1335" s="13" t="s">
        <v>2278</v>
      </c>
      <c r="L1335" s="13" t="s">
        <v>2265</v>
      </c>
      <c r="M1335" s="13"/>
    </row>
    <row r="1336" customFormat="false" ht="15" hidden="false" customHeight="false" outlineLevel="0" collapsed="false">
      <c r="A1336" s="13" t="s">
        <v>628</v>
      </c>
      <c r="B1336" s="13" t="s">
        <v>627</v>
      </c>
      <c r="C1336" s="13" t="s">
        <v>2254</v>
      </c>
      <c r="D1336" s="13" t="s">
        <v>2270</v>
      </c>
      <c r="E1336" s="13" t="s">
        <v>2351</v>
      </c>
      <c r="F1336" s="13" t="s">
        <v>2352</v>
      </c>
      <c r="G1336" s="61" t="n">
        <v>1535323635</v>
      </c>
      <c r="H1336" s="13" t="s">
        <v>2255</v>
      </c>
      <c r="I1336" s="13" t="s">
        <v>2339</v>
      </c>
      <c r="J1336" s="13" t="n">
        <v>39</v>
      </c>
      <c r="K1336" s="13" t="s">
        <v>2274</v>
      </c>
      <c r="L1336" s="13" t="s">
        <v>2257</v>
      </c>
      <c r="M1336" s="13"/>
    </row>
    <row r="1337" customFormat="false" ht="15" hidden="false" customHeight="false" outlineLevel="0" collapsed="false">
      <c r="A1337" s="13" t="s">
        <v>628</v>
      </c>
      <c r="B1337" s="13" t="s">
        <v>627</v>
      </c>
      <c r="C1337" s="13" t="s">
        <v>2258</v>
      </c>
      <c r="D1337" s="13" t="s">
        <v>2270</v>
      </c>
      <c r="E1337" s="13" t="s">
        <v>2351</v>
      </c>
      <c r="F1337" s="13" t="s">
        <v>2352</v>
      </c>
      <c r="G1337" s="61" t="n">
        <v>1418597428</v>
      </c>
      <c r="H1337" s="13" t="s">
        <v>2255</v>
      </c>
      <c r="I1337" s="13" t="s">
        <v>2339</v>
      </c>
      <c r="J1337" s="13" t="n">
        <v>53</v>
      </c>
      <c r="K1337" s="13" t="s">
        <v>2275</v>
      </c>
      <c r="L1337" s="13" t="s">
        <v>2260</v>
      </c>
      <c r="M1337" s="13"/>
    </row>
    <row r="1338" customFormat="false" ht="15" hidden="false" customHeight="false" outlineLevel="0" collapsed="false">
      <c r="A1338" s="13" t="s">
        <v>628</v>
      </c>
      <c r="B1338" s="13" t="s">
        <v>627</v>
      </c>
      <c r="C1338" s="13" t="s">
        <v>2261</v>
      </c>
      <c r="D1338" s="13" t="s">
        <v>2270</v>
      </c>
      <c r="E1338" s="13" t="s">
        <v>2351</v>
      </c>
      <c r="F1338" s="13" t="s">
        <v>2352</v>
      </c>
      <c r="G1338" s="61" t="n">
        <v>293993666</v>
      </c>
      <c r="H1338" s="13" t="s">
        <v>2255</v>
      </c>
      <c r="I1338" s="13" t="s">
        <v>2339</v>
      </c>
      <c r="J1338" s="13" t="n">
        <v>48</v>
      </c>
      <c r="K1338" s="13" t="s">
        <v>2276</v>
      </c>
      <c r="L1338" s="13" t="s">
        <v>2263</v>
      </c>
      <c r="M1338" s="13"/>
    </row>
    <row r="1339" customFormat="false" ht="15" hidden="false" customHeight="false" outlineLevel="0" collapsed="false">
      <c r="A1339" s="13" t="s">
        <v>628</v>
      </c>
      <c r="B1339" s="13" t="s">
        <v>627</v>
      </c>
      <c r="C1339" s="13" t="s">
        <v>2264</v>
      </c>
      <c r="D1339" s="13" t="s">
        <v>2270</v>
      </c>
      <c r="E1339" s="13" t="s">
        <v>2351</v>
      </c>
      <c r="F1339" s="13" t="s">
        <v>2352</v>
      </c>
      <c r="G1339" s="61" t="n">
        <v>195067595</v>
      </c>
      <c r="H1339" s="13" t="s">
        <v>2255</v>
      </c>
      <c r="I1339" s="13" t="s">
        <v>2339</v>
      </c>
      <c r="J1339" s="13" t="n">
        <v>48</v>
      </c>
      <c r="K1339" s="13" t="s">
        <v>2277</v>
      </c>
      <c r="L1339" s="13" t="s">
        <v>2265</v>
      </c>
      <c r="M1339" s="13"/>
    </row>
    <row r="1340" customFormat="false" ht="15" hidden="false" customHeight="false" outlineLevel="0" collapsed="false">
      <c r="A1340" s="13" t="s">
        <v>628</v>
      </c>
      <c r="B1340" s="13" t="s">
        <v>627</v>
      </c>
      <c r="C1340" s="13" t="s">
        <v>2266</v>
      </c>
      <c r="D1340" s="13" t="s">
        <v>2270</v>
      </c>
      <c r="E1340" s="13" t="s">
        <v>2351</v>
      </c>
      <c r="F1340" s="13" t="s">
        <v>2352</v>
      </c>
      <c r="G1340" s="61" t="n">
        <v>561174970</v>
      </c>
      <c r="H1340" s="13" t="s">
        <v>2255</v>
      </c>
      <c r="I1340" s="13" t="s">
        <v>2339</v>
      </c>
      <c r="J1340" s="13" t="n">
        <v>50</v>
      </c>
      <c r="K1340" s="13" t="s">
        <v>2278</v>
      </c>
      <c r="L1340" s="13" t="s">
        <v>2265</v>
      </c>
      <c r="M1340" s="13"/>
    </row>
    <row r="1341" customFormat="false" ht="15" hidden="false" customHeight="false" outlineLevel="0" collapsed="false">
      <c r="A1341" s="13" t="s">
        <v>628</v>
      </c>
      <c r="B1341" s="13" t="s">
        <v>627</v>
      </c>
      <c r="C1341" s="13" t="s">
        <v>2267</v>
      </c>
      <c r="D1341" s="13" t="s">
        <v>2270</v>
      </c>
      <c r="E1341" s="13" t="s">
        <v>2351</v>
      </c>
      <c r="F1341" s="13" t="s">
        <v>2352</v>
      </c>
      <c r="G1341" s="61" t="n">
        <v>3312132349</v>
      </c>
      <c r="H1341" s="13" t="s">
        <v>2255</v>
      </c>
      <c r="I1341" s="13" t="s">
        <v>2339</v>
      </c>
      <c r="J1341" s="13" t="n">
        <v>50</v>
      </c>
      <c r="K1341" s="13" t="s">
        <v>2278</v>
      </c>
      <c r="L1341" s="13" t="s">
        <v>2265</v>
      </c>
      <c r="M1341" s="13"/>
    </row>
    <row r="1342" customFormat="false" ht="15" hidden="false" customHeight="false" outlineLevel="0" collapsed="false">
      <c r="A1342" s="13" t="s">
        <v>628</v>
      </c>
      <c r="B1342" s="13" t="s">
        <v>627</v>
      </c>
      <c r="C1342" s="13" t="s">
        <v>2254</v>
      </c>
      <c r="D1342" s="13" t="s">
        <v>2270</v>
      </c>
      <c r="E1342" s="13" t="s">
        <v>2351</v>
      </c>
      <c r="F1342" s="13" t="s">
        <v>2353</v>
      </c>
      <c r="G1342" s="61" t="n">
        <v>0</v>
      </c>
      <c r="H1342" s="13" t="s">
        <v>2255</v>
      </c>
      <c r="I1342" s="13" t="s">
        <v>2339</v>
      </c>
      <c r="J1342" s="13" t="n">
        <v>39</v>
      </c>
      <c r="K1342" s="13" t="s">
        <v>2274</v>
      </c>
      <c r="L1342" s="13" t="s">
        <v>2257</v>
      </c>
      <c r="M1342" s="13"/>
    </row>
    <row r="1343" customFormat="false" ht="15" hidden="false" customHeight="false" outlineLevel="0" collapsed="false">
      <c r="A1343" s="13" t="s">
        <v>628</v>
      </c>
      <c r="B1343" s="13" t="s">
        <v>627</v>
      </c>
      <c r="C1343" s="13" t="s">
        <v>2258</v>
      </c>
      <c r="D1343" s="13" t="s">
        <v>2270</v>
      </c>
      <c r="E1343" s="13" t="s">
        <v>2351</v>
      </c>
      <c r="F1343" s="13" t="s">
        <v>2353</v>
      </c>
      <c r="G1343" s="61" t="n">
        <v>-18745842</v>
      </c>
      <c r="H1343" s="13" t="s">
        <v>2255</v>
      </c>
      <c r="I1343" s="13" t="s">
        <v>2339</v>
      </c>
      <c r="J1343" s="13" t="n">
        <v>53</v>
      </c>
      <c r="K1343" s="13" t="s">
        <v>2275</v>
      </c>
      <c r="L1343" s="13" t="s">
        <v>2260</v>
      </c>
      <c r="M1343" s="13"/>
    </row>
    <row r="1344" customFormat="false" ht="15" hidden="false" customHeight="false" outlineLevel="0" collapsed="false">
      <c r="A1344" s="13" t="s">
        <v>628</v>
      </c>
      <c r="B1344" s="13" t="s">
        <v>627</v>
      </c>
      <c r="C1344" s="13" t="s">
        <v>2261</v>
      </c>
      <c r="D1344" s="13" t="s">
        <v>2270</v>
      </c>
      <c r="E1344" s="13" t="s">
        <v>2351</v>
      </c>
      <c r="F1344" s="13" t="s">
        <v>2353</v>
      </c>
      <c r="G1344" s="61" t="n">
        <v>-3585526369</v>
      </c>
      <c r="H1344" s="13" t="s">
        <v>2255</v>
      </c>
      <c r="I1344" s="13" t="s">
        <v>2339</v>
      </c>
      <c r="J1344" s="13" t="n">
        <v>48</v>
      </c>
      <c r="K1344" s="13" t="s">
        <v>2276</v>
      </c>
      <c r="L1344" s="13" t="s">
        <v>2263</v>
      </c>
      <c r="M1344" s="13"/>
    </row>
    <row r="1345" customFormat="false" ht="15" hidden="false" customHeight="false" outlineLevel="0" collapsed="false">
      <c r="A1345" s="13" t="s">
        <v>628</v>
      </c>
      <c r="B1345" s="13" t="s">
        <v>627</v>
      </c>
      <c r="C1345" s="13" t="s">
        <v>2264</v>
      </c>
      <c r="D1345" s="13" t="s">
        <v>2270</v>
      </c>
      <c r="E1345" s="13" t="s">
        <v>2351</v>
      </c>
      <c r="F1345" s="13" t="s">
        <v>2353</v>
      </c>
      <c r="G1345" s="61" t="n">
        <v>-250918676</v>
      </c>
      <c r="H1345" s="13" t="s">
        <v>2255</v>
      </c>
      <c r="I1345" s="13" t="s">
        <v>2339</v>
      </c>
      <c r="J1345" s="13" t="n">
        <v>48</v>
      </c>
      <c r="K1345" s="13" t="s">
        <v>2277</v>
      </c>
      <c r="L1345" s="13" t="s">
        <v>2265</v>
      </c>
      <c r="M1345" s="13"/>
    </row>
    <row r="1346" customFormat="false" ht="15" hidden="false" customHeight="false" outlineLevel="0" collapsed="false">
      <c r="A1346" s="13" t="s">
        <v>628</v>
      </c>
      <c r="B1346" s="13" t="s">
        <v>627</v>
      </c>
      <c r="C1346" s="13" t="s">
        <v>2266</v>
      </c>
      <c r="D1346" s="13" t="s">
        <v>2270</v>
      </c>
      <c r="E1346" s="13" t="s">
        <v>2351</v>
      </c>
      <c r="F1346" s="13" t="s">
        <v>2353</v>
      </c>
      <c r="G1346" s="61" t="n">
        <v>-255447737</v>
      </c>
      <c r="H1346" s="13" t="s">
        <v>2255</v>
      </c>
      <c r="I1346" s="13" t="s">
        <v>2339</v>
      </c>
      <c r="J1346" s="13" t="n">
        <v>50</v>
      </c>
      <c r="K1346" s="13" t="s">
        <v>2278</v>
      </c>
      <c r="L1346" s="13" t="s">
        <v>2265</v>
      </c>
      <c r="M1346" s="13"/>
    </row>
    <row r="1347" customFormat="false" ht="15" hidden="false" customHeight="false" outlineLevel="0" collapsed="false">
      <c r="A1347" s="13" t="s">
        <v>628</v>
      </c>
      <c r="B1347" s="13" t="s">
        <v>627</v>
      </c>
      <c r="C1347" s="13" t="s">
        <v>2267</v>
      </c>
      <c r="D1347" s="13" t="s">
        <v>2270</v>
      </c>
      <c r="E1347" s="13" t="s">
        <v>2351</v>
      </c>
      <c r="F1347" s="13" t="s">
        <v>2353</v>
      </c>
      <c r="G1347" s="61" t="n">
        <v>0</v>
      </c>
      <c r="H1347" s="13" t="s">
        <v>2255</v>
      </c>
      <c r="I1347" s="13" t="s">
        <v>2339</v>
      </c>
      <c r="J1347" s="13" t="n">
        <v>50</v>
      </c>
      <c r="K1347" s="13" t="s">
        <v>2278</v>
      </c>
      <c r="L1347" s="13" t="s">
        <v>2265</v>
      </c>
      <c r="M1347" s="13"/>
    </row>
    <row r="1348" customFormat="false" ht="15" hidden="false" customHeight="false" outlineLevel="0" collapsed="false">
      <c r="A1348" s="13" t="s">
        <v>628</v>
      </c>
      <c r="B1348" s="13" t="s">
        <v>627</v>
      </c>
      <c r="C1348" s="13" t="s">
        <v>2254</v>
      </c>
      <c r="D1348" s="13" t="s">
        <v>2270</v>
      </c>
      <c r="E1348" s="13" t="s">
        <v>2351</v>
      </c>
      <c r="F1348" s="13" t="s">
        <v>1284</v>
      </c>
      <c r="G1348" s="61" t="n">
        <v>3010851985</v>
      </c>
      <c r="H1348" s="13" t="s">
        <v>2255</v>
      </c>
      <c r="I1348" s="13" t="s">
        <v>2339</v>
      </c>
      <c r="J1348" s="13" t="n">
        <v>39</v>
      </c>
      <c r="K1348" s="13" t="s">
        <v>2274</v>
      </c>
      <c r="L1348" s="13" t="s">
        <v>2257</v>
      </c>
      <c r="M1348" s="13"/>
    </row>
    <row r="1349" customFormat="false" ht="15" hidden="false" customHeight="false" outlineLevel="0" collapsed="false">
      <c r="A1349" s="13" t="s">
        <v>628</v>
      </c>
      <c r="B1349" s="13" t="s">
        <v>627</v>
      </c>
      <c r="C1349" s="13" t="s">
        <v>2258</v>
      </c>
      <c r="D1349" s="13" t="s">
        <v>2270</v>
      </c>
      <c r="E1349" s="13" t="s">
        <v>2351</v>
      </c>
      <c r="F1349" s="13" t="s">
        <v>1284</v>
      </c>
      <c r="G1349" s="61" t="n">
        <v>7309504165</v>
      </c>
      <c r="H1349" s="13" t="s">
        <v>2255</v>
      </c>
      <c r="I1349" s="13" t="s">
        <v>2339</v>
      </c>
      <c r="J1349" s="13" t="n">
        <v>53</v>
      </c>
      <c r="K1349" s="13" t="s">
        <v>2275</v>
      </c>
      <c r="L1349" s="13" t="s">
        <v>2260</v>
      </c>
      <c r="M1349" s="13"/>
    </row>
    <row r="1350" customFormat="false" ht="15" hidden="false" customHeight="false" outlineLevel="0" collapsed="false">
      <c r="A1350" s="13" t="s">
        <v>628</v>
      </c>
      <c r="B1350" s="13" t="s">
        <v>627</v>
      </c>
      <c r="C1350" s="13" t="s">
        <v>2261</v>
      </c>
      <c r="D1350" s="13" t="s">
        <v>2270</v>
      </c>
      <c r="E1350" s="13" t="s">
        <v>2351</v>
      </c>
      <c r="F1350" s="13" t="s">
        <v>1284</v>
      </c>
      <c r="G1350" s="61" t="n">
        <v>4017971462</v>
      </c>
      <c r="H1350" s="13" t="s">
        <v>2255</v>
      </c>
      <c r="I1350" s="13" t="s">
        <v>2339</v>
      </c>
      <c r="J1350" s="13" t="n">
        <v>48</v>
      </c>
      <c r="K1350" s="13" t="s">
        <v>2276</v>
      </c>
      <c r="L1350" s="13" t="s">
        <v>2263</v>
      </c>
      <c r="M1350" s="13"/>
    </row>
    <row r="1351" customFormat="false" ht="15" hidden="false" customHeight="false" outlineLevel="0" collapsed="false">
      <c r="A1351" s="13" t="s">
        <v>628</v>
      </c>
      <c r="B1351" s="13" t="s">
        <v>627</v>
      </c>
      <c r="C1351" s="13" t="s">
        <v>2264</v>
      </c>
      <c r="D1351" s="13" t="s">
        <v>2270</v>
      </c>
      <c r="E1351" s="13" t="s">
        <v>2351</v>
      </c>
      <c r="F1351" s="13" t="s">
        <v>1284</v>
      </c>
      <c r="G1351" s="61" t="n">
        <v>3962120381</v>
      </c>
      <c r="H1351" s="13" t="s">
        <v>2255</v>
      </c>
      <c r="I1351" s="13" t="s">
        <v>2339</v>
      </c>
      <c r="J1351" s="13" t="n">
        <v>48</v>
      </c>
      <c r="K1351" s="13" t="s">
        <v>2277</v>
      </c>
      <c r="L1351" s="13" t="s">
        <v>2265</v>
      </c>
      <c r="M1351" s="13"/>
    </row>
    <row r="1352" customFormat="false" ht="15" hidden="false" customHeight="false" outlineLevel="0" collapsed="false">
      <c r="A1352" s="13" t="s">
        <v>628</v>
      </c>
      <c r="B1352" s="13" t="s">
        <v>627</v>
      </c>
      <c r="C1352" s="13" t="s">
        <v>2266</v>
      </c>
      <c r="D1352" s="13" t="s">
        <v>2270</v>
      </c>
      <c r="E1352" s="13" t="s">
        <v>2351</v>
      </c>
      <c r="F1352" s="13" t="s">
        <v>1284</v>
      </c>
      <c r="G1352" s="61" t="n">
        <v>4267847614</v>
      </c>
      <c r="H1352" s="13" t="s">
        <v>2255</v>
      </c>
      <c r="I1352" s="13" t="s">
        <v>2339</v>
      </c>
      <c r="J1352" s="13" t="n">
        <v>50</v>
      </c>
      <c r="K1352" s="13" t="s">
        <v>2278</v>
      </c>
      <c r="L1352" s="13" t="s">
        <v>2265</v>
      </c>
      <c r="M1352" s="13"/>
    </row>
    <row r="1353" customFormat="false" ht="15" hidden="false" customHeight="false" outlineLevel="0" collapsed="false">
      <c r="A1353" s="13" t="s">
        <v>628</v>
      </c>
      <c r="B1353" s="13" t="s">
        <v>627</v>
      </c>
      <c r="C1353" s="13" t="s">
        <v>2267</v>
      </c>
      <c r="D1353" s="13" t="s">
        <v>2270</v>
      </c>
      <c r="E1353" s="13" t="s">
        <v>2351</v>
      </c>
      <c r="F1353" s="13" t="s">
        <v>1284</v>
      </c>
      <c r="G1353" s="61" t="n">
        <v>7579979963</v>
      </c>
      <c r="H1353" s="13" t="s">
        <v>2255</v>
      </c>
      <c r="I1353" s="13" t="s">
        <v>2339</v>
      </c>
      <c r="J1353" s="13" t="n">
        <v>50</v>
      </c>
      <c r="K1353" s="13" t="s">
        <v>2278</v>
      </c>
      <c r="L1353" s="13" t="s">
        <v>2265</v>
      </c>
      <c r="M1353" s="13"/>
    </row>
    <row r="1354" customFormat="false" ht="15" hidden="false" customHeight="false" outlineLevel="0" collapsed="false">
      <c r="A1354" s="13" t="s">
        <v>628</v>
      </c>
      <c r="B1354" s="13" t="s">
        <v>627</v>
      </c>
      <c r="C1354" s="13" t="s">
        <v>2254</v>
      </c>
      <c r="D1354" s="13" t="s">
        <v>2270</v>
      </c>
      <c r="E1354" s="13" t="s">
        <v>2354</v>
      </c>
      <c r="F1354" s="13" t="s">
        <v>2355</v>
      </c>
      <c r="G1354" s="61" t="n">
        <v>12400739987</v>
      </c>
      <c r="H1354" s="13" t="s">
        <v>2255</v>
      </c>
      <c r="I1354" s="13" t="s">
        <v>2356</v>
      </c>
      <c r="J1354" s="13" t="n">
        <v>4</v>
      </c>
      <c r="K1354" s="13" t="s">
        <v>2274</v>
      </c>
      <c r="L1354" s="13" t="s">
        <v>2257</v>
      </c>
      <c r="M1354" s="13"/>
    </row>
    <row r="1355" customFormat="false" ht="15" hidden="false" customHeight="false" outlineLevel="0" collapsed="false">
      <c r="A1355" s="13" t="s">
        <v>628</v>
      </c>
      <c r="B1355" s="13" t="s">
        <v>627</v>
      </c>
      <c r="C1355" s="13" t="s">
        <v>2258</v>
      </c>
      <c r="D1355" s="13" t="s">
        <v>2270</v>
      </c>
      <c r="E1355" s="13" t="s">
        <v>2354</v>
      </c>
      <c r="F1355" s="13" t="s">
        <v>2355</v>
      </c>
      <c r="G1355" s="61" t="n">
        <v>28522210124</v>
      </c>
      <c r="H1355" s="13" t="s">
        <v>2255</v>
      </c>
      <c r="I1355" s="13" t="s">
        <v>2356</v>
      </c>
      <c r="J1355" s="13" t="n">
        <v>4</v>
      </c>
      <c r="K1355" s="13" t="s">
        <v>2275</v>
      </c>
      <c r="L1355" s="13" t="s">
        <v>2260</v>
      </c>
      <c r="M1355" s="13"/>
    </row>
    <row r="1356" customFormat="false" ht="15" hidden="false" customHeight="false" outlineLevel="0" collapsed="false">
      <c r="A1356" s="13" t="s">
        <v>628</v>
      </c>
      <c r="B1356" s="13" t="s">
        <v>627</v>
      </c>
      <c r="C1356" s="13" t="s">
        <v>2261</v>
      </c>
      <c r="D1356" s="13" t="s">
        <v>2270</v>
      </c>
      <c r="E1356" s="13" t="s">
        <v>2354</v>
      </c>
      <c r="F1356" s="13" t="s">
        <v>2355</v>
      </c>
      <c r="G1356" s="61" t="n">
        <v>17003570799</v>
      </c>
      <c r="H1356" s="13" t="s">
        <v>2255</v>
      </c>
      <c r="I1356" s="13" t="s">
        <v>2356</v>
      </c>
      <c r="J1356" s="13" t="n">
        <v>4</v>
      </c>
      <c r="K1356" s="13" t="s">
        <v>2276</v>
      </c>
      <c r="L1356" s="13" t="s">
        <v>2263</v>
      </c>
      <c r="M1356" s="13"/>
    </row>
    <row r="1357" customFormat="false" ht="15" hidden="false" customHeight="false" outlineLevel="0" collapsed="false">
      <c r="A1357" s="13" t="s">
        <v>628</v>
      </c>
      <c r="B1357" s="13" t="s">
        <v>627</v>
      </c>
      <c r="C1357" s="13" t="s">
        <v>2264</v>
      </c>
      <c r="D1357" s="13" t="s">
        <v>2270</v>
      </c>
      <c r="E1357" s="13" t="s">
        <v>2354</v>
      </c>
      <c r="F1357" s="13" t="s">
        <v>2355</v>
      </c>
      <c r="G1357" s="61" t="n">
        <v>29262483946</v>
      </c>
      <c r="H1357" s="13" t="s">
        <v>2255</v>
      </c>
      <c r="I1357" s="13" t="s">
        <v>2356</v>
      </c>
      <c r="J1357" s="13" t="n">
        <v>4</v>
      </c>
      <c r="K1357" s="13" t="s">
        <v>2277</v>
      </c>
      <c r="L1357" s="13" t="s">
        <v>2265</v>
      </c>
      <c r="M1357" s="13"/>
    </row>
    <row r="1358" customFormat="false" ht="15" hidden="false" customHeight="false" outlineLevel="0" collapsed="false">
      <c r="A1358" s="13" t="s">
        <v>628</v>
      </c>
      <c r="B1358" s="13" t="s">
        <v>627</v>
      </c>
      <c r="C1358" s="13" t="s">
        <v>2266</v>
      </c>
      <c r="D1358" s="13" t="s">
        <v>2270</v>
      </c>
      <c r="E1358" s="13" t="s">
        <v>2354</v>
      </c>
      <c r="F1358" s="13" t="s">
        <v>2355</v>
      </c>
      <c r="G1358" s="61" t="n">
        <v>36523484442</v>
      </c>
      <c r="H1358" s="13" t="s">
        <v>2255</v>
      </c>
      <c r="I1358" s="13" t="s">
        <v>2356</v>
      </c>
      <c r="J1358" s="13" t="n">
        <v>51</v>
      </c>
      <c r="K1358" s="13" t="s">
        <v>2278</v>
      </c>
      <c r="L1358" s="13" t="s">
        <v>2265</v>
      </c>
      <c r="M1358" s="13"/>
    </row>
    <row r="1359" customFormat="false" ht="15" hidden="false" customHeight="false" outlineLevel="0" collapsed="false">
      <c r="A1359" s="13" t="s">
        <v>628</v>
      </c>
      <c r="B1359" s="13" t="s">
        <v>627</v>
      </c>
      <c r="C1359" s="13" t="s">
        <v>2267</v>
      </c>
      <c r="D1359" s="13" t="s">
        <v>2270</v>
      </c>
      <c r="E1359" s="13" t="s">
        <v>2354</v>
      </c>
      <c r="F1359" s="13" t="s">
        <v>2355</v>
      </c>
      <c r="G1359" s="61" t="n">
        <v>38961740700</v>
      </c>
      <c r="H1359" s="13" t="s">
        <v>2255</v>
      </c>
      <c r="I1359" s="13" t="s">
        <v>2356</v>
      </c>
      <c r="J1359" s="13" t="n">
        <v>51</v>
      </c>
      <c r="K1359" s="13" t="s">
        <v>2278</v>
      </c>
      <c r="L1359" s="13" t="s">
        <v>2265</v>
      </c>
      <c r="M1359" s="13"/>
    </row>
    <row r="1360" customFormat="false" ht="15" hidden="false" customHeight="false" outlineLevel="0" collapsed="false">
      <c r="A1360" s="13" t="s">
        <v>628</v>
      </c>
      <c r="B1360" s="13" t="s">
        <v>627</v>
      </c>
      <c r="C1360" s="13" t="s">
        <v>2254</v>
      </c>
      <c r="D1360" s="13" t="s">
        <v>2270</v>
      </c>
      <c r="E1360" s="13" t="s">
        <v>2354</v>
      </c>
      <c r="F1360" s="13" t="s">
        <v>2357</v>
      </c>
      <c r="G1360" s="61" t="n">
        <v>4743624898</v>
      </c>
      <c r="H1360" s="13" t="s">
        <v>2255</v>
      </c>
      <c r="I1360" s="13" t="s">
        <v>2356</v>
      </c>
      <c r="J1360" s="13" t="n">
        <v>4</v>
      </c>
      <c r="K1360" s="13" t="s">
        <v>2274</v>
      </c>
      <c r="L1360" s="13" t="s">
        <v>2257</v>
      </c>
      <c r="M1360" s="13"/>
    </row>
    <row r="1361" customFormat="false" ht="15" hidden="false" customHeight="false" outlineLevel="0" collapsed="false">
      <c r="A1361" s="13" t="s">
        <v>628</v>
      </c>
      <c r="B1361" s="13" t="s">
        <v>627</v>
      </c>
      <c r="C1361" s="13" t="s">
        <v>2258</v>
      </c>
      <c r="D1361" s="13" t="s">
        <v>2270</v>
      </c>
      <c r="E1361" s="13" t="s">
        <v>2354</v>
      </c>
      <c r="F1361" s="13" t="s">
        <v>2357</v>
      </c>
      <c r="G1361" s="61" t="n">
        <v>5913005371</v>
      </c>
      <c r="H1361" s="13" t="s">
        <v>2255</v>
      </c>
      <c r="I1361" s="13" t="s">
        <v>2356</v>
      </c>
      <c r="J1361" s="13" t="n">
        <v>4</v>
      </c>
      <c r="K1361" s="13" t="s">
        <v>2275</v>
      </c>
      <c r="L1361" s="13" t="s">
        <v>2260</v>
      </c>
      <c r="M1361" s="13"/>
    </row>
    <row r="1362" customFormat="false" ht="15" hidden="false" customHeight="false" outlineLevel="0" collapsed="false">
      <c r="A1362" s="13" t="s">
        <v>628</v>
      </c>
      <c r="B1362" s="13" t="s">
        <v>627</v>
      </c>
      <c r="C1362" s="13" t="s">
        <v>2261</v>
      </c>
      <c r="D1362" s="13" t="s">
        <v>2270</v>
      </c>
      <c r="E1362" s="13" t="s">
        <v>2354</v>
      </c>
      <c r="F1362" s="13" t="s">
        <v>2357</v>
      </c>
      <c r="G1362" s="61" t="n">
        <v>17505731374</v>
      </c>
      <c r="H1362" s="13" t="s">
        <v>2255</v>
      </c>
      <c r="I1362" s="13" t="s">
        <v>2356</v>
      </c>
      <c r="J1362" s="13" t="n">
        <v>4</v>
      </c>
      <c r="K1362" s="13" t="s">
        <v>2276</v>
      </c>
      <c r="L1362" s="13" t="s">
        <v>2263</v>
      </c>
      <c r="M1362" s="13"/>
    </row>
    <row r="1363" customFormat="false" ht="15" hidden="false" customHeight="false" outlineLevel="0" collapsed="false">
      <c r="A1363" s="13" t="s">
        <v>628</v>
      </c>
      <c r="B1363" s="13" t="s">
        <v>627</v>
      </c>
      <c r="C1363" s="13" t="s">
        <v>2264</v>
      </c>
      <c r="D1363" s="13" t="s">
        <v>2270</v>
      </c>
      <c r="E1363" s="13" t="s">
        <v>2354</v>
      </c>
      <c r="F1363" s="13" t="s">
        <v>2357</v>
      </c>
      <c r="G1363" s="61" t="n">
        <v>10500224687</v>
      </c>
      <c r="H1363" s="13" t="s">
        <v>2255</v>
      </c>
      <c r="I1363" s="13" t="s">
        <v>2356</v>
      </c>
      <c r="J1363" s="13" t="n">
        <v>4</v>
      </c>
      <c r="K1363" s="13" t="s">
        <v>2277</v>
      </c>
      <c r="L1363" s="13" t="s">
        <v>2265</v>
      </c>
      <c r="M1363" s="13"/>
    </row>
    <row r="1364" customFormat="false" ht="15" hidden="false" customHeight="false" outlineLevel="0" collapsed="false">
      <c r="A1364" s="13" t="s">
        <v>628</v>
      </c>
      <c r="B1364" s="13" t="s">
        <v>627</v>
      </c>
      <c r="C1364" s="13" t="s">
        <v>2266</v>
      </c>
      <c r="D1364" s="13" t="s">
        <v>2270</v>
      </c>
      <c r="E1364" s="13" t="s">
        <v>2354</v>
      </c>
      <c r="F1364" s="13" t="s">
        <v>2357</v>
      </c>
      <c r="G1364" s="61" t="n">
        <v>7881390095</v>
      </c>
      <c r="H1364" s="13" t="s">
        <v>2255</v>
      </c>
      <c r="I1364" s="13" t="s">
        <v>2356</v>
      </c>
      <c r="J1364" s="13" t="n">
        <v>51</v>
      </c>
      <c r="K1364" s="13" t="s">
        <v>2278</v>
      </c>
      <c r="L1364" s="13" t="s">
        <v>2265</v>
      </c>
      <c r="M1364" s="13"/>
    </row>
    <row r="1365" customFormat="false" ht="15" hidden="false" customHeight="false" outlineLevel="0" collapsed="false">
      <c r="A1365" s="13" t="s">
        <v>628</v>
      </c>
      <c r="B1365" s="13" t="s">
        <v>627</v>
      </c>
      <c r="C1365" s="13" t="s">
        <v>2267</v>
      </c>
      <c r="D1365" s="13" t="s">
        <v>2270</v>
      </c>
      <c r="E1365" s="13" t="s">
        <v>2354</v>
      </c>
      <c r="F1365" s="13" t="s">
        <v>2357</v>
      </c>
      <c r="G1365" s="61" t="n">
        <v>9418739676</v>
      </c>
      <c r="H1365" s="13" t="s">
        <v>2255</v>
      </c>
      <c r="I1365" s="13" t="s">
        <v>2356</v>
      </c>
      <c r="J1365" s="13" t="n">
        <v>51</v>
      </c>
      <c r="K1365" s="13" t="s">
        <v>2278</v>
      </c>
      <c r="L1365" s="13" t="s">
        <v>2265</v>
      </c>
      <c r="M1365" s="13"/>
    </row>
    <row r="1366" customFormat="false" ht="15" hidden="false" customHeight="false" outlineLevel="0" collapsed="false">
      <c r="A1366" s="13" t="s">
        <v>628</v>
      </c>
      <c r="B1366" s="13" t="s">
        <v>627</v>
      </c>
      <c r="C1366" s="13" t="s">
        <v>2254</v>
      </c>
      <c r="D1366" s="13" t="s">
        <v>2270</v>
      </c>
      <c r="E1366" s="13" t="s">
        <v>2354</v>
      </c>
      <c r="F1366" s="13" t="s">
        <v>2316</v>
      </c>
      <c r="G1366" s="61" t="n">
        <v>1841776668</v>
      </c>
      <c r="H1366" s="13" t="s">
        <v>2255</v>
      </c>
      <c r="I1366" s="13" t="s">
        <v>2356</v>
      </c>
      <c r="J1366" s="13" t="n">
        <v>4</v>
      </c>
      <c r="K1366" s="13" t="s">
        <v>2274</v>
      </c>
      <c r="L1366" s="13" t="s">
        <v>2257</v>
      </c>
      <c r="M1366" s="13"/>
    </row>
    <row r="1367" customFormat="false" ht="15" hidden="false" customHeight="false" outlineLevel="0" collapsed="false">
      <c r="A1367" s="13" t="s">
        <v>628</v>
      </c>
      <c r="B1367" s="13" t="s">
        <v>627</v>
      </c>
      <c r="C1367" s="13" t="s">
        <v>2258</v>
      </c>
      <c r="D1367" s="13" t="s">
        <v>2270</v>
      </c>
      <c r="E1367" s="13" t="s">
        <v>2354</v>
      </c>
      <c r="F1367" s="13" t="s">
        <v>2316</v>
      </c>
      <c r="G1367" s="61" t="n">
        <v>4459492637</v>
      </c>
      <c r="H1367" s="13" t="s">
        <v>2255</v>
      </c>
      <c r="I1367" s="13" t="s">
        <v>2356</v>
      </c>
      <c r="J1367" s="13" t="n">
        <v>4</v>
      </c>
      <c r="K1367" s="13" t="s">
        <v>2275</v>
      </c>
      <c r="L1367" s="13" t="s">
        <v>2260</v>
      </c>
      <c r="M1367" s="13"/>
    </row>
    <row r="1368" customFormat="false" ht="15" hidden="false" customHeight="false" outlineLevel="0" collapsed="false">
      <c r="A1368" s="13" t="s">
        <v>628</v>
      </c>
      <c r="B1368" s="13" t="s">
        <v>627</v>
      </c>
      <c r="C1368" s="13" t="s">
        <v>2261</v>
      </c>
      <c r="D1368" s="13" t="s">
        <v>2270</v>
      </c>
      <c r="E1368" s="13" t="s">
        <v>2354</v>
      </c>
      <c r="F1368" s="13" t="s">
        <v>2316</v>
      </c>
      <c r="G1368" s="61" t="n">
        <v>4939806191</v>
      </c>
      <c r="H1368" s="13" t="s">
        <v>2255</v>
      </c>
      <c r="I1368" s="13" t="s">
        <v>2356</v>
      </c>
      <c r="J1368" s="13" t="n">
        <v>4</v>
      </c>
      <c r="K1368" s="13" t="s">
        <v>2276</v>
      </c>
      <c r="L1368" s="13" t="s">
        <v>2263</v>
      </c>
      <c r="M1368" s="13"/>
    </row>
    <row r="1369" customFormat="false" ht="15" hidden="false" customHeight="false" outlineLevel="0" collapsed="false">
      <c r="A1369" s="13" t="s">
        <v>628</v>
      </c>
      <c r="B1369" s="13" t="s">
        <v>627</v>
      </c>
      <c r="C1369" s="13" t="s">
        <v>2264</v>
      </c>
      <c r="D1369" s="13" t="s">
        <v>2270</v>
      </c>
      <c r="E1369" s="13" t="s">
        <v>2354</v>
      </c>
      <c r="F1369" s="13" t="s">
        <v>2316</v>
      </c>
      <c r="G1369" s="61" t="n">
        <v>2435781342</v>
      </c>
      <c r="H1369" s="13" t="s">
        <v>2255</v>
      </c>
      <c r="I1369" s="13" t="s">
        <v>2356</v>
      </c>
      <c r="J1369" s="13" t="n">
        <v>4</v>
      </c>
      <c r="K1369" s="13" t="s">
        <v>2277</v>
      </c>
      <c r="L1369" s="13" t="s">
        <v>2265</v>
      </c>
      <c r="M1369" s="13"/>
    </row>
    <row r="1370" customFormat="false" ht="15" hidden="false" customHeight="false" outlineLevel="0" collapsed="false">
      <c r="A1370" s="13" t="s">
        <v>628</v>
      </c>
      <c r="B1370" s="13" t="s">
        <v>627</v>
      </c>
      <c r="C1370" s="13" t="s">
        <v>2266</v>
      </c>
      <c r="D1370" s="13" t="s">
        <v>2270</v>
      </c>
      <c r="E1370" s="13" t="s">
        <v>2354</v>
      </c>
      <c r="F1370" s="13" t="s">
        <v>2316</v>
      </c>
      <c r="G1370" s="61" t="n">
        <v>2617074988</v>
      </c>
      <c r="H1370" s="13" t="s">
        <v>2255</v>
      </c>
      <c r="I1370" s="13" t="s">
        <v>2356</v>
      </c>
      <c r="J1370" s="13" t="n">
        <v>51</v>
      </c>
      <c r="K1370" s="13" t="s">
        <v>2278</v>
      </c>
      <c r="L1370" s="13" t="s">
        <v>2265</v>
      </c>
      <c r="M1370" s="13"/>
    </row>
    <row r="1371" customFormat="false" ht="15" hidden="false" customHeight="false" outlineLevel="0" collapsed="false">
      <c r="A1371" s="13" t="s">
        <v>628</v>
      </c>
      <c r="B1371" s="13" t="s">
        <v>627</v>
      </c>
      <c r="C1371" s="13" t="s">
        <v>2267</v>
      </c>
      <c r="D1371" s="13" t="s">
        <v>2270</v>
      </c>
      <c r="E1371" s="13" t="s">
        <v>2354</v>
      </c>
      <c r="F1371" s="13" t="s">
        <v>2316</v>
      </c>
      <c r="G1371" s="61" t="n">
        <v>3239737286</v>
      </c>
      <c r="H1371" s="13" t="s">
        <v>2255</v>
      </c>
      <c r="I1371" s="13" t="s">
        <v>2356</v>
      </c>
      <c r="J1371" s="13" t="n">
        <v>51</v>
      </c>
      <c r="K1371" s="13" t="s">
        <v>2278</v>
      </c>
      <c r="L1371" s="13" t="s">
        <v>2265</v>
      </c>
      <c r="M1371" s="13"/>
    </row>
    <row r="1372" customFormat="false" ht="15" hidden="false" customHeight="false" outlineLevel="0" collapsed="false">
      <c r="A1372" s="13" t="s">
        <v>628</v>
      </c>
      <c r="B1372" s="13" t="s">
        <v>627</v>
      </c>
      <c r="C1372" s="13" t="s">
        <v>2254</v>
      </c>
      <c r="D1372" s="13" t="s">
        <v>2270</v>
      </c>
      <c r="E1372" s="13" t="s">
        <v>2354</v>
      </c>
      <c r="F1372" s="13" t="s">
        <v>2290</v>
      </c>
      <c r="G1372" s="61" t="n">
        <v>18986141553</v>
      </c>
      <c r="H1372" s="13" t="s">
        <v>2255</v>
      </c>
      <c r="I1372" s="13" t="s">
        <v>2356</v>
      </c>
      <c r="J1372" s="13" t="n">
        <v>4</v>
      </c>
      <c r="K1372" s="13" t="s">
        <v>2274</v>
      </c>
      <c r="L1372" s="13" t="s">
        <v>2257</v>
      </c>
      <c r="M1372" s="13"/>
    </row>
    <row r="1373" customFormat="false" ht="15" hidden="false" customHeight="false" outlineLevel="0" collapsed="false">
      <c r="A1373" s="13" t="s">
        <v>628</v>
      </c>
      <c r="B1373" s="13" t="s">
        <v>627</v>
      </c>
      <c r="C1373" s="13" t="s">
        <v>2258</v>
      </c>
      <c r="D1373" s="13" t="s">
        <v>2270</v>
      </c>
      <c r="E1373" s="13" t="s">
        <v>2354</v>
      </c>
      <c r="F1373" s="13" t="s">
        <v>2290</v>
      </c>
      <c r="G1373" s="61" t="n">
        <v>38894708132</v>
      </c>
      <c r="H1373" s="13" t="s">
        <v>2255</v>
      </c>
      <c r="I1373" s="13" t="s">
        <v>2356</v>
      </c>
      <c r="J1373" s="13" t="n">
        <v>4</v>
      </c>
      <c r="K1373" s="13" t="s">
        <v>2275</v>
      </c>
      <c r="L1373" s="13" t="s">
        <v>2260</v>
      </c>
      <c r="M1373" s="13"/>
    </row>
    <row r="1374" customFormat="false" ht="15" hidden="false" customHeight="false" outlineLevel="0" collapsed="false">
      <c r="A1374" s="13" t="s">
        <v>628</v>
      </c>
      <c r="B1374" s="13" t="s">
        <v>627</v>
      </c>
      <c r="C1374" s="13" t="s">
        <v>2261</v>
      </c>
      <c r="D1374" s="13" t="s">
        <v>2270</v>
      </c>
      <c r="E1374" s="13" t="s">
        <v>2354</v>
      </c>
      <c r="F1374" s="13" t="s">
        <v>2290</v>
      </c>
      <c r="G1374" s="61" t="n">
        <v>39449108364</v>
      </c>
      <c r="H1374" s="13" t="s">
        <v>2255</v>
      </c>
      <c r="I1374" s="13" t="s">
        <v>2356</v>
      </c>
      <c r="J1374" s="13" t="n">
        <v>4</v>
      </c>
      <c r="K1374" s="13" t="s">
        <v>2276</v>
      </c>
      <c r="L1374" s="13" t="s">
        <v>2263</v>
      </c>
      <c r="M1374" s="13"/>
    </row>
    <row r="1375" customFormat="false" ht="15" hidden="false" customHeight="false" outlineLevel="0" collapsed="false">
      <c r="A1375" s="13" t="s">
        <v>628</v>
      </c>
      <c r="B1375" s="13" t="s">
        <v>627</v>
      </c>
      <c r="C1375" s="13" t="s">
        <v>2264</v>
      </c>
      <c r="D1375" s="13" t="s">
        <v>2270</v>
      </c>
      <c r="E1375" s="13" t="s">
        <v>2354</v>
      </c>
      <c r="F1375" s="13" t="s">
        <v>2290</v>
      </c>
      <c r="G1375" s="61" t="n">
        <v>42198489975</v>
      </c>
      <c r="H1375" s="13" t="s">
        <v>2255</v>
      </c>
      <c r="I1375" s="13" t="s">
        <v>2356</v>
      </c>
      <c r="J1375" s="13" t="n">
        <v>4</v>
      </c>
      <c r="K1375" s="13" t="s">
        <v>2277</v>
      </c>
      <c r="L1375" s="13" t="s">
        <v>2265</v>
      </c>
      <c r="M1375" s="13"/>
    </row>
    <row r="1376" customFormat="false" ht="15" hidden="false" customHeight="false" outlineLevel="0" collapsed="false">
      <c r="A1376" s="13" t="s">
        <v>628</v>
      </c>
      <c r="B1376" s="13" t="s">
        <v>627</v>
      </c>
      <c r="C1376" s="13" t="s">
        <v>2266</v>
      </c>
      <c r="D1376" s="13" t="s">
        <v>2270</v>
      </c>
      <c r="E1376" s="13" t="s">
        <v>2354</v>
      </c>
      <c r="F1376" s="13" t="s">
        <v>2290</v>
      </c>
      <c r="G1376" s="61" t="n">
        <v>47021949525</v>
      </c>
      <c r="H1376" s="13" t="s">
        <v>2255</v>
      </c>
      <c r="I1376" s="13" t="s">
        <v>2356</v>
      </c>
      <c r="J1376" s="13" t="n">
        <v>51</v>
      </c>
      <c r="K1376" s="13" t="s">
        <v>2278</v>
      </c>
      <c r="L1376" s="13" t="s">
        <v>2265</v>
      </c>
      <c r="M1376" s="13"/>
    </row>
    <row r="1377" customFormat="false" ht="15" hidden="false" customHeight="false" outlineLevel="0" collapsed="false">
      <c r="A1377" s="13" t="s">
        <v>628</v>
      </c>
      <c r="B1377" s="13" t="s">
        <v>627</v>
      </c>
      <c r="C1377" s="13" t="s">
        <v>2267</v>
      </c>
      <c r="D1377" s="13" t="s">
        <v>2270</v>
      </c>
      <c r="E1377" s="13" t="s">
        <v>2354</v>
      </c>
      <c r="F1377" s="13" t="s">
        <v>2290</v>
      </c>
      <c r="G1377" s="61" t="n">
        <v>51620217662</v>
      </c>
      <c r="H1377" s="13" t="s">
        <v>2255</v>
      </c>
      <c r="I1377" s="13" t="s">
        <v>2356</v>
      </c>
      <c r="J1377" s="13" t="n">
        <v>51</v>
      </c>
      <c r="K1377" s="13" t="s">
        <v>2278</v>
      </c>
      <c r="L1377" s="13" t="s">
        <v>2265</v>
      </c>
      <c r="M1377" s="13"/>
    </row>
    <row r="1378" customFormat="false" ht="15" hidden="false" customHeight="false" outlineLevel="0" collapsed="false">
      <c r="A1378" s="13" t="s">
        <v>628</v>
      </c>
      <c r="B1378" s="13" t="s">
        <v>627</v>
      </c>
      <c r="C1378" s="13" t="s">
        <v>2254</v>
      </c>
      <c r="D1378" s="13" t="s">
        <v>2270</v>
      </c>
      <c r="E1378" s="13" t="s">
        <v>2358</v>
      </c>
      <c r="F1378" s="13" t="s">
        <v>665</v>
      </c>
      <c r="G1378" s="61" t="n">
        <v>9450964473</v>
      </c>
      <c r="H1378" s="13" t="s">
        <v>2255</v>
      </c>
      <c r="I1378" s="13" t="s">
        <v>2359</v>
      </c>
      <c r="J1378" s="13" t="n">
        <v>43</v>
      </c>
      <c r="K1378" s="13" t="s">
        <v>2274</v>
      </c>
      <c r="L1378" s="13" t="s">
        <v>2257</v>
      </c>
      <c r="M1378" s="13"/>
    </row>
    <row r="1379" customFormat="false" ht="15" hidden="false" customHeight="false" outlineLevel="0" collapsed="false">
      <c r="A1379" s="13" t="s">
        <v>628</v>
      </c>
      <c r="B1379" s="13" t="s">
        <v>627</v>
      </c>
      <c r="C1379" s="13" t="s">
        <v>2258</v>
      </c>
      <c r="D1379" s="13" t="s">
        <v>2270</v>
      </c>
      <c r="E1379" s="13" t="s">
        <v>2358</v>
      </c>
      <c r="F1379" s="13" t="s">
        <v>665</v>
      </c>
      <c r="G1379" s="61" t="n">
        <v>13717043425</v>
      </c>
      <c r="H1379" s="13" t="s">
        <v>2255</v>
      </c>
      <c r="I1379" s="13" t="s">
        <v>2359</v>
      </c>
      <c r="J1379" s="13" t="n">
        <v>56</v>
      </c>
      <c r="K1379" s="13" t="s">
        <v>2275</v>
      </c>
      <c r="L1379" s="13" t="s">
        <v>2260</v>
      </c>
      <c r="M1379" s="13"/>
    </row>
    <row r="1380" customFormat="false" ht="15" hidden="false" customHeight="false" outlineLevel="0" collapsed="false">
      <c r="A1380" s="13" t="s">
        <v>628</v>
      </c>
      <c r="B1380" s="13" t="s">
        <v>627</v>
      </c>
      <c r="C1380" s="13" t="s">
        <v>2261</v>
      </c>
      <c r="D1380" s="13" t="s">
        <v>2270</v>
      </c>
      <c r="E1380" s="13" t="s">
        <v>2358</v>
      </c>
      <c r="F1380" s="13" t="s">
        <v>665</v>
      </c>
      <c r="G1380" s="61" t="n">
        <v>11683673692</v>
      </c>
      <c r="H1380" s="13" t="s">
        <v>2255</v>
      </c>
      <c r="I1380" s="13" t="s">
        <v>2359</v>
      </c>
      <c r="J1380" s="13" t="n">
        <v>51</v>
      </c>
      <c r="K1380" s="13" t="s">
        <v>2276</v>
      </c>
      <c r="L1380" s="13" t="s">
        <v>2263</v>
      </c>
      <c r="M1380" s="13"/>
    </row>
    <row r="1381" customFormat="false" ht="15" hidden="false" customHeight="false" outlineLevel="0" collapsed="false">
      <c r="A1381" s="13" t="s">
        <v>628</v>
      </c>
      <c r="B1381" s="13" t="s">
        <v>627</v>
      </c>
      <c r="C1381" s="13" t="s">
        <v>2264</v>
      </c>
      <c r="D1381" s="13" t="s">
        <v>2270</v>
      </c>
      <c r="E1381" s="13" t="s">
        <v>2358</v>
      </c>
      <c r="F1381" s="13" t="s">
        <v>665</v>
      </c>
      <c r="G1381" s="61" t="n">
        <v>12266955209</v>
      </c>
      <c r="H1381" s="13" t="s">
        <v>2255</v>
      </c>
      <c r="I1381" s="13" t="s">
        <v>2359</v>
      </c>
      <c r="J1381" s="13" t="n">
        <v>51</v>
      </c>
      <c r="K1381" s="13" t="s">
        <v>2277</v>
      </c>
      <c r="L1381" s="13" t="s">
        <v>2265</v>
      </c>
      <c r="M1381" s="13"/>
    </row>
    <row r="1382" customFormat="false" ht="15" hidden="false" customHeight="false" outlineLevel="0" collapsed="false">
      <c r="A1382" s="13" t="s">
        <v>628</v>
      </c>
      <c r="B1382" s="13" t="s">
        <v>627</v>
      </c>
      <c r="C1382" s="13" t="s">
        <v>2266</v>
      </c>
      <c r="D1382" s="13" t="s">
        <v>2270</v>
      </c>
      <c r="E1382" s="13" t="s">
        <v>2358</v>
      </c>
      <c r="F1382" s="13" t="s">
        <v>665</v>
      </c>
      <c r="G1382" s="61" t="n">
        <v>9730445461</v>
      </c>
      <c r="H1382" s="13" t="s">
        <v>2255</v>
      </c>
      <c r="I1382" s="13" t="s">
        <v>2359</v>
      </c>
      <c r="J1382" s="13" t="n">
        <v>55</v>
      </c>
      <c r="K1382" s="13" t="s">
        <v>2278</v>
      </c>
      <c r="L1382" s="13" t="s">
        <v>2265</v>
      </c>
      <c r="M1382" s="13"/>
    </row>
    <row r="1383" customFormat="false" ht="15" hidden="false" customHeight="false" outlineLevel="0" collapsed="false">
      <c r="A1383" s="13" t="s">
        <v>628</v>
      </c>
      <c r="B1383" s="13" t="s">
        <v>627</v>
      </c>
      <c r="C1383" s="13" t="s">
        <v>2267</v>
      </c>
      <c r="D1383" s="13" t="s">
        <v>2270</v>
      </c>
      <c r="E1383" s="13" t="s">
        <v>2358</v>
      </c>
      <c r="F1383" s="13" t="s">
        <v>665</v>
      </c>
      <c r="G1383" s="61" t="n">
        <v>3207084079</v>
      </c>
      <c r="H1383" s="13" t="s">
        <v>2255</v>
      </c>
      <c r="I1383" s="13" t="s">
        <v>2359</v>
      </c>
      <c r="J1383" s="13" t="n">
        <v>55</v>
      </c>
      <c r="K1383" s="13" t="s">
        <v>2278</v>
      </c>
      <c r="L1383" s="13" t="s">
        <v>2265</v>
      </c>
      <c r="M1383" s="13"/>
    </row>
    <row r="1384" customFormat="false" ht="15" hidden="false" customHeight="false" outlineLevel="0" collapsed="false">
      <c r="A1384" s="13" t="s">
        <v>628</v>
      </c>
      <c r="B1384" s="13" t="s">
        <v>627</v>
      </c>
      <c r="C1384" s="13" t="s">
        <v>2254</v>
      </c>
      <c r="D1384" s="13" t="s">
        <v>2270</v>
      </c>
      <c r="E1384" s="13" t="s">
        <v>2358</v>
      </c>
      <c r="F1384" s="13" t="s">
        <v>2360</v>
      </c>
      <c r="G1384" s="61" t="n">
        <v>46145100748</v>
      </c>
      <c r="H1384" s="13" t="s">
        <v>2255</v>
      </c>
      <c r="I1384" s="13" t="s">
        <v>2359</v>
      </c>
      <c r="J1384" s="13" t="n">
        <v>43</v>
      </c>
      <c r="K1384" s="13" t="s">
        <v>2274</v>
      </c>
      <c r="L1384" s="13" t="s">
        <v>2257</v>
      </c>
      <c r="M1384" s="13"/>
    </row>
    <row r="1385" customFormat="false" ht="15" hidden="false" customHeight="false" outlineLevel="0" collapsed="false">
      <c r="A1385" s="13" t="s">
        <v>628</v>
      </c>
      <c r="B1385" s="13" t="s">
        <v>627</v>
      </c>
      <c r="C1385" s="13" t="s">
        <v>2258</v>
      </c>
      <c r="D1385" s="13" t="s">
        <v>2270</v>
      </c>
      <c r="E1385" s="13" t="s">
        <v>2358</v>
      </c>
      <c r="F1385" s="13" t="s">
        <v>2360</v>
      </c>
      <c r="G1385" s="61" t="n">
        <v>48886899137</v>
      </c>
      <c r="H1385" s="13" t="s">
        <v>2255</v>
      </c>
      <c r="I1385" s="13" t="s">
        <v>2359</v>
      </c>
      <c r="J1385" s="13" t="n">
        <v>56</v>
      </c>
      <c r="K1385" s="13" t="s">
        <v>2275</v>
      </c>
      <c r="L1385" s="13" t="s">
        <v>2260</v>
      </c>
      <c r="M1385" s="13"/>
    </row>
    <row r="1386" customFormat="false" ht="15" hidden="false" customHeight="false" outlineLevel="0" collapsed="false">
      <c r="A1386" s="13" t="s">
        <v>628</v>
      </c>
      <c r="B1386" s="13" t="s">
        <v>627</v>
      </c>
      <c r="C1386" s="13" t="s">
        <v>2261</v>
      </c>
      <c r="D1386" s="13" t="s">
        <v>2270</v>
      </c>
      <c r="E1386" s="13" t="s">
        <v>2358</v>
      </c>
      <c r="F1386" s="13" t="s">
        <v>2360</v>
      </c>
      <c r="G1386" s="61" t="n">
        <v>77960717192</v>
      </c>
      <c r="H1386" s="13" t="s">
        <v>2255</v>
      </c>
      <c r="I1386" s="13" t="s">
        <v>2359</v>
      </c>
      <c r="J1386" s="13" t="n">
        <v>51</v>
      </c>
      <c r="K1386" s="13" t="s">
        <v>2276</v>
      </c>
      <c r="L1386" s="13" t="s">
        <v>2263</v>
      </c>
      <c r="M1386" s="13"/>
    </row>
    <row r="1387" customFormat="false" ht="15" hidden="false" customHeight="false" outlineLevel="0" collapsed="false">
      <c r="A1387" s="13" t="s">
        <v>628</v>
      </c>
      <c r="B1387" s="13" t="s">
        <v>627</v>
      </c>
      <c r="C1387" s="13" t="s">
        <v>2264</v>
      </c>
      <c r="D1387" s="13" t="s">
        <v>2270</v>
      </c>
      <c r="E1387" s="13" t="s">
        <v>2358</v>
      </c>
      <c r="F1387" s="13" t="s">
        <v>2360</v>
      </c>
      <c r="G1387" s="61" t="n">
        <v>82492083749</v>
      </c>
      <c r="H1387" s="13" t="s">
        <v>2255</v>
      </c>
      <c r="I1387" s="13" t="s">
        <v>2359</v>
      </c>
      <c r="J1387" s="13" t="n">
        <v>51</v>
      </c>
      <c r="K1387" s="13" t="s">
        <v>2277</v>
      </c>
      <c r="L1387" s="13" t="s">
        <v>2265</v>
      </c>
      <c r="M1387" s="13"/>
    </row>
    <row r="1388" customFormat="false" ht="15" hidden="false" customHeight="false" outlineLevel="0" collapsed="false">
      <c r="A1388" s="13" t="s">
        <v>628</v>
      </c>
      <c r="B1388" s="13" t="s">
        <v>627</v>
      </c>
      <c r="C1388" s="13" t="s">
        <v>2266</v>
      </c>
      <c r="D1388" s="13" t="s">
        <v>2270</v>
      </c>
      <c r="E1388" s="13" t="s">
        <v>2358</v>
      </c>
      <c r="F1388" s="13" t="s">
        <v>2360</v>
      </c>
      <c r="G1388" s="61" t="n">
        <v>85354786101</v>
      </c>
      <c r="H1388" s="13" t="s">
        <v>2255</v>
      </c>
      <c r="I1388" s="13" t="s">
        <v>2359</v>
      </c>
      <c r="J1388" s="13" t="n">
        <v>55</v>
      </c>
      <c r="K1388" s="13" t="s">
        <v>2278</v>
      </c>
      <c r="L1388" s="13" t="s">
        <v>2265</v>
      </c>
      <c r="M1388" s="13"/>
    </row>
    <row r="1389" customFormat="false" ht="15" hidden="false" customHeight="false" outlineLevel="0" collapsed="false">
      <c r="A1389" s="13" t="s">
        <v>628</v>
      </c>
      <c r="B1389" s="13" t="s">
        <v>627</v>
      </c>
      <c r="C1389" s="13" t="s">
        <v>2267</v>
      </c>
      <c r="D1389" s="13" t="s">
        <v>2270</v>
      </c>
      <c r="E1389" s="13" t="s">
        <v>2358</v>
      </c>
      <c r="F1389" s="13" t="s">
        <v>2360</v>
      </c>
      <c r="G1389" s="61" t="n">
        <v>78017175261</v>
      </c>
      <c r="H1389" s="13" t="s">
        <v>2255</v>
      </c>
      <c r="I1389" s="13" t="s">
        <v>2359</v>
      </c>
      <c r="J1389" s="13" t="n">
        <v>55</v>
      </c>
      <c r="K1389" s="13" t="s">
        <v>2278</v>
      </c>
      <c r="L1389" s="13" t="s">
        <v>2265</v>
      </c>
      <c r="M1389" s="13"/>
    </row>
    <row r="1390" customFormat="false" ht="15" hidden="false" customHeight="false" outlineLevel="0" collapsed="false">
      <c r="A1390" s="13" t="s">
        <v>628</v>
      </c>
      <c r="B1390" s="13" t="s">
        <v>627</v>
      </c>
      <c r="C1390" s="13" t="s">
        <v>2254</v>
      </c>
      <c r="D1390" s="13" t="s">
        <v>2270</v>
      </c>
      <c r="E1390" s="13" t="s">
        <v>2361</v>
      </c>
      <c r="F1390" s="13" t="s">
        <v>2362</v>
      </c>
      <c r="G1390" s="61" t="n">
        <v>228333334</v>
      </c>
      <c r="H1390" s="13" t="s">
        <v>2255</v>
      </c>
      <c r="I1390" s="13" t="s">
        <v>2359</v>
      </c>
      <c r="J1390" s="13" t="n">
        <v>43</v>
      </c>
      <c r="K1390" s="13" t="s">
        <v>2274</v>
      </c>
      <c r="L1390" s="13" t="s">
        <v>2257</v>
      </c>
      <c r="M1390" s="13"/>
    </row>
    <row r="1391" customFormat="false" ht="15" hidden="false" customHeight="false" outlineLevel="0" collapsed="false">
      <c r="A1391" s="13" t="s">
        <v>628</v>
      </c>
      <c r="B1391" s="13" t="s">
        <v>627</v>
      </c>
      <c r="C1391" s="13" t="s">
        <v>2261</v>
      </c>
      <c r="D1391" s="13" t="s">
        <v>2270</v>
      </c>
      <c r="E1391" s="13" t="s">
        <v>2361</v>
      </c>
      <c r="F1391" s="13" t="s">
        <v>2362</v>
      </c>
      <c r="G1391" s="61" t="n">
        <v>24787500</v>
      </c>
      <c r="H1391" s="13" t="s">
        <v>2255</v>
      </c>
      <c r="I1391" s="13" t="s">
        <v>2359</v>
      </c>
      <c r="J1391" s="13" t="n">
        <v>51</v>
      </c>
      <c r="K1391" s="13" t="s">
        <v>2276</v>
      </c>
      <c r="L1391" s="13" t="s">
        <v>2263</v>
      </c>
      <c r="M1391" s="13"/>
    </row>
    <row r="1392" customFormat="false" ht="15" hidden="false" customHeight="false" outlineLevel="0" collapsed="false">
      <c r="A1392" s="13" t="s">
        <v>628</v>
      </c>
      <c r="B1392" s="13" t="s">
        <v>627</v>
      </c>
      <c r="C1392" s="13" t="s">
        <v>2264</v>
      </c>
      <c r="D1392" s="13" t="s">
        <v>2270</v>
      </c>
      <c r="E1392" s="13" t="s">
        <v>2361</v>
      </c>
      <c r="F1392" s="13" t="s">
        <v>2362</v>
      </c>
      <c r="G1392" s="61" t="n">
        <v>1637850000</v>
      </c>
      <c r="H1392" s="13" t="s">
        <v>2255</v>
      </c>
      <c r="I1392" s="13" t="s">
        <v>2359</v>
      </c>
      <c r="J1392" s="13" t="n">
        <v>51</v>
      </c>
      <c r="K1392" s="13" t="s">
        <v>2277</v>
      </c>
      <c r="L1392" s="13" t="s">
        <v>2265</v>
      </c>
      <c r="M1392" s="13"/>
    </row>
    <row r="1393" customFormat="false" ht="15" hidden="false" customHeight="false" outlineLevel="0" collapsed="false">
      <c r="A1393" s="13" t="s">
        <v>628</v>
      </c>
      <c r="B1393" s="13" t="s">
        <v>627</v>
      </c>
      <c r="C1393" s="13" t="s">
        <v>2266</v>
      </c>
      <c r="D1393" s="13" t="s">
        <v>2270</v>
      </c>
      <c r="E1393" s="13" t="s">
        <v>2361</v>
      </c>
      <c r="F1393" s="13" t="s">
        <v>2362</v>
      </c>
      <c r="G1393" s="61" t="n">
        <v>1015362904</v>
      </c>
      <c r="H1393" s="13" t="s">
        <v>2255</v>
      </c>
      <c r="I1393" s="13" t="s">
        <v>2359</v>
      </c>
      <c r="J1393" s="13" t="n">
        <v>56</v>
      </c>
      <c r="K1393" s="13" t="s">
        <v>2278</v>
      </c>
      <c r="L1393" s="13" t="s">
        <v>2265</v>
      </c>
      <c r="M1393" s="13"/>
    </row>
    <row r="1394" customFormat="false" ht="15" hidden="false" customHeight="false" outlineLevel="0" collapsed="false">
      <c r="A1394" s="13" t="s">
        <v>628</v>
      </c>
      <c r="B1394" s="13" t="s">
        <v>627</v>
      </c>
      <c r="C1394" s="13" t="s">
        <v>2267</v>
      </c>
      <c r="D1394" s="13" t="s">
        <v>2270</v>
      </c>
      <c r="E1394" s="13" t="s">
        <v>2361</v>
      </c>
      <c r="F1394" s="13" t="s">
        <v>2362</v>
      </c>
      <c r="G1394" s="61" t="n">
        <v>1493319558</v>
      </c>
      <c r="H1394" s="13" t="s">
        <v>2255</v>
      </c>
      <c r="I1394" s="13" t="s">
        <v>2359</v>
      </c>
      <c r="J1394" s="13" t="n">
        <v>56</v>
      </c>
      <c r="K1394" s="13" t="s">
        <v>2278</v>
      </c>
      <c r="L1394" s="13" t="s">
        <v>2265</v>
      </c>
      <c r="M1394" s="13"/>
    </row>
    <row r="1395" customFormat="false" ht="15" hidden="false" customHeight="false" outlineLevel="0" collapsed="false">
      <c r="A1395" s="13" t="s">
        <v>628</v>
      </c>
      <c r="B1395" s="13" t="s">
        <v>627</v>
      </c>
      <c r="C1395" s="13" t="s">
        <v>2254</v>
      </c>
      <c r="D1395" s="13" t="s">
        <v>2270</v>
      </c>
      <c r="E1395" s="13" t="s">
        <v>2361</v>
      </c>
      <c r="F1395" s="13" t="s">
        <v>2363</v>
      </c>
      <c r="G1395" s="61" t="n">
        <v>-256666667</v>
      </c>
      <c r="H1395" s="13" t="s">
        <v>2255</v>
      </c>
      <c r="I1395" s="13" t="s">
        <v>2359</v>
      </c>
      <c r="J1395" s="13" t="n">
        <v>43</v>
      </c>
      <c r="K1395" s="13" t="s">
        <v>2274</v>
      </c>
      <c r="L1395" s="13" t="s">
        <v>2257</v>
      </c>
      <c r="M1395" s="13"/>
    </row>
    <row r="1396" customFormat="false" ht="15" hidden="false" customHeight="false" outlineLevel="0" collapsed="false">
      <c r="A1396" s="13" t="s">
        <v>628</v>
      </c>
      <c r="B1396" s="13" t="s">
        <v>627</v>
      </c>
      <c r="C1396" s="13" t="s">
        <v>2261</v>
      </c>
      <c r="D1396" s="13" t="s">
        <v>2270</v>
      </c>
      <c r="E1396" s="13" t="s">
        <v>2361</v>
      </c>
      <c r="F1396" s="13" t="s">
        <v>2363</v>
      </c>
      <c r="G1396" s="61" t="n">
        <v>-899629058</v>
      </c>
      <c r="H1396" s="13" t="s">
        <v>2255</v>
      </c>
      <c r="I1396" s="13" t="s">
        <v>2359</v>
      </c>
      <c r="J1396" s="13" t="n">
        <v>51</v>
      </c>
      <c r="K1396" s="13" t="s">
        <v>2276</v>
      </c>
      <c r="L1396" s="13" t="s">
        <v>2263</v>
      </c>
      <c r="M1396" s="13"/>
    </row>
    <row r="1397" customFormat="false" ht="15" hidden="false" customHeight="false" outlineLevel="0" collapsed="false">
      <c r="A1397" s="13" t="s">
        <v>628</v>
      </c>
      <c r="B1397" s="13" t="s">
        <v>627</v>
      </c>
      <c r="C1397" s="13" t="s">
        <v>2264</v>
      </c>
      <c r="D1397" s="13" t="s">
        <v>2270</v>
      </c>
      <c r="E1397" s="13" t="s">
        <v>2361</v>
      </c>
      <c r="F1397" s="13" t="s">
        <v>2363</v>
      </c>
      <c r="G1397" s="61" t="n">
        <v>-4625511275</v>
      </c>
      <c r="H1397" s="13" t="s">
        <v>2255</v>
      </c>
      <c r="I1397" s="13" t="s">
        <v>2359</v>
      </c>
      <c r="J1397" s="13" t="n">
        <v>51</v>
      </c>
      <c r="K1397" s="13" t="s">
        <v>2277</v>
      </c>
      <c r="L1397" s="13" t="s">
        <v>2265</v>
      </c>
      <c r="M1397" s="13"/>
    </row>
    <row r="1398" customFormat="false" ht="15" hidden="false" customHeight="false" outlineLevel="0" collapsed="false">
      <c r="A1398" s="13" t="s">
        <v>628</v>
      </c>
      <c r="B1398" s="13" t="s">
        <v>627</v>
      </c>
      <c r="C1398" s="13" t="s">
        <v>2266</v>
      </c>
      <c r="D1398" s="13" t="s">
        <v>2270</v>
      </c>
      <c r="E1398" s="13" t="s">
        <v>2361</v>
      </c>
      <c r="F1398" s="13" t="s">
        <v>2363</v>
      </c>
      <c r="G1398" s="61" t="n">
        <v>-962419493</v>
      </c>
      <c r="H1398" s="13" t="s">
        <v>2255</v>
      </c>
      <c r="I1398" s="13" t="s">
        <v>2359</v>
      </c>
      <c r="J1398" s="13" t="n">
        <v>56</v>
      </c>
      <c r="K1398" s="13" t="s">
        <v>2278</v>
      </c>
      <c r="L1398" s="13" t="s">
        <v>2265</v>
      </c>
      <c r="M1398" s="13"/>
    </row>
    <row r="1399" customFormat="false" ht="15" hidden="false" customHeight="false" outlineLevel="0" collapsed="false">
      <c r="A1399" s="13" t="s">
        <v>628</v>
      </c>
      <c r="B1399" s="13" t="s">
        <v>627</v>
      </c>
      <c r="C1399" s="13" t="s">
        <v>2267</v>
      </c>
      <c r="D1399" s="13" t="s">
        <v>2270</v>
      </c>
      <c r="E1399" s="13" t="s">
        <v>2361</v>
      </c>
      <c r="F1399" s="13" t="s">
        <v>2363</v>
      </c>
      <c r="G1399" s="61" t="n">
        <v>-1281171305</v>
      </c>
      <c r="H1399" s="13" t="s">
        <v>2255</v>
      </c>
      <c r="I1399" s="13" t="s">
        <v>2359</v>
      </c>
      <c r="J1399" s="13" t="n">
        <v>56</v>
      </c>
      <c r="K1399" s="13" t="s">
        <v>2278</v>
      </c>
      <c r="L1399" s="13" t="s">
        <v>2265</v>
      </c>
      <c r="M1399" s="13"/>
    </row>
    <row r="1400" customFormat="false" ht="15" hidden="false" customHeight="false" outlineLevel="0" collapsed="false">
      <c r="A1400" s="13" t="s">
        <v>628</v>
      </c>
      <c r="B1400" s="13" t="s">
        <v>627</v>
      </c>
      <c r="C1400" s="13" t="s">
        <v>2266</v>
      </c>
      <c r="D1400" s="13" t="s">
        <v>2270</v>
      </c>
      <c r="E1400" s="13" t="s">
        <v>2361</v>
      </c>
      <c r="F1400" s="13" t="s">
        <v>2364</v>
      </c>
      <c r="G1400" s="61" t="n">
        <v>52943411</v>
      </c>
      <c r="H1400" s="13" t="s">
        <v>2255</v>
      </c>
      <c r="I1400" s="13" t="s">
        <v>2359</v>
      </c>
      <c r="J1400" s="13" t="n">
        <v>56</v>
      </c>
      <c r="K1400" s="13" t="s">
        <v>2278</v>
      </c>
      <c r="L1400" s="13" t="s">
        <v>2265</v>
      </c>
      <c r="M1400" s="13"/>
    </row>
    <row r="1401" customFormat="false" ht="15" hidden="false" customHeight="false" outlineLevel="0" collapsed="false">
      <c r="A1401" s="13" t="s">
        <v>628</v>
      </c>
      <c r="B1401" s="13" t="s">
        <v>627</v>
      </c>
      <c r="C1401" s="13" t="s">
        <v>2267</v>
      </c>
      <c r="D1401" s="13" t="s">
        <v>2270</v>
      </c>
      <c r="E1401" s="13" t="s">
        <v>2361</v>
      </c>
      <c r="F1401" s="13" t="s">
        <v>2364</v>
      </c>
      <c r="G1401" s="61" t="n">
        <v>212148253</v>
      </c>
      <c r="H1401" s="13" t="s">
        <v>2255</v>
      </c>
      <c r="I1401" s="13" t="s">
        <v>2359</v>
      </c>
      <c r="J1401" s="13" t="n">
        <v>56</v>
      </c>
      <c r="K1401" s="13" t="s">
        <v>2278</v>
      </c>
      <c r="L1401" s="13" t="s">
        <v>2265</v>
      </c>
      <c r="M1401" s="13"/>
    </row>
    <row r="1402" customFormat="false" ht="15" hidden="false" customHeight="false" outlineLevel="0" collapsed="false">
      <c r="A1402" s="13" t="s">
        <v>628</v>
      </c>
      <c r="B1402" s="13" t="s">
        <v>627</v>
      </c>
      <c r="C1402" s="13" t="s">
        <v>2267</v>
      </c>
      <c r="D1402" s="13" t="s">
        <v>2270</v>
      </c>
      <c r="E1402" s="13" t="s">
        <v>2365</v>
      </c>
      <c r="F1402" s="13" t="s">
        <v>2366</v>
      </c>
      <c r="G1402" s="61" t="n">
        <v>995236967640</v>
      </c>
      <c r="H1402" s="13" t="s">
        <v>2255</v>
      </c>
      <c r="I1402" s="13" t="s">
        <v>2359</v>
      </c>
      <c r="J1402" s="13" t="n">
        <v>55</v>
      </c>
      <c r="K1402" s="13" t="s">
        <v>2278</v>
      </c>
      <c r="L1402" s="13" t="s">
        <v>2265</v>
      </c>
      <c r="M1402" s="13"/>
    </row>
    <row r="1403" customFormat="false" ht="15" hidden="false" customHeight="false" outlineLevel="0" collapsed="false">
      <c r="A1403" s="13" t="s">
        <v>628</v>
      </c>
      <c r="B1403" s="13" t="s">
        <v>627</v>
      </c>
      <c r="C1403" s="13" t="s">
        <v>2267</v>
      </c>
      <c r="D1403" s="13" t="s">
        <v>2270</v>
      </c>
      <c r="E1403" s="13" t="s">
        <v>2365</v>
      </c>
      <c r="F1403" s="13" t="s">
        <v>2367</v>
      </c>
      <c r="G1403" s="61" t="n">
        <v>1230091000000</v>
      </c>
      <c r="H1403" s="13" t="s">
        <v>2255</v>
      </c>
      <c r="I1403" s="13" t="s">
        <v>2359</v>
      </c>
      <c r="J1403" s="13" t="n">
        <v>55</v>
      </c>
      <c r="K1403" s="13" t="s">
        <v>2278</v>
      </c>
      <c r="L1403" s="13" t="s">
        <v>2265</v>
      </c>
      <c r="M1403" s="13"/>
    </row>
    <row r="1404" customFormat="false" ht="15" hidden="false" customHeight="false" outlineLevel="0" collapsed="false">
      <c r="A1404" s="13" t="s">
        <v>628</v>
      </c>
      <c r="B1404" s="13" t="s">
        <v>627</v>
      </c>
      <c r="C1404" s="13" t="s">
        <v>2267</v>
      </c>
      <c r="D1404" s="13" t="s">
        <v>2270</v>
      </c>
      <c r="E1404" s="13" t="s">
        <v>2365</v>
      </c>
      <c r="F1404" s="13" t="s">
        <v>2368</v>
      </c>
      <c r="G1404" s="61" t="n">
        <v>232952297667</v>
      </c>
      <c r="H1404" s="13" t="s">
        <v>2255</v>
      </c>
      <c r="I1404" s="13" t="s">
        <v>2359</v>
      </c>
      <c r="J1404" s="13" t="n">
        <v>55</v>
      </c>
      <c r="K1404" s="13" t="s">
        <v>2278</v>
      </c>
      <c r="L1404" s="13" t="s">
        <v>2265</v>
      </c>
      <c r="M1404" s="13"/>
    </row>
    <row r="1405" customFormat="false" ht="15" hidden="false" customHeight="false" outlineLevel="0" collapsed="false">
      <c r="A1405" s="13" t="s">
        <v>628</v>
      </c>
      <c r="B1405" s="13" t="s">
        <v>627</v>
      </c>
      <c r="C1405" s="13" t="s">
        <v>2267</v>
      </c>
      <c r="D1405" s="13" t="s">
        <v>2270</v>
      </c>
      <c r="E1405" s="13" t="s">
        <v>2365</v>
      </c>
      <c r="F1405" s="13" t="s">
        <v>2369</v>
      </c>
      <c r="G1405" s="61" t="n">
        <v>421366418223</v>
      </c>
      <c r="H1405" s="13" t="s">
        <v>2255</v>
      </c>
      <c r="I1405" s="13" t="s">
        <v>2359</v>
      </c>
      <c r="J1405" s="13" t="n">
        <v>55</v>
      </c>
      <c r="K1405" s="13" t="s">
        <v>2278</v>
      </c>
      <c r="L1405" s="13" t="s">
        <v>2265</v>
      </c>
      <c r="M1405" s="13"/>
    </row>
    <row r="1406" customFormat="false" ht="15" hidden="false" customHeight="false" outlineLevel="0" collapsed="false">
      <c r="A1406" s="13" t="s">
        <v>628</v>
      </c>
      <c r="B1406" s="13" t="s">
        <v>627</v>
      </c>
      <c r="C1406" s="13" t="s">
        <v>2267</v>
      </c>
      <c r="D1406" s="13" t="s">
        <v>2270</v>
      </c>
      <c r="E1406" s="13" t="s">
        <v>2365</v>
      </c>
      <c r="F1406" s="13" t="s">
        <v>2370</v>
      </c>
      <c r="G1406" s="61" t="n">
        <v>421401433218</v>
      </c>
      <c r="H1406" s="13" t="s">
        <v>2255</v>
      </c>
      <c r="I1406" s="13" t="s">
        <v>2359</v>
      </c>
      <c r="J1406" s="13" t="n">
        <v>55</v>
      </c>
      <c r="K1406" s="13" t="s">
        <v>2278</v>
      </c>
      <c r="L1406" s="13" t="s">
        <v>2265</v>
      </c>
      <c r="M1406" s="13"/>
    </row>
    <row r="1407" customFormat="false" ht="15" hidden="false" customHeight="false" outlineLevel="0" collapsed="false">
      <c r="A1407" s="13" t="s">
        <v>628</v>
      </c>
      <c r="B1407" s="13" t="s">
        <v>627</v>
      </c>
      <c r="C1407" s="13" t="s">
        <v>2267</v>
      </c>
      <c r="D1407" s="13" t="s">
        <v>2270</v>
      </c>
      <c r="E1407" s="13" t="s">
        <v>2365</v>
      </c>
      <c r="F1407" s="13" t="s">
        <v>2371</v>
      </c>
      <c r="G1407" s="61" t="n">
        <v>35014996</v>
      </c>
      <c r="H1407" s="13" t="s">
        <v>2255</v>
      </c>
      <c r="I1407" s="13" t="s">
        <v>2359</v>
      </c>
      <c r="J1407" s="13" t="n">
        <v>55</v>
      </c>
      <c r="K1407" s="13" t="s">
        <v>2278</v>
      </c>
      <c r="L1407" s="13" t="s">
        <v>2265</v>
      </c>
      <c r="M1407" s="13"/>
    </row>
    <row r="1408" customFormat="false" ht="15" hidden="false" customHeight="false" outlineLevel="0" collapsed="false">
      <c r="A1408" s="13" t="s">
        <v>628</v>
      </c>
      <c r="B1408" s="13" t="s">
        <v>627</v>
      </c>
      <c r="C1408" s="13" t="s">
        <v>2267</v>
      </c>
      <c r="D1408" s="13" t="s">
        <v>2270</v>
      </c>
      <c r="E1408" s="13" t="s">
        <v>2365</v>
      </c>
      <c r="F1408" s="13" t="s">
        <v>2372</v>
      </c>
      <c r="G1408" s="61" t="n">
        <v>232987312663</v>
      </c>
      <c r="H1408" s="13" t="s">
        <v>2255</v>
      </c>
      <c r="I1408" s="13" t="s">
        <v>2359</v>
      </c>
      <c r="J1408" s="13" t="n">
        <v>55</v>
      </c>
      <c r="K1408" s="13" t="s">
        <v>2278</v>
      </c>
      <c r="L1408" s="13" t="s">
        <v>2265</v>
      </c>
      <c r="M1408" s="13"/>
    </row>
    <row r="1409" customFormat="false" ht="15" hidden="false" customHeight="false" outlineLevel="0" collapsed="false">
      <c r="A1409" s="13" t="s">
        <v>628</v>
      </c>
      <c r="B1409" s="13" t="s">
        <v>627</v>
      </c>
      <c r="C1409" s="13" t="s">
        <v>2254</v>
      </c>
      <c r="D1409" s="13" t="s">
        <v>2270</v>
      </c>
      <c r="E1409" s="13" t="s">
        <v>2373</v>
      </c>
      <c r="F1409" s="13" t="s">
        <v>2374</v>
      </c>
      <c r="G1409" s="61" t="n">
        <v>13131353419</v>
      </c>
      <c r="H1409" s="13" t="s">
        <v>2255</v>
      </c>
      <c r="I1409" s="13" t="s">
        <v>2375</v>
      </c>
      <c r="J1409" s="13" t="n">
        <v>46</v>
      </c>
      <c r="K1409" s="13" t="s">
        <v>2274</v>
      </c>
      <c r="L1409" s="13" t="s">
        <v>2257</v>
      </c>
      <c r="M1409" s="13"/>
    </row>
    <row r="1410" customFormat="false" ht="15" hidden="false" customHeight="false" outlineLevel="0" collapsed="false">
      <c r="A1410" s="13" t="s">
        <v>628</v>
      </c>
      <c r="B1410" s="13" t="s">
        <v>627</v>
      </c>
      <c r="C1410" s="13" t="s">
        <v>2258</v>
      </c>
      <c r="D1410" s="13" t="s">
        <v>2270</v>
      </c>
      <c r="E1410" s="13" t="s">
        <v>2373</v>
      </c>
      <c r="F1410" s="13" t="s">
        <v>2374</v>
      </c>
      <c r="G1410" s="61" t="n">
        <v>22644455428</v>
      </c>
      <c r="H1410" s="13" t="s">
        <v>2255</v>
      </c>
      <c r="I1410" s="13" t="s">
        <v>2375</v>
      </c>
      <c r="J1410" s="13" t="n">
        <v>60</v>
      </c>
      <c r="K1410" s="13" t="s">
        <v>2275</v>
      </c>
      <c r="L1410" s="13" t="s">
        <v>2260</v>
      </c>
      <c r="M1410" s="13"/>
    </row>
    <row r="1411" customFormat="false" ht="15" hidden="false" customHeight="false" outlineLevel="0" collapsed="false">
      <c r="A1411" s="13" t="s">
        <v>628</v>
      </c>
      <c r="B1411" s="13" t="s">
        <v>627</v>
      </c>
      <c r="C1411" s="13" t="s">
        <v>2261</v>
      </c>
      <c r="D1411" s="13" t="s">
        <v>2270</v>
      </c>
      <c r="E1411" s="13" t="s">
        <v>2373</v>
      </c>
      <c r="F1411" s="13" t="s">
        <v>2374</v>
      </c>
      <c r="G1411" s="61" t="n">
        <v>21237249027</v>
      </c>
      <c r="H1411" s="13" t="s">
        <v>2255</v>
      </c>
      <c r="I1411" s="13" t="s">
        <v>2375</v>
      </c>
      <c r="J1411" s="13" t="n">
        <v>55</v>
      </c>
      <c r="K1411" s="13" t="s">
        <v>2276</v>
      </c>
      <c r="L1411" s="13" t="s">
        <v>2263</v>
      </c>
      <c r="M1411" s="13"/>
    </row>
    <row r="1412" customFormat="false" ht="15" hidden="false" customHeight="false" outlineLevel="0" collapsed="false">
      <c r="A1412" s="13" t="s">
        <v>628</v>
      </c>
      <c r="B1412" s="13" t="s">
        <v>627</v>
      </c>
      <c r="C1412" s="13" t="s">
        <v>2264</v>
      </c>
      <c r="D1412" s="13" t="s">
        <v>2270</v>
      </c>
      <c r="E1412" s="13" t="s">
        <v>2373</v>
      </c>
      <c r="F1412" s="13" t="s">
        <v>2374</v>
      </c>
      <c r="G1412" s="61" t="n">
        <v>15341991373</v>
      </c>
      <c r="H1412" s="13" t="s">
        <v>2255</v>
      </c>
      <c r="I1412" s="13" t="s">
        <v>2375</v>
      </c>
      <c r="J1412" s="13" t="n">
        <v>55</v>
      </c>
      <c r="K1412" s="13" t="s">
        <v>2277</v>
      </c>
      <c r="L1412" s="13" t="s">
        <v>2265</v>
      </c>
      <c r="M1412" s="13"/>
    </row>
    <row r="1413" customFormat="false" ht="15" hidden="false" customHeight="false" outlineLevel="0" collapsed="false">
      <c r="A1413" s="13" t="s">
        <v>628</v>
      </c>
      <c r="B1413" s="13" t="s">
        <v>627</v>
      </c>
      <c r="C1413" s="13" t="s">
        <v>2266</v>
      </c>
      <c r="D1413" s="13" t="s">
        <v>2270</v>
      </c>
      <c r="E1413" s="13" t="s">
        <v>2373</v>
      </c>
      <c r="F1413" s="13" t="s">
        <v>2374</v>
      </c>
      <c r="G1413" s="61" t="n">
        <v>19500574022</v>
      </c>
      <c r="H1413" s="13" t="s">
        <v>2255</v>
      </c>
      <c r="I1413" s="13" t="s">
        <v>2375</v>
      </c>
      <c r="J1413" s="13" t="n">
        <v>58</v>
      </c>
      <c r="K1413" s="13" t="s">
        <v>2278</v>
      </c>
      <c r="L1413" s="13" t="s">
        <v>2265</v>
      </c>
      <c r="M1413" s="13"/>
    </row>
    <row r="1414" customFormat="false" ht="15" hidden="false" customHeight="false" outlineLevel="0" collapsed="false">
      <c r="A1414" s="13" t="s">
        <v>628</v>
      </c>
      <c r="B1414" s="13" t="s">
        <v>627</v>
      </c>
      <c r="C1414" s="13" t="s">
        <v>2267</v>
      </c>
      <c r="D1414" s="13" t="s">
        <v>2270</v>
      </c>
      <c r="E1414" s="13" t="s">
        <v>2373</v>
      </c>
      <c r="F1414" s="13" t="s">
        <v>2374</v>
      </c>
      <c r="G1414" s="61" t="n">
        <v>21812380174</v>
      </c>
      <c r="H1414" s="13" t="s">
        <v>2255</v>
      </c>
      <c r="I1414" s="13" t="s">
        <v>2375</v>
      </c>
      <c r="J1414" s="13" t="n">
        <v>58</v>
      </c>
      <c r="K1414" s="13" t="s">
        <v>2278</v>
      </c>
      <c r="L1414" s="13" t="s">
        <v>2265</v>
      </c>
      <c r="M1414" s="13"/>
    </row>
    <row r="1415" customFormat="false" ht="15" hidden="false" customHeight="false" outlineLevel="0" collapsed="false">
      <c r="A1415" s="13" t="s">
        <v>628</v>
      </c>
      <c r="B1415" s="13" t="s">
        <v>627</v>
      </c>
      <c r="C1415" s="13" t="s">
        <v>2254</v>
      </c>
      <c r="D1415" s="13" t="s">
        <v>2270</v>
      </c>
      <c r="E1415" s="13" t="s">
        <v>2373</v>
      </c>
      <c r="F1415" s="13" t="s">
        <v>2376</v>
      </c>
      <c r="G1415" s="61" t="n">
        <v>8234179743</v>
      </c>
      <c r="H1415" s="13" t="s">
        <v>2255</v>
      </c>
      <c r="I1415" s="13" t="s">
        <v>2375</v>
      </c>
      <c r="J1415" s="13" t="n">
        <v>46</v>
      </c>
      <c r="K1415" s="13" t="s">
        <v>2274</v>
      </c>
      <c r="L1415" s="13" t="s">
        <v>2257</v>
      </c>
      <c r="M1415" s="13"/>
    </row>
    <row r="1416" customFormat="false" ht="15" hidden="false" customHeight="false" outlineLevel="0" collapsed="false">
      <c r="A1416" s="13" t="s">
        <v>628</v>
      </c>
      <c r="B1416" s="13" t="s">
        <v>627</v>
      </c>
      <c r="C1416" s="13" t="s">
        <v>2258</v>
      </c>
      <c r="D1416" s="13" t="s">
        <v>2270</v>
      </c>
      <c r="E1416" s="13" t="s">
        <v>2373</v>
      </c>
      <c r="F1416" s="13" t="s">
        <v>2376</v>
      </c>
      <c r="G1416" s="61" t="n">
        <v>35938489892</v>
      </c>
      <c r="H1416" s="13" t="s">
        <v>2255</v>
      </c>
      <c r="I1416" s="13" t="s">
        <v>2375</v>
      </c>
      <c r="J1416" s="13" t="n">
        <v>60</v>
      </c>
      <c r="K1416" s="13" t="s">
        <v>2275</v>
      </c>
      <c r="L1416" s="13" t="s">
        <v>2260</v>
      </c>
      <c r="M1416" s="13"/>
    </row>
    <row r="1417" customFormat="false" ht="15" hidden="false" customHeight="false" outlineLevel="0" collapsed="false">
      <c r="A1417" s="13" t="s">
        <v>628</v>
      </c>
      <c r="B1417" s="13" t="s">
        <v>627</v>
      </c>
      <c r="C1417" s="13" t="s">
        <v>2261</v>
      </c>
      <c r="D1417" s="13" t="s">
        <v>2270</v>
      </c>
      <c r="E1417" s="13" t="s">
        <v>2373</v>
      </c>
      <c r="F1417" s="13" t="s">
        <v>2376</v>
      </c>
      <c r="G1417" s="61" t="n">
        <v>55026783857</v>
      </c>
      <c r="H1417" s="13" t="s">
        <v>2255</v>
      </c>
      <c r="I1417" s="13" t="s">
        <v>2375</v>
      </c>
      <c r="J1417" s="13" t="n">
        <v>55</v>
      </c>
      <c r="K1417" s="13" t="s">
        <v>2276</v>
      </c>
      <c r="L1417" s="13" t="s">
        <v>2263</v>
      </c>
      <c r="M1417" s="13"/>
    </row>
    <row r="1418" customFormat="false" ht="15" hidden="false" customHeight="false" outlineLevel="0" collapsed="false">
      <c r="A1418" s="13" t="s">
        <v>628</v>
      </c>
      <c r="B1418" s="13" t="s">
        <v>627</v>
      </c>
      <c r="C1418" s="13" t="s">
        <v>2264</v>
      </c>
      <c r="D1418" s="13" t="s">
        <v>2270</v>
      </c>
      <c r="E1418" s="13" t="s">
        <v>2373</v>
      </c>
      <c r="F1418" s="13" t="s">
        <v>2376</v>
      </c>
      <c r="G1418" s="61" t="n">
        <v>77433266746</v>
      </c>
      <c r="H1418" s="13" t="s">
        <v>2255</v>
      </c>
      <c r="I1418" s="13" t="s">
        <v>2375</v>
      </c>
      <c r="J1418" s="13" t="n">
        <v>55</v>
      </c>
      <c r="K1418" s="13" t="s">
        <v>2277</v>
      </c>
      <c r="L1418" s="13" t="s">
        <v>2265</v>
      </c>
      <c r="M1418" s="13"/>
    </row>
    <row r="1419" customFormat="false" ht="15" hidden="false" customHeight="false" outlineLevel="0" collapsed="false">
      <c r="A1419" s="13" t="s">
        <v>628</v>
      </c>
      <c r="B1419" s="13" t="s">
        <v>627</v>
      </c>
      <c r="C1419" s="13" t="s">
        <v>2266</v>
      </c>
      <c r="D1419" s="13" t="s">
        <v>2270</v>
      </c>
      <c r="E1419" s="13" t="s">
        <v>2373</v>
      </c>
      <c r="F1419" s="13" t="s">
        <v>2376</v>
      </c>
      <c r="G1419" s="61" t="n">
        <v>53531597866</v>
      </c>
      <c r="H1419" s="13" t="s">
        <v>2255</v>
      </c>
      <c r="I1419" s="13" t="s">
        <v>2375</v>
      </c>
      <c r="J1419" s="13" t="n">
        <v>58</v>
      </c>
      <c r="K1419" s="13" t="s">
        <v>2278</v>
      </c>
      <c r="L1419" s="13" t="s">
        <v>2265</v>
      </c>
      <c r="M1419" s="13"/>
    </row>
    <row r="1420" customFormat="false" ht="15" hidden="false" customHeight="false" outlineLevel="0" collapsed="false">
      <c r="A1420" s="13" t="s">
        <v>628</v>
      </c>
      <c r="B1420" s="13" t="s">
        <v>627</v>
      </c>
      <c r="C1420" s="13" t="s">
        <v>2267</v>
      </c>
      <c r="D1420" s="13" t="s">
        <v>2270</v>
      </c>
      <c r="E1420" s="13" t="s">
        <v>2373</v>
      </c>
      <c r="F1420" s="13" t="s">
        <v>2376</v>
      </c>
      <c r="G1420" s="61" t="n">
        <v>118334918295</v>
      </c>
      <c r="H1420" s="13" t="s">
        <v>2255</v>
      </c>
      <c r="I1420" s="13" t="s">
        <v>2375</v>
      </c>
      <c r="J1420" s="13" t="n">
        <v>58</v>
      </c>
      <c r="K1420" s="13" t="s">
        <v>2278</v>
      </c>
      <c r="L1420" s="13" t="s">
        <v>2265</v>
      </c>
      <c r="M1420" s="13"/>
    </row>
    <row r="1421" customFormat="false" ht="15" hidden="false" customHeight="false" outlineLevel="0" collapsed="false">
      <c r="A1421" s="13" t="s">
        <v>628</v>
      </c>
      <c r="B1421" s="13" t="s">
        <v>627</v>
      </c>
      <c r="C1421" s="13" t="s">
        <v>2254</v>
      </c>
      <c r="D1421" s="13" t="s">
        <v>2270</v>
      </c>
      <c r="E1421" s="13" t="s">
        <v>2373</v>
      </c>
      <c r="F1421" s="13" t="s">
        <v>2290</v>
      </c>
      <c r="G1421" s="61" t="n">
        <v>21365533162</v>
      </c>
      <c r="H1421" s="13" t="s">
        <v>2255</v>
      </c>
      <c r="I1421" s="13" t="s">
        <v>2375</v>
      </c>
      <c r="J1421" s="13" t="n">
        <v>46</v>
      </c>
      <c r="K1421" s="13" t="s">
        <v>2274</v>
      </c>
      <c r="L1421" s="13" t="s">
        <v>2257</v>
      </c>
      <c r="M1421" s="13"/>
    </row>
    <row r="1422" customFormat="false" ht="15" hidden="false" customHeight="false" outlineLevel="0" collapsed="false">
      <c r="A1422" s="13" t="s">
        <v>628</v>
      </c>
      <c r="B1422" s="13" t="s">
        <v>627</v>
      </c>
      <c r="C1422" s="13" t="s">
        <v>2258</v>
      </c>
      <c r="D1422" s="13" t="s">
        <v>2270</v>
      </c>
      <c r="E1422" s="13" t="s">
        <v>2373</v>
      </c>
      <c r="F1422" s="13" t="s">
        <v>2290</v>
      </c>
      <c r="G1422" s="61" t="n">
        <v>58582945320</v>
      </c>
      <c r="H1422" s="13" t="s">
        <v>2255</v>
      </c>
      <c r="I1422" s="13" t="s">
        <v>2375</v>
      </c>
      <c r="J1422" s="13" t="n">
        <v>60</v>
      </c>
      <c r="K1422" s="13" t="s">
        <v>2275</v>
      </c>
      <c r="L1422" s="13" t="s">
        <v>2260</v>
      </c>
      <c r="M1422" s="13"/>
    </row>
    <row r="1423" customFormat="false" ht="15" hidden="false" customHeight="false" outlineLevel="0" collapsed="false">
      <c r="A1423" s="13" t="s">
        <v>628</v>
      </c>
      <c r="B1423" s="13" t="s">
        <v>627</v>
      </c>
      <c r="C1423" s="13" t="s">
        <v>2261</v>
      </c>
      <c r="D1423" s="13" t="s">
        <v>2270</v>
      </c>
      <c r="E1423" s="13" t="s">
        <v>2373</v>
      </c>
      <c r="F1423" s="13" t="s">
        <v>2290</v>
      </c>
      <c r="G1423" s="61" t="n">
        <v>76264032884</v>
      </c>
      <c r="H1423" s="13" t="s">
        <v>2255</v>
      </c>
      <c r="I1423" s="13" t="s">
        <v>2375</v>
      </c>
      <c r="J1423" s="13" t="n">
        <v>55</v>
      </c>
      <c r="K1423" s="13" t="s">
        <v>2276</v>
      </c>
      <c r="L1423" s="13" t="s">
        <v>2263</v>
      </c>
      <c r="M1423" s="13"/>
    </row>
    <row r="1424" customFormat="false" ht="15" hidden="false" customHeight="false" outlineLevel="0" collapsed="false">
      <c r="A1424" s="13" t="s">
        <v>628</v>
      </c>
      <c r="B1424" s="13" t="s">
        <v>627</v>
      </c>
      <c r="C1424" s="13" t="s">
        <v>2264</v>
      </c>
      <c r="D1424" s="13" t="s">
        <v>2270</v>
      </c>
      <c r="E1424" s="13" t="s">
        <v>2373</v>
      </c>
      <c r="F1424" s="13" t="s">
        <v>2290</v>
      </c>
      <c r="G1424" s="61" t="n">
        <v>92775258119</v>
      </c>
      <c r="H1424" s="13" t="s">
        <v>2255</v>
      </c>
      <c r="I1424" s="13" t="s">
        <v>2375</v>
      </c>
      <c r="J1424" s="13" t="n">
        <v>55</v>
      </c>
      <c r="K1424" s="13" t="s">
        <v>2277</v>
      </c>
      <c r="L1424" s="13" t="s">
        <v>2265</v>
      </c>
      <c r="M1424" s="13"/>
    </row>
    <row r="1425" customFormat="false" ht="15" hidden="false" customHeight="false" outlineLevel="0" collapsed="false">
      <c r="A1425" s="13" t="s">
        <v>628</v>
      </c>
      <c r="B1425" s="13" t="s">
        <v>627</v>
      </c>
      <c r="C1425" s="13" t="s">
        <v>2266</v>
      </c>
      <c r="D1425" s="13" t="s">
        <v>2270</v>
      </c>
      <c r="E1425" s="13" t="s">
        <v>2373</v>
      </c>
      <c r="F1425" s="13" t="s">
        <v>2290</v>
      </c>
      <c r="G1425" s="61" t="n">
        <v>73032171888</v>
      </c>
      <c r="H1425" s="13" t="s">
        <v>2255</v>
      </c>
      <c r="I1425" s="13" t="s">
        <v>2375</v>
      </c>
      <c r="J1425" s="13" t="n">
        <v>58</v>
      </c>
      <c r="K1425" s="13" t="s">
        <v>2278</v>
      </c>
      <c r="L1425" s="13" t="s">
        <v>2265</v>
      </c>
      <c r="M1425" s="13"/>
    </row>
    <row r="1426" customFormat="false" ht="15" hidden="false" customHeight="false" outlineLevel="0" collapsed="false">
      <c r="A1426" s="13" t="s">
        <v>628</v>
      </c>
      <c r="B1426" s="13" t="s">
        <v>627</v>
      </c>
      <c r="C1426" s="13" t="s">
        <v>2267</v>
      </c>
      <c r="D1426" s="13" t="s">
        <v>2270</v>
      </c>
      <c r="E1426" s="13" t="s">
        <v>2373</v>
      </c>
      <c r="F1426" s="13" t="s">
        <v>2290</v>
      </c>
      <c r="G1426" s="61" t="n">
        <v>140147298469</v>
      </c>
      <c r="H1426" s="13" t="s">
        <v>2255</v>
      </c>
      <c r="I1426" s="13" t="s">
        <v>2375</v>
      </c>
      <c r="J1426" s="13" t="n">
        <v>58</v>
      </c>
      <c r="K1426" s="13" t="s">
        <v>2278</v>
      </c>
      <c r="L1426" s="13" t="s">
        <v>2265</v>
      </c>
      <c r="M1426" s="13"/>
    </row>
    <row r="1427" customFormat="false" ht="15" hidden="false" customHeight="false" outlineLevel="0" collapsed="false">
      <c r="A1427" s="13" t="s">
        <v>628</v>
      </c>
      <c r="B1427" s="13" t="s">
        <v>627</v>
      </c>
      <c r="C1427" s="13" t="s">
        <v>2254</v>
      </c>
      <c r="D1427" s="13" t="s">
        <v>2270</v>
      </c>
      <c r="E1427" s="13" t="s">
        <v>2377</v>
      </c>
      <c r="F1427" s="13" t="s">
        <v>2378</v>
      </c>
      <c r="G1427" s="61" t="n">
        <v>9711892583</v>
      </c>
      <c r="H1427" s="13" t="s">
        <v>2255</v>
      </c>
      <c r="I1427" s="13" t="s">
        <v>2375</v>
      </c>
      <c r="J1427" s="13" t="n">
        <v>46</v>
      </c>
      <c r="K1427" s="13" t="s">
        <v>2274</v>
      </c>
      <c r="L1427" s="13" t="s">
        <v>2257</v>
      </c>
      <c r="M1427" s="13"/>
    </row>
    <row r="1428" customFormat="false" ht="15" hidden="false" customHeight="false" outlineLevel="0" collapsed="false">
      <c r="A1428" s="13" t="s">
        <v>628</v>
      </c>
      <c r="B1428" s="13" t="s">
        <v>627</v>
      </c>
      <c r="C1428" s="13" t="s">
        <v>2258</v>
      </c>
      <c r="D1428" s="13" t="s">
        <v>2270</v>
      </c>
      <c r="E1428" s="13" t="s">
        <v>2377</v>
      </c>
      <c r="F1428" s="13" t="s">
        <v>2378</v>
      </c>
      <c r="G1428" s="61" t="n">
        <v>9214811101</v>
      </c>
      <c r="H1428" s="13" t="s">
        <v>2255</v>
      </c>
      <c r="I1428" s="13" t="s">
        <v>2375</v>
      </c>
      <c r="J1428" s="13" t="n">
        <v>60</v>
      </c>
      <c r="K1428" s="13" t="s">
        <v>2275</v>
      </c>
      <c r="L1428" s="13" t="s">
        <v>2260</v>
      </c>
      <c r="M1428" s="13"/>
    </row>
    <row r="1429" customFormat="false" ht="15" hidden="false" customHeight="false" outlineLevel="0" collapsed="false">
      <c r="A1429" s="13" t="s">
        <v>628</v>
      </c>
      <c r="B1429" s="13" t="s">
        <v>627</v>
      </c>
      <c r="C1429" s="13" t="s">
        <v>2261</v>
      </c>
      <c r="D1429" s="13" t="s">
        <v>2270</v>
      </c>
      <c r="E1429" s="13" t="s">
        <v>2377</v>
      </c>
      <c r="F1429" s="13" t="s">
        <v>2378</v>
      </c>
      <c r="G1429" s="61" t="n">
        <v>12285666027</v>
      </c>
      <c r="H1429" s="13" t="s">
        <v>2255</v>
      </c>
      <c r="I1429" s="13" t="s">
        <v>2375</v>
      </c>
      <c r="J1429" s="13" t="n">
        <v>55</v>
      </c>
      <c r="K1429" s="13" t="s">
        <v>2276</v>
      </c>
      <c r="L1429" s="13" t="s">
        <v>2263</v>
      </c>
      <c r="M1429" s="13"/>
    </row>
    <row r="1430" customFormat="false" ht="15" hidden="false" customHeight="false" outlineLevel="0" collapsed="false">
      <c r="A1430" s="13" t="s">
        <v>628</v>
      </c>
      <c r="B1430" s="13" t="s">
        <v>627</v>
      </c>
      <c r="C1430" s="13" t="s">
        <v>2264</v>
      </c>
      <c r="D1430" s="13" t="s">
        <v>2270</v>
      </c>
      <c r="E1430" s="13" t="s">
        <v>2377</v>
      </c>
      <c r="F1430" s="13" t="s">
        <v>2378</v>
      </c>
      <c r="G1430" s="61" t="n">
        <v>9702367137</v>
      </c>
      <c r="H1430" s="13" t="s">
        <v>2255</v>
      </c>
      <c r="I1430" s="13" t="s">
        <v>2375</v>
      </c>
      <c r="J1430" s="13" t="n">
        <v>55</v>
      </c>
      <c r="K1430" s="13" t="s">
        <v>2277</v>
      </c>
      <c r="L1430" s="13" t="s">
        <v>2265</v>
      </c>
      <c r="M1430" s="13"/>
    </row>
    <row r="1431" customFormat="false" ht="15" hidden="false" customHeight="false" outlineLevel="0" collapsed="false">
      <c r="A1431" s="13" t="s">
        <v>628</v>
      </c>
      <c r="B1431" s="13" t="s">
        <v>627</v>
      </c>
      <c r="C1431" s="13" t="s">
        <v>2266</v>
      </c>
      <c r="D1431" s="13" t="s">
        <v>2270</v>
      </c>
      <c r="E1431" s="13" t="s">
        <v>2377</v>
      </c>
      <c r="F1431" s="13" t="s">
        <v>2378</v>
      </c>
      <c r="G1431" s="61" t="n">
        <v>20365042260</v>
      </c>
      <c r="H1431" s="13" t="s">
        <v>2255</v>
      </c>
      <c r="I1431" s="13" t="s">
        <v>2375</v>
      </c>
      <c r="J1431" s="13" t="n">
        <v>58</v>
      </c>
      <c r="K1431" s="13" t="s">
        <v>2278</v>
      </c>
      <c r="L1431" s="13" t="s">
        <v>2265</v>
      </c>
      <c r="M1431" s="13"/>
    </row>
    <row r="1432" customFormat="false" ht="15" hidden="false" customHeight="false" outlineLevel="0" collapsed="false">
      <c r="A1432" s="13" t="s">
        <v>628</v>
      </c>
      <c r="B1432" s="13" t="s">
        <v>627</v>
      </c>
      <c r="C1432" s="13" t="s">
        <v>2267</v>
      </c>
      <c r="D1432" s="13" t="s">
        <v>2270</v>
      </c>
      <c r="E1432" s="13" t="s">
        <v>2377</v>
      </c>
      <c r="F1432" s="13" t="s">
        <v>2378</v>
      </c>
      <c r="G1432" s="61" t="n">
        <v>56457929143</v>
      </c>
      <c r="H1432" s="13" t="s">
        <v>2255</v>
      </c>
      <c r="I1432" s="13" t="s">
        <v>2375</v>
      </c>
      <c r="J1432" s="13" t="n">
        <v>58</v>
      </c>
      <c r="K1432" s="13" t="s">
        <v>2278</v>
      </c>
      <c r="L1432" s="13" t="s">
        <v>2265</v>
      </c>
      <c r="M1432" s="13"/>
    </row>
    <row r="1433" customFormat="false" ht="15" hidden="false" customHeight="false" outlineLevel="0" collapsed="false">
      <c r="A1433" s="13" t="s">
        <v>628</v>
      </c>
      <c r="B1433" s="13" t="s">
        <v>627</v>
      </c>
      <c r="C1433" s="13" t="s">
        <v>2254</v>
      </c>
      <c r="D1433" s="13" t="s">
        <v>2270</v>
      </c>
      <c r="E1433" s="13" t="s">
        <v>2377</v>
      </c>
      <c r="F1433" s="13" t="s">
        <v>2379</v>
      </c>
      <c r="G1433" s="61" t="n">
        <v>2466895016</v>
      </c>
      <c r="H1433" s="13" t="s">
        <v>2255</v>
      </c>
      <c r="I1433" s="13" t="s">
        <v>2375</v>
      </c>
      <c r="J1433" s="13" t="n">
        <v>46</v>
      </c>
      <c r="K1433" s="13" t="s">
        <v>2274</v>
      </c>
      <c r="L1433" s="13" t="s">
        <v>2257</v>
      </c>
      <c r="M1433" s="13"/>
    </row>
    <row r="1434" customFormat="false" ht="15" hidden="false" customHeight="false" outlineLevel="0" collapsed="false">
      <c r="A1434" s="13" t="s">
        <v>628</v>
      </c>
      <c r="B1434" s="13" t="s">
        <v>627</v>
      </c>
      <c r="C1434" s="13" t="s">
        <v>2258</v>
      </c>
      <c r="D1434" s="13" t="s">
        <v>2270</v>
      </c>
      <c r="E1434" s="13" t="s">
        <v>2377</v>
      </c>
      <c r="F1434" s="13" t="s">
        <v>2379</v>
      </c>
      <c r="G1434" s="61" t="n">
        <v>4696003357</v>
      </c>
      <c r="H1434" s="13" t="s">
        <v>2255</v>
      </c>
      <c r="I1434" s="13" t="s">
        <v>2375</v>
      </c>
      <c r="J1434" s="13" t="n">
        <v>60</v>
      </c>
      <c r="K1434" s="13" t="s">
        <v>2275</v>
      </c>
      <c r="L1434" s="13" t="s">
        <v>2260</v>
      </c>
      <c r="M1434" s="13"/>
    </row>
    <row r="1435" customFormat="false" ht="15" hidden="false" customHeight="false" outlineLevel="0" collapsed="false">
      <c r="A1435" s="13" t="s">
        <v>628</v>
      </c>
      <c r="B1435" s="13" t="s">
        <v>627</v>
      </c>
      <c r="C1435" s="13" t="s">
        <v>2261</v>
      </c>
      <c r="D1435" s="13" t="s">
        <v>2270</v>
      </c>
      <c r="E1435" s="13" t="s">
        <v>2377</v>
      </c>
      <c r="F1435" s="13" t="s">
        <v>2379</v>
      </c>
      <c r="G1435" s="61" t="n">
        <v>6045251336</v>
      </c>
      <c r="H1435" s="13" t="s">
        <v>2255</v>
      </c>
      <c r="I1435" s="13" t="s">
        <v>2375</v>
      </c>
      <c r="J1435" s="13" t="n">
        <v>55</v>
      </c>
      <c r="K1435" s="13" t="s">
        <v>2276</v>
      </c>
      <c r="L1435" s="13" t="s">
        <v>2263</v>
      </c>
      <c r="M1435" s="13"/>
    </row>
    <row r="1436" customFormat="false" ht="15" hidden="false" customHeight="false" outlineLevel="0" collapsed="false">
      <c r="A1436" s="13" t="s">
        <v>628</v>
      </c>
      <c r="B1436" s="13" t="s">
        <v>627</v>
      </c>
      <c r="C1436" s="13" t="s">
        <v>2264</v>
      </c>
      <c r="D1436" s="13" t="s">
        <v>2270</v>
      </c>
      <c r="E1436" s="13" t="s">
        <v>2377</v>
      </c>
      <c r="F1436" s="13" t="s">
        <v>2379</v>
      </c>
      <c r="G1436" s="61" t="n">
        <v>6084039987</v>
      </c>
      <c r="H1436" s="13" t="s">
        <v>2255</v>
      </c>
      <c r="I1436" s="13" t="s">
        <v>2375</v>
      </c>
      <c r="J1436" s="13" t="n">
        <v>55</v>
      </c>
      <c r="K1436" s="13" t="s">
        <v>2277</v>
      </c>
      <c r="L1436" s="13" t="s">
        <v>2265</v>
      </c>
      <c r="M1436" s="13"/>
    </row>
    <row r="1437" customFormat="false" ht="15" hidden="false" customHeight="false" outlineLevel="0" collapsed="false">
      <c r="A1437" s="13" t="s">
        <v>628</v>
      </c>
      <c r="B1437" s="13" t="s">
        <v>627</v>
      </c>
      <c r="C1437" s="13" t="s">
        <v>2266</v>
      </c>
      <c r="D1437" s="13" t="s">
        <v>2270</v>
      </c>
      <c r="E1437" s="13" t="s">
        <v>2377</v>
      </c>
      <c r="F1437" s="13" t="s">
        <v>2379</v>
      </c>
      <c r="G1437" s="61" t="n">
        <v>3603073980</v>
      </c>
      <c r="H1437" s="13" t="s">
        <v>2255</v>
      </c>
      <c r="I1437" s="13" t="s">
        <v>2375</v>
      </c>
      <c r="J1437" s="13" t="n">
        <v>58</v>
      </c>
      <c r="K1437" s="13" t="s">
        <v>2278</v>
      </c>
      <c r="L1437" s="13" t="s">
        <v>2265</v>
      </c>
      <c r="M1437" s="13"/>
    </row>
    <row r="1438" customFormat="false" ht="15" hidden="false" customHeight="false" outlineLevel="0" collapsed="false">
      <c r="A1438" s="13" t="s">
        <v>628</v>
      </c>
      <c r="B1438" s="13" t="s">
        <v>627</v>
      </c>
      <c r="C1438" s="13" t="s">
        <v>2267</v>
      </c>
      <c r="D1438" s="13" t="s">
        <v>2270</v>
      </c>
      <c r="E1438" s="13" t="s">
        <v>2377</v>
      </c>
      <c r="F1438" s="13" t="s">
        <v>2379</v>
      </c>
      <c r="G1438" s="61" t="n">
        <v>42241143316</v>
      </c>
      <c r="H1438" s="13" t="s">
        <v>2255</v>
      </c>
      <c r="I1438" s="13" t="s">
        <v>2375</v>
      </c>
      <c r="J1438" s="13" t="n">
        <v>58</v>
      </c>
      <c r="K1438" s="13" t="s">
        <v>2278</v>
      </c>
      <c r="L1438" s="13" t="s">
        <v>2265</v>
      </c>
      <c r="M1438" s="13"/>
    </row>
    <row r="1439" customFormat="false" ht="15" hidden="false" customHeight="false" outlineLevel="0" collapsed="false">
      <c r="A1439" s="13" t="s">
        <v>628</v>
      </c>
      <c r="B1439" s="13" t="s">
        <v>627</v>
      </c>
      <c r="C1439" s="13" t="s">
        <v>2254</v>
      </c>
      <c r="D1439" s="13" t="s">
        <v>2270</v>
      </c>
      <c r="E1439" s="13" t="s">
        <v>2377</v>
      </c>
      <c r="F1439" s="13" t="s">
        <v>2290</v>
      </c>
      <c r="G1439" s="61" t="n">
        <v>12178787599</v>
      </c>
      <c r="H1439" s="13" t="s">
        <v>2255</v>
      </c>
      <c r="I1439" s="13" t="s">
        <v>2375</v>
      </c>
      <c r="J1439" s="13" t="n">
        <v>46</v>
      </c>
      <c r="K1439" s="13" t="s">
        <v>2274</v>
      </c>
      <c r="L1439" s="13" t="s">
        <v>2257</v>
      </c>
      <c r="M1439" s="13"/>
    </row>
    <row r="1440" customFormat="false" ht="15" hidden="false" customHeight="false" outlineLevel="0" collapsed="false">
      <c r="A1440" s="13" t="s">
        <v>628</v>
      </c>
      <c r="B1440" s="13" t="s">
        <v>627</v>
      </c>
      <c r="C1440" s="13" t="s">
        <v>2258</v>
      </c>
      <c r="D1440" s="13" t="s">
        <v>2270</v>
      </c>
      <c r="E1440" s="13" t="s">
        <v>2377</v>
      </c>
      <c r="F1440" s="13" t="s">
        <v>2290</v>
      </c>
      <c r="G1440" s="61" t="n">
        <v>13910814458</v>
      </c>
      <c r="H1440" s="13" t="s">
        <v>2255</v>
      </c>
      <c r="I1440" s="13" t="s">
        <v>2375</v>
      </c>
      <c r="J1440" s="13" t="n">
        <v>60</v>
      </c>
      <c r="K1440" s="13" t="s">
        <v>2275</v>
      </c>
      <c r="L1440" s="13" t="s">
        <v>2260</v>
      </c>
      <c r="M1440" s="13"/>
    </row>
    <row r="1441" customFormat="false" ht="15" hidden="false" customHeight="false" outlineLevel="0" collapsed="false">
      <c r="A1441" s="13" t="s">
        <v>628</v>
      </c>
      <c r="B1441" s="13" t="s">
        <v>627</v>
      </c>
      <c r="C1441" s="13" t="s">
        <v>2261</v>
      </c>
      <c r="D1441" s="13" t="s">
        <v>2270</v>
      </c>
      <c r="E1441" s="13" t="s">
        <v>2377</v>
      </c>
      <c r="F1441" s="13" t="s">
        <v>2290</v>
      </c>
      <c r="G1441" s="61" t="n">
        <v>18330917363</v>
      </c>
      <c r="H1441" s="13" t="s">
        <v>2255</v>
      </c>
      <c r="I1441" s="13" t="s">
        <v>2375</v>
      </c>
      <c r="J1441" s="13" t="n">
        <v>55</v>
      </c>
      <c r="K1441" s="13" t="s">
        <v>2276</v>
      </c>
      <c r="L1441" s="13" t="s">
        <v>2263</v>
      </c>
      <c r="M1441" s="13"/>
    </row>
    <row r="1442" customFormat="false" ht="15" hidden="false" customHeight="false" outlineLevel="0" collapsed="false">
      <c r="A1442" s="13" t="s">
        <v>628</v>
      </c>
      <c r="B1442" s="13" t="s">
        <v>627</v>
      </c>
      <c r="C1442" s="13" t="s">
        <v>2264</v>
      </c>
      <c r="D1442" s="13" t="s">
        <v>2270</v>
      </c>
      <c r="E1442" s="13" t="s">
        <v>2377</v>
      </c>
      <c r="F1442" s="13" t="s">
        <v>2290</v>
      </c>
      <c r="G1442" s="61" t="n">
        <v>15786407124</v>
      </c>
      <c r="H1442" s="13" t="s">
        <v>2255</v>
      </c>
      <c r="I1442" s="13" t="s">
        <v>2375</v>
      </c>
      <c r="J1442" s="13" t="n">
        <v>55</v>
      </c>
      <c r="K1442" s="13" t="s">
        <v>2277</v>
      </c>
      <c r="L1442" s="13" t="s">
        <v>2265</v>
      </c>
      <c r="M1442" s="13"/>
    </row>
    <row r="1443" customFormat="false" ht="15" hidden="false" customHeight="false" outlineLevel="0" collapsed="false">
      <c r="A1443" s="13" t="s">
        <v>628</v>
      </c>
      <c r="B1443" s="13" t="s">
        <v>627</v>
      </c>
      <c r="C1443" s="13" t="s">
        <v>2266</v>
      </c>
      <c r="D1443" s="13" t="s">
        <v>2270</v>
      </c>
      <c r="E1443" s="13" t="s">
        <v>2377</v>
      </c>
      <c r="F1443" s="13" t="s">
        <v>2290</v>
      </c>
      <c r="G1443" s="61" t="n">
        <v>23968116240</v>
      </c>
      <c r="H1443" s="13" t="s">
        <v>2255</v>
      </c>
      <c r="I1443" s="13" t="s">
        <v>2375</v>
      </c>
      <c r="J1443" s="13" t="n">
        <v>58</v>
      </c>
      <c r="K1443" s="13" t="s">
        <v>2278</v>
      </c>
      <c r="L1443" s="13" t="s">
        <v>2265</v>
      </c>
      <c r="M1443" s="13"/>
    </row>
    <row r="1444" customFormat="false" ht="15" hidden="false" customHeight="false" outlineLevel="0" collapsed="false">
      <c r="A1444" s="13" t="s">
        <v>628</v>
      </c>
      <c r="B1444" s="13" t="s">
        <v>627</v>
      </c>
      <c r="C1444" s="13" t="s">
        <v>2267</v>
      </c>
      <c r="D1444" s="13" t="s">
        <v>2270</v>
      </c>
      <c r="E1444" s="13" t="s">
        <v>2377</v>
      </c>
      <c r="F1444" s="13" t="s">
        <v>2290</v>
      </c>
      <c r="G1444" s="61" t="n">
        <v>98699072459</v>
      </c>
      <c r="H1444" s="13" t="s">
        <v>2255</v>
      </c>
      <c r="I1444" s="13" t="s">
        <v>2375</v>
      </c>
      <c r="J1444" s="13" t="n">
        <v>58</v>
      </c>
      <c r="K1444" s="13" t="s">
        <v>2278</v>
      </c>
      <c r="L1444" s="13" t="s">
        <v>2265</v>
      </c>
      <c r="M1444" s="13"/>
    </row>
    <row r="1445" customFormat="false" ht="15" hidden="false" customHeight="false" outlineLevel="0" collapsed="false">
      <c r="A1445" s="13" t="s">
        <v>628</v>
      </c>
      <c r="B1445" s="13" t="s">
        <v>627</v>
      </c>
      <c r="C1445" s="13" t="s">
        <v>2254</v>
      </c>
      <c r="D1445" s="13" t="s">
        <v>2270</v>
      </c>
      <c r="E1445" s="13" t="s">
        <v>2380</v>
      </c>
      <c r="F1445" s="13" t="s">
        <v>2381</v>
      </c>
      <c r="G1445" s="61" t="n">
        <v>4300111102</v>
      </c>
      <c r="H1445" s="13" t="s">
        <v>2255</v>
      </c>
      <c r="I1445" s="13" t="s">
        <v>2375</v>
      </c>
      <c r="J1445" s="13" t="n">
        <v>46</v>
      </c>
      <c r="K1445" s="13" t="s">
        <v>2274</v>
      </c>
      <c r="L1445" s="13" t="s">
        <v>2257</v>
      </c>
      <c r="M1445" s="13"/>
    </row>
    <row r="1446" customFormat="false" ht="15" hidden="false" customHeight="false" outlineLevel="0" collapsed="false">
      <c r="A1446" s="13" t="s">
        <v>628</v>
      </c>
      <c r="B1446" s="13" t="s">
        <v>627</v>
      </c>
      <c r="C1446" s="13" t="s">
        <v>2258</v>
      </c>
      <c r="D1446" s="13" t="s">
        <v>2270</v>
      </c>
      <c r="E1446" s="13" t="s">
        <v>2380</v>
      </c>
      <c r="F1446" s="13" t="s">
        <v>2381</v>
      </c>
      <c r="G1446" s="61" t="n">
        <v>7592276905</v>
      </c>
      <c r="H1446" s="13" t="s">
        <v>2255</v>
      </c>
      <c r="I1446" s="13" t="s">
        <v>2375</v>
      </c>
      <c r="J1446" s="13" t="n">
        <v>60</v>
      </c>
      <c r="K1446" s="13" t="s">
        <v>2275</v>
      </c>
      <c r="L1446" s="13" t="s">
        <v>2260</v>
      </c>
      <c r="M1446" s="13"/>
    </row>
    <row r="1447" customFormat="false" ht="15" hidden="false" customHeight="false" outlineLevel="0" collapsed="false">
      <c r="A1447" s="13" t="s">
        <v>628</v>
      </c>
      <c r="B1447" s="13" t="s">
        <v>627</v>
      </c>
      <c r="C1447" s="13" t="s">
        <v>2261</v>
      </c>
      <c r="D1447" s="13" t="s">
        <v>2270</v>
      </c>
      <c r="E1447" s="13" t="s">
        <v>2380</v>
      </c>
      <c r="F1447" s="13" t="s">
        <v>2381</v>
      </c>
      <c r="G1447" s="61" t="n">
        <v>1558779319</v>
      </c>
      <c r="H1447" s="13" t="s">
        <v>2255</v>
      </c>
      <c r="I1447" s="13" t="s">
        <v>2375</v>
      </c>
      <c r="J1447" s="13" t="n">
        <v>55</v>
      </c>
      <c r="K1447" s="13" t="s">
        <v>2276</v>
      </c>
      <c r="L1447" s="13" t="s">
        <v>2263</v>
      </c>
      <c r="M1447" s="13"/>
    </row>
    <row r="1448" customFormat="false" ht="15" hidden="false" customHeight="false" outlineLevel="0" collapsed="false">
      <c r="A1448" s="13" t="s">
        <v>628</v>
      </c>
      <c r="B1448" s="13" t="s">
        <v>627</v>
      </c>
      <c r="C1448" s="13" t="s">
        <v>2264</v>
      </c>
      <c r="D1448" s="13" t="s">
        <v>2270</v>
      </c>
      <c r="E1448" s="13" t="s">
        <v>2380</v>
      </c>
      <c r="F1448" s="13" t="s">
        <v>2381</v>
      </c>
      <c r="G1448" s="61" t="n">
        <v>3141542926</v>
      </c>
      <c r="H1448" s="13" t="s">
        <v>2255</v>
      </c>
      <c r="I1448" s="13" t="s">
        <v>2375</v>
      </c>
      <c r="J1448" s="13" t="n">
        <v>55</v>
      </c>
      <c r="K1448" s="13" t="s">
        <v>2277</v>
      </c>
      <c r="L1448" s="13" t="s">
        <v>2265</v>
      </c>
      <c r="M1448" s="13"/>
    </row>
    <row r="1449" customFormat="false" ht="15" hidden="false" customHeight="false" outlineLevel="0" collapsed="false">
      <c r="A1449" s="13" t="s">
        <v>628</v>
      </c>
      <c r="B1449" s="13" t="s">
        <v>627</v>
      </c>
      <c r="C1449" s="13" t="s">
        <v>2266</v>
      </c>
      <c r="D1449" s="13" t="s">
        <v>2270</v>
      </c>
      <c r="E1449" s="13" t="s">
        <v>2380</v>
      </c>
      <c r="F1449" s="13" t="s">
        <v>2381</v>
      </c>
      <c r="G1449" s="61" t="n">
        <v>2844622405</v>
      </c>
      <c r="H1449" s="13" t="s">
        <v>2255</v>
      </c>
      <c r="I1449" s="13" t="s">
        <v>2375</v>
      </c>
      <c r="J1449" s="13" t="n">
        <v>58</v>
      </c>
      <c r="K1449" s="13" t="s">
        <v>2278</v>
      </c>
      <c r="L1449" s="13" t="s">
        <v>2265</v>
      </c>
      <c r="M1449" s="13"/>
    </row>
    <row r="1450" customFormat="false" ht="15" hidden="false" customHeight="false" outlineLevel="0" collapsed="false">
      <c r="A1450" s="13" t="s">
        <v>628</v>
      </c>
      <c r="B1450" s="13" t="s">
        <v>627</v>
      </c>
      <c r="C1450" s="13" t="s">
        <v>2267</v>
      </c>
      <c r="D1450" s="13" t="s">
        <v>2270</v>
      </c>
      <c r="E1450" s="13" t="s">
        <v>2380</v>
      </c>
      <c r="F1450" s="13" t="s">
        <v>2381</v>
      </c>
      <c r="G1450" s="61" t="n">
        <v>1406228709</v>
      </c>
      <c r="H1450" s="13" t="s">
        <v>2255</v>
      </c>
      <c r="I1450" s="13" t="s">
        <v>2375</v>
      </c>
      <c r="J1450" s="13" t="n">
        <v>58</v>
      </c>
      <c r="K1450" s="13" t="s">
        <v>2278</v>
      </c>
      <c r="L1450" s="13" t="s">
        <v>2265</v>
      </c>
      <c r="M1450" s="13"/>
    </row>
    <row r="1451" customFormat="false" ht="15" hidden="false" customHeight="false" outlineLevel="0" collapsed="false">
      <c r="A1451" s="13" t="s">
        <v>628</v>
      </c>
      <c r="B1451" s="13" t="s">
        <v>627</v>
      </c>
      <c r="C1451" s="13" t="s">
        <v>2254</v>
      </c>
      <c r="D1451" s="13" t="s">
        <v>2270</v>
      </c>
      <c r="E1451" s="13" t="s">
        <v>2382</v>
      </c>
      <c r="F1451" s="13" t="s">
        <v>2383</v>
      </c>
      <c r="G1451" s="61" t="n">
        <v>56171232222</v>
      </c>
      <c r="H1451" s="13" t="s">
        <v>2255</v>
      </c>
      <c r="I1451" s="13" t="s">
        <v>2384</v>
      </c>
      <c r="J1451" s="13" t="n">
        <v>48</v>
      </c>
      <c r="K1451" s="13" t="s">
        <v>2274</v>
      </c>
      <c r="L1451" s="13" t="s">
        <v>2257</v>
      </c>
      <c r="M1451" s="13"/>
    </row>
    <row r="1452" customFormat="false" ht="15" hidden="false" customHeight="false" outlineLevel="0" collapsed="false">
      <c r="A1452" s="13" t="s">
        <v>628</v>
      </c>
      <c r="B1452" s="13" t="s">
        <v>627</v>
      </c>
      <c r="C1452" s="13" t="s">
        <v>2258</v>
      </c>
      <c r="D1452" s="13" t="s">
        <v>2270</v>
      </c>
      <c r="E1452" s="13" t="s">
        <v>2382</v>
      </c>
      <c r="F1452" s="13" t="s">
        <v>2383</v>
      </c>
      <c r="G1452" s="61" t="n">
        <v>80550182852</v>
      </c>
      <c r="H1452" s="13" t="s">
        <v>2255</v>
      </c>
      <c r="I1452" s="13" t="s">
        <v>2384</v>
      </c>
      <c r="J1452" s="13" t="n">
        <v>5</v>
      </c>
      <c r="K1452" s="13" t="s">
        <v>2275</v>
      </c>
      <c r="L1452" s="13" t="s">
        <v>2260</v>
      </c>
      <c r="M1452" s="13"/>
    </row>
    <row r="1453" customFormat="false" ht="15" hidden="false" customHeight="false" outlineLevel="0" collapsed="false">
      <c r="A1453" s="13" t="s">
        <v>628</v>
      </c>
      <c r="B1453" s="13" t="s">
        <v>627</v>
      </c>
      <c r="C1453" s="13" t="s">
        <v>2261</v>
      </c>
      <c r="D1453" s="13" t="s">
        <v>2270</v>
      </c>
      <c r="E1453" s="13" t="s">
        <v>2382</v>
      </c>
      <c r="F1453" s="13" t="s">
        <v>2383</v>
      </c>
      <c r="G1453" s="61" t="n">
        <v>62643233470</v>
      </c>
      <c r="H1453" s="13" t="s">
        <v>2255</v>
      </c>
      <c r="I1453" s="13" t="s">
        <v>2384</v>
      </c>
      <c r="J1453" s="13" t="n">
        <v>5</v>
      </c>
      <c r="K1453" s="13" t="s">
        <v>2276</v>
      </c>
      <c r="L1453" s="13" t="s">
        <v>2263</v>
      </c>
      <c r="M1453" s="13"/>
    </row>
    <row r="1454" customFormat="false" ht="15" hidden="false" customHeight="false" outlineLevel="0" collapsed="false">
      <c r="A1454" s="13" t="s">
        <v>628</v>
      </c>
      <c r="B1454" s="13" t="s">
        <v>627</v>
      </c>
      <c r="C1454" s="13" t="s">
        <v>2264</v>
      </c>
      <c r="D1454" s="13" t="s">
        <v>2270</v>
      </c>
      <c r="E1454" s="13" t="s">
        <v>2382</v>
      </c>
      <c r="F1454" s="13" t="s">
        <v>2383</v>
      </c>
      <c r="G1454" s="61" t="n">
        <v>23960367781</v>
      </c>
      <c r="H1454" s="13" t="s">
        <v>2255</v>
      </c>
      <c r="I1454" s="13" t="s">
        <v>2384</v>
      </c>
      <c r="J1454" s="13" t="n">
        <v>5</v>
      </c>
      <c r="K1454" s="13" t="s">
        <v>2277</v>
      </c>
      <c r="L1454" s="13" t="s">
        <v>2265</v>
      </c>
      <c r="M1454" s="13"/>
    </row>
    <row r="1455" customFormat="false" ht="15" hidden="false" customHeight="false" outlineLevel="0" collapsed="false">
      <c r="A1455" s="13" t="s">
        <v>628</v>
      </c>
      <c r="B1455" s="13" t="s">
        <v>627</v>
      </c>
      <c r="C1455" s="13" t="s">
        <v>2266</v>
      </c>
      <c r="D1455" s="13" t="s">
        <v>2270</v>
      </c>
      <c r="E1455" s="13" t="s">
        <v>2382</v>
      </c>
      <c r="F1455" s="13" t="s">
        <v>2383</v>
      </c>
      <c r="G1455" s="61" t="n">
        <v>14576256453</v>
      </c>
      <c r="H1455" s="13" t="s">
        <v>2255</v>
      </c>
      <c r="I1455" s="13" t="s">
        <v>2384</v>
      </c>
      <c r="J1455" s="13" t="n">
        <v>61</v>
      </c>
      <c r="K1455" s="13" t="s">
        <v>2278</v>
      </c>
      <c r="L1455" s="13" t="s">
        <v>2265</v>
      </c>
      <c r="M1455" s="13"/>
    </row>
    <row r="1456" customFormat="false" ht="15" hidden="false" customHeight="false" outlineLevel="0" collapsed="false">
      <c r="A1456" s="13" t="s">
        <v>628</v>
      </c>
      <c r="B1456" s="13" t="s">
        <v>627</v>
      </c>
      <c r="C1456" s="13" t="s">
        <v>2267</v>
      </c>
      <c r="D1456" s="13" t="s">
        <v>2270</v>
      </c>
      <c r="E1456" s="13" t="s">
        <v>2382</v>
      </c>
      <c r="F1456" s="13" t="s">
        <v>2383</v>
      </c>
      <c r="G1456" s="61" t="n">
        <v>36345471687</v>
      </c>
      <c r="H1456" s="13" t="s">
        <v>2255</v>
      </c>
      <c r="I1456" s="13" t="s">
        <v>2384</v>
      </c>
      <c r="J1456" s="13" t="n">
        <v>61</v>
      </c>
      <c r="K1456" s="13" t="s">
        <v>2278</v>
      </c>
      <c r="L1456" s="13" t="s">
        <v>2265</v>
      </c>
      <c r="M1456" s="13"/>
    </row>
    <row r="1457" customFormat="false" ht="15" hidden="false" customHeight="false" outlineLevel="0" collapsed="false">
      <c r="A1457" s="13" t="s">
        <v>628</v>
      </c>
      <c r="B1457" s="13" t="s">
        <v>627</v>
      </c>
      <c r="C1457" s="13" t="s">
        <v>2254</v>
      </c>
      <c r="D1457" s="13" t="s">
        <v>2270</v>
      </c>
      <c r="E1457" s="13" t="s">
        <v>2382</v>
      </c>
      <c r="F1457" s="13" t="s">
        <v>2385</v>
      </c>
      <c r="G1457" s="61" t="n">
        <v>24750786482</v>
      </c>
      <c r="H1457" s="13" t="s">
        <v>2255</v>
      </c>
      <c r="I1457" s="13" t="s">
        <v>2384</v>
      </c>
      <c r="J1457" s="13" t="n">
        <v>48</v>
      </c>
      <c r="K1457" s="13" t="s">
        <v>2274</v>
      </c>
      <c r="L1457" s="13" t="s">
        <v>2257</v>
      </c>
      <c r="M1457" s="13"/>
    </row>
    <row r="1458" customFormat="false" ht="15" hidden="false" customHeight="false" outlineLevel="0" collapsed="false">
      <c r="A1458" s="13" t="s">
        <v>628</v>
      </c>
      <c r="B1458" s="13" t="s">
        <v>627</v>
      </c>
      <c r="C1458" s="13" t="s">
        <v>2258</v>
      </c>
      <c r="D1458" s="13" t="s">
        <v>2270</v>
      </c>
      <c r="E1458" s="13" t="s">
        <v>2382</v>
      </c>
      <c r="F1458" s="13" t="s">
        <v>2385</v>
      </c>
      <c r="G1458" s="61" t="n">
        <v>37465084686</v>
      </c>
      <c r="H1458" s="13" t="s">
        <v>2255</v>
      </c>
      <c r="I1458" s="13" t="s">
        <v>2384</v>
      </c>
      <c r="J1458" s="13" t="n">
        <v>5</v>
      </c>
      <c r="K1458" s="13" t="s">
        <v>2275</v>
      </c>
      <c r="L1458" s="13" t="s">
        <v>2260</v>
      </c>
      <c r="M1458" s="13"/>
    </row>
    <row r="1459" customFormat="false" ht="15" hidden="false" customHeight="false" outlineLevel="0" collapsed="false">
      <c r="A1459" s="13" t="s">
        <v>628</v>
      </c>
      <c r="B1459" s="13" t="s">
        <v>627</v>
      </c>
      <c r="C1459" s="13" t="s">
        <v>2261</v>
      </c>
      <c r="D1459" s="13" t="s">
        <v>2270</v>
      </c>
      <c r="E1459" s="13" t="s">
        <v>2382</v>
      </c>
      <c r="F1459" s="13" t="s">
        <v>2385</v>
      </c>
      <c r="G1459" s="61" t="n">
        <v>28519833715</v>
      </c>
      <c r="H1459" s="13" t="s">
        <v>2255</v>
      </c>
      <c r="I1459" s="13" t="s">
        <v>2384</v>
      </c>
      <c r="J1459" s="13" t="n">
        <v>5</v>
      </c>
      <c r="K1459" s="13" t="s">
        <v>2276</v>
      </c>
      <c r="L1459" s="13" t="s">
        <v>2263</v>
      </c>
      <c r="M1459" s="13"/>
    </row>
    <row r="1460" customFormat="false" ht="15" hidden="false" customHeight="false" outlineLevel="0" collapsed="false">
      <c r="A1460" s="13" t="s">
        <v>628</v>
      </c>
      <c r="B1460" s="13" t="s">
        <v>627</v>
      </c>
      <c r="C1460" s="13" t="s">
        <v>2264</v>
      </c>
      <c r="D1460" s="13" t="s">
        <v>2270</v>
      </c>
      <c r="E1460" s="13" t="s">
        <v>2382</v>
      </c>
      <c r="F1460" s="13" t="s">
        <v>2385</v>
      </c>
      <c r="G1460" s="61" t="n">
        <v>31647175299</v>
      </c>
      <c r="H1460" s="13" t="s">
        <v>2255</v>
      </c>
      <c r="I1460" s="13" t="s">
        <v>2384</v>
      </c>
      <c r="J1460" s="13" t="n">
        <v>5</v>
      </c>
      <c r="K1460" s="13" t="s">
        <v>2277</v>
      </c>
      <c r="L1460" s="13" t="s">
        <v>2265</v>
      </c>
      <c r="M1460" s="13"/>
    </row>
    <row r="1461" customFormat="false" ht="15" hidden="false" customHeight="false" outlineLevel="0" collapsed="false">
      <c r="A1461" s="13" t="s">
        <v>628</v>
      </c>
      <c r="B1461" s="13" t="s">
        <v>627</v>
      </c>
      <c r="C1461" s="13" t="s">
        <v>2266</v>
      </c>
      <c r="D1461" s="13" t="s">
        <v>2270</v>
      </c>
      <c r="E1461" s="13" t="s">
        <v>2382</v>
      </c>
      <c r="F1461" s="13" t="s">
        <v>2385</v>
      </c>
      <c r="G1461" s="61" t="n">
        <v>16244471499</v>
      </c>
      <c r="H1461" s="13" t="s">
        <v>2255</v>
      </c>
      <c r="I1461" s="13" t="s">
        <v>2384</v>
      </c>
      <c r="J1461" s="13" t="n">
        <v>61</v>
      </c>
      <c r="K1461" s="13" t="s">
        <v>2278</v>
      </c>
      <c r="L1461" s="13" t="s">
        <v>2265</v>
      </c>
      <c r="M1461" s="13"/>
    </row>
    <row r="1462" customFormat="false" ht="15" hidden="false" customHeight="false" outlineLevel="0" collapsed="false">
      <c r="A1462" s="13" t="s">
        <v>628</v>
      </c>
      <c r="B1462" s="13" t="s">
        <v>627</v>
      </c>
      <c r="C1462" s="13" t="s">
        <v>2267</v>
      </c>
      <c r="D1462" s="13" t="s">
        <v>2270</v>
      </c>
      <c r="E1462" s="13" t="s">
        <v>2382</v>
      </c>
      <c r="F1462" s="13" t="s">
        <v>2385</v>
      </c>
      <c r="G1462" s="61" t="n">
        <v>32694903037</v>
      </c>
      <c r="H1462" s="13" t="s">
        <v>2255</v>
      </c>
      <c r="I1462" s="13" t="s">
        <v>2384</v>
      </c>
      <c r="J1462" s="13" t="n">
        <v>61</v>
      </c>
      <c r="K1462" s="13" t="s">
        <v>2278</v>
      </c>
      <c r="L1462" s="13" t="s">
        <v>2265</v>
      </c>
      <c r="M1462" s="13"/>
    </row>
    <row r="1463" customFormat="false" ht="15" hidden="false" customHeight="false" outlineLevel="0" collapsed="false">
      <c r="A1463" s="13" t="s">
        <v>628</v>
      </c>
      <c r="B1463" s="13" t="s">
        <v>627</v>
      </c>
      <c r="C1463" s="13" t="s">
        <v>2254</v>
      </c>
      <c r="D1463" s="13" t="s">
        <v>2270</v>
      </c>
      <c r="E1463" s="13" t="s">
        <v>2382</v>
      </c>
      <c r="F1463" s="13" t="s">
        <v>2342</v>
      </c>
      <c r="G1463" s="61" t="n">
        <v>12494090914</v>
      </c>
      <c r="H1463" s="13" t="s">
        <v>2255</v>
      </c>
      <c r="I1463" s="13" t="s">
        <v>2384</v>
      </c>
      <c r="J1463" s="13" t="n">
        <v>48</v>
      </c>
      <c r="K1463" s="13" t="s">
        <v>2274</v>
      </c>
      <c r="L1463" s="13" t="s">
        <v>2257</v>
      </c>
      <c r="M1463" s="13"/>
    </row>
    <row r="1464" customFormat="false" ht="15" hidden="false" customHeight="false" outlineLevel="0" collapsed="false">
      <c r="A1464" s="13" t="s">
        <v>628</v>
      </c>
      <c r="B1464" s="13" t="s">
        <v>627</v>
      </c>
      <c r="C1464" s="13" t="s">
        <v>2258</v>
      </c>
      <c r="D1464" s="13" t="s">
        <v>2270</v>
      </c>
      <c r="E1464" s="13" t="s">
        <v>2382</v>
      </c>
      <c r="F1464" s="13" t="s">
        <v>2342</v>
      </c>
      <c r="G1464" s="61" t="n">
        <v>1145171394</v>
      </c>
      <c r="H1464" s="13" t="s">
        <v>2255</v>
      </c>
      <c r="I1464" s="13" t="s">
        <v>2384</v>
      </c>
      <c r="J1464" s="13" t="n">
        <v>5</v>
      </c>
      <c r="K1464" s="13" t="s">
        <v>2275</v>
      </c>
      <c r="L1464" s="13" t="s">
        <v>2260</v>
      </c>
      <c r="M1464" s="13"/>
    </row>
    <row r="1465" customFormat="false" ht="15" hidden="false" customHeight="false" outlineLevel="0" collapsed="false">
      <c r="A1465" s="13" t="s">
        <v>628</v>
      </c>
      <c r="B1465" s="13" t="s">
        <v>627</v>
      </c>
      <c r="C1465" s="13" t="s">
        <v>2261</v>
      </c>
      <c r="D1465" s="13" t="s">
        <v>2270</v>
      </c>
      <c r="E1465" s="13" t="s">
        <v>2382</v>
      </c>
      <c r="F1465" s="13" t="s">
        <v>2342</v>
      </c>
      <c r="G1465" s="61" t="n">
        <v>625193862</v>
      </c>
      <c r="H1465" s="13" t="s">
        <v>2255</v>
      </c>
      <c r="I1465" s="13" t="s">
        <v>2384</v>
      </c>
      <c r="J1465" s="13" t="n">
        <v>5</v>
      </c>
      <c r="K1465" s="13" t="s">
        <v>2276</v>
      </c>
      <c r="L1465" s="13" t="s">
        <v>2263</v>
      </c>
      <c r="M1465" s="13"/>
    </row>
    <row r="1466" customFormat="false" ht="15" hidden="false" customHeight="false" outlineLevel="0" collapsed="false">
      <c r="A1466" s="13" t="s">
        <v>628</v>
      </c>
      <c r="B1466" s="13" t="s">
        <v>627</v>
      </c>
      <c r="C1466" s="13" t="s">
        <v>2264</v>
      </c>
      <c r="D1466" s="13" t="s">
        <v>2270</v>
      </c>
      <c r="E1466" s="13" t="s">
        <v>2382</v>
      </c>
      <c r="F1466" s="13" t="s">
        <v>2342</v>
      </c>
      <c r="G1466" s="61" t="n">
        <v>163400500</v>
      </c>
      <c r="H1466" s="13" t="s">
        <v>2255</v>
      </c>
      <c r="I1466" s="13" t="s">
        <v>2384</v>
      </c>
      <c r="J1466" s="13" t="n">
        <v>5</v>
      </c>
      <c r="K1466" s="13" t="s">
        <v>2277</v>
      </c>
      <c r="L1466" s="13" t="s">
        <v>2265</v>
      </c>
      <c r="M1466" s="13"/>
    </row>
    <row r="1467" customFormat="false" ht="15" hidden="false" customHeight="false" outlineLevel="0" collapsed="false">
      <c r="A1467" s="13" t="s">
        <v>628</v>
      </c>
      <c r="B1467" s="13" t="s">
        <v>627</v>
      </c>
      <c r="C1467" s="13" t="s">
        <v>2266</v>
      </c>
      <c r="D1467" s="13" t="s">
        <v>2270</v>
      </c>
      <c r="E1467" s="13" t="s">
        <v>2382</v>
      </c>
      <c r="F1467" s="13" t="s">
        <v>2342</v>
      </c>
      <c r="G1467" s="61" t="n">
        <v>60852000</v>
      </c>
      <c r="H1467" s="13" t="s">
        <v>2255</v>
      </c>
      <c r="I1467" s="13" t="s">
        <v>2384</v>
      </c>
      <c r="J1467" s="13" t="n">
        <v>61</v>
      </c>
      <c r="K1467" s="13" t="s">
        <v>2278</v>
      </c>
      <c r="L1467" s="13" t="s">
        <v>2265</v>
      </c>
      <c r="M1467" s="13"/>
    </row>
    <row r="1468" customFormat="false" ht="15" hidden="false" customHeight="false" outlineLevel="0" collapsed="false">
      <c r="A1468" s="13" t="s">
        <v>628</v>
      </c>
      <c r="B1468" s="13" t="s">
        <v>627</v>
      </c>
      <c r="C1468" s="13" t="s">
        <v>2267</v>
      </c>
      <c r="D1468" s="13" t="s">
        <v>2270</v>
      </c>
      <c r="E1468" s="13" t="s">
        <v>2382</v>
      </c>
      <c r="F1468" s="13" t="s">
        <v>2342</v>
      </c>
      <c r="G1468" s="61" t="n">
        <v>12619838785</v>
      </c>
      <c r="H1468" s="13" t="s">
        <v>2255</v>
      </c>
      <c r="I1468" s="13" t="s">
        <v>2384</v>
      </c>
      <c r="J1468" s="13" t="n">
        <v>61</v>
      </c>
      <c r="K1468" s="13" t="s">
        <v>2278</v>
      </c>
      <c r="L1468" s="13" t="s">
        <v>2265</v>
      </c>
      <c r="M1468" s="13"/>
    </row>
    <row r="1469" customFormat="false" ht="15" hidden="false" customHeight="false" outlineLevel="0" collapsed="false">
      <c r="A1469" s="13" t="s">
        <v>628</v>
      </c>
      <c r="B1469" s="13" t="s">
        <v>627</v>
      </c>
      <c r="C1469" s="13" t="s">
        <v>2254</v>
      </c>
      <c r="D1469" s="13" t="s">
        <v>2270</v>
      </c>
      <c r="E1469" s="13" t="s">
        <v>2382</v>
      </c>
      <c r="F1469" s="13" t="s">
        <v>2290</v>
      </c>
      <c r="G1469" s="61" t="n">
        <v>120125322795</v>
      </c>
      <c r="H1469" s="13" t="s">
        <v>2255</v>
      </c>
      <c r="I1469" s="13" t="s">
        <v>2384</v>
      </c>
      <c r="J1469" s="13" t="n">
        <v>48</v>
      </c>
      <c r="K1469" s="13" t="s">
        <v>2274</v>
      </c>
      <c r="L1469" s="13" t="s">
        <v>2257</v>
      </c>
      <c r="M1469" s="13"/>
    </row>
    <row r="1470" customFormat="false" ht="15" hidden="false" customHeight="false" outlineLevel="0" collapsed="false">
      <c r="A1470" s="13" t="s">
        <v>628</v>
      </c>
      <c r="B1470" s="13" t="s">
        <v>627</v>
      </c>
      <c r="C1470" s="13" t="s">
        <v>2258</v>
      </c>
      <c r="D1470" s="13" t="s">
        <v>2270</v>
      </c>
      <c r="E1470" s="13" t="s">
        <v>2382</v>
      </c>
      <c r="F1470" s="13" t="s">
        <v>2290</v>
      </c>
      <c r="G1470" s="61" t="n">
        <v>119160438932</v>
      </c>
      <c r="H1470" s="13" t="s">
        <v>2255</v>
      </c>
      <c r="I1470" s="13" t="s">
        <v>2384</v>
      </c>
      <c r="J1470" s="13" t="n">
        <v>5</v>
      </c>
      <c r="K1470" s="13" t="s">
        <v>2275</v>
      </c>
      <c r="L1470" s="13" t="s">
        <v>2260</v>
      </c>
      <c r="M1470" s="13"/>
    </row>
    <row r="1471" customFormat="false" ht="15" hidden="false" customHeight="false" outlineLevel="0" collapsed="false">
      <c r="A1471" s="13" t="s">
        <v>628</v>
      </c>
      <c r="B1471" s="13" t="s">
        <v>627</v>
      </c>
      <c r="C1471" s="13" t="s">
        <v>2261</v>
      </c>
      <c r="D1471" s="13" t="s">
        <v>2270</v>
      </c>
      <c r="E1471" s="13" t="s">
        <v>2382</v>
      </c>
      <c r="F1471" s="13" t="s">
        <v>2290</v>
      </c>
      <c r="G1471" s="61" t="n">
        <v>91788261047</v>
      </c>
      <c r="H1471" s="13" t="s">
        <v>2255</v>
      </c>
      <c r="I1471" s="13" t="s">
        <v>2384</v>
      </c>
      <c r="J1471" s="13" t="n">
        <v>5</v>
      </c>
      <c r="K1471" s="13" t="s">
        <v>2276</v>
      </c>
      <c r="L1471" s="13" t="s">
        <v>2263</v>
      </c>
      <c r="M1471" s="13"/>
    </row>
    <row r="1472" customFormat="false" ht="15" hidden="false" customHeight="false" outlineLevel="0" collapsed="false">
      <c r="A1472" s="13" t="s">
        <v>628</v>
      </c>
      <c r="B1472" s="13" t="s">
        <v>627</v>
      </c>
      <c r="C1472" s="13" t="s">
        <v>2264</v>
      </c>
      <c r="D1472" s="13" t="s">
        <v>2270</v>
      </c>
      <c r="E1472" s="13" t="s">
        <v>2382</v>
      </c>
      <c r="F1472" s="13" t="s">
        <v>2290</v>
      </c>
      <c r="G1472" s="61" t="n">
        <v>55770943580</v>
      </c>
      <c r="H1472" s="13" t="s">
        <v>2255</v>
      </c>
      <c r="I1472" s="13" t="s">
        <v>2384</v>
      </c>
      <c r="J1472" s="13" t="n">
        <v>5</v>
      </c>
      <c r="K1472" s="13" t="s">
        <v>2277</v>
      </c>
      <c r="L1472" s="13" t="s">
        <v>2265</v>
      </c>
      <c r="M1472" s="13"/>
    </row>
    <row r="1473" customFormat="false" ht="15" hidden="false" customHeight="false" outlineLevel="0" collapsed="false">
      <c r="A1473" s="13" t="s">
        <v>628</v>
      </c>
      <c r="B1473" s="13" t="s">
        <v>627</v>
      </c>
      <c r="C1473" s="13" t="s">
        <v>2266</v>
      </c>
      <c r="D1473" s="13" t="s">
        <v>2270</v>
      </c>
      <c r="E1473" s="13" t="s">
        <v>2382</v>
      </c>
      <c r="F1473" s="13" t="s">
        <v>2290</v>
      </c>
      <c r="G1473" s="61" t="n">
        <v>30881579952</v>
      </c>
      <c r="H1473" s="13" t="s">
        <v>2255</v>
      </c>
      <c r="I1473" s="13" t="s">
        <v>2384</v>
      </c>
      <c r="J1473" s="13" t="n">
        <v>61</v>
      </c>
      <c r="K1473" s="13" t="s">
        <v>2278</v>
      </c>
      <c r="L1473" s="13" t="s">
        <v>2265</v>
      </c>
      <c r="M1473" s="13"/>
    </row>
    <row r="1474" customFormat="false" ht="15" hidden="false" customHeight="false" outlineLevel="0" collapsed="false">
      <c r="A1474" s="13" t="s">
        <v>628</v>
      </c>
      <c r="B1474" s="13" t="s">
        <v>627</v>
      </c>
      <c r="C1474" s="13" t="s">
        <v>2267</v>
      </c>
      <c r="D1474" s="13" t="s">
        <v>2270</v>
      </c>
      <c r="E1474" s="13" t="s">
        <v>2382</v>
      </c>
      <c r="F1474" s="13" t="s">
        <v>2290</v>
      </c>
      <c r="G1474" s="61" t="n">
        <v>81660213509</v>
      </c>
      <c r="H1474" s="13" t="s">
        <v>2255</v>
      </c>
      <c r="I1474" s="13" t="s">
        <v>2384</v>
      </c>
      <c r="J1474" s="13" t="n">
        <v>61</v>
      </c>
      <c r="K1474" s="13" t="s">
        <v>2278</v>
      </c>
      <c r="L1474" s="13" t="s">
        <v>2265</v>
      </c>
      <c r="M1474" s="13"/>
    </row>
    <row r="1475" customFormat="false" ht="15" hidden="false" customHeight="false" outlineLevel="0" collapsed="false">
      <c r="A1475" s="13" t="s">
        <v>628</v>
      </c>
      <c r="B1475" s="13" t="s">
        <v>627</v>
      </c>
      <c r="C1475" s="13" t="s">
        <v>2254</v>
      </c>
      <c r="D1475" s="13" t="s">
        <v>2270</v>
      </c>
      <c r="E1475" s="13" t="s">
        <v>2386</v>
      </c>
      <c r="F1475" s="13" t="s">
        <v>2347</v>
      </c>
      <c r="G1475" s="61" t="n">
        <v>48714700712</v>
      </c>
      <c r="H1475" s="13" t="s">
        <v>2255</v>
      </c>
      <c r="I1475" s="13" t="s">
        <v>2384</v>
      </c>
      <c r="J1475" s="13" t="n">
        <v>48</v>
      </c>
      <c r="K1475" s="13" t="s">
        <v>2274</v>
      </c>
      <c r="L1475" s="13" t="s">
        <v>2257</v>
      </c>
      <c r="M1475" s="13"/>
    </row>
    <row r="1476" customFormat="false" ht="15" hidden="false" customHeight="false" outlineLevel="0" collapsed="false">
      <c r="A1476" s="13" t="s">
        <v>628</v>
      </c>
      <c r="B1476" s="13" t="s">
        <v>627</v>
      </c>
      <c r="C1476" s="13" t="s">
        <v>2258</v>
      </c>
      <c r="D1476" s="13" t="s">
        <v>2270</v>
      </c>
      <c r="E1476" s="13" t="s">
        <v>2386</v>
      </c>
      <c r="F1476" s="13" t="s">
        <v>2347</v>
      </c>
      <c r="G1476" s="61" t="n">
        <v>51310193228</v>
      </c>
      <c r="H1476" s="13" t="s">
        <v>2255</v>
      </c>
      <c r="I1476" s="13" t="s">
        <v>2384</v>
      </c>
      <c r="J1476" s="13" t="n">
        <v>5</v>
      </c>
      <c r="K1476" s="13" t="s">
        <v>2275</v>
      </c>
      <c r="L1476" s="13" t="s">
        <v>2260</v>
      </c>
      <c r="M1476" s="13"/>
    </row>
    <row r="1477" customFormat="false" ht="15" hidden="false" customHeight="false" outlineLevel="0" collapsed="false">
      <c r="A1477" s="13" t="s">
        <v>628</v>
      </c>
      <c r="B1477" s="13" t="s">
        <v>627</v>
      </c>
      <c r="C1477" s="13" t="s">
        <v>2261</v>
      </c>
      <c r="D1477" s="13" t="s">
        <v>2270</v>
      </c>
      <c r="E1477" s="13" t="s">
        <v>2386</v>
      </c>
      <c r="F1477" s="13" t="s">
        <v>2347</v>
      </c>
      <c r="G1477" s="61" t="n">
        <v>48153491293</v>
      </c>
      <c r="H1477" s="13" t="s">
        <v>2255</v>
      </c>
      <c r="I1477" s="13" t="s">
        <v>2384</v>
      </c>
      <c r="J1477" s="13" t="n">
        <v>5</v>
      </c>
      <c r="K1477" s="13" t="s">
        <v>2276</v>
      </c>
      <c r="L1477" s="13" t="s">
        <v>2263</v>
      </c>
      <c r="M1477" s="13"/>
    </row>
    <row r="1478" customFormat="false" ht="15" hidden="false" customHeight="false" outlineLevel="0" collapsed="false">
      <c r="A1478" s="13" t="s">
        <v>628</v>
      </c>
      <c r="B1478" s="13" t="s">
        <v>627</v>
      </c>
      <c r="C1478" s="13" t="s">
        <v>2264</v>
      </c>
      <c r="D1478" s="13" t="s">
        <v>2270</v>
      </c>
      <c r="E1478" s="13" t="s">
        <v>2386</v>
      </c>
      <c r="F1478" s="13" t="s">
        <v>2347</v>
      </c>
      <c r="G1478" s="61" t="n">
        <v>27219234723</v>
      </c>
      <c r="H1478" s="13" t="s">
        <v>2255</v>
      </c>
      <c r="I1478" s="13" t="s">
        <v>2384</v>
      </c>
      <c r="J1478" s="13" t="n">
        <v>5</v>
      </c>
      <c r="K1478" s="13" t="s">
        <v>2277</v>
      </c>
      <c r="L1478" s="13" t="s">
        <v>2265</v>
      </c>
      <c r="M1478" s="13"/>
    </row>
    <row r="1479" customFormat="false" ht="15" hidden="false" customHeight="false" outlineLevel="0" collapsed="false">
      <c r="A1479" s="13" t="s">
        <v>628</v>
      </c>
      <c r="B1479" s="13" t="s">
        <v>627</v>
      </c>
      <c r="C1479" s="13" t="s">
        <v>2266</v>
      </c>
      <c r="D1479" s="13" t="s">
        <v>2270</v>
      </c>
      <c r="E1479" s="13" t="s">
        <v>2386</v>
      </c>
      <c r="F1479" s="13" t="s">
        <v>2347</v>
      </c>
      <c r="G1479" s="61" t="n">
        <v>17152545656</v>
      </c>
      <c r="H1479" s="13" t="s">
        <v>2255</v>
      </c>
      <c r="I1479" s="13" t="s">
        <v>2384</v>
      </c>
      <c r="J1479" s="13" t="n">
        <v>61</v>
      </c>
      <c r="K1479" s="13" t="s">
        <v>2278</v>
      </c>
      <c r="L1479" s="13" t="s">
        <v>2265</v>
      </c>
      <c r="M1479" s="13"/>
    </row>
    <row r="1480" customFormat="false" ht="15" hidden="false" customHeight="false" outlineLevel="0" collapsed="false">
      <c r="A1480" s="13" t="s">
        <v>628</v>
      </c>
      <c r="B1480" s="13" t="s">
        <v>627</v>
      </c>
      <c r="C1480" s="13" t="s">
        <v>2267</v>
      </c>
      <c r="D1480" s="13" t="s">
        <v>2270</v>
      </c>
      <c r="E1480" s="13" t="s">
        <v>2386</v>
      </c>
      <c r="F1480" s="13" t="s">
        <v>2347</v>
      </c>
      <c r="G1480" s="61" t="n">
        <v>45067017166</v>
      </c>
      <c r="H1480" s="13" t="s">
        <v>2255</v>
      </c>
      <c r="I1480" s="13" t="s">
        <v>2384</v>
      </c>
      <c r="J1480" s="13" t="n">
        <v>61</v>
      </c>
      <c r="K1480" s="13" t="s">
        <v>2278</v>
      </c>
      <c r="L1480" s="13" t="s">
        <v>2265</v>
      </c>
      <c r="M1480" s="13"/>
    </row>
    <row r="1481" customFormat="false" ht="15" hidden="false" customHeight="false" outlineLevel="0" collapsed="false">
      <c r="A1481" s="13" t="s">
        <v>628</v>
      </c>
      <c r="B1481" s="13" t="s">
        <v>627</v>
      </c>
      <c r="C1481" s="13" t="s">
        <v>2254</v>
      </c>
      <c r="D1481" s="13" t="s">
        <v>2270</v>
      </c>
      <c r="E1481" s="13" t="s">
        <v>2386</v>
      </c>
      <c r="F1481" s="13" t="s">
        <v>2348</v>
      </c>
      <c r="G1481" s="61" t="n">
        <v>26816334502</v>
      </c>
      <c r="H1481" s="13" t="s">
        <v>2255</v>
      </c>
      <c r="I1481" s="13" t="s">
        <v>2384</v>
      </c>
      <c r="J1481" s="13" t="n">
        <v>48</v>
      </c>
      <c r="K1481" s="13" t="s">
        <v>2274</v>
      </c>
      <c r="L1481" s="13" t="s">
        <v>2257</v>
      </c>
      <c r="M1481" s="13"/>
    </row>
    <row r="1482" customFormat="false" ht="15" hidden="false" customHeight="false" outlineLevel="0" collapsed="false">
      <c r="A1482" s="13" t="s">
        <v>628</v>
      </c>
      <c r="B1482" s="13" t="s">
        <v>627</v>
      </c>
      <c r="C1482" s="13" t="s">
        <v>2258</v>
      </c>
      <c r="D1482" s="13" t="s">
        <v>2270</v>
      </c>
      <c r="E1482" s="13" t="s">
        <v>2386</v>
      </c>
      <c r="F1482" s="13" t="s">
        <v>2348</v>
      </c>
      <c r="G1482" s="61" t="n">
        <v>38006078970</v>
      </c>
      <c r="H1482" s="13" t="s">
        <v>2255</v>
      </c>
      <c r="I1482" s="13" t="s">
        <v>2384</v>
      </c>
      <c r="J1482" s="13" t="n">
        <v>5</v>
      </c>
      <c r="K1482" s="13" t="s">
        <v>2275</v>
      </c>
      <c r="L1482" s="13" t="s">
        <v>2260</v>
      </c>
      <c r="M1482" s="13"/>
    </row>
    <row r="1483" customFormat="false" ht="15" hidden="false" customHeight="false" outlineLevel="0" collapsed="false">
      <c r="A1483" s="13" t="s">
        <v>628</v>
      </c>
      <c r="B1483" s="13" t="s">
        <v>627</v>
      </c>
      <c r="C1483" s="13" t="s">
        <v>2261</v>
      </c>
      <c r="D1483" s="13" t="s">
        <v>2270</v>
      </c>
      <c r="E1483" s="13" t="s">
        <v>2386</v>
      </c>
      <c r="F1483" s="13" t="s">
        <v>2348</v>
      </c>
      <c r="G1483" s="61" t="n">
        <v>21142976814</v>
      </c>
      <c r="H1483" s="13" t="s">
        <v>2255</v>
      </c>
      <c r="I1483" s="13" t="s">
        <v>2384</v>
      </c>
      <c r="J1483" s="13" t="n">
        <v>5</v>
      </c>
      <c r="K1483" s="13" t="s">
        <v>2276</v>
      </c>
      <c r="L1483" s="13" t="s">
        <v>2263</v>
      </c>
      <c r="M1483" s="13"/>
    </row>
    <row r="1484" customFormat="false" ht="15" hidden="false" customHeight="false" outlineLevel="0" collapsed="false">
      <c r="A1484" s="13" t="s">
        <v>628</v>
      </c>
      <c r="B1484" s="13" t="s">
        <v>627</v>
      </c>
      <c r="C1484" s="13" t="s">
        <v>2264</v>
      </c>
      <c r="D1484" s="13" t="s">
        <v>2270</v>
      </c>
      <c r="E1484" s="13" t="s">
        <v>2386</v>
      </c>
      <c r="F1484" s="13" t="s">
        <v>2348</v>
      </c>
      <c r="G1484" s="61" t="n">
        <v>10170639257</v>
      </c>
      <c r="H1484" s="13" t="s">
        <v>2255</v>
      </c>
      <c r="I1484" s="13" t="s">
        <v>2384</v>
      </c>
      <c r="J1484" s="13" t="n">
        <v>5</v>
      </c>
      <c r="K1484" s="13" t="s">
        <v>2277</v>
      </c>
      <c r="L1484" s="13" t="s">
        <v>2265</v>
      </c>
      <c r="M1484" s="13"/>
    </row>
    <row r="1485" customFormat="false" ht="15" hidden="false" customHeight="false" outlineLevel="0" collapsed="false">
      <c r="A1485" s="13" t="s">
        <v>628</v>
      </c>
      <c r="B1485" s="13" t="s">
        <v>627</v>
      </c>
      <c r="C1485" s="13" t="s">
        <v>2266</v>
      </c>
      <c r="D1485" s="13" t="s">
        <v>2270</v>
      </c>
      <c r="E1485" s="13" t="s">
        <v>2386</v>
      </c>
      <c r="F1485" s="13" t="s">
        <v>2348</v>
      </c>
      <c r="G1485" s="61" t="n">
        <v>6575947174</v>
      </c>
      <c r="H1485" s="13" t="s">
        <v>2255</v>
      </c>
      <c r="I1485" s="13" t="s">
        <v>2384</v>
      </c>
      <c r="J1485" s="13" t="n">
        <v>61</v>
      </c>
      <c r="K1485" s="13" t="s">
        <v>2278</v>
      </c>
      <c r="L1485" s="13" t="s">
        <v>2265</v>
      </c>
      <c r="M1485" s="13"/>
    </row>
    <row r="1486" customFormat="false" ht="15" hidden="false" customHeight="false" outlineLevel="0" collapsed="false">
      <c r="A1486" s="13" t="s">
        <v>628</v>
      </c>
      <c r="B1486" s="13" t="s">
        <v>627</v>
      </c>
      <c r="C1486" s="13" t="s">
        <v>2267</v>
      </c>
      <c r="D1486" s="13" t="s">
        <v>2270</v>
      </c>
      <c r="E1486" s="13" t="s">
        <v>2386</v>
      </c>
      <c r="F1486" s="13" t="s">
        <v>2348</v>
      </c>
      <c r="G1486" s="61" t="n">
        <v>12892466087</v>
      </c>
      <c r="H1486" s="13" t="s">
        <v>2255</v>
      </c>
      <c r="I1486" s="13" t="s">
        <v>2384</v>
      </c>
      <c r="J1486" s="13" t="n">
        <v>61</v>
      </c>
      <c r="K1486" s="13" t="s">
        <v>2278</v>
      </c>
      <c r="L1486" s="13" t="s">
        <v>2265</v>
      </c>
      <c r="M1486" s="13"/>
    </row>
    <row r="1487" customFormat="false" ht="15" hidden="false" customHeight="false" outlineLevel="0" collapsed="false">
      <c r="A1487" s="13" t="s">
        <v>628</v>
      </c>
      <c r="B1487" s="13" t="s">
        <v>627</v>
      </c>
      <c r="C1487" s="13" t="s">
        <v>2254</v>
      </c>
      <c r="D1487" s="13" t="s">
        <v>2270</v>
      </c>
      <c r="E1487" s="13" t="s">
        <v>2386</v>
      </c>
      <c r="F1487" s="13" t="s">
        <v>2387</v>
      </c>
      <c r="G1487" s="61" t="n">
        <v>33131797256</v>
      </c>
      <c r="H1487" s="13" t="s">
        <v>2255</v>
      </c>
      <c r="I1487" s="13" t="s">
        <v>2384</v>
      </c>
      <c r="J1487" s="13" t="n">
        <v>48</v>
      </c>
      <c r="K1487" s="13" t="s">
        <v>2274</v>
      </c>
      <c r="L1487" s="13" t="s">
        <v>2257</v>
      </c>
      <c r="M1487" s="13"/>
    </row>
    <row r="1488" customFormat="false" ht="15" hidden="false" customHeight="false" outlineLevel="0" collapsed="false">
      <c r="A1488" s="13" t="s">
        <v>628</v>
      </c>
      <c r="B1488" s="13" t="s">
        <v>627</v>
      </c>
      <c r="C1488" s="13" t="s">
        <v>2258</v>
      </c>
      <c r="D1488" s="13" t="s">
        <v>2270</v>
      </c>
      <c r="E1488" s="13" t="s">
        <v>2386</v>
      </c>
      <c r="F1488" s="13" t="s">
        <v>2387</v>
      </c>
      <c r="G1488" s="61" t="n">
        <v>7908059407</v>
      </c>
      <c r="H1488" s="13" t="s">
        <v>2255</v>
      </c>
      <c r="I1488" s="13" t="s">
        <v>2384</v>
      </c>
      <c r="J1488" s="13" t="n">
        <v>5</v>
      </c>
      <c r="K1488" s="13" t="s">
        <v>2275</v>
      </c>
      <c r="L1488" s="13" t="s">
        <v>2260</v>
      </c>
      <c r="M1488" s="13"/>
    </row>
    <row r="1489" customFormat="false" ht="15" hidden="false" customHeight="false" outlineLevel="0" collapsed="false">
      <c r="A1489" s="13" t="s">
        <v>628</v>
      </c>
      <c r="B1489" s="13" t="s">
        <v>627</v>
      </c>
      <c r="C1489" s="13" t="s">
        <v>2261</v>
      </c>
      <c r="D1489" s="13" t="s">
        <v>2270</v>
      </c>
      <c r="E1489" s="13" t="s">
        <v>2386</v>
      </c>
      <c r="F1489" s="13" t="s">
        <v>2387</v>
      </c>
      <c r="G1489" s="61" t="n">
        <v>6173671458</v>
      </c>
      <c r="H1489" s="13" t="s">
        <v>2255</v>
      </c>
      <c r="I1489" s="13" t="s">
        <v>2384</v>
      </c>
      <c r="J1489" s="13" t="n">
        <v>5</v>
      </c>
      <c r="K1489" s="13" t="s">
        <v>2276</v>
      </c>
      <c r="L1489" s="13" t="s">
        <v>2263</v>
      </c>
      <c r="M1489" s="13"/>
    </row>
    <row r="1490" customFormat="false" ht="15" hidden="false" customHeight="false" outlineLevel="0" collapsed="false">
      <c r="A1490" s="13" t="s">
        <v>628</v>
      </c>
      <c r="B1490" s="13" t="s">
        <v>627</v>
      </c>
      <c r="C1490" s="13" t="s">
        <v>2264</v>
      </c>
      <c r="D1490" s="13" t="s">
        <v>2270</v>
      </c>
      <c r="E1490" s="13" t="s">
        <v>2386</v>
      </c>
      <c r="F1490" s="13" t="s">
        <v>2387</v>
      </c>
      <c r="G1490" s="61" t="n">
        <v>8425454237</v>
      </c>
      <c r="H1490" s="13" t="s">
        <v>2255</v>
      </c>
      <c r="I1490" s="13" t="s">
        <v>2384</v>
      </c>
      <c r="J1490" s="13" t="n">
        <v>5</v>
      </c>
      <c r="K1490" s="13" t="s">
        <v>2277</v>
      </c>
      <c r="L1490" s="13" t="s">
        <v>2265</v>
      </c>
      <c r="M1490" s="13"/>
    </row>
    <row r="1491" customFormat="false" ht="15" hidden="false" customHeight="false" outlineLevel="0" collapsed="false">
      <c r="A1491" s="13" t="s">
        <v>628</v>
      </c>
      <c r="B1491" s="13" t="s">
        <v>627</v>
      </c>
      <c r="C1491" s="13" t="s">
        <v>2266</v>
      </c>
      <c r="D1491" s="13" t="s">
        <v>2270</v>
      </c>
      <c r="E1491" s="13" t="s">
        <v>2386</v>
      </c>
      <c r="F1491" s="13" t="s">
        <v>2387</v>
      </c>
      <c r="G1491" s="61" t="n">
        <v>2714778394</v>
      </c>
      <c r="H1491" s="13" t="s">
        <v>2255</v>
      </c>
      <c r="I1491" s="13" t="s">
        <v>2384</v>
      </c>
      <c r="J1491" s="13" t="n">
        <v>61</v>
      </c>
      <c r="K1491" s="13" t="s">
        <v>2278</v>
      </c>
      <c r="L1491" s="13" t="s">
        <v>2265</v>
      </c>
      <c r="M1491" s="13"/>
    </row>
    <row r="1492" customFormat="false" ht="15" hidden="false" customHeight="false" outlineLevel="0" collapsed="false">
      <c r="A1492" s="13" t="s">
        <v>628</v>
      </c>
      <c r="B1492" s="13" t="s">
        <v>627</v>
      </c>
      <c r="C1492" s="13" t="s">
        <v>2267</v>
      </c>
      <c r="D1492" s="13" t="s">
        <v>2270</v>
      </c>
      <c r="E1492" s="13" t="s">
        <v>2386</v>
      </c>
      <c r="F1492" s="13" t="s">
        <v>2387</v>
      </c>
      <c r="G1492" s="61" t="n">
        <v>2806107196</v>
      </c>
      <c r="H1492" s="13" t="s">
        <v>2255</v>
      </c>
      <c r="I1492" s="13" t="s">
        <v>2384</v>
      </c>
      <c r="J1492" s="13" t="n">
        <v>61</v>
      </c>
      <c r="K1492" s="13" t="s">
        <v>2278</v>
      </c>
      <c r="L1492" s="13" t="s">
        <v>2265</v>
      </c>
      <c r="M1492" s="13"/>
    </row>
    <row r="1493" customFormat="false" ht="15" hidden="false" customHeight="false" outlineLevel="0" collapsed="false">
      <c r="A1493" s="13" t="s">
        <v>628</v>
      </c>
      <c r="B1493" s="13" t="s">
        <v>627</v>
      </c>
      <c r="C1493" s="13" t="s">
        <v>2254</v>
      </c>
      <c r="D1493" s="13" t="s">
        <v>2270</v>
      </c>
      <c r="E1493" s="13" t="s">
        <v>2386</v>
      </c>
      <c r="F1493" s="13" t="s">
        <v>2350</v>
      </c>
      <c r="G1493" s="61" t="n">
        <v>11462490325</v>
      </c>
      <c r="H1493" s="13" t="s">
        <v>2255</v>
      </c>
      <c r="I1493" s="13" t="s">
        <v>2384</v>
      </c>
      <c r="J1493" s="13" t="n">
        <v>48</v>
      </c>
      <c r="K1493" s="13" t="s">
        <v>2274</v>
      </c>
      <c r="L1493" s="13" t="s">
        <v>2257</v>
      </c>
      <c r="M1493" s="13"/>
    </row>
    <row r="1494" customFormat="false" ht="15" hidden="false" customHeight="false" outlineLevel="0" collapsed="false">
      <c r="A1494" s="13" t="s">
        <v>628</v>
      </c>
      <c r="B1494" s="13" t="s">
        <v>627</v>
      </c>
      <c r="C1494" s="13" t="s">
        <v>2258</v>
      </c>
      <c r="D1494" s="13" t="s">
        <v>2270</v>
      </c>
      <c r="E1494" s="13" t="s">
        <v>2386</v>
      </c>
      <c r="F1494" s="13" t="s">
        <v>2350</v>
      </c>
      <c r="G1494" s="61" t="n">
        <v>21936107327</v>
      </c>
      <c r="H1494" s="13" t="s">
        <v>2255</v>
      </c>
      <c r="I1494" s="13" t="s">
        <v>2384</v>
      </c>
      <c r="J1494" s="13" t="n">
        <v>5</v>
      </c>
      <c r="K1494" s="13" t="s">
        <v>2275</v>
      </c>
      <c r="L1494" s="13" t="s">
        <v>2260</v>
      </c>
      <c r="M1494" s="13"/>
    </row>
    <row r="1495" customFormat="false" ht="15" hidden="false" customHeight="false" outlineLevel="0" collapsed="false">
      <c r="A1495" s="13" t="s">
        <v>628</v>
      </c>
      <c r="B1495" s="13" t="s">
        <v>627</v>
      </c>
      <c r="C1495" s="13" t="s">
        <v>2261</v>
      </c>
      <c r="D1495" s="13" t="s">
        <v>2270</v>
      </c>
      <c r="E1495" s="13" t="s">
        <v>2386</v>
      </c>
      <c r="F1495" s="13" t="s">
        <v>2350</v>
      </c>
      <c r="G1495" s="61" t="n">
        <v>16318121482</v>
      </c>
      <c r="H1495" s="13" t="s">
        <v>2255</v>
      </c>
      <c r="I1495" s="13" t="s">
        <v>2384</v>
      </c>
      <c r="J1495" s="13" t="n">
        <v>5</v>
      </c>
      <c r="K1495" s="13" t="s">
        <v>2276</v>
      </c>
      <c r="L1495" s="13" t="s">
        <v>2263</v>
      </c>
      <c r="M1495" s="13"/>
    </row>
    <row r="1496" customFormat="false" ht="15" hidden="false" customHeight="false" outlineLevel="0" collapsed="false">
      <c r="A1496" s="13" t="s">
        <v>628</v>
      </c>
      <c r="B1496" s="13" t="s">
        <v>627</v>
      </c>
      <c r="C1496" s="13" t="s">
        <v>2264</v>
      </c>
      <c r="D1496" s="13" t="s">
        <v>2270</v>
      </c>
      <c r="E1496" s="13" t="s">
        <v>2386</v>
      </c>
      <c r="F1496" s="13" t="s">
        <v>2350</v>
      </c>
      <c r="G1496" s="61" t="n">
        <v>9955615363</v>
      </c>
      <c r="H1496" s="13" t="s">
        <v>2255</v>
      </c>
      <c r="I1496" s="13" t="s">
        <v>2384</v>
      </c>
      <c r="J1496" s="13" t="n">
        <v>5</v>
      </c>
      <c r="K1496" s="13" t="s">
        <v>2277</v>
      </c>
      <c r="L1496" s="13" t="s">
        <v>2265</v>
      </c>
      <c r="M1496" s="13"/>
    </row>
    <row r="1497" customFormat="false" ht="15" hidden="false" customHeight="false" outlineLevel="0" collapsed="false">
      <c r="A1497" s="13" t="s">
        <v>628</v>
      </c>
      <c r="B1497" s="13" t="s">
        <v>627</v>
      </c>
      <c r="C1497" s="13" t="s">
        <v>2266</v>
      </c>
      <c r="D1497" s="13" t="s">
        <v>2270</v>
      </c>
      <c r="E1497" s="13" t="s">
        <v>2386</v>
      </c>
      <c r="F1497" s="13" t="s">
        <v>2350</v>
      </c>
      <c r="G1497" s="61" t="n">
        <v>4438308728</v>
      </c>
      <c r="H1497" s="13" t="s">
        <v>2255</v>
      </c>
      <c r="I1497" s="13" t="s">
        <v>2384</v>
      </c>
      <c r="J1497" s="13" t="n">
        <v>61</v>
      </c>
      <c r="K1497" s="13" t="s">
        <v>2278</v>
      </c>
      <c r="L1497" s="13" t="s">
        <v>2265</v>
      </c>
      <c r="M1497" s="13"/>
    </row>
    <row r="1498" customFormat="false" ht="15" hidden="false" customHeight="false" outlineLevel="0" collapsed="false">
      <c r="A1498" s="13" t="s">
        <v>628</v>
      </c>
      <c r="B1498" s="13" t="s">
        <v>627</v>
      </c>
      <c r="C1498" s="13" t="s">
        <v>2267</v>
      </c>
      <c r="D1498" s="13" t="s">
        <v>2270</v>
      </c>
      <c r="E1498" s="13" t="s">
        <v>2386</v>
      </c>
      <c r="F1498" s="13" t="s">
        <v>2350</v>
      </c>
      <c r="G1498" s="61" t="n">
        <v>20894623060</v>
      </c>
      <c r="H1498" s="13" t="s">
        <v>2255</v>
      </c>
      <c r="I1498" s="13" t="s">
        <v>2384</v>
      </c>
      <c r="J1498" s="13" t="n">
        <v>61</v>
      </c>
      <c r="K1498" s="13" t="s">
        <v>2278</v>
      </c>
      <c r="L1498" s="13" t="s">
        <v>2265</v>
      </c>
      <c r="M1498" s="13"/>
    </row>
    <row r="1499" customFormat="false" ht="15" hidden="false" customHeight="false" outlineLevel="0" collapsed="false">
      <c r="A1499" s="13" t="s">
        <v>628</v>
      </c>
      <c r="B1499" s="13" t="s">
        <v>627</v>
      </c>
      <c r="C1499" s="13" t="s">
        <v>2266</v>
      </c>
      <c r="D1499" s="13" t="s">
        <v>2270</v>
      </c>
      <c r="E1499" s="13" t="s">
        <v>2386</v>
      </c>
      <c r="F1499" s="13" t="s">
        <v>2290</v>
      </c>
      <c r="G1499" s="61" t="n">
        <v>30881579952</v>
      </c>
      <c r="H1499" s="13" t="s">
        <v>2255</v>
      </c>
      <c r="I1499" s="13" t="s">
        <v>2384</v>
      </c>
      <c r="J1499" s="13" t="n">
        <v>61</v>
      </c>
      <c r="K1499" s="13" t="s">
        <v>2278</v>
      </c>
      <c r="L1499" s="13" t="s">
        <v>2265</v>
      </c>
      <c r="M1499" s="13"/>
    </row>
    <row r="1500" customFormat="false" ht="15" hidden="false" customHeight="false" outlineLevel="0" collapsed="false">
      <c r="A1500" s="13" t="s">
        <v>628</v>
      </c>
      <c r="B1500" s="13" t="s">
        <v>627</v>
      </c>
      <c r="C1500" s="13" t="s">
        <v>2267</v>
      </c>
      <c r="D1500" s="13" t="s">
        <v>2270</v>
      </c>
      <c r="E1500" s="13" t="s">
        <v>2386</v>
      </c>
      <c r="F1500" s="13" t="s">
        <v>2290</v>
      </c>
      <c r="G1500" s="61" t="n">
        <v>81660213509</v>
      </c>
      <c r="H1500" s="13" t="s">
        <v>2255</v>
      </c>
      <c r="I1500" s="13" t="s">
        <v>2384</v>
      </c>
      <c r="J1500" s="13" t="n">
        <v>61</v>
      </c>
      <c r="K1500" s="13" t="s">
        <v>2278</v>
      </c>
      <c r="L1500" s="13" t="s">
        <v>2265</v>
      </c>
      <c r="M1500" s="13"/>
    </row>
    <row r="1501" customFormat="false" ht="15" hidden="false" customHeight="false" outlineLevel="0" collapsed="false">
      <c r="A1501" s="13" t="s">
        <v>628</v>
      </c>
      <c r="B1501" s="13" t="s">
        <v>627</v>
      </c>
      <c r="C1501" s="13" t="s">
        <v>2266</v>
      </c>
      <c r="D1501" s="13" t="s">
        <v>2270</v>
      </c>
      <c r="E1501" s="13" t="s">
        <v>2388</v>
      </c>
      <c r="F1501" s="13" t="s">
        <v>2389</v>
      </c>
      <c r="G1501" s="61" t="n">
        <v>10817495432</v>
      </c>
      <c r="H1501" s="13" t="s">
        <v>2255</v>
      </c>
      <c r="I1501" s="13" t="s">
        <v>2390</v>
      </c>
      <c r="J1501" s="13" t="n">
        <v>62</v>
      </c>
      <c r="K1501" s="13" t="s">
        <v>2278</v>
      </c>
      <c r="L1501" s="13" t="s">
        <v>2265</v>
      </c>
      <c r="M1501" s="13"/>
    </row>
    <row r="1502" customFormat="false" ht="15" hidden="false" customHeight="false" outlineLevel="0" collapsed="false">
      <c r="A1502" s="13" t="s">
        <v>628</v>
      </c>
      <c r="B1502" s="13" t="s">
        <v>627</v>
      </c>
      <c r="C1502" s="13" t="s">
        <v>2267</v>
      </c>
      <c r="D1502" s="13" t="s">
        <v>2270</v>
      </c>
      <c r="E1502" s="13" t="s">
        <v>2388</v>
      </c>
      <c r="F1502" s="13" t="s">
        <v>2389</v>
      </c>
      <c r="G1502" s="61" t="n">
        <v>17204374798</v>
      </c>
      <c r="H1502" s="13" t="s">
        <v>2255</v>
      </c>
      <c r="I1502" s="13" t="s">
        <v>2390</v>
      </c>
      <c r="J1502" s="13" t="n">
        <v>62</v>
      </c>
      <c r="K1502" s="13" t="s">
        <v>2278</v>
      </c>
      <c r="L1502" s="13" t="s">
        <v>2265</v>
      </c>
      <c r="M1502" s="13"/>
    </row>
    <row r="1503" customFormat="false" ht="15" hidden="false" customHeight="false" outlineLevel="0" collapsed="false">
      <c r="A1503" s="13" t="s">
        <v>628</v>
      </c>
      <c r="B1503" s="13" t="s">
        <v>627</v>
      </c>
      <c r="C1503" s="13" t="s">
        <v>2266</v>
      </c>
      <c r="D1503" s="13" t="s">
        <v>2270</v>
      </c>
      <c r="E1503" s="13" t="s">
        <v>2388</v>
      </c>
      <c r="F1503" s="13" t="s">
        <v>2391</v>
      </c>
      <c r="G1503" s="61" t="n">
        <v>3891369651</v>
      </c>
      <c r="H1503" s="13" t="s">
        <v>2255</v>
      </c>
      <c r="I1503" s="13" t="s">
        <v>2390</v>
      </c>
      <c r="J1503" s="13" t="n">
        <v>62</v>
      </c>
      <c r="K1503" s="13" t="s">
        <v>2278</v>
      </c>
      <c r="L1503" s="13" t="s">
        <v>2265</v>
      </c>
      <c r="M1503" s="13"/>
    </row>
    <row r="1504" customFormat="false" ht="15" hidden="false" customHeight="false" outlineLevel="0" collapsed="false">
      <c r="A1504" s="13" t="s">
        <v>628</v>
      </c>
      <c r="B1504" s="13" t="s">
        <v>627</v>
      </c>
      <c r="C1504" s="13" t="s">
        <v>2267</v>
      </c>
      <c r="D1504" s="13" t="s">
        <v>2270</v>
      </c>
      <c r="E1504" s="13" t="s">
        <v>2388</v>
      </c>
      <c r="F1504" s="13" t="s">
        <v>2391</v>
      </c>
      <c r="G1504" s="61" t="n">
        <v>6538940938</v>
      </c>
      <c r="H1504" s="13" t="s">
        <v>2255</v>
      </c>
      <c r="I1504" s="13" t="s">
        <v>2390</v>
      </c>
      <c r="J1504" s="13" t="n">
        <v>62</v>
      </c>
      <c r="K1504" s="13" t="s">
        <v>2278</v>
      </c>
      <c r="L1504" s="13" t="s">
        <v>2265</v>
      </c>
      <c r="M1504" s="13"/>
    </row>
    <row r="1505" customFormat="false" ht="15" hidden="false" customHeight="false" outlineLevel="0" collapsed="false">
      <c r="A1505" s="13" t="s">
        <v>628</v>
      </c>
      <c r="B1505" s="13" t="s">
        <v>627</v>
      </c>
      <c r="C1505" s="13" t="s">
        <v>2266</v>
      </c>
      <c r="D1505" s="13" t="s">
        <v>2270</v>
      </c>
      <c r="E1505" s="13" t="s">
        <v>2388</v>
      </c>
      <c r="F1505" s="13" t="s">
        <v>2290</v>
      </c>
      <c r="G1505" s="61" t="n">
        <v>14708865083</v>
      </c>
      <c r="H1505" s="13" t="s">
        <v>2255</v>
      </c>
      <c r="I1505" s="13" t="s">
        <v>2390</v>
      </c>
      <c r="J1505" s="13" t="n">
        <v>62</v>
      </c>
      <c r="K1505" s="13" t="s">
        <v>2278</v>
      </c>
      <c r="L1505" s="13" t="s">
        <v>2265</v>
      </c>
      <c r="M1505" s="13"/>
    </row>
    <row r="1506" customFormat="false" ht="15" hidden="false" customHeight="false" outlineLevel="0" collapsed="false">
      <c r="A1506" s="13" t="s">
        <v>628</v>
      </c>
      <c r="B1506" s="13" t="s">
        <v>627</v>
      </c>
      <c r="C1506" s="13" t="s">
        <v>2267</v>
      </c>
      <c r="D1506" s="13" t="s">
        <v>2270</v>
      </c>
      <c r="E1506" s="13" t="s">
        <v>2388</v>
      </c>
      <c r="F1506" s="13" t="s">
        <v>2290</v>
      </c>
      <c r="G1506" s="61" t="n">
        <v>23743315736</v>
      </c>
      <c r="H1506" s="13" t="s">
        <v>2255</v>
      </c>
      <c r="I1506" s="13" t="s">
        <v>2390</v>
      </c>
      <c r="J1506" s="13" t="n">
        <v>62</v>
      </c>
      <c r="K1506" s="13" t="s">
        <v>2278</v>
      </c>
      <c r="L1506" s="13" t="s">
        <v>2265</v>
      </c>
      <c r="M1506" s="13"/>
    </row>
    <row r="1507" customFormat="false" ht="15" hidden="false" customHeight="false" outlineLevel="0" collapsed="false">
      <c r="A1507" s="13" t="s">
        <v>628</v>
      </c>
      <c r="B1507" s="13" t="s">
        <v>627</v>
      </c>
      <c r="C1507" s="13" t="s">
        <v>2254</v>
      </c>
      <c r="D1507" s="13" t="s">
        <v>2270</v>
      </c>
      <c r="E1507" s="13" t="s">
        <v>2392</v>
      </c>
      <c r="F1507" s="13" t="s">
        <v>2393</v>
      </c>
      <c r="G1507" s="61" t="n">
        <v>10590340200</v>
      </c>
      <c r="H1507" s="13" t="s">
        <v>2255</v>
      </c>
      <c r="I1507" s="13" t="s">
        <v>2394</v>
      </c>
      <c r="J1507" s="13" t="n">
        <v>7</v>
      </c>
      <c r="K1507" s="13" t="s">
        <v>2274</v>
      </c>
      <c r="L1507" s="13" t="s">
        <v>2257</v>
      </c>
      <c r="M1507" s="13"/>
    </row>
    <row r="1508" customFormat="false" ht="15" hidden="false" customHeight="false" outlineLevel="0" collapsed="false">
      <c r="A1508" s="13" t="s">
        <v>628</v>
      </c>
      <c r="B1508" s="13" t="s">
        <v>627</v>
      </c>
      <c r="C1508" s="13" t="s">
        <v>2258</v>
      </c>
      <c r="D1508" s="13" t="s">
        <v>2270</v>
      </c>
      <c r="E1508" s="13" t="s">
        <v>2392</v>
      </c>
      <c r="F1508" s="13" t="s">
        <v>2393</v>
      </c>
      <c r="G1508" s="61" t="n">
        <v>29671397360</v>
      </c>
      <c r="H1508" s="13" t="s">
        <v>2255</v>
      </c>
      <c r="I1508" s="13" t="s">
        <v>2394</v>
      </c>
      <c r="J1508" s="13" t="n">
        <v>7</v>
      </c>
      <c r="K1508" s="13" t="s">
        <v>2275</v>
      </c>
      <c r="L1508" s="13" t="s">
        <v>2260</v>
      </c>
      <c r="M1508" s="13"/>
    </row>
    <row r="1509" customFormat="false" ht="15" hidden="false" customHeight="false" outlineLevel="0" collapsed="false">
      <c r="A1509" s="13" t="s">
        <v>628</v>
      </c>
      <c r="B1509" s="13" t="s">
        <v>627</v>
      </c>
      <c r="C1509" s="13" t="s">
        <v>2261</v>
      </c>
      <c r="D1509" s="13" t="s">
        <v>2270</v>
      </c>
      <c r="E1509" s="13" t="s">
        <v>2392</v>
      </c>
      <c r="F1509" s="13" t="s">
        <v>2393</v>
      </c>
      <c r="G1509" s="61" t="n">
        <v>8767360140</v>
      </c>
      <c r="H1509" s="13" t="s">
        <v>2255</v>
      </c>
      <c r="I1509" s="13" t="s">
        <v>2394</v>
      </c>
      <c r="J1509" s="13" t="n">
        <v>7</v>
      </c>
      <c r="K1509" s="13" t="s">
        <v>2276</v>
      </c>
      <c r="L1509" s="13" t="s">
        <v>2263</v>
      </c>
      <c r="M1509" s="13"/>
    </row>
    <row r="1510" customFormat="false" ht="15" hidden="false" customHeight="false" outlineLevel="0" collapsed="false">
      <c r="A1510" s="13" t="s">
        <v>628</v>
      </c>
      <c r="B1510" s="13" t="s">
        <v>627</v>
      </c>
      <c r="C1510" s="13" t="s">
        <v>2264</v>
      </c>
      <c r="D1510" s="13" t="s">
        <v>2270</v>
      </c>
      <c r="E1510" s="13" t="s">
        <v>2392</v>
      </c>
      <c r="F1510" s="13" t="s">
        <v>2393</v>
      </c>
      <c r="G1510" s="61" t="n">
        <v>2995087040</v>
      </c>
      <c r="H1510" s="13" t="s">
        <v>2255</v>
      </c>
      <c r="I1510" s="13" t="s">
        <v>2394</v>
      </c>
      <c r="J1510" s="13" t="n">
        <v>7</v>
      </c>
      <c r="K1510" s="13" t="s">
        <v>2277</v>
      </c>
      <c r="L1510" s="13" t="s">
        <v>2265</v>
      </c>
      <c r="M1510" s="13"/>
    </row>
    <row r="1511" customFormat="false" ht="15" hidden="false" customHeight="false" outlineLevel="0" collapsed="false">
      <c r="A1511" s="13" t="s">
        <v>628</v>
      </c>
      <c r="B1511" s="13" t="s">
        <v>627</v>
      </c>
      <c r="C1511" s="13" t="s">
        <v>2266</v>
      </c>
      <c r="D1511" s="13" t="s">
        <v>2270</v>
      </c>
      <c r="E1511" s="13" t="s">
        <v>2392</v>
      </c>
      <c r="F1511" s="13" t="s">
        <v>2393</v>
      </c>
      <c r="G1511" s="61" t="n">
        <v>2239653900</v>
      </c>
      <c r="H1511" s="13" t="s">
        <v>2255</v>
      </c>
      <c r="I1511" s="13" t="s">
        <v>2394</v>
      </c>
      <c r="J1511" s="13" t="s">
        <v>2395</v>
      </c>
      <c r="K1511" s="13" t="s">
        <v>2278</v>
      </c>
      <c r="L1511" s="13" t="s">
        <v>2265</v>
      </c>
      <c r="M1511" s="13"/>
    </row>
    <row r="1512" customFormat="false" ht="15" hidden="false" customHeight="false" outlineLevel="0" collapsed="false">
      <c r="A1512" s="13" t="s">
        <v>628</v>
      </c>
      <c r="B1512" s="13" t="s">
        <v>627</v>
      </c>
      <c r="C1512" s="13" t="s">
        <v>2267</v>
      </c>
      <c r="D1512" s="13" t="s">
        <v>2270</v>
      </c>
      <c r="E1512" s="13" t="s">
        <v>2392</v>
      </c>
      <c r="F1512" s="13" t="s">
        <v>2393</v>
      </c>
      <c r="G1512" s="61" t="n">
        <v>684871220</v>
      </c>
      <c r="H1512" s="13" t="s">
        <v>2255</v>
      </c>
      <c r="I1512" s="13" t="s">
        <v>2394</v>
      </c>
      <c r="J1512" s="13" t="s">
        <v>2395</v>
      </c>
      <c r="K1512" s="13" t="s">
        <v>2278</v>
      </c>
      <c r="L1512" s="13" t="s">
        <v>2265</v>
      </c>
      <c r="M1512" s="13"/>
    </row>
    <row r="1513" customFormat="false" ht="15" hidden="false" customHeight="false" outlineLevel="0" collapsed="false">
      <c r="A1513" s="13" t="s">
        <v>628</v>
      </c>
      <c r="B1513" s="13" t="s">
        <v>627</v>
      </c>
      <c r="C1513" s="13" t="s">
        <v>2254</v>
      </c>
      <c r="D1513" s="13" t="s">
        <v>2270</v>
      </c>
      <c r="E1513" s="13" t="s">
        <v>2392</v>
      </c>
      <c r="F1513" s="13" t="s">
        <v>2396</v>
      </c>
      <c r="G1513" s="61" t="n">
        <v>18235861633</v>
      </c>
      <c r="H1513" s="13" t="s">
        <v>2255</v>
      </c>
      <c r="I1513" s="13" t="s">
        <v>2394</v>
      </c>
      <c r="J1513" s="13" t="n">
        <v>7</v>
      </c>
      <c r="K1513" s="13" t="s">
        <v>2274</v>
      </c>
      <c r="L1513" s="13" t="s">
        <v>2257</v>
      </c>
      <c r="M1513" s="13"/>
    </row>
    <row r="1514" customFormat="false" ht="15" hidden="false" customHeight="false" outlineLevel="0" collapsed="false">
      <c r="A1514" s="13" t="s">
        <v>628</v>
      </c>
      <c r="B1514" s="13" t="s">
        <v>627</v>
      </c>
      <c r="C1514" s="13" t="s">
        <v>2258</v>
      </c>
      <c r="D1514" s="13" t="s">
        <v>2270</v>
      </c>
      <c r="E1514" s="13" t="s">
        <v>2392</v>
      </c>
      <c r="F1514" s="13" t="s">
        <v>2396</v>
      </c>
      <c r="G1514" s="61" t="n">
        <v>73987652765</v>
      </c>
      <c r="H1514" s="13" t="s">
        <v>2255</v>
      </c>
      <c r="I1514" s="13" t="s">
        <v>2394</v>
      </c>
      <c r="J1514" s="13" t="n">
        <v>7</v>
      </c>
      <c r="K1514" s="13" t="s">
        <v>2275</v>
      </c>
      <c r="L1514" s="13" t="s">
        <v>2260</v>
      </c>
      <c r="M1514" s="13"/>
    </row>
    <row r="1515" customFormat="false" ht="15" hidden="false" customHeight="false" outlineLevel="0" collapsed="false">
      <c r="A1515" s="13" t="s">
        <v>628</v>
      </c>
      <c r="B1515" s="13" t="s">
        <v>627</v>
      </c>
      <c r="C1515" s="13" t="s">
        <v>2261</v>
      </c>
      <c r="D1515" s="13" t="s">
        <v>2270</v>
      </c>
      <c r="E1515" s="13" t="s">
        <v>2392</v>
      </c>
      <c r="F1515" s="13" t="s">
        <v>2396</v>
      </c>
      <c r="G1515" s="61" t="n">
        <v>38317686670</v>
      </c>
      <c r="H1515" s="13" t="s">
        <v>2255</v>
      </c>
      <c r="I1515" s="13" t="s">
        <v>2394</v>
      </c>
      <c r="J1515" s="13" t="n">
        <v>7</v>
      </c>
      <c r="K1515" s="13" t="s">
        <v>2276</v>
      </c>
      <c r="L1515" s="13" t="s">
        <v>2263</v>
      </c>
      <c r="M1515" s="13"/>
    </row>
    <row r="1516" customFormat="false" ht="15" hidden="false" customHeight="false" outlineLevel="0" collapsed="false">
      <c r="A1516" s="13" t="s">
        <v>628</v>
      </c>
      <c r="B1516" s="13" t="s">
        <v>627</v>
      </c>
      <c r="C1516" s="13" t="s">
        <v>2264</v>
      </c>
      <c r="D1516" s="13" t="s">
        <v>2270</v>
      </c>
      <c r="E1516" s="13" t="s">
        <v>2392</v>
      </c>
      <c r="F1516" s="13" t="s">
        <v>2396</v>
      </c>
      <c r="G1516" s="61" t="n">
        <v>27095614143</v>
      </c>
      <c r="H1516" s="13" t="s">
        <v>2255</v>
      </c>
      <c r="I1516" s="13" t="s">
        <v>2394</v>
      </c>
      <c r="J1516" s="13" t="n">
        <v>7</v>
      </c>
      <c r="K1516" s="13" t="s">
        <v>2277</v>
      </c>
      <c r="L1516" s="13" t="s">
        <v>2265</v>
      </c>
      <c r="M1516" s="13"/>
    </row>
    <row r="1517" customFormat="false" ht="15" hidden="false" customHeight="false" outlineLevel="0" collapsed="false">
      <c r="A1517" s="13" t="s">
        <v>628</v>
      </c>
      <c r="B1517" s="13" t="s">
        <v>627</v>
      </c>
      <c r="C1517" s="13" t="s">
        <v>2266</v>
      </c>
      <c r="D1517" s="13" t="s">
        <v>2270</v>
      </c>
      <c r="E1517" s="13" t="s">
        <v>2392</v>
      </c>
      <c r="F1517" s="13" t="s">
        <v>2396</v>
      </c>
      <c r="G1517" s="61" t="n">
        <v>15856571221</v>
      </c>
      <c r="H1517" s="13" t="s">
        <v>2255</v>
      </c>
      <c r="I1517" s="13" t="s">
        <v>2394</v>
      </c>
      <c r="J1517" s="13" t="s">
        <v>2395</v>
      </c>
      <c r="K1517" s="13" t="s">
        <v>2278</v>
      </c>
      <c r="L1517" s="13" t="s">
        <v>2265</v>
      </c>
      <c r="M1517" s="13"/>
    </row>
    <row r="1518" customFormat="false" ht="15" hidden="false" customHeight="false" outlineLevel="0" collapsed="false">
      <c r="A1518" s="13" t="s">
        <v>628</v>
      </c>
      <c r="B1518" s="13" t="s">
        <v>627</v>
      </c>
      <c r="C1518" s="13" t="s">
        <v>2267</v>
      </c>
      <c r="D1518" s="13" t="s">
        <v>2270</v>
      </c>
      <c r="E1518" s="13" t="s">
        <v>2392</v>
      </c>
      <c r="F1518" s="13" t="s">
        <v>2396</v>
      </c>
      <c r="G1518" s="61" t="n">
        <v>21057545453</v>
      </c>
      <c r="H1518" s="13" t="s">
        <v>2255</v>
      </c>
      <c r="I1518" s="13" t="s">
        <v>2394</v>
      </c>
      <c r="J1518" s="13" t="s">
        <v>2395</v>
      </c>
      <c r="K1518" s="13" t="s">
        <v>2278</v>
      </c>
      <c r="L1518" s="13" t="s">
        <v>2265</v>
      </c>
      <c r="M1518" s="13"/>
    </row>
    <row r="1519" customFormat="false" ht="15" hidden="false" customHeight="false" outlineLevel="0" collapsed="false">
      <c r="A1519" s="13" t="s">
        <v>628</v>
      </c>
      <c r="B1519" s="13" t="s">
        <v>627</v>
      </c>
      <c r="C1519" s="13" t="s">
        <v>2266</v>
      </c>
      <c r="D1519" s="13" t="s">
        <v>2270</v>
      </c>
      <c r="E1519" s="13" t="s">
        <v>2392</v>
      </c>
      <c r="F1519" s="13" t="s">
        <v>2397</v>
      </c>
      <c r="G1519" s="61" t="n">
        <v>-1643320773</v>
      </c>
      <c r="H1519" s="13" t="s">
        <v>2255</v>
      </c>
      <c r="I1519" s="13" t="s">
        <v>2394</v>
      </c>
      <c r="J1519" s="13" t="s">
        <v>2395</v>
      </c>
      <c r="K1519" s="13" t="s">
        <v>2278</v>
      </c>
      <c r="L1519" s="13" t="s">
        <v>2265</v>
      </c>
      <c r="M1519" s="13"/>
    </row>
    <row r="1520" customFormat="false" ht="15" hidden="false" customHeight="false" outlineLevel="0" collapsed="false">
      <c r="A1520" s="13" t="s">
        <v>628</v>
      </c>
      <c r="B1520" s="13" t="s">
        <v>627</v>
      </c>
      <c r="C1520" s="13" t="s">
        <v>2267</v>
      </c>
      <c r="D1520" s="13" t="s">
        <v>2270</v>
      </c>
      <c r="E1520" s="13" t="s">
        <v>2392</v>
      </c>
      <c r="F1520" s="13" t="s">
        <v>2397</v>
      </c>
      <c r="G1520" s="61" t="n">
        <v>-6521673752</v>
      </c>
      <c r="H1520" s="13" t="s">
        <v>2255</v>
      </c>
      <c r="I1520" s="13" t="s">
        <v>2394</v>
      </c>
      <c r="J1520" s="13" t="s">
        <v>2395</v>
      </c>
      <c r="K1520" s="13" t="s">
        <v>2278</v>
      </c>
      <c r="L1520" s="13" t="s">
        <v>2265</v>
      </c>
      <c r="M1520" s="13"/>
    </row>
    <row r="1521" customFormat="false" ht="15" hidden="false" customHeight="false" outlineLevel="0" collapsed="false">
      <c r="A1521" s="13" t="s">
        <v>628</v>
      </c>
      <c r="B1521" s="13" t="s">
        <v>627</v>
      </c>
      <c r="C1521" s="13" t="s">
        <v>2254</v>
      </c>
      <c r="D1521" s="13" t="s">
        <v>2270</v>
      </c>
      <c r="E1521" s="13" t="s">
        <v>2392</v>
      </c>
      <c r="F1521" s="13" t="s">
        <v>697</v>
      </c>
      <c r="G1521" s="61" t="n">
        <v>617873898</v>
      </c>
      <c r="H1521" s="13" t="s">
        <v>2255</v>
      </c>
      <c r="I1521" s="13" t="s">
        <v>2394</v>
      </c>
      <c r="J1521" s="13" t="n">
        <v>7</v>
      </c>
      <c r="K1521" s="13" t="s">
        <v>2274</v>
      </c>
      <c r="L1521" s="13" t="s">
        <v>2257</v>
      </c>
      <c r="M1521" s="13"/>
    </row>
    <row r="1522" customFormat="false" ht="15" hidden="false" customHeight="false" outlineLevel="0" collapsed="false">
      <c r="A1522" s="13" t="s">
        <v>628</v>
      </c>
      <c r="B1522" s="13" t="s">
        <v>627</v>
      </c>
      <c r="C1522" s="13" t="s">
        <v>2258</v>
      </c>
      <c r="D1522" s="13" t="s">
        <v>2270</v>
      </c>
      <c r="E1522" s="13" t="s">
        <v>2392</v>
      </c>
      <c r="F1522" s="13" t="s">
        <v>697</v>
      </c>
      <c r="G1522" s="61" t="n">
        <v>0</v>
      </c>
      <c r="H1522" s="13" t="s">
        <v>2255</v>
      </c>
      <c r="I1522" s="13" t="s">
        <v>2394</v>
      </c>
      <c r="J1522" s="13" t="n">
        <v>7</v>
      </c>
      <c r="K1522" s="13" t="s">
        <v>2275</v>
      </c>
      <c r="L1522" s="13" t="s">
        <v>2260</v>
      </c>
      <c r="M1522" s="13"/>
    </row>
    <row r="1523" customFormat="false" ht="15" hidden="false" customHeight="false" outlineLevel="0" collapsed="false">
      <c r="A1523" s="13" t="s">
        <v>628</v>
      </c>
      <c r="B1523" s="13" t="s">
        <v>627</v>
      </c>
      <c r="C1523" s="13" t="s">
        <v>2261</v>
      </c>
      <c r="D1523" s="13" t="s">
        <v>2270</v>
      </c>
      <c r="E1523" s="13" t="s">
        <v>2392</v>
      </c>
      <c r="F1523" s="13" t="s">
        <v>697</v>
      </c>
      <c r="G1523" s="61" t="n">
        <v>2188786472</v>
      </c>
      <c r="H1523" s="13" t="s">
        <v>2255</v>
      </c>
      <c r="I1523" s="13" t="s">
        <v>2394</v>
      </c>
      <c r="J1523" s="13" t="n">
        <v>7</v>
      </c>
      <c r="K1523" s="13" t="s">
        <v>2276</v>
      </c>
      <c r="L1523" s="13" t="s">
        <v>2263</v>
      </c>
      <c r="M1523" s="13"/>
    </row>
    <row r="1524" customFormat="false" ht="15" hidden="false" customHeight="false" outlineLevel="0" collapsed="false">
      <c r="A1524" s="13" t="s">
        <v>628</v>
      </c>
      <c r="B1524" s="13" t="s">
        <v>627</v>
      </c>
      <c r="C1524" s="13" t="s">
        <v>2264</v>
      </c>
      <c r="D1524" s="13" t="s">
        <v>2270</v>
      </c>
      <c r="E1524" s="13" t="s">
        <v>2392</v>
      </c>
      <c r="F1524" s="13" t="s">
        <v>697</v>
      </c>
      <c r="G1524" s="61" t="n">
        <v>2126150500</v>
      </c>
      <c r="H1524" s="13" t="s">
        <v>2255</v>
      </c>
      <c r="I1524" s="13" t="s">
        <v>2394</v>
      </c>
      <c r="J1524" s="13" t="n">
        <v>7</v>
      </c>
      <c r="K1524" s="13" t="s">
        <v>2277</v>
      </c>
      <c r="L1524" s="13" t="s">
        <v>2265</v>
      </c>
      <c r="M1524" s="13"/>
    </row>
    <row r="1525" customFormat="false" ht="15" hidden="false" customHeight="false" outlineLevel="0" collapsed="false">
      <c r="A1525" s="13" t="s">
        <v>628</v>
      </c>
      <c r="B1525" s="13" t="s">
        <v>627</v>
      </c>
      <c r="C1525" s="13" t="s">
        <v>2266</v>
      </c>
      <c r="D1525" s="13" t="s">
        <v>2270</v>
      </c>
      <c r="E1525" s="13" t="s">
        <v>2392</v>
      </c>
      <c r="F1525" s="13" t="s">
        <v>697</v>
      </c>
      <c r="G1525" s="61" t="n">
        <v>3245042894</v>
      </c>
      <c r="H1525" s="13" t="s">
        <v>2255</v>
      </c>
      <c r="I1525" s="13" t="s">
        <v>2394</v>
      </c>
      <c r="J1525" s="13" t="s">
        <v>2395</v>
      </c>
      <c r="K1525" s="13" t="s">
        <v>2278</v>
      </c>
      <c r="L1525" s="13" t="s">
        <v>2265</v>
      </c>
      <c r="M1525" s="13"/>
    </row>
    <row r="1526" customFormat="false" ht="15" hidden="false" customHeight="false" outlineLevel="0" collapsed="false">
      <c r="A1526" s="13" t="s">
        <v>628</v>
      </c>
      <c r="B1526" s="13" t="s">
        <v>627</v>
      </c>
      <c r="C1526" s="13" t="s">
        <v>2267</v>
      </c>
      <c r="D1526" s="13" t="s">
        <v>2270</v>
      </c>
      <c r="E1526" s="13" t="s">
        <v>2392</v>
      </c>
      <c r="F1526" s="13" t="s">
        <v>697</v>
      </c>
      <c r="G1526" s="61" t="n">
        <v>388764099</v>
      </c>
      <c r="H1526" s="13" t="s">
        <v>2255</v>
      </c>
      <c r="I1526" s="13" t="s">
        <v>2394</v>
      </c>
      <c r="J1526" s="13" t="s">
        <v>2395</v>
      </c>
      <c r="K1526" s="13" t="s">
        <v>2278</v>
      </c>
      <c r="L1526" s="13" t="s">
        <v>2265</v>
      </c>
      <c r="M1526" s="13"/>
    </row>
    <row r="1527" customFormat="false" ht="15" hidden="false" customHeight="false" outlineLevel="0" collapsed="false">
      <c r="A1527" s="13" t="s">
        <v>628</v>
      </c>
      <c r="B1527" s="13" t="s">
        <v>627</v>
      </c>
      <c r="C1527" s="13" t="s">
        <v>2254</v>
      </c>
      <c r="D1527" s="13" t="s">
        <v>2270</v>
      </c>
      <c r="E1527" s="13" t="s">
        <v>2392</v>
      </c>
      <c r="F1527" s="13" t="s">
        <v>2290</v>
      </c>
      <c r="G1527" s="61" t="n">
        <v>26531851745</v>
      </c>
      <c r="H1527" s="13" t="s">
        <v>2255</v>
      </c>
      <c r="I1527" s="13" t="s">
        <v>2394</v>
      </c>
      <c r="J1527" s="13" t="n">
        <v>7</v>
      </c>
      <c r="K1527" s="13" t="s">
        <v>2274</v>
      </c>
      <c r="L1527" s="13" t="s">
        <v>2257</v>
      </c>
      <c r="M1527" s="13"/>
    </row>
    <row r="1528" customFormat="false" ht="15" hidden="false" customHeight="false" outlineLevel="0" collapsed="false">
      <c r="A1528" s="13" t="s">
        <v>628</v>
      </c>
      <c r="B1528" s="13" t="s">
        <v>627</v>
      </c>
      <c r="C1528" s="13" t="s">
        <v>2258</v>
      </c>
      <c r="D1528" s="13" t="s">
        <v>2270</v>
      </c>
      <c r="E1528" s="13" t="s">
        <v>2392</v>
      </c>
      <c r="F1528" s="13" t="s">
        <v>2290</v>
      </c>
      <c r="G1528" s="61" t="n">
        <v>102489898340</v>
      </c>
      <c r="H1528" s="13" t="s">
        <v>2255</v>
      </c>
      <c r="I1528" s="13" t="s">
        <v>2394</v>
      </c>
      <c r="J1528" s="13" t="n">
        <v>7</v>
      </c>
      <c r="K1528" s="13" t="s">
        <v>2275</v>
      </c>
      <c r="L1528" s="13" t="s">
        <v>2260</v>
      </c>
      <c r="M1528" s="13"/>
    </row>
    <row r="1529" customFormat="false" ht="15" hidden="false" customHeight="false" outlineLevel="0" collapsed="false">
      <c r="A1529" s="13" t="s">
        <v>628</v>
      </c>
      <c r="B1529" s="13" t="s">
        <v>627</v>
      </c>
      <c r="C1529" s="13" t="s">
        <v>2261</v>
      </c>
      <c r="D1529" s="13" t="s">
        <v>2270</v>
      </c>
      <c r="E1529" s="13" t="s">
        <v>2392</v>
      </c>
      <c r="F1529" s="13" t="s">
        <v>2290</v>
      </c>
      <c r="G1529" s="61" t="n">
        <v>47858164349</v>
      </c>
      <c r="H1529" s="13" t="s">
        <v>2255</v>
      </c>
      <c r="I1529" s="13" t="s">
        <v>2394</v>
      </c>
      <c r="J1529" s="13" t="n">
        <v>7</v>
      </c>
      <c r="K1529" s="13" t="s">
        <v>2276</v>
      </c>
      <c r="L1529" s="13" t="s">
        <v>2263</v>
      </c>
      <c r="M1529" s="13"/>
    </row>
    <row r="1530" customFormat="false" ht="15" hidden="false" customHeight="false" outlineLevel="0" collapsed="false">
      <c r="A1530" s="13" t="s">
        <v>628</v>
      </c>
      <c r="B1530" s="13" t="s">
        <v>627</v>
      </c>
      <c r="C1530" s="13" t="s">
        <v>2264</v>
      </c>
      <c r="D1530" s="13" t="s">
        <v>2270</v>
      </c>
      <c r="E1530" s="13" t="s">
        <v>2392</v>
      </c>
      <c r="F1530" s="13" t="s">
        <v>2290</v>
      </c>
      <c r="G1530" s="61" t="n">
        <v>24093626876</v>
      </c>
      <c r="H1530" s="13" t="s">
        <v>2255</v>
      </c>
      <c r="I1530" s="13" t="s">
        <v>2394</v>
      </c>
      <c r="J1530" s="13" t="n">
        <v>7</v>
      </c>
      <c r="K1530" s="13" t="s">
        <v>2277</v>
      </c>
      <c r="L1530" s="13" t="s">
        <v>2265</v>
      </c>
      <c r="M1530" s="13"/>
    </row>
    <row r="1531" customFormat="false" ht="15" hidden="false" customHeight="false" outlineLevel="0" collapsed="false">
      <c r="A1531" s="13" t="s">
        <v>628</v>
      </c>
      <c r="B1531" s="13" t="s">
        <v>627</v>
      </c>
      <c r="C1531" s="13" t="s">
        <v>2266</v>
      </c>
      <c r="D1531" s="13" t="s">
        <v>2270</v>
      </c>
      <c r="E1531" s="13" t="s">
        <v>2392</v>
      </c>
      <c r="F1531" s="13" t="s">
        <v>2290</v>
      </c>
      <c r="G1531" s="61" t="n">
        <v>19697947242</v>
      </c>
      <c r="H1531" s="13" t="s">
        <v>2255</v>
      </c>
      <c r="I1531" s="13" t="s">
        <v>2394</v>
      </c>
      <c r="J1531" s="13" t="s">
        <v>2395</v>
      </c>
      <c r="K1531" s="13" t="s">
        <v>2278</v>
      </c>
      <c r="L1531" s="13" t="s">
        <v>2265</v>
      </c>
      <c r="M1531" s="13"/>
    </row>
    <row r="1532" customFormat="false" ht="15" hidden="false" customHeight="false" outlineLevel="0" collapsed="false">
      <c r="A1532" s="13" t="s">
        <v>628</v>
      </c>
      <c r="B1532" s="13" t="s">
        <v>627</v>
      </c>
      <c r="C1532" s="13" t="s">
        <v>2267</v>
      </c>
      <c r="D1532" s="13" t="s">
        <v>2270</v>
      </c>
      <c r="E1532" s="13" t="s">
        <v>2392</v>
      </c>
      <c r="F1532" s="13" t="s">
        <v>2290</v>
      </c>
      <c r="G1532" s="61" t="n">
        <v>15609507020</v>
      </c>
      <c r="H1532" s="13" t="s">
        <v>2255</v>
      </c>
      <c r="I1532" s="13" t="s">
        <v>2394</v>
      </c>
      <c r="J1532" s="13" t="s">
        <v>2395</v>
      </c>
      <c r="K1532" s="13" t="s">
        <v>2278</v>
      </c>
      <c r="L1532" s="13" t="s">
        <v>2265</v>
      </c>
      <c r="M1532" s="13"/>
    </row>
    <row r="1533" customFormat="false" ht="15" hidden="false" customHeight="false" outlineLevel="0" collapsed="false">
      <c r="A1533" s="13" t="s">
        <v>628</v>
      </c>
      <c r="B1533" s="13" t="s">
        <v>627</v>
      </c>
      <c r="C1533" s="13" t="s">
        <v>2254</v>
      </c>
      <c r="D1533" s="13" t="s">
        <v>2270</v>
      </c>
      <c r="E1533" s="13" t="s">
        <v>2398</v>
      </c>
      <c r="F1533" s="13" t="s">
        <v>2399</v>
      </c>
      <c r="G1533" s="61" t="n">
        <v>2115558294</v>
      </c>
      <c r="H1533" s="13" t="s">
        <v>2255</v>
      </c>
      <c r="I1533" s="13" t="s">
        <v>2394</v>
      </c>
      <c r="J1533" s="13" t="n">
        <v>7</v>
      </c>
      <c r="K1533" s="13" t="s">
        <v>2274</v>
      </c>
      <c r="L1533" s="13" t="s">
        <v>2257</v>
      </c>
      <c r="M1533" s="13"/>
    </row>
    <row r="1534" customFormat="false" ht="15" hidden="false" customHeight="false" outlineLevel="0" collapsed="false">
      <c r="A1534" s="13" t="s">
        <v>628</v>
      </c>
      <c r="B1534" s="13" t="s">
        <v>627</v>
      </c>
      <c r="C1534" s="13" t="s">
        <v>2258</v>
      </c>
      <c r="D1534" s="13" t="s">
        <v>2270</v>
      </c>
      <c r="E1534" s="13" t="s">
        <v>2398</v>
      </c>
      <c r="F1534" s="13" t="s">
        <v>2399</v>
      </c>
      <c r="G1534" s="61" t="n">
        <v>2566985695</v>
      </c>
      <c r="H1534" s="13" t="s">
        <v>2255</v>
      </c>
      <c r="I1534" s="13" t="s">
        <v>2394</v>
      </c>
      <c r="J1534" s="13" t="n">
        <v>7</v>
      </c>
      <c r="K1534" s="13" t="s">
        <v>2275</v>
      </c>
      <c r="L1534" s="13" t="s">
        <v>2260</v>
      </c>
      <c r="M1534" s="13"/>
    </row>
    <row r="1535" customFormat="false" ht="15" hidden="false" customHeight="false" outlineLevel="0" collapsed="false">
      <c r="A1535" s="13" t="s">
        <v>628</v>
      </c>
      <c r="B1535" s="13" t="s">
        <v>627</v>
      </c>
      <c r="C1535" s="13" t="s">
        <v>2261</v>
      </c>
      <c r="D1535" s="13" t="s">
        <v>2270</v>
      </c>
      <c r="E1535" s="13" t="s">
        <v>2398</v>
      </c>
      <c r="F1535" s="13" t="s">
        <v>2399</v>
      </c>
      <c r="G1535" s="61" t="n">
        <v>1529556969</v>
      </c>
      <c r="H1535" s="13" t="s">
        <v>2255</v>
      </c>
      <c r="I1535" s="13" t="s">
        <v>2394</v>
      </c>
      <c r="J1535" s="13" t="n">
        <v>7</v>
      </c>
      <c r="K1535" s="13" t="s">
        <v>2276</v>
      </c>
      <c r="L1535" s="13" t="s">
        <v>2263</v>
      </c>
      <c r="M1535" s="13"/>
    </row>
    <row r="1536" customFormat="false" ht="15" hidden="false" customHeight="false" outlineLevel="0" collapsed="false">
      <c r="A1536" s="13" t="s">
        <v>628</v>
      </c>
      <c r="B1536" s="13" t="s">
        <v>627</v>
      </c>
      <c r="C1536" s="13" t="s">
        <v>2264</v>
      </c>
      <c r="D1536" s="13" t="s">
        <v>2270</v>
      </c>
      <c r="E1536" s="13" t="s">
        <v>2398</v>
      </c>
      <c r="F1536" s="13" t="s">
        <v>2399</v>
      </c>
      <c r="G1536" s="61" t="n">
        <v>977102356</v>
      </c>
      <c r="H1536" s="13" t="s">
        <v>2255</v>
      </c>
      <c r="I1536" s="13" t="s">
        <v>2394</v>
      </c>
      <c r="J1536" s="13" t="n">
        <v>7</v>
      </c>
      <c r="K1536" s="13" t="s">
        <v>2277</v>
      </c>
      <c r="L1536" s="13" t="s">
        <v>2265</v>
      </c>
      <c r="M1536" s="13"/>
    </row>
    <row r="1537" customFormat="false" ht="15" hidden="false" customHeight="false" outlineLevel="0" collapsed="false">
      <c r="A1537" s="13" t="s">
        <v>628</v>
      </c>
      <c r="B1537" s="13" t="s">
        <v>627</v>
      </c>
      <c r="C1537" s="13" t="s">
        <v>2266</v>
      </c>
      <c r="D1537" s="13" t="s">
        <v>2270</v>
      </c>
      <c r="E1537" s="13" t="s">
        <v>2398</v>
      </c>
      <c r="F1537" s="13" t="s">
        <v>2399</v>
      </c>
      <c r="G1537" s="61" t="n">
        <v>10510810074</v>
      </c>
      <c r="H1537" s="13" t="s">
        <v>2255</v>
      </c>
      <c r="I1537" s="13" t="s">
        <v>2394</v>
      </c>
      <c r="J1537" s="13" t="n">
        <v>62</v>
      </c>
      <c r="K1537" s="13" t="s">
        <v>2278</v>
      </c>
      <c r="L1537" s="13" t="s">
        <v>2265</v>
      </c>
      <c r="M1537" s="13"/>
    </row>
    <row r="1538" customFormat="false" ht="15" hidden="false" customHeight="false" outlineLevel="0" collapsed="false">
      <c r="A1538" s="13" t="s">
        <v>628</v>
      </c>
      <c r="B1538" s="13" t="s">
        <v>627</v>
      </c>
      <c r="C1538" s="13" t="s">
        <v>2267</v>
      </c>
      <c r="D1538" s="13" t="s">
        <v>2270</v>
      </c>
      <c r="E1538" s="13" t="s">
        <v>2398</v>
      </c>
      <c r="F1538" s="13" t="s">
        <v>2399</v>
      </c>
      <c r="G1538" s="61" t="n">
        <v>13484587923</v>
      </c>
      <c r="H1538" s="13" t="s">
        <v>2255</v>
      </c>
      <c r="I1538" s="13" t="s">
        <v>2394</v>
      </c>
      <c r="J1538" s="13" t="n">
        <v>62</v>
      </c>
      <c r="K1538" s="13" t="s">
        <v>2278</v>
      </c>
      <c r="L1538" s="13" t="s">
        <v>2265</v>
      </c>
      <c r="M1538" s="13"/>
    </row>
    <row r="1539" customFormat="false" ht="15" hidden="false" customHeight="false" outlineLevel="0" collapsed="false">
      <c r="A1539" s="13" t="s">
        <v>628</v>
      </c>
      <c r="B1539" s="13" t="s">
        <v>627</v>
      </c>
      <c r="C1539" s="13" t="s">
        <v>2254</v>
      </c>
      <c r="D1539" s="13" t="s">
        <v>2270</v>
      </c>
      <c r="E1539" s="13" t="s">
        <v>2398</v>
      </c>
      <c r="F1539" s="13" t="s">
        <v>2400</v>
      </c>
      <c r="G1539" s="61" t="n">
        <v>29948775768</v>
      </c>
      <c r="H1539" s="13" t="s">
        <v>2255</v>
      </c>
      <c r="I1539" s="13" t="s">
        <v>2394</v>
      </c>
      <c r="J1539" s="13" t="n">
        <v>7</v>
      </c>
      <c r="K1539" s="13" t="s">
        <v>2274</v>
      </c>
      <c r="L1539" s="13" t="s">
        <v>2257</v>
      </c>
      <c r="M1539" s="13"/>
    </row>
    <row r="1540" customFormat="false" ht="15" hidden="false" customHeight="false" outlineLevel="0" collapsed="false">
      <c r="A1540" s="13" t="s">
        <v>628</v>
      </c>
      <c r="B1540" s="13" t="s">
        <v>627</v>
      </c>
      <c r="C1540" s="13" t="s">
        <v>2258</v>
      </c>
      <c r="D1540" s="13" t="s">
        <v>2270</v>
      </c>
      <c r="E1540" s="13" t="s">
        <v>2398</v>
      </c>
      <c r="F1540" s="13" t="s">
        <v>2400</v>
      </c>
      <c r="G1540" s="61" t="n">
        <v>90492583600</v>
      </c>
      <c r="H1540" s="13" t="s">
        <v>2255</v>
      </c>
      <c r="I1540" s="13" t="s">
        <v>2394</v>
      </c>
      <c r="J1540" s="13" t="n">
        <v>7</v>
      </c>
      <c r="K1540" s="13" t="s">
        <v>2275</v>
      </c>
      <c r="L1540" s="13" t="s">
        <v>2260</v>
      </c>
      <c r="M1540" s="13"/>
    </row>
    <row r="1541" customFormat="false" ht="15" hidden="false" customHeight="false" outlineLevel="0" collapsed="false">
      <c r="A1541" s="13" t="s">
        <v>628</v>
      </c>
      <c r="B1541" s="13" t="s">
        <v>627</v>
      </c>
      <c r="C1541" s="13" t="s">
        <v>2261</v>
      </c>
      <c r="D1541" s="13" t="s">
        <v>2270</v>
      </c>
      <c r="E1541" s="13" t="s">
        <v>2398</v>
      </c>
      <c r="F1541" s="13" t="s">
        <v>2400</v>
      </c>
      <c r="G1541" s="61" t="n">
        <v>21247052976</v>
      </c>
      <c r="H1541" s="13" t="s">
        <v>2255</v>
      </c>
      <c r="I1541" s="13" t="s">
        <v>2394</v>
      </c>
      <c r="J1541" s="13" t="n">
        <v>7</v>
      </c>
      <c r="K1541" s="13" t="s">
        <v>2276</v>
      </c>
      <c r="L1541" s="13" t="s">
        <v>2263</v>
      </c>
      <c r="M1541" s="13"/>
    </row>
    <row r="1542" customFormat="false" ht="15" hidden="false" customHeight="false" outlineLevel="0" collapsed="false">
      <c r="A1542" s="13" t="s">
        <v>628</v>
      </c>
      <c r="B1542" s="13" t="s">
        <v>627</v>
      </c>
      <c r="C1542" s="13" t="s">
        <v>2264</v>
      </c>
      <c r="D1542" s="13" t="s">
        <v>2270</v>
      </c>
      <c r="E1542" s="13" t="s">
        <v>2398</v>
      </c>
      <c r="F1542" s="13" t="s">
        <v>2400</v>
      </c>
      <c r="G1542" s="61" t="n">
        <v>18954459126</v>
      </c>
      <c r="H1542" s="13" t="s">
        <v>2255</v>
      </c>
      <c r="I1542" s="13" t="s">
        <v>2394</v>
      </c>
      <c r="J1542" s="13" t="n">
        <v>7</v>
      </c>
      <c r="K1542" s="13" t="s">
        <v>2277</v>
      </c>
      <c r="L1542" s="13" t="s">
        <v>2265</v>
      </c>
      <c r="M1542" s="13"/>
    </row>
    <row r="1543" customFormat="false" ht="15" hidden="false" customHeight="false" outlineLevel="0" collapsed="false">
      <c r="A1543" s="13" t="s">
        <v>628</v>
      </c>
      <c r="B1543" s="13" t="s">
        <v>627</v>
      </c>
      <c r="C1543" s="13" t="s">
        <v>2266</v>
      </c>
      <c r="D1543" s="13" t="s">
        <v>2270</v>
      </c>
      <c r="E1543" s="13" t="s">
        <v>2398</v>
      </c>
      <c r="F1543" s="13" t="s">
        <v>2400</v>
      </c>
      <c r="G1543" s="61" t="n">
        <v>9015649284</v>
      </c>
      <c r="H1543" s="13" t="s">
        <v>2255</v>
      </c>
      <c r="I1543" s="13" t="s">
        <v>2394</v>
      </c>
      <c r="J1543" s="13" t="n">
        <v>63</v>
      </c>
      <c r="K1543" s="13" t="s">
        <v>2278</v>
      </c>
      <c r="L1543" s="13" t="s">
        <v>2265</v>
      </c>
      <c r="M1543" s="13"/>
    </row>
    <row r="1544" customFormat="false" ht="15" hidden="false" customHeight="false" outlineLevel="0" collapsed="false">
      <c r="A1544" s="13" t="s">
        <v>628</v>
      </c>
      <c r="B1544" s="13" t="s">
        <v>627</v>
      </c>
      <c r="C1544" s="13" t="s">
        <v>2267</v>
      </c>
      <c r="D1544" s="13" t="s">
        <v>2270</v>
      </c>
      <c r="E1544" s="13" t="s">
        <v>2398</v>
      </c>
      <c r="F1544" s="13" t="s">
        <v>2400</v>
      </c>
      <c r="G1544" s="61" t="n">
        <v>18732279932</v>
      </c>
      <c r="H1544" s="13" t="s">
        <v>2255</v>
      </c>
      <c r="I1544" s="13" t="s">
        <v>2394</v>
      </c>
      <c r="J1544" s="13" t="n">
        <v>63</v>
      </c>
      <c r="K1544" s="13" t="s">
        <v>2278</v>
      </c>
      <c r="L1544" s="13" t="s">
        <v>2265</v>
      </c>
      <c r="M1544" s="13"/>
    </row>
    <row r="1545" customFormat="false" ht="15" hidden="false" customHeight="false" outlineLevel="0" collapsed="false">
      <c r="A1545" s="13" t="s">
        <v>628</v>
      </c>
      <c r="B1545" s="13" t="s">
        <v>627</v>
      </c>
      <c r="C1545" s="13" t="s">
        <v>2254</v>
      </c>
      <c r="D1545" s="13" t="s">
        <v>2270</v>
      </c>
      <c r="E1545" s="13" t="s">
        <v>2401</v>
      </c>
      <c r="F1545" s="13" t="s">
        <v>2402</v>
      </c>
      <c r="G1545" s="61" t="n">
        <v>69503669482</v>
      </c>
      <c r="H1545" s="13" t="s">
        <v>2255</v>
      </c>
      <c r="I1545" s="13" t="s">
        <v>2394</v>
      </c>
      <c r="J1545" s="13" t="n">
        <v>7</v>
      </c>
      <c r="K1545" s="13" t="s">
        <v>2274</v>
      </c>
      <c r="L1545" s="13" t="s">
        <v>2257</v>
      </c>
      <c r="M1545" s="13"/>
    </row>
    <row r="1546" customFormat="false" ht="15" hidden="false" customHeight="false" outlineLevel="0" collapsed="false">
      <c r="A1546" s="13" t="s">
        <v>628</v>
      </c>
      <c r="B1546" s="13" t="s">
        <v>627</v>
      </c>
      <c r="C1546" s="13" t="s">
        <v>2258</v>
      </c>
      <c r="D1546" s="13" t="s">
        <v>2270</v>
      </c>
      <c r="E1546" s="13" t="s">
        <v>2401</v>
      </c>
      <c r="F1546" s="13" t="s">
        <v>2402</v>
      </c>
      <c r="G1546" s="61" t="n">
        <v>176661134894</v>
      </c>
      <c r="H1546" s="13" t="s">
        <v>2255</v>
      </c>
      <c r="I1546" s="13" t="s">
        <v>2394</v>
      </c>
      <c r="J1546" s="13" t="n">
        <v>7</v>
      </c>
      <c r="K1546" s="13" t="s">
        <v>2275</v>
      </c>
      <c r="L1546" s="13" t="s">
        <v>2260</v>
      </c>
      <c r="M1546" s="13"/>
    </row>
    <row r="1547" customFormat="false" ht="15" hidden="false" customHeight="false" outlineLevel="0" collapsed="false">
      <c r="A1547" s="13" t="s">
        <v>628</v>
      </c>
      <c r="B1547" s="13" t="s">
        <v>627</v>
      </c>
      <c r="C1547" s="13" t="s">
        <v>2261</v>
      </c>
      <c r="D1547" s="13" t="s">
        <v>2270</v>
      </c>
      <c r="E1547" s="13" t="s">
        <v>2401</v>
      </c>
      <c r="F1547" s="13" t="s">
        <v>2402</v>
      </c>
      <c r="G1547" s="61" t="n">
        <v>50028807276</v>
      </c>
      <c r="H1547" s="13" t="s">
        <v>2255</v>
      </c>
      <c r="I1547" s="13" t="s">
        <v>2394</v>
      </c>
      <c r="J1547" s="13" t="n">
        <v>7</v>
      </c>
      <c r="K1547" s="13" t="s">
        <v>2276</v>
      </c>
      <c r="L1547" s="13" t="s">
        <v>2263</v>
      </c>
      <c r="M1547" s="13"/>
    </row>
    <row r="1548" customFormat="false" ht="15" hidden="false" customHeight="false" outlineLevel="0" collapsed="false">
      <c r="A1548" s="13" t="s">
        <v>628</v>
      </c>
      <c r="B1548" s="13" t="s">
        <v>627</v>
      </c>
      <c r="C1548" s="13" t="s">
        <v>2264</v>
      </c>
      <c r="D1548" s="13" t="s">
        <v>2270</v>
      </c>
      <c r="E1548" s="13" t="s">
        <v>2401</v>
      </c>
      <c r="F1548" s="13" t="s">
        <v>2402</v>
      </c>
      <c r="G1548" s="61" t="n">
        <v>10464327456</v>
      </c>
      <c r="H1548" s="13" t="s">
        <v>2255</v>
      </c>
      <c r="I1548" s="13" t="s">
        <v>2394</v>
      </c>
      <c r="J1548" s="13" t="n">
        <v>7</v>
      </c>
      <c r="K1548" s="13" t="s">
        <v>2277</v>
      </c>
      <c r="L1548" s="13" t="s">
        <v>2265</v>
      </c>
      <c r="M1548" s="13"/>
    </row>
    <row r="1549" customFormat="false" ht="15" hidden="false" customHeight="false" outlineLevel="0" collapsed="false">
      <c r="A1549" s="13" t="s">
        <v>628</v>
      </c>
      <c r="B1549" s="13" t="s">
        <v>627</v>
      </c>
      <c r="C1549" s="13" t="s">
        <v>2266</v>
      </c>
      <c r="D1549" s="13" t="s">
        <v>2270</v>
      </c>
      <c r="E1549" s="13" t="s">
        <v>2401</v>
      </c>
      <c r="F1549" s="13" t="s">
        <v>2402</v>
      </c>
      <c r="G1549" s="61" t="n">
        <v>109498761143</v>
      </c>
      <c r="H1549" s="13" t="s">
        <v>2255</v>
      </c>
      <c r="I1549" s="13" t="s">
        <v>2394</v>
      </c>
      <c r="J1549" s="13" t="n">
        <v>64</v>
      </c>
      <c r="K1549" s="13" t="s">
        <v>2278</v>
      </c>
      <c r="L1549" s="13" t="s">
        <v>2265</v>
      </c>
      <c r="M1549" s="13"/>
    </row>
    <row r="1550" customFormat="false" ht="15" hidden="false" customHeight="false" outlineLevel="0" collapsed="false">
      <c r="A1550" s="13" t="s">
        <v>628</v>
      </c>
      <c r="B1550" s="13" t="s">
        <v>627</v>
      </c>
      <c r="C1550" s="13" t="s">
        <v>2267</v>
      </c>
      <c r="D1550" s="13" t="s">
        <v>2270</v>
      </c>
      <c r="E1550" s="13" t="s">
        <v>2401</v>
      </c>
      <c r="F1550" s="13" t="s">
        <v>2402</v>
      </c>
      <c r="G1550" s="61" t="n">
        <v>760172442</v>
      </c>
      <c r="H1550" s="13" t="s">
        <v>2255</v>
      </c>
      <c r="I1550" s="13" t="s">
        <v>2394</v>
      </c>
      <c r="J1550" s="13" t="n">
        <v>64</v>
      </c>
      <c r="K1550" s="13" t="s">
        <v>2278</v>
      </c>
      <c r="L1550" s="13" t="s">
        <v>2265</v>
      </c>
      <c r="M1550" s="13"/>
    </row>
    <row r="1551" customFormat="false" ht="15" hidden="false" customHeight="false" outlineLevel="0" collapsed="false">
      <c r="A1551" s="13" t="s">
        <v>628</v>
      </c>
      <c r="B1551" s="13" t="s">
        <v>627</v>
      </c>
      <c r="C1551" s="13" t="s">
        <v>2254</v>
      </c>
      <c r="D1551" s="13" t="s">
        <v>2270</v>
      </c>
      <c r="E1551" s="13" t="s">
        <v>2401</v>
      </c>
      <c r="F1551" s="13" t="s">
        <v>2403</v>
      </c>
      <c r="G1551" s="61" t="n">
        <v>-75488268039</v>
      </c>
      <c r="H1551" s="13" t="s">
        <v>2255</v>
      </c>
      <c r="I1551" s="13" t="s">
        <v>2394</v>
      </c>
      <c r="J1551" s="13" t="n">
        <v>7</v>
      </c>
      <c r="K1551" s="13" t="s">
        <v>2274</v>
      </c>
      <c r="L1551" s="13" t="s">
        <v>2257</v>
      </c>
      <c r="M1551" s="13"/>
    </row>
    <row r="1552" customFormat="false" ht="15" hidden="false" customHeight="false" outlineLevel="0" collapsed="false">
      <c r="A1552" s="13" t="s">
        <v>628</v>
      </c>
      <c r="B1552" s="13" t="s">
        <v>627</v>
      </c>
      <c r="C1552" s="13" t="s">
        <v>2258</v>
      </c>
      <c r="D1552" s="13" t="s">
        <v>2270</v>
      </c>
      <c r="E1552" s="13" t="s">
        <v>2401</v>
      </c>
      <c r="F1552" s="13" t="s">
        <v>2403</v>
      </c>
      <c r="G1552" s="61" t="n">
        <v>-280477550628</v>
      </c>
      <c r="H1552" s="13" t="s">
        <v>2255</v>
      </c>
      <c r="I1552" s="13" t="s">
        <v>2394</v>
      </c>
      <c r="J1552" s="13" t="n">
        <v>7</v>
      </c>
      <c r="K1552" s="13" t="s">
        <v>2275</v>
      </c>
      <c r="L1552" s="13" t="s">
        <v>2260</v>
      </c>
      <c r="M1552" s="13"/>
    </row>
    <row r="1553" customFormat="false" ht="15" hidden="false" customHeight="false" outlineLevel="0" collapsed="false">
      <c r="A1553" s="13" t="s">
        <v>628</v>
      </c>
      <c r="B1553" s="13" t="s">
        <v>627</v>
      </c>
      <c r="C1553" s="13" t="s">
        <v>2261</v>
      </c>
      <c r="D1553" s="13" t="s">
        <v>2270</v>
      </c>
      <c r="E1553" s="13" t="s">
        <v>2401</v>
      </c>
      <c r="F1553" s="13" t="s">
        <v>2403</v>
      </c>
      <c r="G1553" s="61" t="n">
        <v>-126761212735</v>
      </c>
      <c r="H1553" s="13" t="s">
        <v>2255</v>
      </c>
      <c r="I1553" s="13" t="s">
        <v>2394</v>
      </c>
      <c r="J1553" s="13" t="n">
        <v>7</v>
      </c>
      <c r="K1553" s="13" t="s">
        <v>2276</v>
      </c>
      <c r="L1553" s="13" t="s">
        <v>2263</v>
      </c>
      <c r="M1553" s="13"/>
    </row>
    <row r="1554" customFormat="false" ht="15" hidden="false" customHeight="false" outlineLevel="0" collapsed="false">
      <c r="A1554" s="13" t="s">
        <v>628</v>
      </c>
      <c r="B1554" s="13" t="s">
        <v>627</v>
      </c>
      <c r="C1554" s="13" t="s">
        <v>2264</v>
      </c>
      <c r="D1554" s="13" t="s">
        <v>2270</v>
      </c>
      <c r="E1554" s="13" t="s">
        <v>2401</v>
      </c>
      <c r="F1554" s="13" t="s">
        <v>2403</v>
      </c>
      <c r="G1554" s="61" t="n">
        <v>-29858728268</v>
      </c>
      <c r="H1554" s="13" t="s">
        <v>2255</v>
      </c>
      <c r="I1554" s="13" t="s">
        <v>2394</v>
      </c>
      <c r="J1554" s="13" t="n">
        <v>7</v>
      </c>
      <c r="K1554" s="13" t="s">
        <v>2277</v>
      </c>
      <c r="L1554" s="13" t="s">
        <v>2265</v>
      </c>
      <c r="M1554" s="13"/>
    </row>
    <row r="1555" customFormat="false" ht="15" hidden="false" customHeight="false" outlineLevel="0" collapsed="false">
      <c r="A1555" s="13" t="s">
        <v>628</v>
      </c>
      <c r="B1555" s="13" t="s">
        <v>627</v>
      </c>
      <c r="C1555" s="13" t="s">
        <v>2266</v>
      </c>
      <c r="D1555" s="13" t="s">
        <v>2270</v>
      </c>
      <c r="E1555" s="13" t="s">
        <v>2401</v>
      </c>
      <c r="F1555" s="13" t="s">
        <v>2403</v>
      </c>
      <c r="G1555" s="61" t="n">
        <v>70905029634</v>
      </c>
      <c r="H1555" s="13" t="s">
        <v>2255</v>
      </c>
      <c r="I1555" s="13" t="s">
        <v>2394</v>
      </c>
      <c r="J1555" s="13" t="n">
        <v>64</v>
      </c>
      <c r="K1555" s="13" t="s">
        <v>2278</v>
      </c>
      <c r="L1555" s="13" t="s">
        <v>2265</v>
      </c>
      <c r="M1555" s="13"/>
    </row>
    <row r="1556" customFormat="false" ht="15" hidden="false" customHeight="false" outlineLevel="0" collapsed="false">
      <c r="A1556" s="13" t="s">
        <v>628</v>
      </c>
      <c r="B1556" s="13" t="s">
        <v>627</v>
      </c>
      <c r="C1556" s="13" t="s">
        <v>2267</v>
      </c>
      <c r="D1556" s="13" t="s">
        <v>2270</v>
      </c>
      <c r="E1556" s="13" t="s">
        <v>2401</v>
      </c>
      <c r="F1556" s="13" t="s">
        <v>2403</v>
      </c>
      <c r="G1556" s="61" t="n">
        <v>-44522477111</v>
      </c>
      <c r="H1556" s="13" t="s">
        <v>2255</v>
      </c>
      <c r="I1556" s="13" t="s">
        <v>2394</v>
      </c>
      <c r="J1556" s="13" t="n">
        <v>64</v>
      </c>
      <c r="K1556" s="13" t="s">
        <v>2278</v>
      </c>
      <c r="L1556" s="13" t="s">
        <v>2265</v>
      </c>
      <c r="M1556" s="13"/>
    </row>
    <row r="1557" customFormat="false" ht="15" hidden="false" customHeight="false" outlineLevel="0" collapsed="false">
      <c r="A1557" s="13" t="s">
        <v>628</v>
      </c>
      <c r="B1557" s="13" t="s">
        <v>627</v>
      </c>
      <c r="C1557" s="13" t="s">
        <v>2267</v>
      </c>
      <c r="D1557" s="13" t="s">
        <v>2270</v>
      </c>
      <c r="E1557" s="13" t="s">
        <v>2404</v>
      </c>
      <c r="F1557" s="13" t="s">
        <v>2405</v>
      </c>
      <c r="G1557" s="61" t="n">
        <v>25310529957</v>
      </c>
      <c r="H1557" s="13" t="s">
        <v>2255</v>
      </c>
      <c r="I1557" s="13" t="s">
        <v>2394</v>
      </c>
      <c r="J1557" s="13" t="n">
        <v>65</v>
      </c>
      <c r="K1557" s="13" t="s">
        <v>2278</v>
      </c>
      <c r="L1557" s="13" t="s">
        <v>2265</v>
      </c>
      <c r="M1557" s="13"/>
    </row>
    <row r="1558" customFormat="false" ht="15" hidden="false" customHeight="false" outlineLevel="0" collapsed="false">
      <c r="A1558" s="13" t="s">
        <v>628</v>
      </c>
      <c r="B1558" s="13" t="s">
        <v>627</v>
      </c>
      <c r="C1558" s="13" t="s">
        <v>2267</v>
      </c>
      <c r="D1558" s="13" t="s">
        <v>2270</v>
      </c>
      <c r="E1558" s="13" t="s">
        <v>2404</v>
      </c>
      <c r="F1558" s="13" t="s">
        <v>2406</v>
      </c>
      <c r="G1558" s="61" t="n">
        <v>11131749061</v>
      </c>
      <c r="H1558" s="13" t="s">
        <v>2255</v>
      </c>
      <c r="I1558" s="13" t="s">
        <v>2394</v>
      </c>
      <c r="J1558" s="13" t="n">
        <v>65</v>
      </c>
      <c r="K1558" s="13" t="s">
        <v>2278</v>
      </c>
      <c r="L1558" s="13" t="s">
        <v>2265</v>
      </c>
      <c r="M1558" s="13"/>
    </row>
    <row r="1559" customFormat="false" ht="15" hidden="false" customHeight="false" outlineLevel="0" collapsed="false">
      <c r="A1559" s="13" t="s">
        <v>628</v>
      </c>
      <c r="B1559" s="13" t="s">
        <v>627</v>
      </c>
      <c r="C1559" s="13" t="s">
        <v>2267</v>
      </c>
      <c r="D1559" s="13" t="s">
        <v>2270</v>
      </c>
      <c r="E1559" s="13" t="s">
        <v>2404</v>
      </c>
      <c r="F1559" s="13" t="s">
        <v>2407</v>
      </c>
      <c r="G1559" s="61" t="n">
        <v>-539719615</v>
      </c>
      <c r="H1559" s="13" t="s">
        <v>2255</v>
      </c>
      <c r="I1559" s="13" t="s">
        <v>2394</v>
      </c>
      <c r="J1559" s="13" t="n">
        <v>65</v>
      </c>
      <c r="K1559" s="13" t="s">
        <v>2278</v>
      </c>
      <c r="L1559" s="13" t="s">
        <v>2265</v>
      </c>
      <c r="M1559" s="13"/>
    </row>
    <row r="1560" customFormat="false" ht="15" hidden="false" customHeight="false" outlineLevel="0" collapsed="false">
      <c r="A1560" s="13" t="s">
        <v>628</v>
      </c>
      <c r="B1560" s="13" t="s">
        <v>627</v>
      </c>
      <c r="C1560" s="13" t="s">
        <v>2267</v>
      </c>
      <c r="D1560" s="13" t="s">
        <v>2270</v>
      </c>
      <c r="E1560" s="13" t="s">
        <v>2404</v>
      </c>
      <c r="F1560" s="13" t="s">
        <v>2408</v>
      </c>
      <c r="G1560" s="61" t="n">
        <v>-4210613906</v>
      </c>
      <c r="H1560" s="13" t="s">
        <v>2255</v>
      </c>
      <c r="I1560" s="13" t="s">
        <v>2394</v>
      </c>
      <c r="J1560" s="13" t="n">
        <v>65</v>
      </c>
      <c r="K1560" s="13" t="s">
        <v>2278</v>
      </c>
      <c r="L1560" s="13" t="s">
        <v>2265</v>
      </c>
      <c r="M1560" s="13"/>
    </row>
    <row r="1561" customFormat="false" ht="15" hidden="false" customHeight="false" outlineLevel="0" collapsed="false">
      <c r="A1561" s="13" t="s">
        <v>628</v>
      </c>
      <c r="B1561" s="13" t="s">
        <v>627</v>
      </c>
      <c r="C1561" s="13" t="s">
        <v>2267</v>
      </c>
      <c r="D1561" s="13" t="s">
        <v>2270</v>
      </c>
      <c r="E1561" s="13" t="s">
        <v>2404</v>
      </c>
      <c r="F1561" s="13" t="s">
        <v>2409</v>
      </c>
      <c r="G1561" s="61" t="n">
        <v>31691945497</v>
      </c>
      <c r="H1561" s="13" t="s">
        <v>2255</v>
      </c>
      <c r="I1561" s="13" t="s">
        <v>2394</v>
      </c>
      <c r="J1561" s="13" t="n">
        <v>65</v>
      </c>
      <c r="K1561" s="13" t="s">
        <v>2278</v>
      </c>
      <c r="L1561" s="13" t="s">
        <v>2265</v>
      </c>
      <c r="M1561" s="13"/>
    </row>
    <row r="1562" customFormat="false" ht="15" hidden="false" customHeight="false" outlineLevel="0" collapsed="false">
      <c r="A1562" s="13" t="s">
        <v>628</v>
      </c>
      <c r="B1562" s="13" t="s">
        <v>627</v>
      </c>
      <c r="C1562" s="13" t="s">
        <v>2267</v>
      </c>
      <c r="D1562" s="13" t="s">
        <v>2270</v>
      </c>
      <c r="E1562" s="13" t="s">
        <v>2404</v>
      </c>
      <c r="F1562" s="13" t="s">
        <v>2410</v>
      </c>
      <c r="G1562" s="61" t="n">
        <v>-641176357</v>
      </c>
      <c r="H1562" s="13" t="s">
        <v>2255</v>
      </c>
      <c r="I1562" s="13" t="s">
        <v>2394</v>
      </c>
      <c r="J1562" s="13" t="n">
        <v>65</v>
      </c>
      <c r="K1562" s="13" t="s">
        <v>2278</v>
      </c>
      <c r="L1562" s="13" t="s">
        <v>2265</v>
      </c>
      <c r="M1562" s="13"/>
    </row>
    <row r="1563" customFormat="false" ht="15" hidden="false" customHeight="false" outlineLevel="0" collapsed="false">
      <c r="A1563" s="13" t="s">
        <v>628</v>
      </c>
      <c r="B1563" s="13" t="s">
        <v>627</v>
      </c>
      <c r="C1563" s="13" t="s">
        <v>2267</v>
      </c>
      <c r="D1563" s="13" t="s">
        <v>2270</v>
      </c>
      <c r="E1563" s="13" t="s">
        <v>2404</v>
      </c>
      <c r="F1563" s="13" t="s">
        <v>2411</v>
      </c>
      <c r="G1563" s="61" t="n">
        <v>-1085599340</v>
      </c>
      <c r="H1563" s="13" t="s">
        <v>2255</v>
      </c>
      <c r="I1563" s="13" t="s">
        <v>2394</v>
      </c>
      <c r="J1563" s="13" t="n">
        <v>65</v>
      </c>
      <c r="K1563" s="13" t="s">
        <v>2278</v>
      </c>
      <c r="L1563" s="13" t="s">
        <v>2265</v>
      </c>
      <c r="M1563" s="13"/>
    </row>
    <row r="1564" customFormat="false" ht="15" hidden="false" customHeight="false" outlineLevel="0" collapsed="false">
      <c r="A1564" s="13" t="s">
        <v>628</v>
      </c>
      <c r="B1564" s="13" t="s">
        <v>627</v>
      </c>
      <c r="C1564" s="13" t="s">
        <v>2267</v>
      </c>
      <c r="D1564" s="13" t="s">
        <v>2270</v>
      </c>
      <c r="E1564" s="13" t="s">
        <v>2404</v>
      </c>
      <c r="F1564" s="13" t="s">
        <v>2412</v>
      </c>
      <c r="G1564" s="61" t="n">
        <v>-18391887</v>
      </c>
      <c r="H1564" s="13" t="s">
        <v>2255</v>
      </c>
      <c r="I1564" s="13" t="s">
        <v>2394</v>
      </c>
      <c r="J1564" s="13" t="n">
        <v>65</v>
      </c>
      <c r="K1564" s="13" t="s">
        <v>2278</v>
      </c>
      <c r="L1564" s="13" t="s">
        <v>2265</v>
      </c>
      <c r="M1564" s="13"/>
    </row>
    <row r="1565" customFormat="false" ht="15" hidden="false" customHeight="false" outlineLevel="0" collapsed="false">
      <c r="A1565" s="13" t="s">
        <v>628</v>
      </c>
      <c r="B1565" s="13" t="s">
        <v>627</v>
      </c>
      <c r="C1565" s="13" t="s">
        <v>2267</v>
      </c>
      <c r="D1565" s="13" t="s">
        <v>2270</v>
      </c>
      <c r="E1565" s="13" t="s">
        <v>2404</v>
      </c>
      <c r="F1565" s="13" t="s">
        <v>2413</v>
      </c>
      <c r="G1565" s="61" t="n">
        <v>686137937</v>
      </c>
      <c r="H1565" s="13" t="s">
        <v>2255</v>
      </c>
      <c r="I1565" s="13" t="s">
        <v>2394</v>
      </c>
      <c r="J1565" s="13" t="n">
        <v>65</v>
      </c>
      <c r="K1565" s="13" t="s">
        <v>2278</v>
      </c>
      <c r="L1565" s="13" t="s">
        <v>2265</v>
      </c>
      <c r="M1565" s="13"/>
    </row>
    <row r="1566" customFormat="false" ht="15" hidden="false" customHeight="false" outlineLevel="0" collapsed="false">
      <c r="A1566" s="13" t="s">
        <v>628</v>
      </c>
      <c r="B1566" s="13" t="s">
        <v>627</v>
      </c>
      <c r="C1566" s="13" t="s">
        <v>2267</v>
      </c>
      <c r="D1566" s="13" t="s">
        <v>2270</v>
      </c>
      <c r="E1566" s="13" t="s">
        <v>2404</v>
      </c>
      <c r="F1566" s="13" t="s">
        <v>2414</v>
      </c>
      <c r="G1566" s="61" t="n">
        <v>-1059029647</v>
      </c>
      <c r="H1566" s="13" t="s">
        <v>2255</v>
      </c>
      <c r="I1566" s="13" t="s">
        <v>2394</v>
      </c>
      <c r="J1566" s="13" t="n">
        <v>65</v>
      </c>
      <c r="K1566" s="13" t="s">
        <v>2278</v>
      </c>
      <c r="L1566" s="13" t="s">
        <v>2265</v>
      </c>
      <c r="M1566" s="13"/>
    </row>
    <row r="1567" customFormat="false" ht="15" hidden="false" customHeight="false" outlineLevel="0" collapsed="false">
      <c r="A1567" s="13" t="s">
        <v>628</v>
      </c>
      <c r="B1567" s="13" t="s">
        <v>627</v>
      </c>
      <c r="C1567" s="13" t="s">
        <v>2264</v>
      </c>
      <c r="D1567" s="13" t="s">
        <v>2270</v>
      </c>
      <c r="E1567" s="13" t="s">
        <v>2415</v>
      </c>
      <c r="F1567" s="13" t="s">
        <v>2416</v>
      </c>
      <c r="G1567" s="61" t="n">
        <v>411753242245</v>
      </c>
      <c r="H1567" s="13" t="s">
        <v>2255</v>
      </c>
      <c r="I1567" s="13" t="s">
        <v>2417</v>
      </c>
      <c r="J1567" s="13" t="n">
        <v>62</v>
      </c>
      <c r="K1567" s="13" t="s">
        <v>2277</v>
      </c>
      <c r="L1567" s="13" t="s">
        <v>2265</v>
      </c>
      <c r="M1567" s="13"/>
    </row>
    <row r="1568" customFormat="false" ht="15" hidden="false" customHeight="false" outlineLevel="0" collapsed="false">
      <c r="A1568" s="13" t="s">
        <v>628</v>
      </c>
      <c r="B1568" s="13" t="s">
        <v>627</v>
      </c>
      <c r="C1568" s="13" t="s">
        <v>2266</v>
      </c>
      <c r="D1568" s="13" t="s">
        <v>2270</v>
      </c>
      <c r="E1568" s="13" t="s">
        <v>2415</v>
      </c>
      <c r="F1568" s="13" t="s">
        <v>2416</v>
      </c>
      <c r="G1568" s="61" t="n">
        <v>440600262935</v>
      </c>
      <c r="H1568" s="13" t="s">
        <v>2255</v>
      </c>
      <c r="I1568" s="13" t="s">
        <v>2417</v>
      </c>
      <c r="J1568" s="13" t="s">
        <v>2418</v>
      </c>
      <c r="K1568" s="13" t="s">
        <v>2278</v>
      </c>
      <c r="L1568" s="13" t="s">
        <v>2265</v>
      </c>
      <c r="M1568" s="13"/>
    </row>
    <row r="1569" customFormat="false" ht="15" hidden="false" customHeight="false" outlineLevel="0" collapsed="false">
      <c r="A1569" s="13" t="s">
        <v>628</v>
      </c>
      <c r="B1569" s="13" t="s">
        <v>627</v>
      </c>
      <c r="C1569" s="13" t="s">
        <v>2267</v>
      </c>
      <c r="D1569" s="13" t="s">
        <v>2270</v>
      </c>
      <c r="E1569" s="13" t="s">
        <v>2415</v>
      </c>
      <c r="F1569" s="13" t="s">
        <v>2416</v>
      </c>
      <c r="G1569" s="61" t="n">
        <v>445816762935</v>
      </c>
      <c r="H1569" s="13" t="s">
        <v>2255</v>
      </c>
      <c r="I1569" s="13" t="s">
        <v>2417</v>
      </c>
      <c r="J1569" s="13" t="s">
        <v>2418</v>
      </c>
      <c r="K1569" s="13" t="s">
        <v>2278</v>
      </c>
      <c r="L1569" s="13" t="s">
        <v>2265</v>
      </c>
      <c r="M1569" s="13"/>
    </row>
    <row r="1570" customFormat="false" ht="15" hidden="false" customHeight="false" outlineLevel="0" collapsed="false">
      <c r="A1570" s="13" t="s">
        <v>628</v>
      </c>
      <c r="B1570" s="13" t="s">
        <v>627</v>
      </c>
      <c r="C1570" s="13" t="s">
        <v>2254</v>
      </c>
      <c r="D1570" s="13" t="s">
        <v>2270</v>
      </c>
      <c r="E1570" s="13" t="s">
        <v>2415</v>
      </c>
      <c r="F1570" s="13" t="s">
        <v>2290</v>
      </c>
      <c r="G1570" s="61" t="n">
        <v>391717789095</v>
      </c>
      <c r="H1570" s="13" t="s">
        <v>2255</v>
      </c>
      <c r="I1570" s="13" t="s">
        <v>2417</v>
      </c>
      <c r="J1570" s="13" t="n">
        <v>52</v>
      </c>
      <c r="K1570" s="13" t="s">
        <v>2274</v>
      </c>
      <c r="L1570" s="13" t="s">
        <v>2257</v>
      </c>
      <c r="M1570" s="13"/>
    </row>
    <row r="1571" customFormat="false" ht="15" hidden="false" customHeight="false" outlineLevel="0" collapsed="false">
      <c r="A1571" s="13" t="s">
        <v>628</v>
      </c>
      <c r="B1571" s="13" t="s">
        <v>627</v>
      </c>
      <c r="C1571" s="13" t="s">
        <v>2258</v>
      </c>
      <c r="D1571" s="13" t="s">
        <v>2270</v>
      </c>
      <c r="E1571" s="13" t="s">
        <v>2415</v>
      </c>
      <c r="F1571" s="13" t="s">
        <v>2290</v>
      </c>
      <c r="G1571" s="61" t="n">
        <v>391717789095</v>
      </c>
      <c r="H1571" s="13" t="s">
        <v>2255</v>
      </c>
      <c r="I1571" s="13" t="s">
        <v>2417</v>
      </c>
      <c r="J1571" s="13" t="n">
        <v>67</v>
      </c>
      <c r="K1571" s="13" t="s">
        <v>2275</v>
      </c>
      <c r="L1571" s="13" t="s">
        <v>2260</v>
      </c>
      <c r="M1571" s="13"/>
    </row>
    <row r="1572" customFormat="false" ht="15" hidden="false" customHeight="false" outlineLevel="0" collapsed="false">
      <c r="A1572" s="13" t="s">
        <v>628</v>
      </c>
      <c r="B1572" s="13" t="s">
        <v>627</v>
      </c>
      <c r="C1572" s="13" t="s">
        <v>2261</v>
      </c>
      <c r="D1572" s="13" t="s">
        <v>2270</v>
      </c>
      <c r="E1572" s="13" t="s">
        <v>2415</v>
      </c>
      <c r="F1572" s="13" t="s">
        <v>2290</v>
      </c>
      <c r="G1572" s="61" t="n">
        <v>391717789095</v>
      </c>
      <c r="H1572" s="13" t="s">
        <v>2255</v>
      </c>
      <c r="I1572" s="13" t="s">
        <v>2417</v>
      </c>
      <c r="J1572" s="13" t="n">
        <v>62</v>
      </c>
      <c r="K1572" s="13" t="s">
        <v>2276</v>
      </c>
      <c r="L1572" s="13" t="s">
        <v>2263</v>
      </c>
      <c r="M1572" s="13"/>
    </row>
    <row r="1573" customFormat="false" ht="15" hidden="false" customHeight="false" outlineLevel="0" collapsed="false">
      <c r="A1573" s="13" t="s">
        <v>628</v>
      </c>
      <c r="B1573" s="13" t="s">
        <v>627</v>
      </c>
      <c r="C1573" s="13" t="s">
        <v>2264</v>
      </c>
      <c r="D1573" s="13" t="s">
        <v>2270</v>
      </c>
      <c r="E1573" s="13" t="s">
        <v>2415</v>
      </c>
      <c r="F1573" s="13" t="s">
        <v>2290</v>
      </c>
      <c r="G1573" s="61" t="n">
        <v>411753242245</v>
      </c>
      <c r="H1573" s="13" t="s">
        <v>2255</v>
      </c>
      <c r="I1573" s="13" t="s">
        <v>2417</v>
      </c>
      <c r="J1573" s="13" t="n">
        <v>62</v>
      </c>
      <c r="K1573" s="13" t="s">
        <v>2277</v>
      </c>
      <c r="L1573" s="13" t="s">
        <v>2265</v>
      </c>
      <c r="M1573" s="13"/>
    </row>
    <row r="1574" customFormat="false" ht="15" hidden="false" customHeight="false" outlineLevel="0" collapsed="false">
      <c r="A1574" s="13" t="s">
        <v>628</v>
      </c>
      <c r="B1574" s="13" t="s">
        <v>627</v>
      </c>
      <c r="C1574" s="13" t="s">
        <v>2266</v>
      </c>
      <c r="D1574" s="13" t="s">
        <v>2270</v>
      </c>
      <c r="E1574" s="13" t="s">
        <v>2415</v>
      </c>
      <c r="F1574" s="13" t="s">
        <v>2290</v>
      </c>
      <c r="G1574" s="61" t="n">
        <v>440600262935</v>
      </c>
      <c r="H1574" s="13" t="s">
        <v>2255</v>
      </c>
      <c r="I1574" s="13" t="s">
        <v>2417</v>
      </c>
      <c r="J1574" s="13" t="s">
        <v>2418</v>
      </c>
      <c r="K1574" s="13" t="s">
        <v>2278</v>
      </c>
      <c r="L1574" s="13" t="s">
        <v>2265</v>
      </c>
      <c r="M1574" s="13"/>
    </row>
    <row r="1575" customFormat="false" ht="15" hidden="false" customHeight="false" outlineLevel="0" collapsed="false">
      <c r="A1575" s="13" t="s">
        <v>628</v>
      </c>
      <c r="B1575" s="13" t="s">
        <v>627</v>
      </c>
      <c r="C1575" s="13" t="s">
        <v>2267</v>
      </c>
      <c r="D1575" s="13" t="s">
        <v>2270</v>
      </c>
      <c r="E1575" s="13" t="s">
        <v>2415</v>
      </c>
      <c r="F1575" s="13" t="s">
        <v>2290</v>
      </c>
      <c r="G1575" s="61" t="n">
        <v>445816762935</v>
      </c>
      <c r="H1575" s="13" t="s">
        <v>2255</v>
      </c>
      <c r="I1575" s="13" t="s">
        <v>2417</v>
      </c>
      <c r="J1575" s="13" t="s">
        <v>2418</v>
      </c>
      <c r="K1575" s="13" t="s">
        <v>2278</v>
      </c>
      <c r="L1575" s="13" t="s">
        <v>2265</v>
      </c>
      <c r="M1575" s="13"/>
    </row>
    <row r="1576" customFormat="false" ht="15" hidden="false" customHeight="false" outlineLevel="0" collapsed="false">
      <c r="A1576" s="13" t="s">
        <v>628</v>
      </c>
      <c r="B1576" s="13" t="s">
        <v>627</v>
      </c>
      <c r="C1576" s="13" t="s">
        <v>2264</v>
      </c>
      <c r="D1576" s="13" t="s">
        <v>2270</v>
      </c>
      <c r="E1576" s="13" t="s">
        <v>2419</v>
      </c>
      <c r="F1576" s="13" t="s">
        <v>2416</v>
      </c>
      <c r="G1576" s="61" t="n">
        <v>616534405536</v>
      </c>
      <c r="H1576" s="13" t="s">
        <v>2255</v>
      </c>
      <c r="I1576" s="13" t="s">
        <v>2417</v>
      </c>
      <c r="J1576" s="13" t="n">
        <v>62</v>
      </c>
      <c r="K1576" s="13" t="s">
        <v>2277</v>
      </c>
      <c r="L1576" s="13" t="s">
        <v>2265</v>
      </c>
      <c r="M1576" s="13"/>
    </row>
    <row r="1577" customFormat="false" ht="15" hidden="false" customHeight="false" outlineLevel="0" collapsed="false">
      <c r="A1577" s="13" t="s">
        <v>628</v>
      </c>
      <c r="B1577" s="13" t="s">
        <v>627</v>
      </c>
      <c r="C1577" s="13" t="s">
        <v>2266</v>
      </c>
      <c r="D1577" s="13" t="s">
        <v>2270</v>
      </c>
      <c r="E1577" s="13" t="s">
        <v>2419</v>
      </c>
      <c r="F1577" s="13" t="s">
        <v>2416</v>
      </c>
      <c r="G1577" s="61" t="n">
        <v>637575172118</v>
      </c>
      <c r="H1577" s="13" t="s">
        <v>2255</v>
      </c>
      <c r="I1577" s="13" t="s">
        <v>2417</v>
      </c>
      <c r="J1577" s="13" t="s">
        <v>2420</v>
      </c>
      <c r="K1577" s="13" t="s">
        <v>2278</v>
      </c>
      <c r="L1577" s="13" t="s">
        <v>2265</v>
      </c>
      <c r="M1577" s="13"/>
    </row>
    <row r="1578" customFormat="false" ht="15" hidden="false" customHeight="false" outlineLevel="0" collapsed="false">
      <c r="A1578" s="13" t="s">
        <v>628</v>
      </c>
      <c r="B1578" s="13" t="s">
        <v>627</v>
      </c>
      <c r="C1578" s="13" t="s">
        <v>2267</v>
      </c>
      <c r="D1578" s="13" t="s">
        <v>2270</v>
      </c>
      <c r="E1578" s="13" t="s">
        <v>2419</v>
      </c>
      <c r="F1578" s="13" t="s">
        <v>2416</v>
      </c>
      <c r="G1578" s="61" t="n">
        <v>733230250090</v>
      </c>
      <c r="H1578" s="13" t="s">
        <v>2255</v>
      </c>
      <c r="I1578" s="13" t="s">
        <v>2417</v>
      </c>
      <c r="J1578" s="13" t="s">
        <v>2420</v>
      </c>
      <c r="K1578" s="13" t="s">
        <v>2278</v>
      </c>
      <c r="L1578" s="13" t="s">
        <v>2265</v>
      </c>
      <c r="M1578" s="13"/>
    </row>
    <row r="1579" customFormat="false" ht="15" hidden="false" customHeight="false" outlineLevel="0" collapsed="false">
      <c r="A1579" s="13" t="s">
        <v>628</v>
      </c>
      <c r="B1579" s="13" t="s">
        <v>627</v>
      </c>
      <c r="C1579" s="13" t="s">
        <v>2254</v>
      </c>
      <c r="D1579" s="13" t="s">
        <v>2270</v>
      </c>
      <c r="E1579" s="13" t="s">
        <v>2419</v>
      </c>
      <c r="F1579" s="13" t="s">
        <v>2421</v>
      </c>
      <c r="G1579" s="61" t="n">
        <v>21178433427</v>
      </c>
      <c r="H1579" s="13" t="s">
        <v>2255</v>
      </c>
      <c r="I1579" s="13" t="s">
        <v>2417</v>
      </c>
      <c r="J1579" s="13" t="n">
        <v>52</v>
      </c>
      <c r="K1579" s="13" t="s">
        <v>2274</v>
      </c>
      <c r="L1579" s="13" t="s">
        <v>2257</v>
      </c>
      <c r="M1579" s="13"/>
    </row>
    <row r="1580" customFormat="false" ht="15" hidden="false" customHeight="false" outlineLevel="0" collapsed="false">
      <c r="A1580" s="13" t="s">
        <v>628</v>
      </c>
      <c r="B1580" s="13" t="s">
        <v>627</v>
      </c>
      <c r="C1580" s="13" t="s">
        <v>2258</v>
      </c>
      <c r="D1580" s="13" t="s">
        <v>2270</v>
      </c>
      <c r="E1580" s="13" t="s">
        <v>2419</v>
      </c>
      <c r="F1580" s="13" t="s">
        <v>2421</v>
      </c>
      <c r="G1580" s="61" t="n">
        <v>18051998655</v>
      </c>
      <c r="H1580" s="13" t="s">
        <v>2255</v>
      </c>
      <c r="I1580" s="13" t="s">
        <v>2417</v>
      </c>
      <c r="J1580" s="13" t="n">
        <v>67</v>
      </c>
      <c r="K1580" s="13" t="s">
        <v>2275</v>
      </c>
      <c r="L1580" s="13" t="s">
        <v>2260</v>
      </c>
      <c r="M1580" s="13"/>
    </row>
    <row r="1581" customFormat="false" ht="15" hidden="false" customHeight="false" outlineLevel="0" collapsed="false">
      <c r="A1581" s="13" t="s">
        <v>628</v>
      </c>
      <c r="B1581" s="13" t="s">
        <v>627</v>
      </c>
      <c r="C1581" s="13" t="s">
        <v>2261</v>
      </c>
      <c r="D1581" s="13" t="s">
        <v>2270</v>
      </c>
      <c r="E1581" s="13" t="s">
        <v>2419</v>
      </c>
      <c r="F1581" s="13" t="s">
        <v>2421</v>
      </c>
      <c r="G1581" s="61" t="n">
        <v>9607658487</v>
      </c>
      <c r="H1581" s="13" t="s">
        <v>2255</v>
      </c>
      <c r="I1581" s="13" t="s">
        <v>2417</v>
      </c>
      <c r="J1581" s="13" t="n">
        <v>62</v>
      </c>
      <c r="K1581" s="13" t="s">
        <v>2276</v>
      </c>
      <c r="L1581" s="13" t="s">
        <v>2263</v>
      </c>
      <c r="M1581" s="13"/>
    </row>
    <row r="1582" customFormat="false" ht="15" hidden="false" customHeight="false" outlineLevel="0" collapsed="false">
      <c r="A1582" s="13" t="s">
        <v>628</v>
      </c>
      <c r="B1582" s="13" t="s">
        <v>627</v>
      </c>
      <c r="C1582" s="13" t="s">
        <v>2264</v>
      </c>
      <c r="D1582" s="13" t="s">
        <v>2270</v>
      </c>
      <c r="E1582" s="13" t="s">
        <v>2419</v>
      </c>
      <c r="F1582" s="13" t="s">
        <v>2421</v>
      </c>
      <c r="G1582" s="61" t="n">
        <v>3218572192</v>
      </c>
      <c r="H1582" s="13" t="s">
        <v>2255</v>
      </c>
      <c r="I1582" s="13" t="s">
        <v>2417</v>
      </c>
      <c r="J1582" s="13" t="n">
        <v>62</v>
      </c>
      <c r="K1582" s="13" t="s">
        <v>2277</v>
      </c>
      <c r="L1582" s="13" t="s">
        <v>2265</v>
      </c>
      <c r="M1582" s="13"/>
    </row>
    <row r="1583" customFormat="false" ht="15" hidden="false" customHeight="false" outlineLevel="0" collapsed="false">
      <c r="A1583" s="13" t="s">
        <v>628</v>
      </c>
      <c r="B1583" s="13" t="s">
        <v>627</v>
      </c>
      <c r="C1583" s="13" t="s">
        <v>2266</v>
      </c>
      <c r="D1583" s="13" t="s">
        <v>2270</v>
      </c>
      <c r="E1583" s="13" t="s">
        <v>2419</v>
      </c>
      <c r="F1583" s="13" t="s">
        <v>2421</v>
      </c>
      <c r="G1583" s="61" t="n">
        <v>16758419772</v>
      </c>
      <c r="H1583" s="13" t="s">
        <v>2255</v>
      </c>
      <c r="I1583" s="13" t="s">
        <v>2417</v>
      </c>
      <c r="J1583" s="13" t="s">
        <v>2420</v>
      </c>
      <c r="K1583" s="13" t="s">
        <v>2278</v>
      </c>
      <c r="L1583" s="13" t="s">
        <v>2265</v>
      </c>
      <c r="M1583" s="13"/>
    </row>
    <row r="1584" customFormat="false" ht="15" hidden="false" customHeight="false" outlineLevel="0" collapsed="false">
      <c r="A1584" s="13" t="s">
        <v>628</v>
      </c>
      <c r="B1584" s="13" t="s">
        <v>627</v>
      </c>
      <c r="C1584" s="13" t="s">
        <v>2267</v>
      </c>
      <c r="D1584" s="13" t="s">
        <v>2270</v>
      </c>
      <c r="E1584" s="13" t="s">
        <v>2419</v>
      </c>
      <c r="F1584" s="13" t="s">
        <v>2421</v>
      </c>
      <c r="G1584" s="61" t="n">
        <v>40577688224</v>
      </c>
      <c r="H1584" s="13" t="s">
        <v>2255</v>
      </c>
      <c r="I1584" s="13" t="s">
        <v>2417</v>
      </c>
      <c r="J1584" s="13" t="s">
        <v>2420</v>
      </c>
      <c r="K1584" s="13" t="s">
        <v>2278</v>
      </c>
      <c r="L1584" s="13" t="s">
        <v>2265</v>
      </c>
      <c r="M1584" s="13"/>
    </row>
    <row r="1585" customFormat="false" ht="15" hidden="false" customHeight="false" outlineLevel="0" collapsed="false">
      <c r="A1585" s="13" t="s">
        <v>628</v>
      </c>
      <c r="B1585" s="13" t="s">
        <v>627</v>
      </c>
      <c r="C1585" s="13" t="s">
        <v>2254</v>
      </c>
      <c r="D1585" s="13" t="s">
        <v>2270</v>
      </c>
      <c r="E1585" s="13" t="s">
        <v>2419</v>
      </c>
      <c r="F1585" s="13" t="s">
        <v>2290</v>
      </c>
      <c r="G1585" s="61" t="n">
        <v>98070320345</v>
      </c>
      <c r="H1585" s="13" t="s">
        <v>2255</v>
      </c>
      <c r="I1585" s="13" t="s">
        <v>2417</v>
      </c>
      <c r="J1585" s="13" t="n">
        <v>52</v>
      </c>
      <c r="K1585" s="13" t="s">
        <v>2274</v>
      </c>
      <c r="L1585" s="13" t="s">
        <v>2257</v>
      </c>
      <c r="M1585" s="13"/>
    </row>
    <row r="1586" customFormat="false" ht="15" hidden="false" customHeight="false" outlineLevel="0" collapsed="false">
      <c r="A1586" s="13" t="s">
        <v>628</v>
      </c>
      <c r="B1586" s="13" t="s">
        <v>627</v>
      </c>
      <c r="C1586" s="13" t="s">
        <v>2258</v>
      </c>
      <c r="D1586" s="13" t="s">
        <v>2270</v>
      </c>
      <c r="E1586" s="13" t="s">
        <v>2419</v>
      </c>
      <c r="F1586" s="13" t="s">
        <v>2290</v>
      </c>
      <c r="G1586" s="61" t="n">
        <v>221773503875</v>
      </c>
      <c r="H1586" s="13" t="s">
        <v>2255</v>
      </c>
      <c r="I1586" s="13" t="s">
        <v>2417</v>
      </c>
      <c r="J1586" s="13" t="n">
        <v>67</v>
      </c>
      <c r="K1586" s="13" t="s">
        <v>2275</v>
      </c>
      <c r="L1586" s="13" t="s">
        <v>2260</v>
      </c>
      <c r="M1586" s="13"/>
    </row>
    <row r="1587" customFormat="false" ht="15" hidden="false" customHeight="false" outlineLevel="0" collapsed="false">
      <c r="A1587" s="13" t="s">
        <v>628</v>
      </c>
      <c r="B1587" s="13" t="s">
        <v>627</v>
      </c>
      <c r="C1587" s="13" t="s">
        <v>2261</v>
      </c>
      <c r="D1587" s="13" t="s">
        <v>2270</v>
      </c>
      <c r="E1587" s="13" t="s">
        <v>2419</v>
      </c>
      <c r="F1587" s="13" t="s">
        <v>2290</v>
      </c>
      <c r="G1587" s="61" t="n">
        <v>463437832670</v>
      </c>
      <c r="H1587" s="13" t="s">
        <v>2255</v>
      </c>
      <c r="I1587" s="13" t="s">
        <v>2417</v>
      </c>
      <c r="J1587" s="13" t="n">
        <v>62</v>
      </c>
      <c r="K1587" s="13" t="s">
        <v>2276</v>
      </c>
      <c r="L1587" s="13" t="s">
        <v>2263</v>
      </c>
      <c r="M1587" s="13"/>
    </row>
    <row r="1588" customFormat="false" ht="15" hidden="false" customHeight="false" outlineLevel="0" collapsed="false">
      <c r="A1588" s="13" t="s">
        <v>628</v>
      </c>
      <c r="B1588" s="13" t="s">
        <v>627</v>
      </c>
      <c r="C1588" s="13" t="s">
        <v>2264</v>
      </c>
      <c r="D1588" s="13" t="s">
        <v>2270</v>
      </c>
      <c r="E1588" s="13" t="s">
        <v>2419</v>
      </c>
      <c r="F1588" s="13" t="s">
        <v>2290</v>
      </c>
      <c r="G1588" s="61" t="n">
        <v>619752977728</v>
      </c>
      <c r="H1588" s="13" t="s">
        <v>2255</v>
      </c>
      <c r="I1588" s="13" t="s">
        <v>2417</v>
      </c>
      <c r="J1588" s="13" t="n">
        <v>62</v>
      </c>
      <c r="K1588" s="13" t="s">
        <v>2277</v>
      </c>
      <c r="L1588" s="13" t="s">
        <v>2265</v>
      </c>
      <c r="M1588" s="13"/>
    </row>
    <row r="1589" customFormat="false" ht="15" hidden="false" customHeight="false" outlineLevel="0" collapsed="false">
      <c r="A1589" s="13" t="s">
        <v>628</v>
      </c>
      <c r="B1589" s="13" t="s">
        <v>627</v>
      </c>
      <c r="C1589" s="13" t="s">
        <v>2266</v>
      </c>
      <c r="D1589" s="13" t="s">
        <v>2270</v>
      </c>
      <c r="E1589" s="13" t="s">
        <v>2419</v>
      </c>
      <c r="F1589" s="13" t="s">
        <v>2290</v>
      </c>
      <c r="G1589" s="61" t="n">
        <v>654333591890</v>
      </c>
      <c r="H1589" s="13" t="s">
        <v>2255</v>
      </c>
      <c r="I1589" s="13" t="s">
        <v>2417</v>
      </c>
      <c r="J1589" s="13" t="s">
        <v>2420</v>
      </c>
      <c r="K1589" s="13" t="s">
        <v>2278</v>
      </c>
      <c r="L1589" s="13" t="s">
        <v>2265</v>
      </c>
      <c r="M1589" s="13"/>
    </row>
    <row r="1590" customFormat="false" ht="15" hidden="false" customHeight="false" outlineLevel="0" collapsed="false">
      <c r="A1590" s="13" t="s">
        <v>628</v>
      </c>
      <c r="B1590" s="13" t="s">
        <v>627</v>
      </c>
      <c r="C1590" s="13" t="s">
        <v>2267</v>
      </c>
      <c r="D1590" s="13" t="s">
        <v>2270</v>
      </c>
      <c r="E1590" s="13" t="s">
        <v>2419</v>
      </c>
      <c r="F1590" s="13" t="s">
        <v>2290</v>
      </c>
      <c r="G1590" s="61" t="n">
        <v>773807938314</v>
      </c>
      <c r="H1590" s="13" t="s">
        <v>2255</v>
      </c>
      <c r="I1590" s="13" t="s">
        <v>2417</v>
      </c>
      <c r="J1590" s="13" t="s">
        <v>2420</v>
      </c>
      <c r="K1590" s="13" t="s">
        <v>2278</v>
      </c>
      <c r="L1590" s="13" t="s">
        <v>2265</v>
      </c>
      <c r="M1590" s="13"/>
    </row>
    <row r="1591" customFormat="false" ht="15" hidden="false" customHeight="false" outlineLevel="0" collapsed="false">
      <c r="A1591" s="13" t="s">
        <v>628</v>
      </c>
      <c r="B1591" s="13" t="s">
        <v>627</v>
      </c>
      <c r="C1591" s="13" t="s">
        <v>2254</v>
      </c>
      <c r="D1591" s="13" t="s">
        <v>2270</v>
      </c>
      <c r="E1591" s="13" t="s">
        <v>2422</v>
      </c>
      <c r="F1591" s="13" t="s">
        <v>2423</v>
      </c>
      <c r="G1591" s="61" t="n">
        <v>0</v>
      </c>
      <c r="H1591" s="13" t="s">
        <v>2255</v>
      </c>
      <c r="I1591" s="13" t="s">
        <v>2417</v>
      </c>
      <c r="J1591" s="13" t="n">
        <v>52</v>
      </c>
      <c r="K1591" s="13" t="s">
        <v>2274</v>
      </c>
      <c r="L1591" s="13" t="s">
        <v>2257</v>
      </c>
      <c r="M1591" s="13"/>
    </row>
    <row r="1592" customFormat="false" ht="15" hidden="false" customHeight="false" outlineLevel="0" collapsed="false">
      <c r="A1592" s="13" t="s">
        <v>628</v>
      </c>
      <c r="B1592" s="13" t="s">
        <v>627</v>
      </c>
      <c r="C1592" s="13" t="s">
        <v>2258</v>
      </c>
      <c r="D1592" s="13" t="s">
        <v>2270</v>
      </c>
      <c r="E1592" s="13" t="s">
        <v>2422</v>
      </c>
      <c r="F1592" s="13" t="s">
        <v>2423</v>
      </c>
      <c r="G1592" s="61" t="n">
        <v>0</v>
      </c>
      <c r="H1592" s="13" t="s">
        <v>2255</v>
      </c>
      <c r="I1592" s="13" t="s">
        <v>2417</v>
      </c>
      <c r="J1592" s="13" t="n">
        <v>67</v>
      </c>
      <c r="K1592" s="13" t="s">
        <v>2275</v>
      </c>
      <c r="L1592" s="13" t="s">
        <v>2260</v>
      </c>
      <c r="M1592" s="13"/>
    </row>
    <row r="1593" customFormat="false" ht="15" hidden="false" customHeight="false" outlineLevel="0" collapsed="false">
      <c r="A1593" s="13" t="s">
        <v>628</v>
      </c>
      <c r="B1593" s="13" t="s">
        <v>627</v>
      </c>
      <c r="C1593" s="13" t="s">
        <v>2261</v>
      </c>
      <c r="D1593" s="13" t="s">
        <v>2270</v>
      </c>
      <c r="E1593" s="13" t="s">
        <v>2422</v>
      </c>
      <c r="F1593" s="13" t="s">
        <v>2423</v>
      </c>
      <c r="G1593" s="61" t="n">
        <v>0</v>
      </c>
      <c r="H1593" s="13" t="s">
        <v>2255</v>
      </c>
      <c r="I1593" s="13" t="s">
        <v>2417</v>
      </c>
      <c r="J1593" s="13" t="n">
        <v>62</v>
      </c>
      <c r="K1593" s="13" t="s">
        <v>2276</v>
      </c>
      <c r="L1593" s="13" t="s">
        <v>2263</v>
      </c>
      <c r="M1593" s="13"/>
    </row>
    <row r="1594" customFormat="false" ht="15" hidden="false" customHeight="false" outlineLevel="0" collapsed="false">
      <c r="A1594" s="13" t="s">
        <v>628</v>
      </c>
      <c r="B1594" s="13" t="s">
        <v>627</v>
      </c>
      <c r="C1594" s="13" t="s">
        <v>2264</v>
      </c>
      <c r="D1594" s="13" t="s">
        <v>2270</v>
      </c>
      <c r="E1594" s="13" t="s">
        <v>2422</v>
      </c>
      <c r="F1594" s="13" t="s">
        <v>2423</v>
      </c>
      <c r="G1594" s="61" t="n">
        <v>-4328004580</v>
      </c>
      <c r="H1594" s="13" t="s">
        <v>2255</v>
      </c>
      <c r="I1594" s="13" t="s">
        <v>2417</v>
      </c>
      <c r="J1594" s="13" t="n">
        <v>62</v>
      </c>
      <c r="K1594" s="13" t="s">
        <v>2277</v>
      </c>
      <c r="L1594" s="13" t="s">
        <v>2265</v>
      </c>
      <c r="M1594" s="13"/>
    </row>
    <row r="1595" customFormat="false" ht="15" hidden="false" customHeight="false" outlineLevel="0" collapsed="false">
      <c r="A1595" s="13" t="s">
        <v>628</v>
      </c>
      <c r="B1595" s="13" t="s">
        <v>627</v>
      </c>
      <c r="C1595" s="13" t="s">
        <v>2266</v>
      </c>
      <c r="D1595" s="13" t="s">
        <v>2270</v>
      </c>
      <c r="E1595" s="13" t="s">
        <v>2422</v>
      </c>
      <c r="F1595" s="13" t="s">
        <v>2423</v>
      </c>
      <c r="G1595" s="61" t="n">
        <v>-4037567555</v>
      </c>
      <c r="H1595" s="13" t="s">
        <v>2255</v>
      </c>
      <c r="I1595" s="13" t="s">
        <v>2417</v>
      </c>
      <c r="J1595" s="13" t="n">
        <v>68</v>
      </c>
      <c r="K1595" s="13" t="s">
        <v>2278</v>
      </c>
      <c r="L1595" s="13" t="s">
        <v>2265</v>
      </c>
      <c r="M1595" s="13"/>
    </row>
    <row r="1596" customFormat="false" ht="15" hidden="false" customHeight="false" outlineLevel="0" collapsed="false">
      <c r="A1596" s="13" t="s">
        <v>628</v>
      </c>
      <c r="B1596" s="13" t="s">
        <v>627</v>
      </c>
      <c r="C1596" s="13" t="s">
        <v>2267</v>
      </c>
      <c r="D1596" s="13" t="s">
        <v>2270</v>
      </c>
      <c r="E1596" s="13" t="s">
        <v>2422</v>
      </c>
      <c r="F1596" s="13" t="s">
        <v>2423</v>
      </c>
      <c r="G1596" s="61" t="n">
        <v>-3984634503</v>
      </c>
      <c r="H1596" s="13" t="s">
        <v>2255</v>
      </c>
      <c r="I1596" s="13" t="s">
        <v>2417</v>
      </c>
      <c r="J1596" s="13" t="n">
        <v>68</v>
      </c>
      <c r="K1596" s="13" t="s">
        <v>2278</v>
      </c>
      <c r="L1596" s="13" t="s">
        <v>2265</v>
      </c>
      <c r="M1596" s="13"/>
    </row>
    <row r="1597" customFormat="false" ht="15" hidden="false" customHeight="false" outlineLevel="0" collapsed="false">
      <c r="A1597" s="13" t="s">
        <v>628</v>
      </c>
      <c r="B1597" s="13" t="s">
        <v>627</v>
      </c>
      <c r="C1597" s="13" t="s">
        <v>2254</v>
      </c>
      <c r="D1597" s="13" t="s">
        <v>2270</v>
      </c>
      <c r="E1597" s="13" t="s">
        <v>2422</v>
      </c>
      <c r="F1597" s="13" t="s">
        <v>2424</v>
      </c>
      <c r="G1597" s="61" t="n">
        <v>98070320345</v>
      </c>
      <c r="H1597" s="13" t="s">
        <v>2255</v>
      </c>
      <c r="I1597" s="13" t="s">
        <v>2417</v>
      </c>
      <c r="J1597" s="13" t="n">
        <v>52</v>
      </c>
      <c r="K1597" s="13" t="s">
        <v>2274</v>
      </c>
      <c r="L1597" s="13" t="s">
        <v>2257</v>
      </c>
      <c r="M1597" s="13"/>
    </row>
    <row r="1598" customFormat="false" ht="15" hidden="false" customHeight="false" outlineLevel="0" collapsed="false">
      <c r="A1598" s="13" t="s">
        <v>628</v>
      </c>
      <c r="B1598" s="13" t="s">
        <v>627</v>
      </c>
      <c r="C1598" s="13" t="s">
        <v>2258</v>
      </c>
      <c r="D1598" s="13" t="s">
        <v>2270</v>
      </c>
      <c r="E1598" s="13" t="s">
        <v>2422</v>
      </c>
      <c r="F1598" s="13" t="s">
        <v>2424</v>
      </c>
      <c r="G1598" s="61" t="n">
        <v>221773503875</v>
      </c>
      <c r="H1598" s="13" t="s">
        <v>2255</v>
      </c>
      <c r="I1598" s="13" t="s">
        <v>2417</v>
      </c>
      <c r="J1598" s="13" t="n">
        <v>67</v>
      </c>
      <c r="K1598" s="13" t="s">
        <v>2275</v>
      </c>
      <c r="L1598" s="13" t="s">
        <v>2260</v>
      </c>
      <c r="M1598" s="13"/>
    </row>
    <row r="1599" customFormat="false" ht="15" hidden="false" customHeight="false" outlineLevel="0" collapsed="false">
      <c r="A1599" s="13" t="s">
        <v>628</v>
      </c>
      <c r="B1599" s="13" t="s">
        <v>627</v>
      </c>
      <c r="C1599" s="13" t="s">
        <v>2261</v>
      </c>
      <c r="D1599" s="13" t="s">
        <v>2270</v>
      </c>
      <c r="E1599" s="13" t="s">
        <v>2422</v>
      </c>
      <c r="F1599" s="13" t="s">
        <v>2424</v>
      </c>
      <c r="G1599" s="61" t="n">
        <v>463437832670</v>
      </c>
      <c r="H1599" s="13" t="s">
        <v>2255</v>
      </c>
      <c r="I1599" s="13" t="s">
        <v>2417</v>
      </c>
      <c r="J1599" s="13" t="n">
        <v>62</v>
      </c>
      <c r="K1599" s="13" t="s">
        <v>2276</v>
      </c>
      <c r="L1599" s="13" t="s">
        <v>2263</v>
      </c>
      <c r="M1599" s="13"/>
    </row>
    <row r="1600" customFormat="false" ht="15" hidden="false" customHeight="false" outlineLevel="0" collapsed="false">
      <c r="A1600" s="13" t="s">
        <v>628</v>
      </c>
      <c r="B1600" s="13" t="s">
        <v>627</v>
      </c>
      <c r="C1600" s="13" t="s">
        <v>2264</v>
      </c>
      <c r="D1600" s="13" t="s">
        <v>2270</v>
      </c>
      <c r="E1600" s="13" t="s">
        <v>2422</v>
      </c>
      <c r="F1600" s="13" t="s">
        <v>2424</v>
      </c>
      <c r="G1600" s="61" t="n">
        <v>615424973148</v>
      </c>
      <c r="H1600" s="13" t="s">
        <v>2255</v>
      </c>
      <c r="I1600" s="13" t="s">
        <v>2417</v>
      </c>
      <c r="J1600" s="13" t="n">
        <v>62</v>
      </c>
      <c r="K1600" s="13" t="s">
        <v>2277</v>
      </c>
      <c r="L1600" s="13" t="s">
        <v>2265</v>
      </c>
      <c r="M1600" s="13"/>
    </row>
    <row r="1601" customFormat="false" ht="15" hidden="false" customHeight="false" outlineLevel="0" collapsed="false">
      <c r="A1601" s="13" t="s">
        <v>628</v>
      </c>
      <c r="B1601" s="13" t="s">
        <v>627</v>
      </c>
      <c r="C1601" s="13" t="s">
        <v>2266</v>
      </c>
      <c r="D1601" s="13" t="s">
        <v>2270</v>
      </c>
      <c r="E1601" s="13" t="s">
        <v>2422</v>
      </c>
      <c r="F1601" s="13" t="s">
        <v>2424</v>
      </c>
      <c r="G1601" s="61" t="n">
        <v>650296024335</v>
      </c>
      <c r="H1601" s="13" t="s">
        <v>2255</v>
      </c>
      <c r="I1601" s="13" t="s">
        <v>2417</v>
      </c>
      <c r="J1601" s="13" t="n">
        <v>68</v>
      </c>
      <c r="K1601" s="13" t="s">
        <v>2278</v>
      </c>
      <c r="L1601" s="13" t="s">
        <v>2265</v>
      </c>
      <c r="M1601" s="13"/>
    </row>
    <row r="1602" customFormat="false" ht="15" hidden="false" customHeight="false" outlineLevel="0" collapsed="false">
      <c r="A1602" s="13" t="s">
        <v>628</v>
      </c>
      <c r="B1602" s="13" t="s">
        <v>627</v>
      </c>
      <c r="C1602" s="13" t="s">
        <v>2267</v>
      </c>
      <c r="D1602" s="13" t="s">
        <v>2270</v>
      </c>
      <c r="E1602" s="13" t="s">
        <v>2422</v>
      </c>
      <c r="F1602" s="13" t="s">
        <v>2424</v>
      </c>
      <c r="G1602" s="61" t="n">
        <v>769823303811</v>
      </c>
      <c r="H1602" s="13" t="s">
        <v>2255</v>
      </c>
      <c r="I1602" s="13" t="s">
        <v>2417</v>
      </c>
      <c r="J1602" s="13" t="n">
        <v>68</v>
      </c>
      <c r="K1602" s="13" t="s">
        <v>2278</v>
      </c>
      <c r="L1602" s="13" t="s">
        <v>2265</v>
      </c>
      <c r="M1602" s="13"/>
    </row>
    <row r="1603" customFormat="false" ht="15" hidden="false" customHeight="false" outlineLevel="0" collapsed="false">
      <c r="A1603" s="13" t="s">
        <v>628</v>
      </c>
      <c r="B1603" s="13" t="s">
        <v>627</v>
      </c>
      <c r="C1603" s="13" t="s">
        <v>2254</v>
      </c>
      <c r="D1603" s="13" t="s">
        <v>2270</v>
      </c>
      <c r="E1603" s="13" t="s">
        <v>2422</v>
      </c>
      <c r="F1603" s="13" t="s">
        <v>2425</v>
      </c>
      <c r="G1603" s="61" t="n">
        <v>21295199457</v>
      </c>
      <c r="H1603" s="13" t="s">
        <v>2255</v>
      </c>
      <c r="I1603" s="13" t="s">
        <v>2417</v>
      </c>
      <c r="J1603" s="13" t="n">
        <v>52</v>
      </c>
      <c r="K1603" s="13" t="s">
        <v>2274</v>
      </c>
      <c r="L1603" s="13" t="s">
        <v>2257</v>
      </c>
      <c r="M1603" s="13"/>
    </row>
    <row r="1604" customFormat="false" ht="15" hidden="false" customHeight="false" outlineLevel="0" collapsed="false">
      <c r="A1604" s="13" t="s">
        <v>628</v>
      </c>
      <c r="B1604" s="13" t="s">
        <v>627</v>
      </c>
      <c r="C1604" s="13" t="s">
        <v>2258</v>
      </c>
      <c r="D1604" s="13" t="s">
        <v>2270</v>
      </c>
      <c r="E1604" s="13" t="s">
        <v>2422</v>
      </c>
      <c r="F1604" s="13" t="s">
        <v>2425</v>
      </c>
      <c r="G1604" s="61" t="n">
        <v>28275076891</v>
      </c>
      <c r="H1604" s="13" t="s">
        <v>2255</v>
      </c>
      <c r="I1604" s="13" t="s">
        <v>2417</v>
      </c>
      <c r="J1604" s="13" t="n">
        <v>67</v>
      </c>
      <c r="K1604" s="13" t="s">
        <v>2275</v>
      </c>
      <c r="L1604" s="13" t="s">
        <v>2260</v>
      </c>
      <c r="M1604" s="13"/>
    </row>
    <row r="1605" customFormat="false" ht="15" hidden="false" customHeight="false" outlineLevel="0" collapsed="false">
      <c r="A1605" s="13" t="s">
        <v>628</v>
      </c>
      <c r="B1605" s="13" t="s">
        <v>627</v>
      </c>
      <c r="C1605" s="13" t="s">
        <v>2261</v>
      </c>
      <c r="D1605" s="13" t="s">
        <v>2270</v>
      </c>
      <c r="E1605" s="13" t="s">
        <v>2422</v>
      </c>
      <c r="F1605" s="13" t="s">
        <v>2425</v>
      </c>
      <c r="G1605" s="61" t="n">
        <v>60501895336</v>
      </c>
      <c r="H1605" s="13" t="s">
        <v>2255</v>
      </c>
      <c r="I1605" s="13" t="s">
        <v>2417</v>
      </c>
      <c r="J1605" s="13" t="n">
        <v>62</v>
      </c>
      <c r="K1605" s="13" t="s">
        <v>2276</v>
      </c>
      <c r="L1605" s="13" t="s">
        <v>2263</v>
      </c>
      <c r="M1605" s="13"/>
    </row>
    <row r="1606" customFormat="false" ht="15" hidden="false" customHeight="false" outlineLevel="0" collapsed="false">
      <c r="A1606" s="13" t="s">
        <v>628</v>
      </c>
      <c r="B1606" s="13" t="s">
        <v>627</v>
      </c>
      <c r="C1606" s="13" t="s">
        <v>2264</v>
      </c>
      <c r="D1606" s="13" t="s">
        <v>2270</v>
      </c>
      <c r="E1606" s="13" t="s">
        <v>2422</v>
      </c>
      <c r="F1606" s="13" t="s">
        <v>2425</v>
      </c>
      <c r="G1606" s="61" t="n">
        <v>4427592447</v>
      </c>
      <c r="H1606" s="13" t="s">
        <v>2255</v>
      </c>
      <c r="I1606" s="13" t="s">
        <v>2417</v>
      </c>
      <c r="J1606" s="13" t="n">
        <v>62</v>
      </c>
      <c r="K1606" s="13" t="s">
        <v>2277</v>
      </c>
      <c r="L1606" s="13" t="s">
        <v>2265</v>
      </c>
      <c r="M1606" s="13"/>
    </row>
    <row r="1607" customFormat="false" ht="15" hidden="false" customHeight="false" outlineLevel="0" collapsed="false">
      <c r="A1607" s="13" t="s">
        <v>628</v>
      </c>
      <c r="B1607" s="13" t="s">
        <v>627</v>
      </c>
      <c r="C1607" s="13" t="s">
        <v>2266</v>
      </c>
      <c r="D1607" s="13" t="s">
        <v>2270</v>
      </c>
      <c r="E1607" s="13" t="s">
        <v>2422</v>
      </c>
      <c r="F1607" s="13" t="s">
        <v>2425</v>
      </c>
      <c r="G1607" s="61" t="n">
        <v>3886703167</v>
      </c>
      <c r="H1607" s="13" t="s">
        <v>2255</v>
      </c>
      <c r="I1607" s="13" t="s">
        <v>2417</v>
      </c>
      <c r="J1607" s="13" t="n">
        <v>68</v>
      </c>
      <c r="K1607" s="13" t="s">
        <v>2278</v>
      </c>
      <c r="L1607" s="13" t="s">
        <v>2265</v>
      </c>
      <c r="M1607" s="13"/>
    </row>
    <row r="1608" customFormat="false" ht="15" hidden="false" customHeight="false" outlineLevel="0" collapsed="false">
      <c r="A1608" s="13" t="s">
        <v>628</v>
      </c>
      <c r="B1608" s="13" t="s">
        <v>627</v>
      </c>
      <c r="C1608" s="13" t="s">
        <v>2267</v>
      </c>
      <c r="D1608" s="13" t="s">
        <v>2270</v>
      </c>
      <c r="E1608" s="13" t="s">
        <v>2422</v>
      </c>
      <c r="F1608" s="13" t="s">
        <v>2425</v>
      </c>
      <c r="G1608" s="61" t="n">
        <v>47931990928</v>
      </c>
      <c r="H1608" s="13" t="s">
        <v>2255</v>
      </c>
      <c r="I1608" s="13" t="s">
        <v>2417</v>
      </c>
      <c r="J1608" s="13" t="n">
        <v>68</v>
      </c>
      <c r="K1608" s="13" t="s">
        <v>2278</v>
      </c>
      <c r="L1608" s="13" t="s">
        <v>2265</v>
      </c>
      <c r="M1608" s="13"/>
    </row>
    <row r="1609" customFormat="false" ht="15" hidden="false" customHeight="false" outlineLevel="0" collapsed="false">
      <c r="A1609" s="13" t="s">
        <v>628</v>
      </c>
      <c r="B1609" s="13" t="s">
        <v>627</v>
      </c>
      <c r="C1609" s="13" t="s">
        <v>2254</v>
      </c>
      <c r="D1609" s="13" t="s">
        <v>2270</v>
      </c>
      <c r="E1609" s="13" t="s">
        <v>2422</v>
      </c>
      <c r="F1609" s="13" t="s">
        <v>2426</v>
      </c>
      <c r="G1609" s="61" t="n">
        <v>76775120888</v>
      </c>
      <c r="H1609" s="13" t="s">
        <v>2255</v>
      </c>
      <c r="I1609" s="13" t="s">
        <v>2417</v>
      </c>
      <c r="J1609" s="13" t="n">
        <v>52</v>
      </c>
      <c r="K1609" s="13" t="s">
        <v>2274</v>
      </c>
      <c r="L1609" s="13" t="s">
        <v>2257</v>
      </c>
      <c r="M1609" s="13"/>
    </row>
    <row r="1610" customFormat="false" ht="15" hidden="false" customHeight="false" outlineLevel="0" collapsed="false">
      <c r="A1610" s="13" t="s">
        <v>628</v>
      </c>
      <c r="B1610" s="13" t="s">
        <v>627</v>
      </c>
      <c r="C1610" s="13" t="s">
        <v>2258</v>
      </c>
      <c r="D1610" s="13" t="s">
        <v>2270</v>
      </c>
      <c r="E1610" s="13" t="s">
        <v>2422</v>
      </c>
      <c r="F1610" s="13" t="s">
        <v>2426</v>
      </c>
      <c r="G1610" s="61" t="n">
        <v>193498426984</v>
      </c>
      <c r="H1610" s="13" t="s">
        <v>2255</v>
      </c>
      <c r="I1610" s="13" t="s">
        <v>2417</v>
      </c>
      <c r="J1610" s="13" t="n">
        <v>67</v>
      </c>
      <c r="K1610" s="13" t="s">
        <v>2275</v>
      </c>
      <c r="L1610" s="13" t="s">
        <v>2260</v>
      </c>
      <c r="M1610" s="13"/>
    </row>
    <row r="1611" customFormat="false" ht="15" hidden="false" customHeight="false" outlineLevel="0" collapsed="false">
      <c r="A1611" s="13" t="s">
        <v>628</v>
      </c>
      <c r="B1611" s="13" t="s">
        <v>627</v>
      </c>
      <c r="C1611" s="13" t="s">
        <v>2261</v>
      </c>
      <c r="D1611" s="13" t="s">
        <v>2270</v>
      </c>
      <c r="E1611" s="13" t="s">
        <v>2422</v>
      </c>
      <c r="F1611" s="13" t="s">
        <v>2426</v>
      </c>
      <c r="G1611" s="61" t="n">
        <v>402935937334</v>
      </c>
      <c r="H1611" s="13" t="s">
        <v>2255</v>
      </c>
      <c r="I1611" s="13" t="s">
        <v>2417</v>
      </c>
      <c r="J1611" s="13" t="n">
        <v>62</v>
      </c>
      <c r="K1611" s="13" t="s">
        <v>2276</v>
      </c>
      <c r="L1611" s="13" t="s">
        <v>2263</v>
      </c>
      <c r="M1611" s="13"/>
    </row>
    <row r="1612" customFormat="false" ht="15" hidden="false" customHeight="false" outlineLevel="0" collapsed="false">
      <c r="A1612" s="13" t="s">
        <v>628</v>
      </c>
      <c r="B1612" s="13" t="s">
        <v>627</v>
      </c>
      <c r="C1612" s="13" t="s">
        <v>2264</v>
      </c>
      <c r="D1612" s="13" t="s">
        <v>2270</v>
      </c>
      <c r="E1612" s="13" t="s">
        <v>2422</v>
      </c>
      <c r="F1612" s="13" t="s">
        <v>2426</v>
      </c>
      <c r="G1612" s="61" t="n">
        <v>610997380701</v>
      </c>
      <c r="H1612" s="13" t="s">
        <v>2255</v>
      </c>
      <c r="I1612" s="13" t="s">
        <v>2417</v>
      </c>
      <c r="J1612" s="13" t="n">
        <v>62</v>
      </c>
      <c r="K1612" s="13" t="s">
        <v>2277</v>
      </c>
      <c r="L1612" s="13" t="s">
        <v>2265</v>
      </c>
      <c r="M1612" s="13"/>
    </row>
    <row r="1613" customFormat="false" ht="15" hidden="false" customHeight="false" outlineLevel="0" collapsed="false">
      <c r="A1613" s="13" t="s">
        <v>628</v>
      </c>
      <c r="B1613" s="13" t="s">
        <v>627</v>
      </c>
      <c r="C1613" s="13" t="s">
        <v>2266</v>
      </c>
      <c r="D1613" s="13" t="s">
        <v>2270</v>
      </c>
      <c r="E1613" s="13" t="s">
        <v>2422</v>
      </c>
      <c r="F1613" s="13" t="s">
        <v>2426</v>
      </c>
      <c r="G1613" s="61" t="n">
        <v>646409321168</v>
      </c>
      <c r="H1613" s="13" t="s">
        <v>2255</v>
      </c>
      <c r="I1613" s="13" t="s">
        <v>2417</v>
      </c>
      <c r="J1613" s="13" t="n">
        <v>68</v>
      </c>
      <c r="K1613" s="13" t="s">
        <v>2278</v>
      </c>
      <c r="L1613" s="13" t="s">
        <v>2265</v>
      </c>
      <c r="M1613" s="13"/>
    </row>
    <row r="1614" customFormat="false" ht="15" hidden="false" customHeight="false" outlineLevel="0" collapsed="false">
      <c r="A1614" s="13" t="s">
        <v>628</v>
      </c>
      <c r="B1614" s="13" t="s">
        <v>627</v>
      </c>
      <c r="C1614" s="13" t="s">
        <v>2267</v>
      </c>
      <c r="D1614" s="13" t="s">
        <v>2270</v>
      </c>
      <c r="E1614" s="13" t="s">
        <v>2422</v>
      </c>
      <c r="F1614" s="13" t="s">
        <v>2426</v>
      </c>
      <c r="G1614" s="61" t="n">
        <v>721891312883</v>
      </c>
      <c r="H1614" s="13" t="s">
        <v>2255</v>
      </c>
      <c r="I1614" s="13" t="s">
        <v>2417</v>
      </c>
      <c r="J1614" s="13" t="n">
        <v>68</v>
      </c>
      <c r="K1614" s="13" t="s">
        <v>2278</v>
      </c>
      <c r="L1614" s="13" t="s">
        <v>2265</v>
      </c>
      <c r="M1614" s="13"/>
    </row>
    <row r="1615" customFormat="false" ht="15" hidden="false" customHeight="false" outlineLevel="0" collapsed="false">
      <c r="A1615" s="13" t="s">
        <v>628</v>
      </c>
      <c r="B1615" s="13" t="s">
        <v>627</v>
      </c>
      <c r="C1615" s="13" t="s">
        <v>2254</v>
      </c>
      <c r="D1615" s="13" t="s">
        <v>2270</v>
      </c>
      <c r="E1615" s="13" t="s">
        <v>2427</v>
      </c>
      <c r="F1615" s="13" t="s">
        <v>2428</v>
      </c>
      <c r="G1615" s="61" t="n">
        <v>4667680045</v>
      </c>
      <c r="H1615" s="13" t="s">
        <v>2255</v>
      </c>
      <c r="I1615" s="13" t="s">
        <v>2429</v>
      </c>
      <c r="J1615" s="13" t="n">
        <v>5</v>
      </c>
      <c r="K1615" s="13" t="s">
        <v>2274</v>
      </c>
      <c r="L1615" s="13" t="s">
        <v>2257</v>
      </c>
      <c r="M1615" s="13"/>
    </row>
    <row r="1616" customFormat="false" ht="15" hidden="false" customHeight="false" outlineLevel="0" collapsed="false">
      <c r="A1616" s="13" t="s">
        <v>628</v>
      </c>
      <c r="B1616" s="13" t="s">
        <v>627</v>
      </c>
      <c r="C1616" s="13" t="s">
        <v>2258</v>
      </c>
      <c r="D1616" s="13" t="s">
        <v>2270</v>
      </c>
      <c r="E1616" s="13" t="s">
        <v>2427</v>
      </c>
      <c r="F1616" s="13" t="s">
        <v>2428</v>
      </c>
      <c r="G1616" s="61" t="n">
        <v>9726277472</v>
      </c>
      <c r="H1616" s="13" t="s">
        <v>2255</v>
      </c>
      <c r="I1616" s="13" t="s">
        <v>2429</v>
      </c>
      <c r="J1616" s="13" t="n">
        <v>5</v>
      </c>
      <c r="K1616" s="13" t="s">
        <v>2275</v>
      </c>
      <c r="L1616" s="13" t="s">
        <v>2260</v>
      </c>
      <c r="M1616" s="13"/>
    </row>
    <row r="1617" customFormat="false" ht="15" hidden="false" customHeight="false" outlineLevel="0" collapsed="false">
      <c r="A1617" s="13" t="s">
        <v>628</v>
      </c>
      <c r="B1617" s="13" t="s">
        <v>627</v>
      </c>
      <c r="C1617" s="13" t="s">
        <v>2261</v>
      </c>
      <c r="D1617" s="13" t="s">
        <v>2270</v>
      </c>
      <c r="E1617" s="13" t="s">
        <v>2427</v>
      </c>
      <c r="F1617" s="13" t="s">
        <v>2428</v>
      </c>
      <c r="G1617" s="61" t="n">
        <v>6681709051</v>
      </c>
      <c r="H1617" s="13" t="s">
        <v>2255</v>
      </c>
      <c r="I1617" s="13" t="s">
        <v>2429</v>
      </c>
      <c r="J1617" s="13" t="n">
        <v>5</v>
      </c>
      <c r="K1617" s="13" t="s">
        <v>2276</v>
      </c>
      <c r="L1617" s="13" t="s">
        <v>2263</v>
      </c>
      <c r="M1617" s="13"/>
    </row>
    <row r="1618" customFormat="false" ht="15" hidden="false" customHeight="false" outlineLevel="0" collapsed="false">
      <c r="A1618" s="13" t="s">
        <v>628</v>
      </c>
      <c r="B1618" s="13" t="s">
        <v>627</v>
      </c>
      <c r="C1618" s="13" t="s">
        <v>2264</v>
      </c>
      <c r="D1618" s="13" t="s">
        <v>2270</v>
      </c>
      <c r="E1618" s="13" t="s">
        <v>2427</v>
      </c>
      <c r="F1618" s="13" t="s">
        <v>2428</v>
      </c>
      <c r="G1618" s="61" t="n">
        <v>3751168758</v>
      </c>
      <c r="H1618" s="13" t="s">
        <v>2255</v>
      </c>
      <c r="I1618" s="13" t="s">
        <v>2429</v>
      </c>
      <c r="J1618" s="13" t="n">
        <v>5</v>
      </c>
      <c r="K1618" s="13" t="s">
        <v>2277</v>
      </c>
      <c r="L1618" s="13" t="s">
        <v>2265</v>
      </c>
      <c r="M1618" s="13"/>
    </row>
    <row r="1619" customFormat="false" ht="15" hidden="false" customHeight="false" outlineLevel="0" collapsed="false">
      <c r="A1619" s="13" t="s">
        <v>628</v>
      </c>
      <c r="B1619" s="13" t="s">
        <v>627</v>
      </c>
      <c r="C1619" s="13" t="s">
        <v>2266</v>
      </c>
      <c r="D1619" s="13" t="s">
        <v>2270</v>
      </c>
      <c r="E1619" s="13" t="s">
        <v>2427</v>
      </c>
      <c r="F1619" s="13" t="s">
        <v>2428</v>
      </c>
      <c r="G1619" s="61" t="n">
        <v>4235768217</v>
      </c>
      <c r="H1619" s="13" t="s">
        <v>2255</v>
      </c>
      <c r="I1619" s="13" t="s">
        <v>2429</v>
      </c>
      <c r="J1619" s="13" t="n">
        <v>75</v>
      </c>
      <c r="K1619" s="13" t="s">
        <v>2278</v>
      </c>
      <c r="L1619" s="13" t="s">
        <v>2265</v>
      </c>
      <c r="M1619" s="13"/>
    </row>
    <row r="1620" customFormat="false" ht="15" hidden="false" customHeight="false" outlineLevel="0" collapsed="false">
      <c r="A1620" s="13" t="s">
        <v>628</v>
      </c>
      <c r="B1620" s="13" t="s">
        <v>627</v>
      </c>
      <c r="C1620" s="13" t="s">
        <v>2267</v>
      </c>
      <c r="D1620" s="13" t="s">
        <v>2270</v>
      </c>
      <c r="E1620" s="13" t="s">
        <v>2427</v>
      </c>
      <c r="F1620" s="13" t="s">
        <v>2428</v>
      </c>
      <c r="G1620" s="61" t="n">
        <v>6564695090</v>
      </c>
      <c r="H1620" s="13" t="s">
        <v>2255</v>
      </c>
      <c r="I1620" s="13" t="s">
        <v>2429</v>
      </c>
      <c r="J1620" s="13" t="n">
        <v>75</v>
      </c>
      <c r="K1620" s="13" t="s">
        <v>2278</v>
      </c>
      <c r="L1620" s="13" t="s">
        <v>2265</v>
      </c>
      <c r="M1620" s="13"/>
    </row>
    <row r="1621" customFormat="false" ht="15" hidden="false" customHeight="false" outlineLevel="0" collapsed="false">
      <c r="A1621" s="13" t="s">
        <v>628</v>
      </c>
      <c r="B1621" s="13" t="s">
        <v>627</v>
      </c>
      <c r="C1621" s="13" t="s">
        <v>2254</v>
      </c>
      <c r="D1621" s="13" t="s">
        <v>2270</v>
      </c>
      <c r="E1621" s="13" t="s">
        <v>2427</v>
      </c>
      <c r="F1621" s="13" t="s">
        <v>2430</v>
      </c>
      <c r="G1621" s="61" t="n">
        <v>2820695875</v>
      </c>
      <c r="H1621" s="13" t="s">
        <v>2255</v>
      </c>
      <c r="I1621" s="13" t="s">
        <v>2429</v>
      </c>
      <c r="J1621" s="13" t="n">
        <v>5</v>
      </c>
      <c r="K1621" s="13" t="s">
        <v>2274</v>
      </c>
      <c r="L1621" s="13" t="s">
        <v>2257</v>
      </c>
      <c r="M1621" s="13"/>
    </row>
    <row r="1622" customFormat="false" ht="15" hidden="false" customHeight="false" outlineLevel="0" collapsed="false">
      <c r="A1622" s="13" t="s">
        <v>628</v>
      </c>
      <c r="B1622" s="13" t="s">
        <v>627</v>
      </c>
      <c r="C1622" s="13" t="s">
        <v>2258</v>
      </c>
      <c r="D1622" s="13" t="s">
        <v>2270</v>
      </c>
      <c r="E1622" s="13" t="s">
        <v>2427</v>
      </c>
      <c r="F1622" s="13" t="s">
        <v>2430</v>
      </c>
      <c r="G1622" s="61" t="n">
        <v>2935198259</v>
      </c>
      <c r="H1622" s="13" t="s">
        <v>2255</v>
      </c>
      <c r="I1622" s="13" t="s">
        <v>2429</v>
      </c>
      <c r="J1622" s="13" t="n">
        <v>5</v>
      </c>
      <c r="K1622" s="13" t="s">
        <v>2275</v>
      </c>
      <c r="L1622" s="13" t="s">
        <v>2260</v>
      </c>
      <c r="M1622" s="13"/>
    </row>
    <row r="1623" customFormat="false" ht="15" hidden="false" customHeight="false" outlineLevel="0" collapsed="false">
      <c r="A1623" s="13" t="s">
        <v>628</v>
      </c>
      <c r="B1623" s="13" t="s">
        <v>627</v>
      </c>
      <c r="C1623" s="13" t="s">
        <v>2261</v>
      </c>
      <c r="D1623" s="13" t="s">
        <v>2270</v>
      </c>
      <c r="E1623" s="13" t="s">
        <v>2427</v>
      </c>
      <c r="F1623" s="13" t="s">
        <v>2430</v>
      </c>
      <c r="G1623" s="61" t="n">
        <v>3300272483</v>
      </c>
      <c r="H1623" s="13" t="s">
        <v>2255</v>
      </c>
      <c r="I1623" s="13" t="s">
        <v>2429</v>
      </c>
      <c r="J1623" s="13" t="n">
        <v>5</v>
      </c>
      <c r="K1623" s="13" t="s">
        <v>2276</v>
      </c>
      <c r="L1623" s="13" t="s">
        <v>2263</v>
      </c>
      <c r="M1623" s="13"/>
    </row>
    <row r="1624" customFormat="false" ht="15" hidden="false" customHeight="false" outlineLevel="0" collapsed="false">
      <c r="A1624" s="13" t="s">
        <v>628</v>
      </c>
      <c r="B1624" s="13" t="s">
        <v>627</v>
      </c>
      <c r="C1624" s="13" t="s">
        <v>2264</v>
      </c>
      <c r="D1624" s="13" t="s">
        <v>2270</v>
      </c>
      <c r="E1624" s="13" t="s">
        <v>2427</v>
      </c>
      <c r="F1624" s="13" t="s">
        <v>2430</v>
      </c>
      <c r="G1624" s="61" t="n">
        <v>1958803071</v>
      </c>
      <c r="H1624" s="13" t="s">
        <v>2255</v>
      </c>
      <c r="I1624" s="13" t="s">
        <v>2429</v>
      </c>
      <c r="J1624" s="13" t="n">
        <v>5</v>
      </c>
      <c r="K1624" s="13" t="s">
        <v>2277</v>
      </c>
      <c r="L1624" s="13" t="s">
        <v>2265</v>
      </c>
      <c r="M1624" s="13"/>
    </row>
    <row r="1625" customFormat="false" ht="15" hidden="false" customHeight="false" outlineLevel="0" collapsed="false">
      <c r="A1625" s="13" t="s">
        <v>628</v>
      </c>
      <c r="B1625" s="13" t="s">
        <v>627</v>
      </c>
      <c r="C1625" s="13" t="s">
        <v>2266</v>
      </c>
      <c r="D1625" s="13" t="s">
        <v>2270</v>
      </c>
      <c r="E1625" s="13" t="s">
        <v>2427</v>
      </c>
      <c r="F1625" s="13" t="s">
        <v>2430</v>
      </c>
      <c r="G1625" s="61" t="n">
        <v>1540345263</v>
      </c>
      <c r="H1625" s="13" t="s">
        <v>2255</v>
      </c>
      <c r="I1625" s="13" t="s">
        <v>2429</v>
      </c>
      <c r="J1625" s="13" t="n">
        <v>75</v>
      </c>
      <c r="K1625" s="13" t="s">
        <v>2278</v>
      </c>
      <c r="L1625" s="13" t="s">
        <v>2265</v>
      </c>
      <c r="M1625" s="13"/>
    </row>
    <row r="1626" customFormat="false" ht="15" hidden="false" customHeight="false" outlineLevel="0" collapsed="false">
      <c r="A1626" s="13" t="s">
        <v>628</v>
      </c>
      <c r="B1626" s="13" t="s">
        <v>627</v>
      </c>
      <c r="C1626" s="13" t="s">
        <v>2267</v>
      </c>
      <c r="D1626" s="13" t="s">
        <v>2270</v>
      </c>
      <c r="E1626" s="13" t="s">
        <v>2427</v>
      </c>
      <c r="F1626" s="13" t="s">
        <v>2430</v>
      </c>
      <c r="G1626" s="61" t="n">
        <v>1965875754</v>
      </c>
      <c r="H1626" s="13" t="s">
        <v>2255</v>
      </c>
      <c r="I1626" s="13" t="s">
        <v>2429</v>
      </c>
      <c r="J1626" s="13" t="n">
        <v>75</v>
      </c>
      <c r="K1626" s="13" t="s">
        <v>2278</v>
      </c>
      <c r="L1626" s="13" t="s">
        <v>2265</v>
      </c>
      <c r="M1626" s="13"/>
    </row>
    <row r="1627" customFormat="false" ht="15" hidden="false" customHeight="false" outlineLevel="0" collapsed="false">
      <c r="A1627" s="13" t="s">
        <v>628</v>
      </c>
      <c r="B1627" s="13" t="s">
        <v>627</v>
      </c>
      <c r="C1627" s="13" t="s">
        <v>2266</v>
      </c>
      <c r="D1627" s="13" t="s">
        <v>2270</v>
      </c>
      <c r="E1627" s="13" t="s">
        <v>2427</v>
      </c>
      <c r="F1627" s="13" t="s">
        <v>2431</v>
      </c>
      <c r="G1627" s="61" t="n">
        <v>0</v>
      </c>
      <c r="H1627" s="13" t="s">
        <v>2255</v>
      </c>
      <c r="I1627" s="13" t="s">
        <v>2429</v>
      </c>
      <c r="J1627" s="13" t="n">
        <v>75</v>
      </c>
      <c r="K1627" s="13" t="s">
        <v>2278</v>
      </c>
      <c r="L1627" s="13" t="s">
        <v>2265</v>
      </c>
      <c r="M1627" s="13"/>
    </row>
    <row r="1628" customFormat="false" ht="15" hidden="false" customHeight="false" outlineLevel="0" collapsed="false">
      <c r="A1628" s="13" t="s">
        <v>628</v>
      </c>
      <c r="B1628" s="13" t="s">
        <v>627</v>
      </c>
      <c r="C1628" s="13" t="s">
        <v>2267</v>
      </c>
      <c r="D1628" s="13" t="s">
        <v>2270</v>
      </c>
      <c r="E1628" s="13" t="s">
        <v>2427</v>
      </c>
      <c r="F1628" s="13" t="s">
        <v>2431</v>
      </c>
      <c r="G1628" s="61" t="n">
        <v>1303577394</v>
      </c>
      <c r="H1628" s="13" t="s">
        <v>2255</v>
      </c>
      <c r="I1628" s="13" t="s">
        <v>2429</v>
      </c>
      <c r="J1628" s="13" t="n">
        <v>75</v>
      </c>
      <c r="K1628" s="13" t="s">
        <v>2278</v>
      </c>
      <c r="L1628" s="13" t="s">
        <v>2265</v>
      </c>
      <c r="M1628" s="13"/>
    </row>
    <row r="1629" customFormat="false" ht="15" hidden="false" customHeight="false" outlineLevel="0" collapsed="false">
      <c r="A1629" s="13" t="s">
        <v>628</v>
      </c>
      <c r="B1629" s="13" t="s">
        <v>627</v>
      </c>
      <c r="C1629" s="13" t="s">
        <v>2254</v>
      </c>
      <c r="D1629" s="13" t="s">
        <v>2270</v>
      </c>
      <c r="E1629" s="13" t="s">
        <v>2427</v>
      </c>
      <c r="F1629" s="13" t="s">
        <v>2432</v>
      </c>
      <c r="G1629" s="61" t="n">
        <v>954348293</v>
      </c>
      <c r="H1629" s="13" t="s">
        <v>2255</v>
      </c>
      <c r="I1629" s="13" t="s">
        <v>2429</v>
      </c>
      <c r="J1629" s="13" t="n">
        <v>5</v>
      </c>
      <c r="K1629" s="13" t="s">
        <v>2274</v>
      </c>
      <c r="L1629" s="13" t="s">
        <v>2257</v>
      </c>
      <c r="M1629" s="13"/>
    </row>
    <row r="1630" customFormat="false" ht="15" hidden="false" customHeight="false" outlineLevel="0" collapsed="false">
      <c r="A1630" s="13" t="s">
        <v>628</v>
      </c>
      <c r="B1630" s="13" t="s">
        <v>627</v>
      </c>
      <c r="C1630" s="13" t="s">
        <v>2258</v>
      </c>
      <c r="D1630" s="13" t="s">
        <v>2270</v>
      </c>
      <c r="E1630" s="13" t="s">
        <v>2427</v>
      </c>
      <c r="F1630" s="13" t="s">
        <v>2432</v>
      </c>
      <c r="G1630" s="61" t="n">
        <v>3603458175</v>
      </c>
      <c r="H1630" s="13" t="s">
        <v>2255</v>
      </c>
      <c r="I1630" s="13" t="s">
        <v>2429</v>
      </c>
      <c r="J1630" s="13" t="n">
        <v>5</v>
      </c>
      <c r="K1630" s="13" t="s">
        <v>2275</v>
      </c>
      <c r="L1630" s="13" t="s">
        <v>2260</v>
      </c>
      <c r="M1630" s="13"/>
    </row>
    <row r="1631" customFormat="false" ht="15" hidden="false" customHeight="false" outlineLevel="0" collapsed="false">
      <c r="A1631" s="13" t="s">
        <v>628</v>
      </c>
      <c r="B1631" s="13" t="s">
        <v>627</v>
      </c>
      <c r="C1631" s="13" t="s">
        <v>2261</v>
      </c>
      <c r="D1631" s="13" t="s">
        <v>2270</v>
      </c>
      <c r="E1631" s="13" t="s">
        <v>2427</v>
      </c>
      <c r="F1631" s="13" t="s">
        <v>2432</v>
      </c>
      <c r="G1631" s="61" t="n">
        <v>-12057479291</v>
      </c>
      <c r="H1631" s="13" t="s">
        <v>2255</v>
      </c>
      <c r="I1631" s="13" t="s">
        <v>2429</v>
      </c>
      <c r="J1631" s="13" t="n">
        <v>5</v>
      </c>
      <c r="K1631" s="13" t="s">
        <v>2276</v>
      </c>
      <c r="L1631" s="13" t="s">
        <v>2263</v>
      </c>
      <c r="M1631" s="13"/>
    </row>
    <row r="1632" customFormat="false" ht="15" hidden="false" customHeight="false" outlineLevel="0" collapsed="false">
      <c r="A1632" s="13" t="s">
        <v>628</v>
      </c>
      <c r="B1632" s="13" t="s">
        <v>627</v>
      </c>
      <c r="C1632" s="13" t="s">
        <v>2264</v>
      </c>
      <c r="D1632" s="13" t="s">
        <v>2270</v>
      </c>
      <c r="E1632" s="13" t="s">
        <v>2427</v>
      </c>
      <c r="F1632" s="13" t="s">
        <v>2432</v>
      </c>
      <c r="G1632" s="61" t="n">
        <v>816836361</v>
      </c>
      <c r="H1632" s="13" t="s">
        <v>2255</v>
      </c>
      <c r="I1632" s="13" t="s">
        <v>2429</v>
      </c>
      <c r="J1632" s="13" t="n">
        <v>5</v>
      </c>
      <c r="K1632" s="13" t="s">
        <v>2277</v>
      </c>
      <c r="L1632" s="13" t="s">
        <v>2265</v>
      </c>
      <c r="M1632" s="13"/>
    </row>
    <row r="1633" customFormat="false" ht="15" hidden="false" customHeight="false" outlineLevel="0" collapsed="false">
      <c r="A1633" s="13" t="s">
        <v>628</v>
      </c>
      <c r="B1633" s="13" t="s">
        <v>627</v>
      </c>
      <c r="C1633" s="13" t="s">
        <v>2266</v>
      </c>
      <c r="D1633" s="13" t="s">
        <v>2270</v>
      </c>
      <c r="E1633" s="13" t="s">
        <v>2427</v>
      </c>
      <c r="F1633" s="13" t="s">
        <v>2432</v>
      </c>
      <c r="G1633" s="61" t="n">
        <v>1917135212</v>
      </c>
      <c r="H1633" s="13" t="s">
        <v>2255</v>
      </c>
      <c r="I1633" s="13" t="s">
        <v>2429</v>
      </c>
      <c r="J1633" s="13" t="n">
        <v>75</v>
      </c>
      <c r="K1633" s="13" t="s">
        <v>2278</v>
      </c>
      <c r="L1633" s="13" t="s">
        <v>2265</v>
      </c>
      <c r="M1633" s="13"/>
    </row>
    <row r="1634" customFormat="false" ht="15" hidden="false" customHeight="false" outlineLevel="0" collapsed="false">
      <c r="A1634" s="13" t="s">
        <v>628</v>
      </c>
      <c r="B1634" s="13" t="s">
        <v>627</v>
      </c>
      <c r="C1634" s="13" t="s">
        <v>2267</v>
      </c>
      <c r="D1634" s="13" t="s">
        <v>2270</v>
      </c>
      <c r="E1634" s="13" t="s">
        <v>2427</v>
      </c>
      <c r="F1634" s="13" t="s">
        <v>2432</v>
      </c>
      <c r="G1634" s="61" t="n">
        <v>60080798</v>
      </c>
      <c r="H1634" s="13" t="s">
        <v>2255</v>
      </c>
      <c r="I1634" s="13" t="s">
        <v>2429</v>
      </c>
      <c r="J1634" s="13" t="n">
        <v>75</v>
      </c>
      <c r="K1634" s="13" t="s">
        <v>2278</v>
      </c>
      <c r="L1634" s="13" t="s">
        <v>2265</v>
      </c>
      <c r="M1634" s="13"/>
    </row>
    <row r="1635" customFormat="false" ht="15" hidden="false" customHeight="false" outlineLevel="0" collapsed="false">
      <c r="A1635" s="13" t="s">
        <v>628</v>
      </c>
      <c r="B1635" s="13" t="s">
        <v>627</v>
      </c>
      <c r="C1635" s="13" t="s">
        <v>2254</v>
      </c>
      <c r="D1635" s="13" t="s">
        <v>2270</v>
      </c>
      <c r="E1635" s="13" t="s">
        <v>2427</v>
      </c>
      <c r="F1635" s="13" t="s">
        <v>2433</v>
      </c>
      <c r="G1635" s="61" t="n">
        <v>0</v>
      </c>
      <c r="H1635" s="13" t="s">
        <v>2255</v>
      </c>
      <c r="I1635" s="13" t="s">
        <v>2429</v>
      </c>
      <c r="J1635" s="13" t="n">
        <v>5</v>
      </c>
      <c r="K1635" s="13" t="s">
        <v>2274</v>
      </c>
      <c r="L1635" s="13" t="s">
        <v>2257</v>
      </c>
      <c r="M1635" s="13"/>
    </row>
    <row r="1636" customFormat="false" ht="15" hidden="false" customHeight="false" outlineLevel="0" collapsed="false">
      <c r="A1636" s="13" t="s">
        <v>628</v>
      </c>
      <c r="B1636" s="13" t="s">
        <v>627</v>
      </c>
      <c r="C1636" s="13" t="s">
        <v>2258</v>
      </c>
      <c r="D1636" s="13" t="s">
        <v>2270</v>
      </c>
      <c r="E1636" s="13" t="s">
        <v>2427</v>
      </c>
      <c r="F1636" s="13" t="s">
        <v>2433</v>
      </c>
      <c r="G1636" s="61" t="n">
        <v>-384915049</v>
      </c>
      <c r="H1636" s="13" t="s">
        <v>2255</v>
      </c>
      <c r="I1636" s="13" t="s">
        <v>2429</v>
      </c>
      <c r="J1636" s="13" t="n">
        <v>5</v>
      </c>
      <c r="K1636" s="13" t="s">
        <v>2275</v>
      </c>
      <c r="L1636" s="13" t="s">
        <v>2260</v>
      </c>
      <c r="M1636" s="13"/>
    </row>
    <row r="1637" customFormat="false" ht="15" hidden="false" customHeight="false" outlineLevel="0" collapsed="false">
      <c r="A1637" s="13" t="s">
        <v>628</v>
      </c>
      <c r="B1637" s="13" t="s">
        <v>627</v>
      </c>
      <c r="C1637" s="13" t="s">
        <v>2261</v>
      </c>
      <c r="D1637" s="13" t="s">
        <v>2270</v>
      </c>
      <c r="E1637" s="13" t="s">
        <v>2427</v>
      </c>
      <c r="F1637" s="13" t="s">
        <v>2433</v>
      </c>
      <c r="G1637" s="61" t="n">
        <v>-1735446689</v>
      </c>
      <c r="H1637" s="13" t="s">
        <v>2255</v>
      </c>
      <c r="I1637" s="13" t="s">
        <v>2429</v>
      </c>
      <c r="J1637" s="13" t="n">
        <v>5</v>
      </c>
      <c r="K1637" s="13" t="s">
        <v>2276</v>
      </c>
      <c r="L1637" s="13" t="s">
        <v>2263</v>
      </c>
      <c r="M1637" s="13"/>
    </row>
    <row r="1638" customFormat="false" ht="15" hidden="false" customHeight="false" outlineLevel="0" collapsed="false">
      <c r="A1638" s="13" t="s">
        <v>628</v>
      </c>
      <c r="B1638" s="13" t="s">
        <v>627</v>
      </c>
      <c r="C1638" s="13" t="s">
        <v>2264</v>
      </c>
      <c r="D1638" s="13" t="s">
        <v>2270</v>
      </c>
      <c r="E1638" s="13" t="s">
        <v>2427</v>
      </c>
      <c r="F1638" s="13" t="s">
        <v>2433</v>
      </c>
      <c r="G1638" s="61" t="n">
        <v>-42798550</v>
      </c>
      <c r="H1638" s="13" t="s">
        <v>2255</v>
      </c>
      <c r="I1638" s="13" t="s">
        <v>2429</v>
      </c>
      <c r="J1638" s="13" t="n">
        <v>5</v>
      </c>
      <c r="K1638" s="13" t="s">
        <v>2277</v>
      </c>
      <c r="L1638" s="13" t="s">
        <v>2265</v>
      </c>
      <c r="M1638" s="13"/>
    </row>
    <row r="1639" customFormat="false" ht="15" hidden="false" customHeight="false" outlineLevel="0" collapsed="false">
      <c r="A1639" s="13" t="s">
        <v>628</v>
      </c>
      <c r="B1639" s="13" t="s">
        <v>627</v>
      </c>
      <c r="C1639" s="13" t="s">
        <v>2266</v>
      </c>
      <c r="D1639" s="13" t="s">
        <v>2270</v>
      </c>
      <c r="E1639" s="13" t="s">
        <v>2427</v>
      </c>
      <c r="F1639" s="13" t="s">
        <v>2433</v>
      </c>
      <c r="G1639" s="61" t="n">
        <v>-348065116</v>
      </c>
      <c r="H1639" s="13" t="s">
        <v>2255</v>
      </c>
      <c r="I1639" s="13" t="s">
        <v>2429</v>
      </c>
      <c r="J1639" s="13" t="n">
        <v>75</v>
      </c>
      <c r="K1639" s="13" t="s">
        <v>2278</v>
      </c>
      <c r="L1639" s="13" t="s">
        <v>2265</v>
      </c>
      <c r="M1639" s="13"/>
    </row>
    <row r="1640" customFormat="false" ht="15" hidden="false" customHeight="false" outlineLevel="0" collapsed="false">
      <c r="A1640" s="13" t="s">
        <v>628</v>
      </c>
      <c r="B1640" s="13" t="s">
        <v>627</v>
      </c>
      <c r="C1640" s="13" t="s">
        <v>2267</v>
      </c>
      <c r="D1640" s="13" t="s">
        <v>2270</v>
      </c>
      <c r="E1640" s="13" t="s">
        <v>2427</v>
      </c>
      <c r="F1640" s="13" t="s">
        <v>2433</v>
      </c>
      <c r="G1640" s="61" t="n">
        <v>-38918503</v>
      </c>
      <c r="H1640" s="13" t="s">
        <v>2255</v>
      </c>
      <c r="I1640" s="13" t="s">
        <v>2429</v>
      </c>
      <c r="J1640" s="13" t="n">
        <v>75</v>
      </c>
      <c r="K1640" s="13" t="s">
        <v>2278</v>
      </c>
      <c r="L1640" s="13" t="s">
        <v>2265</v>
      </c>
      <c r="M1640" s="13"/>
    </row>
    <row r="1641" customFormat="false" ht="15" hidden="false" customHeight="false" outlineLevel="0" collapsed="false">
      <c r="A1641" s="13" t="s">
        <v>628</v>
      </c>
      <c r="B1641" s="13" t="s">
        <v>627</v>
      </c>
      <c r="C1641" s="13" t="s">
        <v>2266</v>
      </c>
      <c r="D1641" s="13" t="s">
        <v>2270</v>
      </c>
      <c r="E1641" s="13" t="s">
        <v>2427</v>
      </c>
      <c r="F1641" s="13" t="s">
        <v>2434</v>
      </c>
      <c r="G1641" s="61" t="n">
        <v>7345183576</v>
      </c>
      <c r="H1641" s="13" t="s">
        <v>2255</v>
      </c>
      <c r="I1641" s="13" t="s">
        <v>2429</v>
      </c>
      <c r="J1641" s="13" t="n">
        <v>75</v>
      </c>
      <c r="K1641" s="13" t="s">
        <v>2278</v>
      </c>
      <c r="L1641" s="13" t="s">
        <v>2265</v>
      </c>
      <c r="M1641" s="13"/>
    </row>
    <row r="1642" customFormat="false" ht="15" hidden="false" customHeight="false" outlineLevel="0" collapsed="false">
      <c r="A1642" s="13" t="s">
        <v>628</v>
      </c>
      <c r="B1642" s="13" t="s">
        <v>627</v>
      </c>
      <c r="C1642" s="13" t="s">
        <v>2267</v>
      </c>
      <c r="D1642" s="13" t="s">
        <v>2270</v>
      </c>
      <c r="E1642" s="13" t="s">
        <v>2427</v>
      </c>
      <c r="F1642" s="13" t="s">
        <v>2434</v>
      </c>
      <c r="G1642" s="61" t="n">
        <v>9855310533</v>
      </c>
      <c r="H1642" s="13" t="s">
        <v>2255</v>
      </c>
      <c r="I1642" s="13" t="s">
        <v>2429</v>
      </c>
      <c r="J1642" s="13" t="n">
        <v>75</v>
      </c>
      <c r="K1642" s="13" t="s">
        <v>2278</v>
      </c>
      <c r="L1642" s="13" t="s">
        <v>2265</v>
      </c>
      <c r="M1642" s="13"/>
    </row>
    <row r="1643" customFormat="false" ht="15" hidden="false" customHeight="false" outlineLevel="0" collapsed="false">
      <c r="A1643" s="13" t="s">
        <v>628</v>
      </c>
      <c r="B1643" s="13" t="s">
        <v>627</v>
      </c>
      <c r="C1643" s="13" t="s">
        <v>2254</v>
      </c>
      <c r="D1643" s="13" t="s">
        <v>2270</v>
      </c>
      <c r="E1643" s="13" t="s">
        <v>2435</v>
      </c>
      <c r="F1643" s="13" t="s">
        <v>1271</v>
      </c>
      <c r="G1643" s="61" t="n">
        <v>37022761723</v>
      </c>
      <c r="H1643" s="13" t="s">
        <v>2255</v>
      </c>
      <c r="I1643" s="13" t="s">
        <v>2429</v>
      </c>
      <c r="J1643" s="13" t="n">
        <v>5</v>
      </c>
      <c r="K1643" s="13" t="s">
        <v>2274</v>
      </c>
      <c r="L1643" s="13" t="s">
        <v>2257</v>
      </c>
      <c r="M1643" s="13"/>
    </row>
    <row r="1644" customFormat="false" ht="15" hidden="false" customHeight="false" outlineLevel="0" collapsed="false">
      <c r="A1644" s="13" t="s">
        <v>628</v>
      </c>
      <c r="B1644" s="13" t="s">
        <v>627</v>
      </c>
      <c r="C1644" s="13" t="s">
        <v>2258</v>
      </c>
      <c r="D1644" s="13" t="s">
        <v>2270</v>
      </c>
      <c r="E1644" s="13" t="s">
        <v>2435</v>
      </c>
      <c r="F1644" s="13" t="s">
        <v>1271</v>
      </c>
      <c r="G1644" s="61" t="n">
        <v>44205817386</v>
      </c>
      <c r="H1644" s="13" t="s">
        <v>2255</v>
      </c>
      <c r="I1644" s="13" t="s">
        <v>2429</v>
      </c>
      <c r="J1644" s="13" t="n">
        <v>5</v>
      </c>
      <c r="K1644" s="13" t="s">
        <v>2275</v>
      </c>
      <c r="L1644" s="13" t="s">
        <v>2260</v>
      </c>
      <c r="M1644" s="13"/>
    </row>
    <row r="1645" customFormat="false" ht="15" hidden="false" customHeight="false" outlineLevel="0" collapsed="false">
      <c r="A1645" s="13" t="s">
        <v>628</v>
      </c>
      <c r="B1645" s="13" t="s">
        <v>627</v>
      </c>
      <c r="C1645" s="13" t="s">
        <v>2261</v>
      </c>
      <c r="D1645" s="13" t="s">
        <v>2270</v>
      </c>
      <c r="E1645" s="13" t="s">
        <v>2435</v>
      </c>
      <c r="F1645" s="13" t="s">
        <v>1271</v>
      </c>
      <c r="G1645" s="61" t="n">
        <v>51410006855</v>
      </c>
      <c r="H1645" s="13" t="s">
        <v>2255</v>
      </c>
      <c r="I1645" s="13" t="s">
        <v>2429</v>
      </c>
      <c r="J1645" s="13" t="n">
        <v>5</v>
      </c>
      <c r="K1645" s="13" t="s">
        <v>2276</v>
      </c>
      <c r="L1645" s="13" t="s">
        <v>2263</v>
      </c>
      <c r="M1645" s="13"/>
    </row>
    <row r="1646" customFormat="false" ht="15" hidden="false" customHeight="false" outlineLevel="0" collapsed="false">
      <c r="A1646" s="13" t="s">
        <v>628</v>
      </c>
      <c r="B1646" s="13" t="s">
        <v>627</v>
      </c>
      <c r="C1646" s="13" t="s">
        <v>2264</v>
      </c>
      <c r="D1646" s="13" t="s">
        <v>2270</v>
      </c>
      <c r="E1646" s="13" t="s">
        <v>2435</v>
      </c>
      <c r="F1646" s="13" t="s">
        <v>1271</v>
      </c>
      <c r="G1646" s="61" t="n">
        <v>28534604984</v>
      </c>
      <c r="H1646" s="13" t="s">
        <v>2255</v>
      </c>
      <c r="I1646" s="13" t="s">
        <v>2429</v>
      </c>
      <c r="J1646" s="13" t="n">
        <v>5</v>
      </c>
      <c r="K1646" s="13" t="s">
        <v>2277</v>
      </c>
      <c r="L1646" s="13" t="s">
        <v>2265</v>
      </c>
      <c r="M1646" s="13"/>
    </row>
    <row r="1647" customFormat="false" ht="15" hidden="false" customHeight="false" outlineLevel="0" collapsed="false">
      <c r="A1647" s="13" t="s">
        <v>628</v>
      </c>
      <c r="B1647" s="13" t="s">
        <v>627</v>
      </c>
      <c r="C1647" s="13" t="s">
        <v>2266</v>
      </c>
      <c r="D1647" s="13" t="s">
        <v>2270</v>
      </c>
      <c r="E1647" s="13" t="s">
        <v>2435</v>
      </c>
      <c r="F1647" s="13" t="s">
        <v>1271</v>
      </c>
      <c r="G1647" s="61" t="n">
        <v>25063931536</v>
      </c>
      <c r="H1647" s="13" t="s">
        <v>2255</v>
      </c>
      <c r="I1647" s="13" t="s">
        <v>2429</v>
      </c>
      <c r="J1647" s="13" t="n">
        <v>75</v>
      </c>
      <c r="K1647" s="13" t="s">
        <v>2278</v>
      </c>
      <c r="L1647" s="13" t="s">
        <v>2265</v>
      </c>
      <c r="M1647" s="13"/>
    </row>
    <row r="1648" customFormat="false" ht="15" hidden="false" customHeight="false" outlineLevel="0" collapsed="false">
      <c r="A1648" s="13" t="s">
        <v>628</v>
      </c>
      <c r="B1648" s="13" t="s">
        <v>627</v>
      </c>
      <c r="C1648" s="13" t="s">
        <v>2267</v>
      </c>
      <c r="D1648" s="13" t="s">
        <v>2270</v>
      </c>
      <c r="E1648" s="13" t="s">
        <v>2435</v>
      </c>
      <c r="F1648" s="13" t="s">
        <v>1271</v>
      </c>
      <c r="G1648" s="61" t="n">
        <v>29627155160</v>
      </c>
      <c r="H1648" s="13" t="s">
        <v>2255</v>
      </c>
      <c r="I1648" s="13" t="s">
        <v>2429</v>
      </c>
      <c r="J1648" s="13" t="n">
        <v>75</v>
      </c>
      <c r="K1648" s="13" t="s">
        <v>2278</v>
      </c>
      <c r="L1648" s="13" t="s">
        <v>2265</v>
      </c>
      <c r="M1648" s="13"/>
    </row>
    <row r="1649" customFormat="false" ht="15" hidden="false" customHeight="false" outlineLevel="0" collapsed="false">
      <c r="A1649" s="13" t="s">
        <v>628</v>
      </c>
      <c r="B1649" s="13" t="s">
        <v>627</v>
      </c>
      <c r="C1649" s="13" t="s">
        <v>2254</v>
      </c>
      <c r="D1649" s="13" t="s">
        <v>2270</v>
      </c>
      <c r="E1649" s="13" t="s">
        <v>2435</v>
      </c>
      <c r="F1649" s="13" t="s">
        <v>2436</v>
      </c>
      <c r="G1649" s="61" t="n">
        <v>7629130152</v>
      </c>
      <c r="H1649" s="13" t="s">
        <v>2255</v>
      </c>
      <c r="I1649" s="13" t="s">
        <v>2429</v>
      </c>
      <c r="J1649" s="13" t="n">
        <v>5</v>
      </c>
      <c r="K1649" s="13" t="s">
        <v>2274</v>
      </c>
      <c r="L1649" s="13" t="s">
        <v>2257</v>
      </c>
      <c r="M1649" s="13"/>
    </row>
    <row r="1650" customFormat="false" ht="15" hidden="false" customHeight="false" outlineLevel="0" collapsed="false">
      <c r="A1650" s="13" t="s">
        <v>628</v>
      </c>
      <c r="B1650" s="13" t="s">
        <v>627</v>
      </c>
      <c r="C1650" s="13" t="s">
        <v>2258</v>
      </c>
      <c r="D1650" s="13" t="s">
        <v>2270</v>
      </c>
      <c r="E1650" s="13" t="s">
        <v>2435</v>
      </c>
      <c r="F1650" s="13" t="s">
        <v>2436</v>
      </c>
      <c r="G1650" s="61" t="n">
        <v>15880018857</v>
      </c>
      <c r="H1650" s="13" t="s">
        <v>2255</v>
      </c>
      <c r="I1650" s="13" t="s">
        <v>2429</v>
      </c>
      <c r="J1650" s="13" t="n">
        <v>5</v>
      </c>
      <c r="K1650" s="13" t="s">
        <v>2275</v>
      </c>
      <c r="L1650" s="13" t="s">
        <v>2260</v>
      </c>
      <c r="M1650" s="13"/>
    </row>
    <row r="1651" customFormat="false" ht="15" hidden="false" customHeight="false" outlineLevel="0" collapsed="false">
      <c r="A1651" s="13" t="s">
        <v>628</v>
      </c>
      <c r="B1651" s="13" t="s">
        <v>627</v>
      </c>
      <c r="C1651" s="13" t="s">
        <v>2261</v>
      </c>
      <c r="D1651" s="13" t="s">
        <v>2270</v>
      </c>
      <c r="E1651" s="13" t="s">
        <v>2435</v>
      </c>
      <c r="F1651" s="13" t="s">
        <v>2436</v>
      </c>
      <c r="G1651" s="61" t="n">
        <v>-3830525560</v>
      </c>
      <c r="H1651" s="13" t="s">
        <v>2255</v>
      </c>
      <c r="I1651" s="13" t="s">
        <v>2429</v>
      </c>
      <c r="J1651" s="13" t="n">
        <v>5</v>
      </c>
      <c r="K1651" s="13" t="s">
        <v>2276</v>
      </c>
      <c r="L1651" s="13" t="s">
        <v>2263</v>
      </c>
      <c r="M1651" s="13"/>
    </row>
    <row r="1652" customFormat="false" ht="15" hidden="false" customHeight="false" outlineLevel="0" collapsed="false">
      <c r="A1652" s="13" t="s">
        <v>628</v>
      </c>
      <c r="B1652" s="13" t="s">
        <v>627</v>
      </c>
      <c r="C1652" s="13" t="s">
        <v>2264</v>
      </c>
      <c r="D1652" s="13" t="s">
        <v>2270</v>
      </c>
      <c r="E1652" s="13" t="s">
        <v>2435</v>
      </c>
      <c r="F1652" s="13" t="s">
        <v>2436</v>
      </c>
      <c r="G1652" s="61" t="n">
        <v>6484009640</v>
      </c>
      <c r="H1652" s="13" t="s">
        <v>2255</v>
      </c>
      <c r="I1652" s="13" t="s">
        <v>2429</v>
      </c>
      <c r="J1652" s="13" t="n">
        <v>5</v>
      </c>
      <c r="K1652" s="13" t="s">
        <v>2277</v>
      </c>
      <c r="L1652" s="13" t="s">
        <v>2265</v>
      </c>
      <c r="M1652" s="13"/>
    </row>
    <row r="1653" customFormat="false" ht="15" hidden="false" customHeight="false" outlineLevel="0" collapsed="false">
      <c r="A1653" s="13" t="s">
        <v>628</v>
      </c>
      <c r="B1653" s="13" t="s">
        <v>627</v>
      </c>
      <c r="C1653" s="13" t="s">
        <v>2266</v>
      </c>
      <c r="D1653" s="13" t="s">
        <v>2270</v>
      </c>
      <c r="E1653" s="13" t="s">
        <v>2435</v>
      </c>
      <c r="F1653" s="13" t="s">
        <v>2436</v>
      </c>
      <c r="G1653" s="61" t="n">
        <v>7345183576</v>
      </c>
      <c r="H1653" s="13" t="s">
        <v>2255</v>
      </c>
      <c r="I1653" s="13" t="s">
        <v>2429</v>
      </c>
      <c r="J1653" s="13" t="n">
        <v>75</v>
      </c>
      <c r="K1653" s="13" t="s">
        <v>2278</v>
      </c>
      <c r="L1653" s="13" t="s">
        <v>2265</v>
      </c>
      <c r="M1653" s="13"/>
    </row>
    <row r="1654" customFormat="false" ht="15" hidden="false" customHeight="false" outlineLevel="0" collapsed="false">
      <c r="A1654" s="13" t="s">
        <v>628</v>
      </c>
      <c r="B1654" s="13" t="s">
        <v>627</v>
      </c>
      <c r="C1654" s="13" t="s">
        <v>2267</v>
      </c>
      <c r="D1654" s="13" t="s">
        <v>2270</v>
      </c>
      <c r="E1654" s="13" t="s">
        <v>2435</v>
      </c>
      <c r="F1654" s="13" t="s">
        <v>2436</v>
      </c>
      <c r="G1654" s="61" t="n">
        <v>9855310533</v>
      </c>
      <c r="H1654" s="13" t="s">
        <v>2255</v>
      </c>
      <c r="I1654" s="13" t="s">
        <v>2429</v>
      </c>
      <c r="J1654" s="13" t="n">
        <v>75</v>
      </c>
      <c r="K1654" s="13" t="s">
        <v>2278</v>
      </c>
      <c r="L1654" s="13" t="s">
        <v>2265</v>
      </c>
      <c r="M1654" s="13"/>
    </row>
    <row r="1655" customFormat="false" ht="15" hidden="false" customHeight="false" outlineLevel="0" collapsed="false">
      <c r="A1655" s="13" t="s">
        <v>628</v>
      </c>
      <c r="B1655" s="13" t="s">
        <v>627</v>
      </c>
      <c r="C1655" s="13" t="s">
        <v>2254</v>
      </c>
      <c r="D1655" s="13" t="s">
        <v>2270</v>
      </c>
      <c r="E1655" s="13" t="s">
        <v>2435</v>
      </c>
      <c r="F1655" s="13" t="s">
        <v>1282</v>
      </c>
      <c r="G1655" s="61" t="n">
        <v>-380294833</v>
      </c>
      <c r="H1655" s="13" t="s">
        <v>2255</v>
      </c>
      <c r="I1655" s="13" t="s">
        <v>2429</v>
      </c>
      <c r="J1655" s="13" t="n">
        <v>5</v>
      </c>
      <c r="K1655" s="13" t="s">
        <v>2274</v>
      </c>
      <c r="L1655" s="13" t="s">
        <v>2257</v>
      </c>
      <c r="M1655" s="13"/>
    </row>
    <row r="1656" customFormat="false" ht="15" hidden="false" customHeight="false" outlineLevel="0" collapsed="false">
      <c r="A1656" s="13" t="s">
        <v>628</v>
      </c>
      <c r="B1656" s="13" t="s">
        <v>627</v>
      </c>
      <c r="C1656" s="13" t="s">
        <v>2258</v>
      </c>
      <c r="D1656" s="13" t="s">
        <v>2270</v>
      </c>
      <c r="E1656" s="13" t="s">
        <v>2435</v>
      </c>
      <c r="F1656" s="13" t="s">
        <v>1282</v>
      </c>
      <c r="G1656" s="61" t="n">
        <v>6720079053</v>
      </c>
      <c r="H1656" s="13" t="s">
        <v>2255</v>
      </c>
      <c r="I1656" s="13" t="s">
        <v>2429</v>
      </c>
      <c r="J1656" s="13" t="n">
        <v>5</v>
      </c>
      <c r="K1656" s="13" t="s">
        <v>2275</v>
      </c>
      <c r="L1656" s="13" t="s">
        <v>2260</v>
      </c>
      <c r="M1656" s="13"/>
    </row>
    <row r="1657" customFormat="false" ht="15" hidden="false" customHeight="false" outlineLevel="0" collapsed="false">
      <c r="A1657" s="13" t="s">
        <v>628</v>
      </c>
      <c r="B1657" s="13" t="s">
        <v>627</v>
      </c>
      <c r="C1657" s="13" t="s">
        <v>2261</v>
      </c>
      <c r="D1657" s="13" t="s">
        <v>2270</v>
      </c>
      <c r="E1657" s="13" t="s">
        <v>2435</v>
      </c>
      <c r="F1657" s="13" t="s">
        <v>1282</v>
      </c>
      <c r="G1657" s="61" t="n">
        <v>-4743936294</v>
      </c>
      <c r="H1657" s="13" t="s">
        <v>2255</v>
      </c>
      <c r="I1657" s="13" t="s">
        <v>2429</v>
      </c>
      <c r="J1657" s="13" t="n">
        <v>5</v>
      </c>
      <c r="K1657" s="13" t="s">
        <v>2276</v>
      </c>
      <c r="L1657" s="13" t="s">
        <v>2263</v>
      </c>
      <c r="M1657" s="13"/>
    </row>
    <row r="1658" customFormat="false" ht="15" hidden="false" customHeight="false" outlineLevel="0" collapsed="false">
      <c r="A1658" s="13" t="s">
        <v>628</v>
      </c>
      <c r="B1658" s="13" t="s">
        <v>627</v>
      </c>
      <c r="C1658" s="13" t="s">
        <v>2264</v>
      </c>
      <c r="D1658" s="13" t="s">
        <v>2270</v>
      </c>
      <c r="E1658" s="13" t="s">
        <v>2435</v>
      </c>
      <c r="F1658" s="13" t="s">
        <v>1282</v>
      </c>
      <c r="G1658" s="61" t="n">
        <v>-4985509356</v>
      </c>
      <c r="H1658" s="13" t="s">
        <v>2255</v>
      </c>
      <c r="I1658" s="13" t="s">
        <v>2429</v>
      </c>
      <c r="J1658" s="13" t="n">
        <v>5</v>
      </c>
      <c r="K1658" s="13" t="s">
        <v>2277</v>
      </c>
      <c r="L1658" s="13" t="s">
        <v>2265</v>
      </c>
      <c r="M1658" s="13"/>
    </row>
    <row r="1659" customFormat="false" ht="15" hidden="false" customHeight="false" outlineLevel="0" collapsed="false">
      <c r="A1659" s="13" t="s">
        <v>628</v>
      </c>
      <c r="B1659" s="13" t="s">
        <v>627</v>
      </c>
      <c r="C1659" s="13" t="s">
        <v>2266</v>
      </c>
      <c r="D1659" s="13" t="s">
        <v>2270</v>
      </c>
      <c r="E1659" s="13" t="s">
        <v>2435</v>
      </c>
      <c r="F1659" s="13" t="s">
        <v>1282</v>
      </c>
      <c r="G1659" s="61" t="n">
        <v>2004583162</v>
      </c>
      <c r="H1659" s="13" t="s">
        <v>2255</v>
      </c>
      <c r="I1659" s="13" t="s">
        <v>2429</v>
      </c>
      <c r="J1659" s="13" t="n">
        <v>75</v>
      </c>
      <c r="K1659" s="13" t="s">
        <v>2278</v>
      </c>
      <c r="L1659" s="13" t="s">
        <v>2265</v>
      </c>
      <c r="M1659" s="13"/>
    </row>
    <row r="1660" customFormat="false" ht="15" hidden="false" customHeight="false" outlineLevel="0" collapsed="false">
      <c r="A1660" s="13" t="s">
        <v>628</v>
      </c>
      <c r="B1660" s="13" t="s">
        <v>627</v>
      </c>
      <c r="C1660" s="13" t="s">
        <v>2267</v>
      </c>
      <c r="D1660" s="13" t="s">
        <v>2270</v>
      </c>
      <c r="E1660" s="13" t="s">
        <v>2435</v>
      </c>
      <c r="F1660" s="13" t="s">
        <v>1282</v>
      </c>
      <c r="G1660" s="61" t="n">
        <v>-2581070789</v>
      </c>
      <c r="H1660" s="13" t="s">
        <v>2255</v>
      </c>
      <c r="I1660" s="13" t="s">
        <v>2429</v>
      </c>
      <c r="J1660" s="13" t="n">
        <v>75</v>
      </c>
      <c r="K1660" s="13" t="s">
        <v>2278</v>
      </c>
      <c r="L1660" s="13" t="s">
        <v>2265</v>
      </c>
      <c r="M1660" s="13"/>
    </row>
    <row r="1661" customFormat="false" ht="15" hidden="false" customHeight="false" outlineLevel="0" collapsed="false">
      <c r="A1661" s="13" t="s">
        <v>628</v>
      </c>
      <c r="B1661" s="13" t="s">
        <v>627</v>
      </c>
      <c r="C1661" s="13" t="s">
        <v>2254</v>
      </c>
      <c r="D1661" s="13" t="s">
        <v>2270</v>
      </c>
      <c r="E1661" s="13" t="s">
        <v>2435</v>
      </c>
      <c r="F1661" s="13" t="s">
        <v>2437</v>
      </c>
      <c r="G1661" s="61" t="n">
        <v>-773972416</v>
      </c>
      <c r="H1661" s="13" t="s">
        <v>2255</v>
      </c>
      <c r="I1661" s="13" t="s">
        <v>2429</v>
      </c>
      <c r="J1661" s="13" t="n">
        <v>5</v>
      </c>
      <c r="K1661" s="13" t="s">
        <v>2274</v>
      </c>
      <c r="L1661" s="13" t="s">
        <v>2257</v>
      </c>
      <c r="M1661" s="13"/>
    </row>
    <row r="1662" customFormat="false" ht="15" hidden="false" customHeight="false" outlineLevel="0" collapsed="false">
      <c r="A1662" s="13" t="s">
        <v>628</v>
      </c>
      <c r="B1662" s="13" t="s">
        <v>627</v>
      </c>
      <c r="C1662" s="13" t="s">
        <v>2258</v>
      </c>
      <c r="D1662" s="13" t="s">
        <v>2270</v>
      </c>
      <c r="E1662" s="13" t="s">
        <v>2435</v>
      </c>
      <c r="F1662" s="13" t="s">
        <v>2437</v>
      </c>
      <c r="G1662" s="61" t="n">
        <v>-2062581605</v>
      </c>
      <c r="H1662" s="13" t="s">
        <v>2255</v>
      </c>
      <c r="I1662" s="13" t="s">
        <v>2429</v>
      </c>
      <c r="J1662" s="13" t="n">
        <v>5</v>
      </c>
      <c r="K1662" s="13" t="s">
        <v>2275</v>
      </c>
      <c r="L1662" s="13" t="s">
        <v>2260</v>
      </c>
      <c r="M1662" s="13"/>
    </row>
    <row r="1663" customFormat="false" ht="15" hidden="false" customHeight="false" outlineLevel="0" collapsed="false">
      <c r="A1663" s="13" t="s">
        <v>628</v>
      </c>
      <c r="B1663" s="13" t="s">
        <v>627</v>
      </c>
      <c r="C1663" s="13" t="s">
        <v>2261</v>
      </c>
      <c r="D1663" s="13" t="s">
        <v>2270</v>
      </c>
      <c r="E1663" s="13" t="s">
        <v>2435</v>
      </c>
      <c r="F1663" s="13" t="s">
        <v>2437</v>
      </c>
      <c r="G1663" s="61" t="n">
        <v>-9814555339</v>
      </c>
      <c r="H1663" s="13" t="s">
        <v>2255</v>
      </c>
      <c r="I1663" s="13" t="s">
        <v>2429</v>
      </c>
      <c r="J1663" s="13" t="n">
        <v>5</v>
      </c>
      <c r="K1663" s="13" t="s">
        <v>2276</v>
      </c>
      <c r="L1663" s="13" t="s">
        <v>2263</v>
      </c>
      <c r="M1663" s="13"/>
    </row>
    <row r="1664" customFormat="false" ht="15" hidden="false" customHeight="false" outlineLevel="0" collapsed="false">
      <c r="A1664" s="13" t="s">
        <v>628</v>
      </c>
      <c r="B1664" s="13" t="s">
        <v>627</v>
      </c>
      <c r="C1664" s="13" t="s">
        <v>2264</v>
      </c>
      <c r="D1664" s="13" t="s">
        <v>2270</v>
      </c>
      <c r="E1664" s="13" t="s">
        <v>2435</v>
      </c>
      <c r="F1664" s="13" t="s">
        <v>2437</v>
      </c>
      <c r="G1664" s="61" t="n">
        <v>-4913814388</v>
      </c>
      <c r="H1664" s="13" t="s">
        <v>2255</v>
      </c>
      <c r="I1664" s="13" t="s">
        <v>2429</v>
      </c>
      <c r="J1664" s="13" t="n">
        <v>5</v>
      </c>
      <c r="K1664" s="13" t="s">
        <v>2277</v>
      </c>
      <c r="L1664" s="13" t="s">
        <v>2265</v>
      </c>
      <c r="M1664" s="13"/>
    </row>
    <row r="1665" customFormat="false" ht="15" hidden="false" customHeight="false" outlineLevel="0" collapsed="false">
      <c r="A1665" s="13" t="s">
        <v>628</v>
      </c>
      <c r="B1665" s="13" t="s">
        <v>627</v>
      </c>
      <c r="C1665" s="13" t="s">
        <v>2266</v>
      </c>
      <c r="D1665" s="13" t="s">
        <v>2270</v>
      </c>
      <c r="E1665" s="13" t="s">
        <v>2435</v>
      </c>
      <c r="F1665" s="13" t="s">
        <v>2437</v>
      </c>
      <c r="G1665" s="61" t="n">
        <v>-4786543114</v>
      </c>
      <c r="H1665" s="13" t="s">
        <v>2255</v>
      </c>
      <c r="I1665" s="13" t="s">
        <v>2429</v>
      </c>
      <c r="J1665" s="13" t="n">
        <v>75</v>
      </c>
      <c r="K1665" s="13" t="s">
        <v>2278</v>
      </c>
      <c r="L1665" s="13" t="s">
        <v>2265</v>
      </c>
      <c r="M1665" s="13"/>
    </row>
    <row r="1666" customFormat="false" ht="15" hidden="false" customHeight="false" outlineLevel="0" collapsed="false">
      <c r="A1666" s="13" t="s">
        <v>628</v>
      </c>
      <c r="B1666" s="13" t="s">
        <v>627</v>
      </c>
      <c r="C1666" s="13" t="s">
        <v>2267</v>
      </c>
      <c r="D1666" s="13" t="s">
        <v>2270</v>
      </c>
      <c r="E1666" s="13" t="s">
        <v>2435</v>
      </c>
      <c r="F1666" s="13" t="s">
        <v>2437</v>
      </c>
      <c r="G1666" s="61" t="n">
        <v>-5099294492</v>
      </c>
      <c r="H1666" s="13" t="s">
        <v>2255</v>
      </c>
      <c r="I1666" s="13" t="s">
        <v>2429</v>
      </c>
      <c r="J1666" s="13" t="n">
        <v>75</v>
      </c>
      <c r="K1666" s="13" t="s">
        <v>2278</v>
      </c>
      <c r="L1666" s="13" t="s">
        <v>2265</v>
      </c>
      <c r="M1666" s="13"/>
    </row>
    <row r="1667" customFormat="false" ht="15" hidden="false" customHeight="false" outlineLevel="0" collapsed="false">
      <c r="A1667" s="13" t="s">
        <v>628</v>
      </c>
      <c r="B1667" s="13" t="s">
        <v>627</v>
      </c>
      <c r="C1667" s="13" t="s">
        <v>2254</v>
      </c>
      <c r="D1667" s="13" t="s">
        <v>2270</v>
      </c>
      <c r="E1667" s="13" t="s">
        <v>2435</v>
      </c>
      <c r="F1667" s="13" t="s">
        <v>2438</v>
      </c>
      <c r="G1667" s="61" t="n">
        <v>0</v>
      </c>
      <c r="H1667" s="13" t="s">
        <v>2255</v>
      </c>
      <c r="I1667" s="13" t="s">
        <v>2429</v>
      </c>
      <c r="J1667" s="13" t="n">
        <v>5</v>
      </c>
      <c r="K1667" s="13" t="s">
        <v>2274</v>
      </c>
      <c r="L1667" s="13" t="s">
        <v>2257</v>
      </c>
      <c r="M1667" s="13"/>
    </row>
    <row r="1668" customFormat="false" ht="15" hidden="false" customHeight="false" outlineLevel="0" collapsed="false">
      <c r="A1668" s="13" t="s">
        <v>628</v>
      </c>
      <c r="B1668" s="13" t="s">
        <v>627</v>
      </c>
      <c r="C1668" s="13" t="s">
        <v>2258</v>
      </c>
      <c r="D1668" s="13" t="s">
        <v>2270</v>
      </c>
      <c r="E1668" s="13" t="s">
        <v>2435</v>
      </c>
      <c r="F1668" s="13" t="s">
        <v>2438</v>
      </c>
      <c r="G1668" s="61" t="n">
        <v>125588626</v>
      </c>
      <c r="H1668" s="13" t="s">
        <v>2255</v>
      </c>
      <c r="I1668" s="13" t="s">
        <v>2429</v>
      </c>
      <c r="J1668" s="13" t="n">
        <v>5</v>
      </c>
      <c r="K1668" s="13" t="s">
        <v>2275</v>
      </c>
      <c r="L1668" s="13" t="s">
        <v>2260</v>
      </c>
      <c r="M1668" s="13"/>
    </row>
    <row r="1669" customFormat="false" ht="15" hidden="false" customHeight="false" outlineLevel="0" collapsed="false">
      <c r="A1669" s="13" t="s">
        <v>628</v>
      </c>
      <c r="B1669" s="13" t="s">
        <v>627</v>
      </c>
      <c r="C1669" s="13" t="s">
        <v>2261</v>
      </c>
      <c r="D1669" s="13" t="s">
        <v>2270</v>
      </c>
      <c r="E1669" s="13" t="s">
        <v>2435</v>
      </c>
      <c r="F1669" s="13" t="s">
        <v>2438</v>
      </c>
      <c r="G1669" s="61" t="n">
        <v>-4486384678</v>
      </c>
      <c r="H1669" s="13" t="s">
        <v>2255</v>
      </c>
      <c r="I1669" s="13" t="s">
        <v>2429</v>
      </c>
      <c r="J1669" s="13" t="n">
        <v>5</v>
      </c>
      <c r="K1669" s="13" t="s">
        <v>2276</v>
      </c>
      <c r="L1669" s="13" t="s">
        <v>2263</v>
      </c>
      <c r="M1669" s="13"/>
    </row>
    <row r="1670" customFormat="false" ht="15" hidden="false" customHeight="false" outlineLevel="0" collapsed="false">
      <c r="A1670" s="13" t="s">
        <v>628</v>
      </c>
      <c r="B1670" s="13" t="s">
        <v>627</v>
      </c>
      <c r="C1670" s="13" t="s">
        <v>2264</v>
      </c>
      <c r="D1670" s="13" t="s">
        <v>2270</v>
      </c>
      <c r="E1670" s="13" t="s">
        <v>2435</v>
      </c>
      <c r="F1670" s="13" t="s">
        <v>2438</v>
      </c>
      <c r="G1670" s="61" t="n">
        <v>-55359344</v>
      </c>
      <c r="H1670" s="13" t="s">
        <v>2255</v>
      </c>
      <c r="I1670" s="13" t="s">
        <v>2429</v>
      </c>
      <c r="J1670" s="13" t="n">
        <v>5</v>
      </c>
      <c r="K1670" s="13" t="s">
        <v>2277</v>
      </c>
      <c r="L1670" s="13" t="s">
        <v>2265</v>
      </c>
      <c r="M1670" s="13"/>
    </row>
    <row r="1671" customFormat="false" ht="15" hidden="false" customHeight="false" outlineLevel="0" collapsed="false">
      <c r="A1671" s="13" t="s">
        <v>628</v>
      </c>
      <c r="B1671" s="13" t="s">
        <v>627</v>
      </c>
      <c r="C1671" s="13" t="s">
        <v>2266</v>
      </c>
      <c r="D1671" s="13" t="s">
        <v>2270</v>
      </c>
      <c r="E1671" s="13" t="s">
        <v>2435</v>
      </c>
      <c r="F1671" s="13" t="s">
        <v>2438</v>
      </c>
      <c r="G1671" s="61" t="n">
        <v>0</v>
      </c>
      <c r="H1671" s="13" t="s">
        <v>2255</v>
      </c>
      <c r="I1671" s="13" t="s">
        <v>2429</v>
      </c>
      <c r="J1671" s="13" t="n">
        <v>75</v>
      </c>
      <c r="K1671" s="13" t="s">
        <v>2278</v>
      </c>
      <c r="L1671" s="13" t="s">
        <v>2265</v>
      </c>
      <c r="M1671" s="13"/>
    </row>
    <row r="1672" customFormat="false" ht="15" hidden="false" customHeight="false" outlineLevel="0" collapsed="false">
      <c r="A1672" s="13" t="s">
        <v>628</v>
      </c>
      <c r="B1672" s="13" t="s">
        <v>627</v>
      </c>
      <c r="C1672" s="13" t="s">
        <v>2267</v>
      </c>
      <c r="D1672" s="13" t="s">
        <v>2270</v>
      </c>
      <c r="E1672" s="13" t="s">
        <v>2435</v>
      </c>
      <c r="F1672" s="13" t="s">
        <v>2438</v>
      </c>
      <c r="G1672" s="61" t="n">
        <v>2750186396</v>
      </c>
      <c r="H1672" s="13" t="s">
        <v>2255</v>
      </c>
      <c r="I1672" s="13" t="s">
        <v>2429</v>
      </c>
      <c r="J1672" s="13" t="n">
        <v>75</v>
      </c>
      <c r="K1672" s="13" t="s">
        <v>2278</v>
      </c>
      <c r="L1672" s="13" t="s">
        <v>2265</v>
      </c>
      <c r="M1672" s="13"/>
    </row>
    <row r="1673" customFormat="false" ht="15" hidden="false" customHeight="false" outlineLevel="0" collapsed="false">
      <c r="A1673" s="13" t="s">
        <v>628</v>
      </c>
      <c r="B1673" s="13" t="s">
        <v>627</v>
      </c>
      <c r="C1673" s="13" t="s">
        <v>2254</v>
      </c>
      <c r="D1673" s="13" t="s">
        <v>2270</v>
      </c>
      <c r="E1673" s="13" t="s">
        <v>2435</v>
      </c>
      <c r="F1673" s="13" t="s">
        <v>1284</v>
      </c>
      <c r="G1673" s="61" t="n">
        <v>43497624626</v>
      </c>
      <c r="H1673" s="13" t="s">
        <v>2255</v>
      </c>
      <c r="I1673" s="13" t="s">
        <v>2429</v>
      </c>
      <c r="J1673" s="13" t="n">
        <v>5</v>
      </c>
      <c r="K1673" s="13" t="s">
        <v>2274</v>
      </c>
      <c r="L1673" s="13" t="s">
        <v>2257</v>
      </c>
      <c r="M1673" s="13"/>
    </row>
    <row r="1674" customFormat="false" ht="15" hidden="false" customHeight="false" outlineLevel="0" collapsed="false">
      <c r="A1674" s="13" t="s">
        <v>628</v>
      </c>
      <c r="B1674" s="13" t="s">
        <v>627</v>
      </c>
      <c r="C1674" s="13" t="s">
        <v>2258</v>
      </c>
      <c r="D1674" s="13" t="s">
        <v>2270</v>
      </c>
      <c r="E1674" s="13" t="s">
        <v>2435</v>
      </c>
      <c r="F1674" s="13" t="s">
        <v>1284</v>
      </c>
      <c r="G1674" s="61" t="n">
        <v>51410006855</v>
      </c>
      <c r="H1674" s="13" t="s">
        <v>2255</v>
      </c>
      <c r="I1674" s="13" t="s">
        <v>2429</v>
      </c>
      <c r="J1674" s="13" t="n">
        <v>5</v>
      </c>
      <c r="K1674" s="13" t="s">
        <v>2275</v>
      </c>
      <c r="L1674" s="13" t="s">
        <v>2260</v>
      </c>
      <c r="M1674" s="13"/>
    </row>
    <row r="1675" customFormat="false" ht="15" hidden="false" customHeight="false" outlineLevel="0" collapsed="false">
      <c r="A1675" s="13" t="s">
        <v>628</v>
      </c>
      <c r="B1675" s="13" t="s">
        <v>627</v>
      </c>
      <c r="C1675" s="13" t="s">
        <v>2261</v>
      </c>
      <c r="D1675" s="13" t="s">
        <v>2270</v>
      </c>
      <c r="E1675" s="13" t="s">
        <v>2435</v>
      </c>
      <c r="F1675" s="13" t="s">
        <v>1284</v>
      </c>
      <c r="G1675" s="61" t="n">
        <v>28534604984</v>
      </c>
      <c r="H1675" s="13" t="s">
        <v>2255</v>
      </c>
      <c r="I1675" s="13" t="s">
        <v>2429</v>
      </c>
      <c r="J1675" s="13" t="n">
        <v>5</v>
      </c>
      <c r="K1675" s="13" t="s">
        <v>2276</v>
      </c>
      <c r="L1675" s="13" t="s">
        <v>2263</v>
      </c>
      <c r="M1675" s="13"/>
    </row>
    <row r="1676" customFormat="false" ht="15" hidden="false" customHeight="false" outlineLevel="0" collapsed="false">
      <c r="A1676" s="13" t="s">
        <v>628</v>
      </c>
      <c r="B1676" s="13" t="s">
        <v>627</v>
      </c>
      <c r="C1676" s="13" t="s">
        <v>2264</v>
      </c>
      <c r="D1676" s="13" t="s">
        <v>2270</v>
      </c>
      <c r="E1676" s="13" t="s">
        <v>2435</v>
      </c>
      <c r="F1676" s="13" t="s">
        <v>1284</v>
      </c>
      <c r="G1676" s="61" t="n">
        <v>25063931536</v>
      </c>
      <c r="H1676" s="13" t="s">
        <v>2255</v>
      </c>
      <c r="I1676" s="13" t="s">
        <v>2429</v>
      </c>
      <c r="J1676" s="13" t="n">
        <v>5</v>
      </c>
      <c r="K1676" s="13" t="s">
        <v>2277</v>
      </c>
      <c r="L1676" s="13" t="s">
        <v>2265</v>
      </c>
      <c r="M1676" s="13"/>
    </row>
    <row r="1677" customFormat="false" ht="15" hidden="false" customHeight="false" outlineLevel="0" collapsed="false">
      <c r="A1677" s="13" t="s">
        <v>628</v>
      </c>
      <c r="B1677" s="13" t="s">
        <v>627</v>
      </c>
      <c r="C1677" s="13" t="s">
        <v>2266</v>
      </c>
      <c r="D1677" s="13" t="s">
        <v>2270</v>
      </c>
      <c r="E1677" s="13" t="s">
        <v>2435</v>
      </c>
      <c r="F1677" s="13" t="s">
        <v>1284</v>
      </c>
      <c r="G1677" s="61" t="n">
        <v>29627155160</v>
      </c>
      <c r="H1677" s="13" t="s">
        <v>2255</v>
      </c>
      <c r="I1677" s="13" t="s">
        <v>2429</v>
      </c>
      <c r="J1677" s="13" t="n">
        <v>75</v>
      </c>
      <c r="K1677" s="13" t="s">
        <v>2278</v>
      </c>
      <c r="L1677" s="13" t="s">
        <v>2265</v>
      </c>
      <c r="M1677" s="13"/>
    </row>
    <row r="1678" customFormat="false" ht="15" hidden="false" customHeight="false" outlineLevel="0" collapsed="false">
      <c r="A1678" s="13" t="s">
        <v>628</v>
      </c>
      <c r="B1678" s="13" t="s">
        <v>627</v>
      </c>
      <c r="C1678" s="13" t="s">
        <v>2267</v>
      </c>
      <c r="D1678" s="13" t="s">
        <v>2270</v>
      </c>
      <c r="E1678" s="13" t="s">
        <v>2435</v>
      </c>
      <c r="F1678" s="13" t="s">
        <v>1284</v>
      </c>
      <c r="G1678" s="61" t="n">
        <v>34552286808</v>
      </c>
      <c r="H1678" s="13" t="s">
        <v>2255</v>
      </c>
      <c r="I1678" s="13" t="s">
        <v>2429</v>
      </c>
      <c r="J1678" s="13" t="n">
        <v>75</v>
      </c>
      <c r="K1678" s="13" t="s">
        <v>2278</v>
      </c>
      <c r="L1678" s="13" t="s">
        <v>2265</v>
      </c>
      <c r="M1678" s="13"/>
    </row>
    <row r="1679" customFormat="false" ht="15" hidden="false" customHeight="false" outlineLevel="0" collapsed="false">
      <c r="A1679" s="13" t="s">
        <v>628</v>
      </c>
      <c r="B1679" s="13" t="s">
        <v>627</v>
      </c>
      <c r="C1679" s="13" t="s">
        <v>2254</v>
      </c>
      <c r="D1679" s="13" t="s">
        <v>2270</v>
      </c>
      <c r="E1679" s="13" t="s">
        <v>2439</v>
      </c>
      <c r="F1679" s="13" t="s">
        <v>2440</v>
      </c>
      <c r="G1679" s="61" t="n">
        <v>993</v>
      </c>
      <c r="H1679" s="13"/>
      <c r="I1679" s="13" t="s">
        <v>2429</v>
      </c>
      <c r="J1679" s="13" t="n">
        <v>5</v>
      </c>
      <c r="K1679" s="13" t="s">
        <v>2274</v>
      </c>
      <c r="L1679" s="13" t="s">
        <v>2257</v>
      </c>
      <c r="M1679" s="13"/>
    </row>
    <row r="1680" customFormat="false" ht="15" hidden="false" customHeight="false" outlineLevel="0" collapsed="false">
      <c r="A1680" s="13" t="s">
        <v>628</v>
      </c>
      <c r="B1680" s="13" t="s">
        <v>627</v>
      </c>
      <c r="C1680" s="13" t="s">
        <v>2258</v>
      </c>
      <c r="D1680" s="13" t="s">
        <v>2270</v>
      </c>
      <c r="E1680" s="13" t="s">
        <v>2439</v>
      </c>
      <c r="F1680" s="13" t="s">
        <v>2440</v>
      </c>
      <c r="G1680" s="61" t="n">
        <v>1117</v>
      </c>
      <c r="H1680" s="13"/>
      <c r="I1680" s="13" t="s">
        <v>2429</v>
      </c>
      <c r="J1680" s="13" t="n">
        <v>5</v>
      </c>
      <c r="K1680" s="13" t="s">
        <v>2275</v>
      </c>
      <c r="L1680" s="13" t="s">
        <v>2260</v>
      </c>
      <c r="M1680" s="13"/>
    </row>
    <row r="1681" customFormat="false" ht="15" hidden="false" customHeight="false" outlineLevel="0" collapsed="false">
      <c r="A1681" s="13" t="s">
        <v>628</v>
      </c>
      <c r="B1681" s="13" t="s">
        <v>627</v>
      </c>
      <c r="C1681" s="13" t="s">
        <v>2261</v>
      </c>
      <c r="D1681" s="13" t="s">
        <v>2270</v>
      </c>
      <c r="E1681" s="13" t="s">
        <v>2439</v>
      </c>
      <c r="F1681" s="13" t="s">
        <v>2440</v>
      </c>
      <c r="G1681" s="61" t="n">
        <v>1285</v>
      </c>
      <c r="H1681" s="13"/>
      <c r="I1681" s="13" t="s">
        <v>2429</v>
      </c>
      <c r="J1681" s="13" t="n">
        <v>5</v>
      </c>
      <c r="K1681" s="13" t="s">
        <v>2276</v>
      </c>
      <c r="L1681" s="13" t="s">
        <v>2263</v>
      </c>
      <c r="M1681" s="13"/>
    </row>
    <row r="1682" customFormat="false" ht="15" hidden="false" customHeight="false" outlineLevel="0" collapsed="false">
      <c r="A1682" s="13" t="s">
        <v>628</v>
      </c>
      <c r="B1682" s="13" t="s">
        <v>627</v>
      </c>
      <c r="C1682" s="13" t="s">
        <v>2264</v>
      </c>
      <c r="D1682" s="13" t="s">
        <v>2270</v>
      </c>
      <c r="E1682" s="13" t="s">
        <v>2439</v>
      </c>
      <c r="F1682" s="13" t="s">
        <v>2440</v>
      </c>
      <c r="G1682" s="61" t="n">
        <v>1434</v>
      </c>
      <c r="H1682" s="13"/>
      <c r="I1682" s="13" t="s">
        <v>2429</v>
      </c>
      <c r="J1682" s="13" t="n">
        <v>5</v>
      </c>
      <c r="K1682" s="13" t="s">
        <v>2277</v>
      </c>
      <c r="L1682" s="13" t="s">
        <v>2265</v>
      </c>
      <c r="M1682" s="13"/>
    </row>
    <row r="1683" customFormat="false" ht="15" hidden="false" customHeight="false" outlineLevel="0" collapsed="false">
      <c r="A1683" s="13" t="s">
        <v>628</v>
      </c>
      <c r="B1683" s="13" t="s">
        <v>627</v>
      </c>
      <c r="C1683" s="13" t="s">
        <v>2266</v>
      </c>
      <c r="D1683" s="13" t="s">
        <v>2270</v>
      </c>
      <c r="E1683" s="13" t="s">
        <v>2439</v>
      </c>
      <c r="F1683" s="13" t="s">
        <v>2440</v>
      </c>
      <c r="G1683" s="61" t="n">
        <v>1579</v>
      </c>
      <c r="H1683" s="13"/>
      <c r="I1683" s="13" t="s">
        <v>2429</v>
      </c>
      <c r="J1683" s="13" t="n">
        <v>75</v>
      </c>
      <c r="K1683" s="13" t="s">
        <v>2278</v>
      </c>
      <c r="L1683" s="13" t="s">
        <v>2265</v>
      </c>
      <c r="M1683" s="13"/>
    </row>
    <row r="1684" customFormat="false" ht="15" hidden="false" customHeight="false" outlineLevel="0" collapsed="false">
      <c r="A1684" s="13" t="s">
        <v>628</v>
      </c>
      <c r="B1684" s="13" t="s">
        <v>627</v>
      </c>
      <c r="C1684" s="13" t="s">
        <v>2267</v>
      </c>
      <c r="D1684" s="13" t="s">
        <v>2270</v>
      </c>
      <c r="E1684" s="13" t="s">
        <v>2439</v>
      </c>
      <c r="F1684" s="13" t="s">
        <v>2440</v>
      </c>
      <c r="G1684" s="61" t="n">
        <v>1566</v>
      </c>
      <c r="H1684" s="13"/>
      <c r="I1684" s="13" t="s">
        <v>2429</v>
      </c>
      <c r="J1684" s="13" t="n">
        <v>75</v>
      </c>
      <c r="K1684" s="13" t="s">
        <v>2278</v>
      </c>
      <c r="L1684" s="13" t="s">
        <v>2265</v>
      </c>
      <c r="M1684" s="13"/>
    </row>
    <row r="1685" customFormat="false" ht="15" hidden="false" customHeight="false" outlineLevel="0" collapsed="false">
      <c r="A1685" s="13" t="s">
        <v>628</v>
      </c>
      <c r="B1685" s="13" t="s">
        <v>627</v>
      </c>
      <c r="C1685" s="13" t="s">
        <v>2267</v>
      </c>
      <c r="D1685" s="13" t="s">
        <v>2270</v>
      </c>
      <c r="E1685" s="13" t="s">
        <v>2441</v>
      </c>
      <c r="F1685" s="13" t="s">
        <v>2442</v>
      </c>
      <c r="G1685" s="61" t="n">
        <v>-2862626423</v>
      </c>
      <c r="H1685" s="13" t="s">
        <v>2255</v>
      </c>
      <c r="I1685" s="13" t="s">
        <v>2429</v>
      </c>
      <c r="J1685" s="13" t="n">
        <v>76</v>
      </c>
      <c r="K1685" s="13" t="s">
        <v>2278</v>
      </c>
      <c r="L1685" s="13" t="s">
        <v>2265</v>
      </c>
      <c r="M1685" s="13"/>
    </row>
    <row r="1686" customFormat="false" ht="15" hidden="false" customHeight="false" outlineLevel="0" collapsed="false">
      <c r="A1686" s="13" t="s">
        <v>628</v>
      </c>
      <c r="B1686" s="13" t="s">
        <v>627</v>
      </c>
      <c r="C1686" s="13" t="s">
        <v>2267</v>
      </c>
      <c r="D1686" s="13" t="s">
        <v>2270</v>
      </c>
      <c r="E1686" s="13" t="s">
        <v>2441</v>
      </c>
      <c r="F1686" s="13" t="s">
        <v>2443</v>
      </c>
      <c r="G1686" s="61" t="n">
        <v>3827784155</v>
      </c>
      <c r="H1686" s="13" t="s">
        <v>2255</v>
      </c>
      <c r="I1686" s="13" t="s">
        <v>2429</v>
      </c>
      <c r="J1686" s="13" t="n">
        <v>76</v>
      </c>
      <c r="K1686" s="13" t="s">
        <v>2278</v>
      </c>
      <c r="L1686" s="13" t="s">
        <v>2265</v>
      </c>
      <c r="M1686" s="13"/>
    </row>
    <row r="1687" customFormat="false" ht="15" hidden="false" customHeight="false" outlineLevel="0" collapsed="false">
      <c r="A1687" s="13" t="s">
        <v>628</v>
      </c>
      <c r="B1687" s="13" t="s">
        <v>627</v>
      </c>
      <c r="C1687" s="13" t="s">
        <v>2267</v>
      </c>
      <c r="D1687" s="13" t="s">
        <v>2270</v>
      </c>
      <c r="E1687" s="13" t="s">
        <v>2441</v>
      </c>
      <c r="F1687" s="13" t="s">
        <v>2444</v>
      </c>
      <c r="G1687" s="61" t="n">
        <v>3869179982</v>
      </c>
      <c r="H1687" s="13" t="s">
        <v>2255</v>
      </c>
      <c r="I1687" s="13" t="s">
        <v>2429</v>
      </c>
      <c r="J1687" s="13" t="n">
        <v>76</v>
      </c>
      <c r="K1687" s="13" t="s">
        <v>2278</v>
      </c>
      <c r="L1687" s="13" t="s">
        <v>2265</v>
      </c>
      <c r="M1687" s="13"/>
    </row>
    <row r="1688" customFormat="false" ht="15" hidden="false" customHeight="false" outlineLevel="0" collapsed="false">
      <c r="A1688" s="13" t="s">
        <v>628</v>
      </c>
      <c r="B1688" s="13" t="s">
        <v>627</v>
      </c>
      <c r="C1688" s="13" t="s">
        <v>2267</v>
      </c>
      <c r="D1688" s="13" t="s">
        <v>2270</v>
      </c>
      <c r="E1688" s="13" t="s">
        <v>2441</v>
      </c>
      <c r="F1688" s="13" t="s">
        <v>2445</v>
      </c>
      <c r="G1688" s="61" t="n">
        <v>-2951317923</v>
      </c>
      <c r="H1688" s="13" t="s">
        <v>2255</v>
      </c>
      <c r="I1688" s="13" t="s">
        <v>2429</v>
      </c>
      <c r="J1688" s="13" t="n">
        <v>76</v>
      </c>
      <c r="K1688" s="13" t="s">
        <v>2278</v>
      </c>
      <c r="L1688" s="13" t="s">
        <v>2265</v>
      </c>
      <c r="M1688" s="13"/>
    </row>
    <row r="1689" customFormat="false" ht="15" hidden="false" customHeight="false" outlineLevel="0" collapsed="false">
      <c r="A1689" s="13" t="s">
        <v>628</v>
      </c>
      <c r="B1689" s="13" t="s">
        <v>627</v>
      </c>
      <c r="C1689" s="13" t="s">
        <v>2267</v>
      </c>
      <c r="D1689" s="13" t="s">
        <v>2270</v>
      </c>
      <c r="E1689" s="13" t="s">
        <v>2446</v>
      </c>
      <c r="F1689" s="13" t="s">
        <v>2447</v>
      </c>
      <c r="G1689" s="61" t="n">
        <v>229391032360</v>
      </c>
      <c r="H1689" s="13" t="s">
        <v>2255</v>
      </c>
      <c r="I1689" s="13" t="s">
        <v>2359</v>
      </c>
      <c r="J1689" s="13" t="n">
        <v>55</v>
      </c>
      <c r="K1689" s="13" t="s">
        <v>2278</v>
      </c>
      <c r="L1689" s="13" t="s">
        <v>2265</v>
      </c>
      <c r="M1689" s="13"/>
    </row>
    <row r="1690" customFormat="false" ht="15" hidden="false" customHeight="false" outlineLevel="0" collapsed="false">
      <c r="A1690" s="13" t="s">
        <v>628</v>
      </c>
      <c r="B1690" s="13" t="s">
        <v>627</v>
      </c>
      <c r="C1690" s="13" t="s">
        <v>2267</v>
      </c>
      <c r="D1690" s="13" t="s">
        <v>2270</v>
      </c>
      <c r="E1690" s="13" t="s">
        <v>2446</v>
      </c>
      <c r="F1690" s="13" t="s">
        <v>2448</v>
      </c>
      <c r="G1690" s="61" t="n">
        <v>4713190362</v>
      </c>
      <c r="H1690" s="13" t="s">
        <v>2255</v>
      </c>
      <c r="I1690" s="13" t="s">
        <v>2359</v>
      </c>
      <c r="J1690" s="13" t="n">
        <v>55</v>
      </c>
      <c r="K1690" s="13" t="s">
        <v>2278</v>
      </c>
      <c r="L1690" s="13" t="s">
        <v>2265</v>
      </c>
      <c r="M1690" s="13"/>
    </row>
    <row r="1691" customFormat="false" ht="15" hidden="false" customHeight="false" outlineLevel="0" collapsed="false">
      <c r="A1691" s="13" t="s">
        <v>628</v>
      </c>
      <c r="B1691" s="13" t="s">
        <v>627</v>
      </c>
      <c r="C1691" s="13" t="s">
        <v>2254</v>
      </c>
      <c r="D1691" s="13" t="s">
        <v>2270</v>
      </c>
      <c r="E1691" s="13" t="s">
        <v>2449</v>
      </c>
      <c r="F1691" s="13" t="s">
        <v>2450</v>
      </c>
      <c r="G1691" s="61" t="n">
        <v>336874850934</v>
      </c>
      <c r="H1691" s="13" t="s">
        <v>2255</v>
      </c>
      <c r="I1691" s="13" t="s">
        <v>2314</v>
      </c>
      <c r="J1691" s="13" t="n">
        <v>67</v>
      </c>
      <c r="K1691" s="13" t="s">
        <v>2274</v>
      </c>
      <c r="L1691" s="13" t="s">
        <v>2257</v>
      </c>
      <c r="M1691" s="13"/>
    </row>
    <row r="1692" customFormat="false" ht="15" hidden="false" customHeight="false" outlineLevel="0" collapsed="false">
      <c r="A1692" s="13" t="s">
        <v>628</v>
      </c>
      <c r="B1692" s="13" t="s">
        <v>627</v>
      </c>
      <c r="C1692" s="13" t="s">
        <v>2258</v>
      </c>
      <c r="D1692" s="13" t="s">
        <v>2270</v>
      </c>
      <c r="E1692" s="13" t="s">
        <v>2449</v>
      </c>
      <c r="F1692" s="13" t="s">
        <v>2450</v>
      </c>
      <c r="G1692" s="61" t="n">
        <v>510647767433</v>
      </c>
      <c r="H1692" s="13" t="s">
        <v>2255</v>
      </c>
      <c r="I1692" s="13" t="s">
        <v>2314</v>
      </c>
      <c r="J1692" s="13" t="n">
        <v>81</v>
      </c>
      <c r="K1692" s="13" t="s">
        <v>2275</v>
      </c>
      <c r="L1692" s="13" t="s">
        <v>2260</v>
      </c>
      <c r="M1692" s="13"/>
    </row>
    <row r="1693" customFormat="false" ht="15" hidden="false" customHeight="false" outlineLevel="0" collapsed="false">
      <c r="A1693" s="13" t="s">
        <v>628</v>
      </c>
      <c r="B1693" s="13" t="s">
        <v>627</v>
      </c>
      <c r="C1693" s="13" t="s">
        <v>2261</v>
      </c>
      <c r="D1693" s="13" t="s">
        <v>2270</v>
      </c>
      <c r="E1693" s="13" t="s">
        <v>2449</v>
      </c>
      <c r="F1693" s="13" t="s">
        <v>2450</v>
      </c>
      <c r="G1693" s="61" t="n">
        <v>549453811729</v>
      </c>
      <c r="H1693" s="13" t="s">
        <v>2255</v>
      </c>
      <c r="I1693" s="13" t="s">
        <v>2314</v>
      </c>
      <c r="J1693" s="13" t="n">
        <v>80</v>
      </c>
      <c r="K1693" s="13" t="s">
        <v>2276</v>
      </c>
      <c r="L1693" s="13" t="s">
        <v>2263</v>
      </c>
      <c r="M1693" s="13"/>
    </row>
    <row r="1694" customFormat="false" ht="15" hidden="false" customHeight="false" outlineLevel="0" collapsed="false">
      <c r="A1694" s="13" t="s">
        <v>628</v>
      </c>
      <c r="B1694" s="13" t="s">
        <v>627</v>
      </c>
      <c r="C1694" s="13" t="s">
        <v>2264</v>
      </c>
      <c r="D1694" s="13" t="s">
        <v>2270</v>
      </c>
      <c r="E1694" s="13" t="s">
        <v>2449</v>
      </c>
      <c r="F1694" s="13" t="s">
        <v>2450</v>
      </c>
      <c r="G1694" s="61" t="n">
        <v>605261362551</v>
      </c>
      <c r="H1694" s="13" t="s">
        <v>2255</v>
      </c>
      <c r="I1694" s="13" t="s">
        <v>2314</v>
      </c>
      <c r="J1694" s="13" t="n">
        <v>80</v>
      </c>
      <c r="K1694" s="13" t="s">
        <v>2277</v>
      </c>
      <c r="L1694" s="13" t="s">
        <v>2265</v>
      </c>
      <c r="M1694" s="13"/>
    </row>
    <row r="1695" customFormat="false" ht="15" hidden="false" customHeight="false" outlineLevel="0" collapsed="false">
      <c r="A1695" s="13" t="s">
        <v>628</v>
      </c>
      <c r="B1695" s="13" t="s">
        <v>627</v>
      </c>
      <c r="C1695" s="13" t="s">
        <v>2254</v>
      </c>
      <c r="D1695" s="13" t="s">
        <v>2270</v>
      </c>
      <c r="E1695" s="13" t="s">
        <v>2337</v>
      </c>
      <c r="F1695" s="13" t="s">
        <v>2451</v>
      </c>
      <c r="G1695" s="61" t="n">
        <v>126088179062</v>
      </c>
      <c r="H1695" s="13" t="s">
        <v>2255</v>
      </c>
      <c r="I1695" s="13" t="s">
        <v>2339</v>
      </c>
      <c r="J1695" s="13" t="n">
        <v>39</v>
      </c>
      <c r="K1695" s="13" t="s">
        <v>2274</v>
      </c>
      <c r="L1695" s="13" t="s">
        <v>2257</v>
      </c>
      <c r="M1695" s="13"/>
    </row>
    <row r="1696" customFormat="false" ht="15" hidden="false" customHeight="false" outlineLevel="0" collapsed="false">
      <c r="A1696" s="13" t="s">
        <v>628</v>
      </c>
      <c r="B1696" s="13" t="s">
        <v>627</v>
      </c>
      <c r="C1696" s="13" t="s">
        <v>2258</v>
      </c>
      <c r="D1696" s="13" t="s">
        <v>2270</v>
      </c>
      <c r="E1696" s="13" t="s">
        <v>2337</v>
      </c>
      <c r="F1696" s="13" t="s">
        <v>2451</v>
      </c>
      <c r="G1696" s="61" t="n">
        <v>164069809841</v>
      </c>
      <c r="H1696" s="13" t="s">
        <v>2255</v>
      </c>
      <c r="I1696" s="13" t="s">
        <v>2339</v>
      </c>
      <c r="J1696" s="13" t="n">
        <v>53</v>
      </c>
      <c r="K1696" s="13" t="s">
        <v>2275</v>
      </c>
      <c r="L1696" s="13" t="s">
        <v>2260</v>
      </c>
      <c r="M1696" s="13"/>
    </row>
    <row r="1697" customFormat="false" ht="15" hidden="false" customHeight="false" outlineLevel="0" collapsed="false">
      <c r="A1697" s="13" t="s">
        <v>628</v>
      </c>
      <c r="B1697" s="13" t="s">
        <v>627</v>
      </c>
      <c r="C1697" s="13" t="s">
        <v>2261</v>
      </c>
      <c r="D1697" s="13" t="s">
        <v>2270</v>
      </c>
      <c r="E1697" s="13" t="s">
        <v>2337</v>
      </c>
      <c r="F1697" s="13" t="s">
        <v>2451</v>
      </c>
      <c r="G1697" s="61" t="n">
        <v>118661493128</v>
      </c>
      <c r="H1697" s="13" t="s">
        <v>2255</v>
      </c>
      <c r="I1697" s="13" t="s">
        <v>2339</v>
      </c>
      <c r="J1697" s="13" t="n">
        <v>48</v>
      </c>
      <c r="K1697" s="13" t="s">
        <v>2276</v>
      </c>
      <c r="L1697" s="13" t="s">
        <v>2263</v>
      </c>
      <c r="M1697" s="13"/>
    </row>
    <row r="1698" customFormat="false" ht="15" hidden="false" customHeight="false" outlineLevel="0" collapsed="false">
      <c r="A1698" s="13" t="s">
        <v>628</v>
      </c>
      <c r="B1698" s="13" t="s">
        <v>627</v>
      </c>
      <c r="C1698" s="13" t="s">
        <v>2264</v>
      </c>
      <c r="D1698" s="13" t="s">
        <v>2270</v>
      </c>
      <c r="E1698" s="13" t="s">
        <v>2337</v>
      </c>
      <c r="F1698" s="13" t="s">
        <v>2451</v>
      </c>
      <c r="G1698" s="61" t="n">
        <v>114430783177</v>
      </c>
      <c r="H1698" s="13" t="s">
        <v>2255</v>
      </c>
      <c r="I1698" s="13" t="s">
        <v>2339</v>
      </c>
      <c r="J1698" s="13" t="n">
        <v>48</v>
      </c>
      <c r="K1698" s="13" t="s">
        <v>2277</v>
      </c>
      <c r="L1698" s="13" t="s">
        <v>2265</v>
      </c>
      <c r="M1698" s="13"/>
    </row>
    <row r="1699" customFormat="false" ht="15" hidden="false" customHeight="false" outlineLevel="0" collapsed="false">
      <c r="A1699" s="13" t="s">
        <v>628</v>
      </c>
      <c r="B1699" s="13" t="s">
        <v>627</v>
      </c>
      <c r="C1699" s="13" t="s">
        <v>2254</v>
      </c>
      <c r="D1699" s="13" t="s">
        <v>2270</v>
      </c>
      <c r="E1699" s="13" t="s">
        <v>2343</v>
      </c>
      <c r="F1699" s="13" t="s">
        <v>2452</v>
      </c>
      <c r="G1699" s="61" t="n">
        <v>123077327077</v>
      </c>
      <c r="H1699" s="13" t="s">
        <v>2255</v>
      </c>
      <c r="I1699" s="13" t="s">
        <v>2339</v>
      </c>
      <c r="J1699" s="13" t="n">
        <v>39</v>
      </c>
      <c r="K1699" s="13" t="s">
        <v>2274</v>
      </c>
      <c r="L1699" s="13" t="s">
        <v>2257</v>
      </c>
      <c r="M1699" s="13"/>
    </row>
    <row r="1700" customFormat="false" ht="15" hidden="false" customHeight="false" outlineLevel="0" collapsed="false">
      <c r="A1700" s="13" t="s">
        <v>628</v>
      </c>
      <c r="B1700" s="13" t="s">
        <v>627</v>
      </c>
      <c r="C1700" s="13" t="s">
        <v>2258</v>
      </c>
      <c r="D1700" s="13" t="s">
        <v>2270</v>
      </c>
      <c r="E1700" s="13" t="s">
        <v>2343</v>
      </c>
      <c r="F1700" s="13" t="s">
        <v>2452</v>
      </c>
      <c r="G1700" s="61" t="n">
        <v>156760305676</v>
      </c>
      <c r="H1700" s="13" t="s">
        <v>2255</v>
      </c>
      <c r="I1700" s="13" t="s">
        <v>2339</v>
      </c>
      <c r="J1700" s="13" t="n">
        <v>53</v>
      </c>
      <c r="K1700" s="13" t="s">
        <v>2275</v>
      </c>
      <c r="L1700" s="13" t="s">
        <v>2260</v>
      </c>
      <c r="M1700" s="13"/>
    </row>
    <row r="1701" customFormat="false" ht="15" hidden="false" customHeight="false" outlineLevel="0" collapsed="false">
      <c r="A1701" s="13" t="s">
        <v>628</v>
      </c>
      <c r="B1701" s="13" t="s">
        <v>627</v>
      </c>
      <c r="C1701" s="13" t="s">
        <v>2261</v>
      </c>
      <c r="D1701" s="13" t="s">
        <v>2270</v>
      </c>
      <c r="E1701" s="13" t="s">
        <v>2343</v>
      </c>
      <c r="F1701" s="13" t="s">
        <v>2452</v>
      </c>
      <c r="G1701" s="61" t="n">
        <v>114643521666</v>
      </c>
      <c r="H1701" s="13" t="s">
        <v>2255</v>
      </c>
      <c r="I1701" s="13" t="s">
        <v>2339</v>
      </c>
      <c r="J1701" s="13" t="n">
        <v>48</v>
      </c>
      <c r="K1701" s="13" t="s">
        <v>2276</v>
      </c>
      <c r="L1701" s="13" t="s">
        <v>2263</v>
      </c>
      <c r="M1701" s="13"/>
    </row>
    <row r="1702" customFormat="false" ht="15" hidden="false" customHeight="false" outlineLevel="0" collapsed="false">
      <c r="A1702" s="13" t="s">
        <v>628</v>
      </c>
      <c r="B1702" s="13" t="s">
        <v>627</v>
      </c>
      <c r="C1702" s="13" t="s">
        <v>2264</v>
      </c>
      <c r="D1702" s="13" t="s">
        <v>2270</v>
      </c>
      <c r="E1702" s="13" t="s">
        <v>2343</v>
      </c>
      <c r="F1702" s="13" t="s">
        <v>2452</v>
      </c>
      <c r="G1702" s="61" t="n">
        <v>110468662796</v>
      </c>
      <c r="H1702" s="13" t="s">
        <v>2255</v>
      </c>
      <c r="I1702" s="13" t="s">
        <v>2339</v>
      </c>
      <c r="J1702" s="13" t="n">
        <v>48</v>
      </c>
      <c r="K1702" s="13" t="s">
        <v>2277</v>
      </c>
      <c r="L1702" s="13" t="s">
        <v>2265</v>
      </c>
      <c r="M1702" s="13"/>
    </row>
    <row r="1703" customFormat="false" ht="15" hidden="false" customHeight="false" outlineLevel="0" collapsed="false">
      <c r="A1703" s="13" t="s">
        <v>628</v>
      </c>
      <c r="B1703" s="13" t="s">
        <v>627</v>
      </c>
      <c r="C1703" s="13" t="s">
        <v>2254</v>
      </c>
      <c r="D1703" s="13" t="s">
        <v>2270</v>
      </c>
      <c r="E1703" s="13" t="s">
        <v>2343</v>
      </c>
      <c r="F1703" s="13" t="s">
        <v>2453</v>
      </c>
      <c r="G1703" s="61" t="n">
        <v>123130580076</v>
      </c>
      <c r="H1703" s="13" t="s">
        <v>2255</v>
      </c>
      <c r="I1703" s="13" t="s">
        <v>2339</v>
      </c>
      <c r="J1703" s="13" t="n">
        <v>39</v>
      </c>
      <c r="K1703" s="13" t="s">
        <v>2274</v>
      </c>
      <c r="L1703" s="13" t="s">
        <v>2257</v>
      </c>
      <c r="M1703" s="13"/>
    </row>
    <row r="1704" customFormat="false" ht="15" hidden="false" customHeight="false" outlineLevel="0" collapsed="false">
      <c r="A1704" s="13" t="s">
        <v>628</v>
      </c>
      <c r="B1704" s="13" t="s">
        <v>627</v>
      </c>
      <c r="C1704" s="13" t="s">
        <v>2258</v>
      </c>
      <c r="D1704" s="13" t="s">
        <v>2270</v>
      </c>
      <c r="E1704" s="13" t="s">
        <v>2343</v>
      </c>
      <c r="F1704" s="13" t="s">
        <v>2453</v>
      </c>
      <c r="G1704" s="61" t="n">
        <v>156760305676</v>
      </c>
      <c r="H1704" s="13" t="s">
        <v>2255</v>
      </c>
      <c r="I1704" s="13" t="s">
        <v>2339</v>
      </c>
      <c r="J1704" s="13" t="n">
        <v>53</v>
      </c>
      <c r="K1704" s="13" t="s">
        <v>2275</v>
      </c>
      <c r="L1704" s="13" t="s">
        <v>2260</v>
      </c>
      <c r="M1704" s="13"/>
    </row>
    <row r="1705" customFormat="false" ht="15" hidden="false" customHeight="false" outlineLevel="0" collapsed="false">
      <c r="A1705" s="13" t="s">
        <v>628</v>
      </c>
      <c r="B1705" s="13" t="s">
        <v>627</v>
      </c>
      <c r="C1705" s="13" t="s">
        <v>2261</v>
      </c>
      <c r="D1705" s="13" t="s">
        <v>2270</v>
      </c>
      <c r="E1705" s="13" t="s">
        <v>2343</v>
      </c>
      <c r="F1705" s="13" t="s">
        <v>2453</v>
      </c>
      <c r="G1705" s="61" t="n">
        <v>114643521666</v>
      </c>
      <c r="H1705" s="13" t="s">
        <v>2255</v>
      </c>
      <c r="I1705" s="13" t="s">
        <v>2339</v>
      </c>
      <c r="J1705" s="13" t="n">
        <v>48</v>
      </c>
      <c r="K1705" s="13" t="s">
        <v>2276</v>
      </c>
      <c r="L1705" s="13" t="s">
        <v>2263</v>
      </c>
      <c r="M1705" s="13"/>
    </row>
    <row r="1706" customFormat="false" ht="15" hidden="false" customHeight="false" outlineLevel="0" collapsed="false">
      <c r="A1706" s="13" t="s">
        <v>628</v>
      </c>
      <c r="B1706" s="13" t="s">
        <v>627</v>
      </c>
      <c r="C1706" s="13" t="s">
        <v>2264</v>
      </c>
      <c r="D1706" s="13" t="s">
        <v>2270</v>
      </c>
      <c r="E1706" s="13" t="s">
        <v>2343</v>
      </c>
      <c r="F1706" s="13" t="s">
        <v>2453</v>
      </c>
      <c r="G1706" s="61" t="n">
        <v>110468662796</v>
      </c>
      <c r="H1706" s="13" t="s">
        <v>2255</v>
      </c>
      <c r="I1706" s="13" t="s">
        <v>2339</v>
      </c>
      <c r="J1706" s="13" t="n">
        <v>48</v>
      </c>
      <c r="K1706" s="13" t="s">
        <v>2277</v>
      </c>
      <c r="L1706" s="13" t="s">
        <v>2265</v>
      </c>
      <c r="M1706" s="13"/>
    </row>
    <row r="1707" customFormat="false" ht="15" hidden="false" customHeight="false" outlineLevel="0" collapsed="false">
      <c r="A1707" s="13" t="s">
        <v>628</v>
      </c>
      <c r="B1707" s="13" t="s">
        <v>627</v>
      </c>
      <c r="C1707" s="13" t="s">
        <v>2254</v>
      </c>
      <c r="D1707" s="13" t="s">
        <v>2270</v>
      </c>
      <c r="E1707" s="13" t="s">
        <v>2346</v>
      </c>
      <c r="F1707" s="13" t="s">
        <v>2454</v>
      </c>
      <c r="G1707" s="61" t="n">
        <v>27152840578</v>
      </c>
      <c r="H1707" s="13" t="s">
        <v>2255</v>
      </c>
      <c r="I1707" s="13" t="s">
        <v>2339</v>
      </c>
      <c r="J1707" s="13" t="n">
        <v>39</v>
      </c>
      <c r="K1707" s="13" t="s">
        <v>2274</v>
      </c>
      <c r="L1707" s="13" t="s">
        <v>2257</v>
      </c>
      <c r="M1707" s="13"/>
    </row>
    <row r="1708" customFormat="false" ht="15" hidden="false" customHeight="false" outlineLevel="0" collapsed="false">
      <c r="A1708" s="13" t="s">
        <v>628</v>
      </c>
      <c r="B1708" s="13" t="s">
        <v>627</v>
      </c>
      <c r="C1708" s="13" t="s">
        <v>2258</v>
      </c>
      <c r="D1708" s="13" t="s">
        <v>2270</v>
      </c>
      <c r="E1708" s="13" t="s">
        <v>2346</v>
      </c>
      <c r="F1708" s="13" t="s">
        <v>2454</v>
      </c>
      <c r="G1708" s="61" t="n">
        <v>25584462706</v>
      </c>
      <c r="H1708" s="13" t="s">
        <v>2255</v>
      </c>
      <c r="I1708" s="13" t="s">
        <v>2339</v>
      </c>
      <c r="J1708" s="13" t="n">
        <v>53</v>
      </c>
      <c r="K1708" s="13" t="s">
        <v>2275</v>
      </c>
      <c r="L1708" s="13" t="s">
        <v>2260</v>
      </c>
      <c r="M1708" s="13"/>
    </row>
    <row r="1709" customFormat="false" ht="15" hidden="false" customHeight="false" outlineLevel="0" collapsed="false">
      <c r="A1709" s="13" t="s">
        <v>628</v>
      </c>
      <c r="B1709" s="13" t="s">
        <v>627</v>
      </c>
      <c r="C1709" s="13" t="s">
        <v>2261</v>
      </c>
      <c r="D1709" s="13" t="s">
        <v>2270</v>
      </c>
      <c r="E1709" s="13" t="s">
        <v>2346</v>
      </c>
      <c r="F1709" s="13" t="s">
        <v>2454</v>
      </c>
      <c r="G1709" s="61" t="n">
        <v>17901506734</v>
      </c>
      <c r="H1709" s="13" t="s">
        <v>2255</v>
      </c>
      <c r="I1709" s="13" t="s">
        <v>2339</v>
      </c>
      <c r="J1709" s="13" t="n">
        <v>48</v>
      </c>
      <c r="K1709" s="13" t="s">
        <v>2276</v>
      </c>
      <c r="L1709" s="13" t="s">
        <v>2263</v>
      </c>
      <c r="M1709" s="13"/>
    </row>
    <row r="1710" customFormat="false" ht="15" hidden="false" customHeight="false" outlineLevel="0" collapsed="false">
      <c r="A1710" s="13" t="s">
        <v>628</v>
      </c>
      <c r="B1710" s="13" t="s">
        <v>627</v>
      </c>
      <c r="C1710" s="13" t="s">
        <v>2264</v>
      </c>
      <c r="D1710" s="13" t="s">
        <v>2270</v>
      </c>
      <c r="E1710" s="13" t="s">
        <v>2346</v>
      </c>
      <c r="F1710" s="13" t="s">
        <v>2454</v>
      </c>
      <c r="G1710" s="61" t="n">
        <v>21250819153</v>
      </c>
      <c r="H1710" s="13" t="s">
        <v>2255</v>
      </c>
      <c r="I1710" s="13" t="s">
        <v>2339</v>
      </c>
      <c r="J1710" s="13" t="n">
        <v>48</v>
      </c>
      <c r="K1710" s="13" t="s">
        <v>2277</v>
      </c>
      <c r="L1710" s="13" t="s">
        <v>2265</v>
      </c>
      <c r="M1710" s="13"/>
    </row>
    <row r="1711" customFormat="false" ht="15" hidden="false" customHeight="false" outlineLevel="0" collapsed="false">
      <c r="A1711" s="13" t="s">
        <v>628</v>
      </c>
      <c r="B1711" s="13" t="s">
        <v>627</v>
      </c>
      <c r="C1711" s="13" t="s">
        <v>2254</v>
      </c>
      <c r="D1711" s="13" t="s">
        <v>2270</v>
      </c>
      <c r="E1711" s="13" t="s">
        <v>2361</v>
      </c>
      <c r="F1711" s="13" t="s">
        <v>2455</v>
      </c>
      <c r="G1711" s="61" t="n">
        <v>-28333333</v>
      </c>
      <c r="H1711" s="13" t="s">
        <v>2255</v>
      </c>
      <c r="I1711" s="13" t="s">
        <v>2359</v>
      </c>
      <c r="J1711" s="13" t="n">
        <v>43</v>
      </c>
      <c r="K1711" s="13" t="s">
        <v>2274</v>
      </c>
      <c r="L1711" s="13" t="s">
        <v>2257</v>
      </c>
      <c r="M1711" s="13"/>
    </row>
    <row r="1712" customFormat="false" ht="15" hidden="false" customHeight="false" outlineLevel="0" collapsed="false">
      <c r="A1712" s="13" t="s">
        <v>628</v>
      </c>
      <c r="B1712" s="13" t="s">
        <v>627</v>
      </c>
      <c r="C1712" s="13" t="s">
        <v>2261</v>
      </c>
      <c r="D1712" s="13" t="s">
        <v>2270</v>
      </c>
      <c r="E1712" s="13" t="s">
        <v>2361</v>
      </c>
      <c r="F1712" s="13" t="s">
        <v>2455</v>
      </c>
      <c r="G1712" s="61" t="n">
        <v>-874841558</v>
      </c>
      <c r="H1712" s="13" t="s">
        <v>2255</v>
      </c>
      <c r="I1712" s="13" t="s">
        <v>2359</v>
      </c>
      <c r="J1712" s="13" t="n">
        <v>51</v>
      </c>
      <c r="K1712" s="13" t="s">
        <v>2276</v>
      </c>
      <c r="L1712" s="13" t="s">
        <v>2263</v>
      </c>
      <c r="M1712" s="13"/>
    </row>
    <row r="1713" customFormat="false" ht="15" hidden="false" customHeight="false" outlineLevel="0" collapsed="false">
      <c r="A1713" s="13" t="s">
        <v>628</v>
      </c>
      <c r="B1713" s="13" t="s">
        <v>627</v>
      </c>
      <c r="C1713" s="13" t="s">
        <v>2264</v>
      </c>
      <c r="D1713" s="13" t="s">
        <v>2270</v>
      </c>
      <c r="E1713" s="13" t="s">
        <v>2361</v>
      </c>
      <c r="F1713" s="13" t="s">
        <v>2455</v>
      </c>
      <c r="G1713" s="61" t="n">
        <v>1953559225</v>
      </c>
      <c r="H1713" s="13" t="s">
        <v>2255</v>
      </c>
      <c r="I1713" s="13" t="s">
        <v>2359</v>
      </c>
      <c r="J1713" s="13" t="n">
        <v>51</v>
      </c>
      <c r="K1713" s="13" t="s">
        <v>2277</v>
      </c>
      <c r="L1713" s="13" t="s">
        <v>2265</v>
      </c>
      <c r="M1713" s="13"/>
    </row>
    <row r="1714" customFormat="false" ht="15" hidden="false" customHeight="false" outlineLevel="0" collapsed="false">
      <c r="A1714" s="13" t="s">
        <v>628</v>
      </c>
      <c r="B1714" s="13" t="s">
        <v>627</v>
      </c>
      <c r="C1714" s="13" t="s">
        <v>2264</v>
      </c>
      <c r="D1714" s="13" t="s">
        <v>2270</v>
      </c>
      <c r="E1714" s="13" t="s">
        <v>2361</v>
      </c>
      <c r="F1714" s="13" t="s">
        <v>2456</v>
      </c>
      <c r="G1714" s="61" t="n">
        <v>9102000000</v>
      </c>
      <c r="H1714" s="13" t="s">
        <v>2255</v>
      </c>
      <c r="I1714" s="13" t="s">
        <v>2359</v>
      </c>
      <c r="J1714" s="13" t="n">
        <v>51</v>
      </c>
      <c r="K1714" s="13" t="s">
        <v>2277</v>
      </c>
      <c r="L1714" s="13" t="s">
        <v>2265</v>
      </c>
      <c r="M1714" s="13"/>
    </row>
    <row r="1715" customFormat="false" ht="15" hidden="false" customHeight="false" outlineLevel="0" collapsed="false">
      <c r="A1715" s="13" t="s">
        <v>628</v>
      </c>
      <c r="B1715" s="13" t="s">
        <v>627</v>
      </c>
      <c r="C1715" s="13" t="s">
        <v>2264</v>
      </c>
      <c r="D1715" s="13" t="s">
        <v>2270</v>
      </c>
      <c r="E1715" s="13" t="s">
        <v>2361</v>
      </c>
      <c r="F1715" s="13" t="s">
        <v>2457</v>
      </c>
      <c r="G1715" s="61" t="n">
        <v>-4160779500</v>
      </c>
      <c r="H1715" s="13" t="s">
        <v>2255</v>
      </c>
      <c r="I1715" s="13" t="s">
        <v>2359</v>
      </c>
      <c r="J1715" s="13" t="n">
        <v>51</v>
      </c>
      <c r="K1715" s="13" t="s">
        <v>2277</v>
      </c>
      <c r="L1715" s="13" t="s">
        <v>2265</v>
      </c>
      <c r="M1715" s="13"/>
    </row>
    <row r="1716" customFormat="false" ht="15" hidden="false" customHeight="false" outlineLevel="0" collapsed="false">
      <c r="A1716" s="13" t="s">
        <v>628</v>
      </c>
      <c r="B1716" s="13" t="s">
        <v>627</v>
      </c>
      <c r="C1716" s="13" t="s">
        <v>2254</v>
      </c>
      <c r="D1716" s="13" t="s">
        <v>2270</v>
      </c>
      <c r="E1716" s="13" t="s">
        <v>2380</v>
      </c>
      <c r="F1716" s="13" t="s">
        <v>2458</v>
      </c>
      <c r="G1716" s="61" t="n">
        <v>2711086503</v>
      </c>
      <c r="H1716" s="13" t="s">
        <v>2255</v>
      </c>
      <c r="I1716" s="13" t="s">
        <v>2375</v>
      </c>
      <c r="J1716" s="13" t="n">
        <v>46</v>
      </c>
      <c r="K1716" s="13" t="s">
        <v>2274</v>
      </c>
      <c r="L1716" s="13" t="s">
        <v>2257</v>
      </c>
      <c r="M1716" s="13"/>
    </row>
    <row r="1717" customFormat="false" ht="15" hidden="false" customHeight="false" outlineLevel="0" collapsed="false">
      <c r="A1717" s="13" t="s">
        <v>628</v>
      </c>
      <c r="B1717" s="13" t="s">
        <v>627</v>
      </c>
      <c r="C1717" s="13" t="s">
        <v>2258</v>
      </c>
      <c r="D1717" s="13" t="s">
        <v>2270</v>
      </c>
      <c r="E1717" s="13" t="s">
        <v>2380</v>
      </c>
      <c r="F1717" s="13" t="s">
        <v>2458</v>
      </c>
      <c r="G1717" s="61" t="n">
        <v>4696003357</v>
      </c>
      <c r="H1717" s="13" t="s">
        <v>2255</v>
      </c>
      <c r="I1717" s="13" t="s">
        <v>2375</v>
      </c>
      <c r="J1717" s="13" t="n">
        <v>60</v>
      </c>
      <c r="K1717" s="13" t="s">
        <v>2275</v>
      </c>
      <c r="L1717" s="13" t="s">
        <v>2260</v>
      </c>
      <c r="M1717" s="13"/>
    </row>
    <row r="1718" customFormat="false" ht="15" hidden="false" customHeight="false" outlineLevel="0" collapsed="false">
      <c r="A1718" s="13" t="s">
        <v>628</v>
      </c>
      <c r="B1718" s="13" t="s">
        <v>627</v>
      </c>
      <c r="C1718" s="13" t="s">
        <v>2261</v>
      </c>
      <c r="D1718" s="13" t="s">
        <v>2270</v>
      </c>
      <c r="E1718" s="13" t="s">
        <v>2380</v>
      </c>
      <c r="F1718" s="13" t="s">
        <v>2458</v>
      </c>
      <c r="G1718" s="61" t="n">
        <v>6045251336</v>
      </c>
      <c r="H1718" s="13" t="s">
        <v>2255</v>
      </c>
      <c r="I1718" s="13" t="s">
        <v>2375</v>
      </c>
      <c r="J1718" s="13" t="n">
        <v>55</v>
      </c>
      <c r="K1718" s="13" t="s">
        <v>2276</v>
      </c>
      <c r="L1718" s="13" t="s">
        <v>2263</v>
      </c>
      <c r="M1718" s="13"/>
    </row>
    <row r="1719" customFormat="false" ht="15" hidden="false" customHeight="false" outlineLevel="0" collapsed="false">
      <c r="A1719" s="13" t="s">
        <v>628</v>
      </c>
      <c r="B1719" s="13" t="s">
        <v>627</v>
      </c>
      <c r="C1719" s="13" t="s">
        <v>2264</v>
      </c>
      <c r="D1719" s="13" t="s">
        <v>2270</v>
      </c>
      <c r="E1719" s="13" t="s">
        <v>2380</v>
      </c>
      <c r="F1719" s="13" t="s">
        <v>2458</v>
      </c>
      <c r="G1719" s="61" t="n">
        <v>6084039987</v>
      </c>
      <c r="H1719" s="13" t="s">
        <v>2255</v>
      </c>
      <c r="I1719" s="13" t="s">
        <v>2375</v>
      </c>
      <c r="J1719" s="13" t="n">
        <v>55</v>
      </c>
      <c r="K1719" s="13" t="s">
        <v>2277</v>
      </c>
      <c r="L1719" s="13" t="s">
        <v>2265</v>
      </c>
      <c r="M1719" s="13"/>
    </row>
    <row r="1720" customFormat="false" ht="15" hidden="false" customHeight="false" outlineLevel="0" collapsed="false">
      <c r="A1720" s="13" t="s">
        <v>628</v>
      </c>
      <c r="B1720" s="13" t="s">
        <v>627</v>
      </c>
      <c r="C1720" s="13" t="s">
        <v>2254</v>
      </c>
      <c r="D1720" s="13" t="s">
        <v>2270</v>
      </c>
      <c r="E1720" s="13" t="s">
        <v>2392</v>
      </c>
      <c r="F1720" s="13" t="s">
        <v>2459</v>
      </c>
      <c r="G1720" s="61" t="n">
        <v>-2912223986</v>
      </c>
      <c r="H1720" s="13" t="s">
        <v>2255</v>
      </c>
      <c r="I1720" s="13" t="s">
        <v>2394</v>
      </c>
      <c r="J1720" s="13" t="n">
        <v>7</v>
      </c>
      <c r="K1720" s="13" t="s">
        <v>2274</v>
      </c>
      <c r="L1720" s="13" t="s">
        <v>2257</v>
      </c>
      <c r="M1720" s="13"/>
    </row>
    <row r="1721" customFormat="false" ht="15" hidden="false" customHeight="false" outlineLevel="0" collapsed="false">
      <c r="A1721" s="13" t="s">
        <v>628</v>
      </c>
      <c r="B1721" s="13" t="s">
        <v>627</v>
      </c>
      <c r="C1721" s="13" t="s">
        <v>2258</v>
      </c>
      <c r="D1721" s="13" t="s">
        <v>2270</v>
      </c>
      <c r="E1721" s="13" t="s">
        <v>2392</v>
      </c>
      <c r="F1721" s="13" t="s">
        <v>2459</v>
      </c>
      <c r="G1721" s="61" t="n">
        <v>-1169151785</v>
      </c>
      <c r="H1721" s="13" t="s">
        <v>2255</v>
      </c>
      <c r="I1721" s="13" t="s">
        <v>2394</v>
      </c>
      <c r="J1721" s="13" t="n">
        <v>7</v>
      </c>
      <c r="K1721" s="13" t="s">
        <v>2275</v>
      </c>
      <c r="L1721" s="13" t="s">
        <v>2260</v>
      </c>
      <c r="M1721" s="13"/>
    </row>
    <row r="1722" customFormat="false" ht="15" hidden="false" customHeight="false" outlineLevel="0" collapsed="false">
      <c r="A1722" s="13" t="s">
        <v>628</v>
      </c>
      <c r="B1722" s="13" t="s">
        <v>627</v>
      </c>
      <c r="C1722" s="13" t="s">
        <v>2261</v>
      </c>
      <c r="D1722" s="13" t="s">
        <v>2270</v>
      </c>
      <c r="E1722" s="13" t="s">
        <v>2392</v>
      </c>
      <c r="F1722" s="13" t="s">
        <v>2459</v>
      </c>
      <c r="G1722" s="61" t="n">
        <v>-1415668933</v>
      </c>
      <c r="H1722" s="13" t="s">
        <v>2255</v>
      </c>
      <c r="I1722" s="13" t="s">
        <v>2394</v>
      </c>
      <c r="J1722" s="13" t="n">
        <v>7</v>
      </c>
      <c r="K1722" s="13" t="s">
        <v>2276</v>
      </c>
      <c r="L1722" s="13" t="s">
        <v>2263</v>
      </c>
      <c r="M1722" s="13"/>
    </row>
    <row r="1723" customFormat="false" ht="15" hidden="false" customHeight="false" outlineLevel="0" collapsed="false">
      <c r="A1723" s="13" t="s">
        <v>628</v>
      </c>
      <c r="B1723" s="13" t="s">
        <v>627</v>
      </c>
      <c r="C1723" s="13" t="s">
        <v>2264</v>
      </c>
      <c r="D1723" s="13" t="s">
        <v>2270</v>
      </c>
      <c r="E1723" s="13" t="s">
        <v>2392</v>
      </c>
      <c r="F1723" s="13" t="s">
        <v>2459</v>
      </c>
      <c r="G1723" s="61" t="n">
        <v>-8123224807</v>
      </c>
      <c r="H1723" s="13" t="s">
        <v>2255</v>
      </c>
      <c r="I1723" s="13" t="s">
        <v>2394</v>
      </c>
      <c r="J1723" s="13" t="n">
        <v>7</v>
      </c>
      <c r="K1723" s="13" t="s">
        <v>2277</v>
      </c>
      <c r="L1723" s="13" t="s">
        <v>2265</v>
      </c>
      <c r="M1723" s="13"/>
    </row>
    <row r="1724" customFormat="false" ht="15" hidden="false" customHeight="false" outlineLevel="0" collapsed="false">
      <c r="A1724" s="13" t="s">
        <v>628</v>
      </c>
      <c r="B1724" s="13" t="s">
        <v>627</v>
      </c>
      <c r="C1724" s="13" t="s">
        <v>2254</v>
      </c>
      <c r="D1724" s="13" t="s">
        <v>2270</v>
      </c>
      <c r="E1724" s="13" t="s">
        <v>2401</v>
      </c>
      <c r="F1724" s="13" t="s">
        <v>2460</v>
      </c>
      <c r="G1724" s="61" t="n">
        <v>144991937521</v>
      </c>
      <c r="H1724" s="13" t="s">
        <v>2255</v>
      </c>
      <c r="I1724" s="13" t="s">
        <v>2394</v>
      </c>
      <c r="J1724" s="13" t="n">
        <v>7</v>
      </c>
      <c r="K1724" s="13" t="s">
        <v>2274</v>
      </c>
      <c r="L1724" s="13" t="s">
        <v>2257</v>
      </c>
      <c r="M1724" s="13"/>
    </row>
    <row r="1725" customFormat="false" ht="15" hidden="false" customHeight="false" outlineLevel="0" collapsed="false">
      <c r="A1725" s="13" t="s">
        <v>628</v>
      </c>
      <c r="B1725" s="13" t="s">
        <v>627</v>
      </c>
      <c r="C1725" s="13" t="s">
        <v>2258</v>
      </c>
      <c r="D1725" s="13" t="s">
        <v>2270</v>
      </c>
      <c r="E1725" s="13" t="s">
        <v>2401</v>
      </c>
      <c r="F1725" s="13" t="s">
        <v>2460</v>
      </c>
      <c r="G1725" s="61" t="n">
        <v>457138685522</v>
      </c>
      <c r="H1725" s="13" t="s">
        <v>2255</v>
      </c>
      <c r="I1725" s="13" t="s">
        <v>2394</v>
      </c>
      <c r="J1725" s="13" t="n">
        <v>7</v>
      </c>
      <c r="K1725" s="13" t="s">
        <v>2275</v>
      </c>
      <c r="L1725" s="13" t="s">
        <v>2260</v>
      </c>
      <c r="M1725" s="13"/>
    </row>
    <row r="1726" customFormat="false" ht="15" hidden="false" customHeight="false" outlineLevel="0" collapsed="false">
      <c r="A1726" s="13" t="s">
        <v>628</v>
      </c>
      <c r="B1726" s="13" t="s">
        <v>627</v>
      </c>
      <c r="C1726" s="13" t="s">
        <v>2261</v>
      </c>
      <c r="D1726" s="13" t="s">
        <v>2270</v>
      </c>
      <c r="E1726" s="13" t="s">
        <v>2401</v>
      </c>
      <c r="F1726" s="13" t="s">
        <v>2460</v>
      </c>
      <c r="G1726" s="61" t="n">
        <v>176790020011</v>
      </c>
      <c r="H1726" s="13" t="s">
        <v>2255</v>
      </c>
      <c r="I1726" s="13" t="s">
        <v>2394</v>
      </c>
      <c r="J1726" s="13" t="n">
        <v>7</v>
      </c>
      <c r="K1726" s="13" t="s">
        <v>2276</v>
      </c>
      <c r="L1726" s="13" t="s">
        <v>2263</v>
      </c>
      <c r="M1726" s="13"/>
    </row>
    <row r="1727" customFormat="false" ht="15" hidden="false" customHeight="false" outlineLevel="0" collapsed="false">
      <c r="A1727" s="13" t="s">
        <v>628</v>
      </c>
      <c r="B1727" s="13" t="s">
        <v>627</v>
      </c>
      <c r="C1727" s="13" t="s">
        <v>2264</v>
      </c>
      <c r="D1727" s="13" t="s">
        <v>2270</v>
      </c>
      <c r="E1727" s="13" t="s">
        <v>2401</v>
      </c>
      <c r="F1727" s="13" t="s">
        <v>2460</v>
      </c>
      <c r="G1727" s="61" t="n">
        <v>40323055724</v>
      </c>
      <c r="H1727" s="13" t="s">
        <v>2255</v>
      </c>
      <c r="I1727" s="13" t="s">
        <v>2394</v>
      </c>
      <c r="J1727" s="13" t="n">
        <v>7</v>
      </c>
      <c r="K1727" s="13" t="s">
        <v>2277</v>
      </c>
      <c r="L1727" s="13" t="s">
        <v>2265</v>
      </c>
      <c r="M1727" s="13"/>
    </row>
    <row r="1728" customFormat="false" ht="15" hidden="false" customHeight="false" outlineLevel="0" collapsed="false">
      <c r="A1728" s="13" t="s">
        <v>628</v>
      </c>
      <c r="B1728" s="13" t="s">
        <v>627</v>
      </c>
      <c r="C1728" s="13" t="s">
        <v>2264</v>
      </c>
      <c r="D1728" s="13" t="s">
        <v>2270</v>
      </c>
      <c r="E1728" s="13" t="s">
        <v>2461</v>
      </c>
      <c r="F1728" s="13" t="s">
        <v>2405</v>
      </c>
      <c r="G1728" s="61" t="n">
        <v>15497585903</v>
      </c>
      <c r="H1728" s="13" t="s">
        <v>2255</v>
      </c>
      <c r="I1728" s="13" t="s">
        <v>2394</v>
      </c>
      <c r="J1728" s="13" t="n">
        <v>7</v>
      </c>
      <c r="K1728" s="13" t="s">
        <v>2277</v>
      </c>
      <c r="L1728" s="13" t="s">
        <v>2265</v>
      </c>
      <c r="M1728" s="13"/>
    </row>
    <row r="1729" customFormat="false" ht="15" hidden="false" customHeight="false" outlineLevel="0" collapsed="false">
      <c r="A1729" s="13" t="s">
        <v>628</v>
      </c>
      <c r="B1729" s="13" t="s">
        <v>627</v>
      </c>
      <c r="C1729" s="13" t="s">
        <v>2264</v>
      </c>
      <c r="D1729" s="13" t="s">
        <v>2270</v>
      </c>
      <c r="E1729" s="13" t="s">
        <v>2461</v>
      </c>
      <c r="F1729" s="13" t="s">
        <v>2406</v>
      </c>
      <c r="G1729" s="61" t="n">
        <v>8120295098</v>
      </c>
      <c r="H1729" s="13" t="s">
        <v>2255</v>
      </c>
      <c r="I1729" s="13" t="s">
        <v>2394</v>
      </c>
      <c r="J1729" s="13" t="n">
        <v>7</v>
      </c>
      <c r="K1729" s="13" t="s">
        <v>2277</v>
      </c>
      <c r="L1729" s="13" t="s">
        <v>2265</v>
      </c>
      <c r="M1729" s="13"/>
    </row>
    <row r="1730" customFormat="false" ht="15" hidden="false" customHeight="false" outlineLevel="0" collapsed="false">
      <c r="A1730" s="13" t="s">
        <v>628</v>
      </c>
      <c r="B1730" s="13" t="s">
        <v>627</v>
      </c>
      <c r="C1730" s="13" t="s">
        <v>2264</v>
      </c>
      <c r="D1730" s="13" t="s">
        <v>2270</v>
      </c>
      <c r="E1730" s="13" t="s">
        <v>2461</v>
      </c>
      <c r="F1730" s="13" t="s">
        <v>2407</v>
      </c>
      <c r="G1730" s="61" t="n">
        <v>-1040656738</v>
      </c>
      <c r="H1730" s="13" t="s">
        <v>2255</v>
      </c>
      <c r="I1730" s="13" t="s">
        <v>2394</v>
      </c>
      <c r="J1730" s="13" t="n">
        <v>7</v>
      </c>
      <c r="K1730" s="13" t="s">
        <v>2277</v>
      </c>
      <c r="L1730" s="13" t="s">
        <v>2265</v>
      </c>
      <c r="M1730" s="13"/>
    </row>
    <row r="1731" customFormat="false" ht="15" hidden="false" customHeight="false" outlineLevel="0" collapsed="false">
      <c r="A1731" s="13" t="s">
        <v>628</v>
      </c>
      <c r="B1731" s="13" t="s">
        <v>627</v>
      </c>
      <c r="C1731" s="13" t="s">
        <v>2264</v>
      </c>
      <c r="D1731" s="13" t="s">
        <v>2270</v>
      </c>
      <c r="E1731" s="13" t="s">
        <v>2461</v>
      </c>
      <c r="F1731" s="13" t="s">
        <v>2462</v>
      </c>
      <c r="G1731" s="61" t="n">
        <v>53666457</v>
      </c>
      <c r="H1731" s="13" t="s">
        <v>2255</v>
      </c>
      <c r="I1731" s="13" t="s">
        <v>2394</v>
      </c>
      <c r="J1731" s="13" t="n">
        <v>7</v>
      </c>
      <c r="K1731" s="13" t="s">
        <v>2277</v>
      </c>
      <c r="L1731" s="13" t="s">
        <v>2265</v>
      </c>
      <c r="M1731" s="13"/>
    </row>
    <row r="1732" customFormat="false" ht="15" hidden="false" customHeight="false" outlineLevel="0" collapsed="false">
      <c r="A1732" s="13" t="s">
        <v>628</v>
      </c>
      <c r="B1732" s="13" t="s">
        <v>627</v>
      </c>
      <c r="C1732" s="13" t="s">
        <v>2264</v>
      </c>
      <c r="D1732" s="13" t="s">
        <v>2270</v>
      </c>
      <c r="E1732" s="13" t="s">
        <v>2461</v>
      </c>
      <c r="F1732" s="13" t="s">
        <v>2409</v>
      </c>
      <c r="G1732" s="61" t="n">
        <v>22630890720</v>
      </c>
      <c r="H1732" s="13" t="s">
        <v>2255</v>
      </c>
      <c r="I1732" s="13" t="s">
        <v>2394</v>
      </c>
      <c r="J1732" s="13" t="n">
        <v>7</v>
      </c>
      <c r="K1732" s="13" t="s">
        <v>2277</v>
      </c>
      <c r="L1732" s="13" t="s">
        <v>2265</v>
      </c>
      <c r="M1732" s="13"/>
    </row>
    <row r="1733" customFormat="false" ht="15" hidden="false" customHeight="false" outlineLevel="0" collapsed="false">
      <c r="A1733" s="13" t="s">
        <v>628</v>
      </c>
      <c r="B1733" s="13" t="s">
        <v>627</v>
      </c>
      <c r="C1733" s="13" t="s">
        <v>2264</v>
      </c>
      <c r="D1733" s="13" t="s">
        <v>2270</v>
      </c>
      <c r="E1733" s="13" t="s">
        <v>2461</v>
      </c>
      <c r="F1733" s="13" t="s">
        <v>2410</v>
      </c>
      <c r="G1733" s="61" t="n">
        <v>18370139</v>
      </c>
      <c r="H1733" s="13" t="s">
        <v>2255</v>
      </c>
      <c r="I1733" s="13" t="s">
        <v>2394</v>
      </c>
      <c r="J1733" s="13" t="n">
        <v>7</v>
      </c>
      <c r="K1733" s="13" t="s">
        <v>2277</v>
      </c>
      <c r="L1733" s="13" t="s">
        <v>2265</v>
      </c>
      <c r="M1733" s="13"/>
    </row>
    <row r="1734" customFormat="false" ht="15" hidden="false" customHeight="false" outlineLevel="0" collapsed="false">
      <c r="A1734" s="13" t="s">
        <v>628</v>
      </c>
      <c r="B1734" s="13" t="s">
        <v>627</v>
      </c>
      <c r="C1734" s="13" t="s">
        <v>2264</v>
      </c>
      <c r="D1734" s="13" t="s">
        <v>2270</v>
      </c>
      <c r="E1734" s="13" t="s">
        <v>2461</v>
      </c>
      <c r="F1734" s="13" t="s">
        <v>2411</v>
      </c>
      <c r="G1734" s="61" t="n">
        <v>-2929709</v>
      </c>
      <c r="H1734" s="13" t="s">
        <v>2255</v>
      </c>
      <c r="I1734" s="13" t="s">
        <v>2394</v>
      </c>
      <c r="J1734" s="13" t="n">
        <v>7</v>
      </c>
      <c r="K1734" s="13" t="s">
        <v>2277</v>
      </c>
      <c r="L1734" s="13" t="s">
        <v>2265</v>
      </c>
      <c r="M1734" s="13"/>
    </row>
    <row r="1735" customFormat="false" ht="15" hidden="false" customHeight="false" outlineLevel="0" collapsed="false">
      <c r="A1735" s="13" t="s">
        <v>628</v>
      </c>
      <c r="B1735" s="13" t="s">
        <v>627</v>
      </c>
      <c r="C1735" s="13" t="s">
        <v>2264</v>
      </c>
      <c r="D1735" s="13" t="s">
        <v>2270</v>
      </c>
      <c r="E1735" s="13" t="s">
        <v>2461</v>
      </c>
      <c r="F1735" s="13" t="s">
        <v>2412</v>
      </c>
      <c r="G1735" s="61" t="n">
        <v>-15440430</v>
      </c>
      <c r="H1735" s="13" t="s">
        <v>2255</v>
      </c>
      <c r="I1735" s="13" t="s">
        <v>2394</v>
      </c>
      <c r="J1735" s="13" t="n">
        <v>7</v>
      </c>
      <c r="K1735" s="13" t="s">
        <v>2277</v>
      </c>
      <c r="L1735" s="13" t="s">
        <v>2265</v>
      </c>
      <c r="M1735" s="13"/>
    </row>
    <row r="1736" customFormat="false" ht="15" hidden="false" customHeight="false" outlineLevel="0" collapsed="false">
      <c r="A1736" s="13" t="s">
        <v>628</v>
      </c>
      <c r="B1736" s="13" t="s">
        <v>627</v>
      </c>
      <c r="C1736" s="13" t="s">
        <v>2264</v>
      </c>
      <c r="D1736" s="13" t="s">
        <v>2270</v>
      </c>
      <c r="E1736" s="13" t="s">
        <v>2461</v>
      </c>
      <c r="F1736" s="13" t="s">
        <v>2463</v>
      </c>
      <c r="G1736" s="61" t="n">
        <v>0</v>
      </c>
      <c r="H1736" s="13" t="s">
        <v>2255</v>
      </c>
      <c r="I1736" s="13" t="s">
        <v>2394</v>
      </c>
      <c r="J1736" s="13" t="n">
        <v>7</v>
      </c>
      <c r="K1736" s="13" t="s">
        <v>2277</v>
      </c>
      <c r="L1736" s="13" t="s">
        <v>2265</v>
      </c>
      <c r="M1736" s="13"/>
    </row>
    <row r="1737" customFormat="false" ht="15" hidden="false" customHeight="false" outlineLevel="0" collapsed="false">
      <c r="A1737" s="13" t="s">
        <v>628</v>
      </c>
      <c r="B1737" s="13" t="s">
        <v>627</v>
      </c>
      <c r="C1737" s="13" t="s">
        <v>2264</v>
      </c>
      <c r="D1737" s="13" t="s">
        <v>2270</v>
      </c>
      <c r="E1737" s="13" t="s">
        <v>2461</v>
      </c>
      <c r="F1737" s="13" t="s">
        <v>2414</v>
      </c>
      <c r="G1737" s="61" t="n">
        <v>0</v>
      </c>
      <c r="H1737" s="13" t="s">
        <v>2255</v>
      </c>
      <c r="I1737" s="13" t="s">
        <v>2394</v>
      </c>
      <c r="J1737" s="13" t="n">
        <v>7</v>
      </c>
      <c r="K1737" s="13" t="s">
        <v>2277</v>
      </c>
      <c r="L1737" s="13" t="s">
        <v>2265</v>
      </c>
      <c r="M1737" s="13"/>
    </row>
    <row r="1738" customFormat="false" ht="15" hidden="false" customHeight="false" outlineLevel="0" collapsed="false">
      <c r="A1738" s="13" t="s">
        <v>628</v>
      </c>
      <c r="B1738" s="13" t="s">
        <v>627</v>
      </c>
      <c r="C1738" s="13" t="s">
        <v>2254</v>
      </c>
      <c r="D1738" s="13" t="s">
        <v>2270</v>
      </c>
      <c r="E1738" s="13" t="s">
        <v>2427</v>
      </c>
      <c r="F1738" s="13" t="s">
        <v>2464</v>
      </c>
      <c r="G1738" s="61" t="n">
        <v>-813594061</v>
      </c>
      <c r="H1738" s="13" t="s">
        <v>2255</v>
      </c>
      <c r="I1738" s="13" t="s">
        <v>2429</v>
      </c>
      <c r="J1738" s="13" t="n">
        <v>5</v>
      </c>
      <c r="K1738" s="13" t="s">
        <v>2274</v>
      </c>
      <c r="L1738" s="13" t="s">
        <v>2257</v>
      </c>
      <c r="M1738" s="13"/>
    </row>
    <row r="1739" customFormat="false" ht="15" hidden="false" customHeight="false" outlineLevel="0" collapsed="false">
      <c r="A1739" s="13" t="s">
        <v>628</v>
      </c>
      <c r="B1739" s="13" t="s">
        <v>627</v>
      </c>
      <c r="C1739" s="13" t="s">
        <v>2258</v>
      </c>
      <c r="D1739" s="13" t="s">
        <v>2270</v>
      </c>
      <c r="E1739" s="13" t="s">
        <v>2427</v>
      </c>
      <c r="F1739" s="13" t="s">
        <v>2464</v>
      </c>
      <c r="G1739" s="61" t="n">
        <v>0</v>
      </c>
      <c r="H1739" s="13" t="s">
        <v>2255</v>
      </c>
      <c r="I1739" s="13" t="s">
        <v>2429</v>
      </c>
      <c r="J1739" s="13" t="n">
        <v>5</v>
      </c>
      <c r="K1739" s="13" t="s">
        <v>2275</v>
      </c>
      <c r="L1739" s="13" t="s">
        <v>2260</v>
      </c>
      <c r="M1739" s="13"/>
    </row>
    <row r="1740" customFormat="false" ht="15" hidden="false" customHeight="false" outlineLevel="0" collapsed="false">
      <c r="A1740" s="13" t="s">
        <v>628</v>
      </c>
      <c r="B1740" s="13" t="s">
        <v>627</v>
      </c>
      <c r="C1740" s="13" t="s">
        <v>2261</v>
      </c>
      <c r="D1740" s="13" t="s">
        <v>2270</v>
      </c>
      <c r="E1740" s="13" t="s">
        <v>2427</v>
      </c>
      <c r="F1740" s="13" t="s">
        <v>2464</v>
      </c>
      <c r="G1740" s="61" t="n">
        <v>-19581114</v>
      </c>
      <c r="H1740" s="13" t="s">
        <v>2255</v>
      </c>
      <c r="I1740" s="13" t="s">
        <v>2429</v>
      </c>
      <c r="J1740" s="13" t="n">
        <v>5</v>
      </c>
      <c r="K1740" s="13" t="s">
        <v>2276</v>
      </c>
      <c r="L1740" s="13" t="s">
        <v>2263</v>
      </c>
      <c r="M1740" s="13"/>
    </row>
    <row r="1741" customFormat="false" ht="15" hidden="false" customHeight="false" outlineLevel="0" collapsed="false">
      <c r="A1741" s="13" t="s">
        <v>628</v>
      </c>
      <c r="B1741" s="13" t="s">
        <v>627</v>
      </c>
      <c r="C1741" s="13" t="s">
        <v>2264</v>
      </c>
      <c r="D1741" s="13" t="s">
        <v>2270</v>
      </c>
      <c r="E1741" s="13" t="s">
        <v>2427</v>
      </c>
      <c r="F1741" s="13" t="s">
        <v>2464</v>
      </c>
      <c r="G1741" s="61" t="n">
        <v>0</v>
      </c>
      <c r="H1741" s="13" t="s">
        <v>2255</v>
      </c>
      <c r="I1741" s="13" t="s">
        <v>2429</v>
      </c>
      <c r="J1741" s="13" t="n">
        <v>5</v>
      </c>
      <c r="K1741" s="13" t="s">
        <v>2277</v>
      </c>
      <c r="L1741" s="13" t="s">
        <v>2265</v>
      </c>
      <c r="M1741" s="13"/>
    </row>
    <row r="1742" customFormat="false" ht="15" hidden="false" customHeight="false" outlineLevel="0" collapsed="false">
      <c r="A1742" s="13" t="s">
        <v>628</v>
      </c>
      <c r="B1742" s="13" t="s">
        <v>627</v>
      </c>
      <c r="C1742" s="13" t="s">
        <v>2254</v>
      </c>
      <c r="D1742" s="13" t="s">
        <v>2270</v>
      </c>
      <c r="E1742" s="13" t="s">
        <v>2427</v>
      </c>
      <c r="F1742" s="13" t="s">
        <v>2290</v>
      </c>
      <c r="G1742" s="61" t="n">
        <v>7629130152</v>
      </c>
      <c r="H1742" s="13" t="s">
        <v>2255</v>
      </c>
      <c r="I1742" s="13" t="s">
        <v>2429</v>
      </c>
      <c r="J1742" s="13" t="n">
        <v>5</v>
      </c>
      <c r="K1742" s="13" t="s">
        <v>2274</v>
      </c>
      <c r="L1742" s="13" t="s">
        <v>2257</v>
      </c>
      <c r="M1742" s="13"/>
    </row>
    <row r="1743" customFormat="false" ht="15" hidden="false" customHeight="false" outlineLevel="0" collapsed="false">
      <c r="A1743" s="13" t="s">
        <v>628</v>
      </c>
      <c r="B1743" s="13" t="s">
        <v>627</v>
      </c>
      <c r="C1743" s="13" t="s">
        <v>2258</v>
      </c>
      <c r="D1743" s="13" t="s">
        <v>2270</v>
      </c>
      <c r="E1743" s="13" t="s">
        <v>2427</v>
      </c>
      <c r="F1743" s="13" t="s">
        <v>2290</v>
      </c>
      <c r="G1743" s="61" t="n">
        <v>15880018857</v>
      </c>
      <c r="H1743" s="13" t="s">
        <v>2255</v>
      </c>
      <c r="I1743" s="13" t="s">
        <v>2429</v>
      </c>
      <c r="J1743" s="13" t="n">
        <v>5</v>
      </c>
      <c r="K1743" s="13" t="s">
        <v>2275</v>
      </c>
      <c r="L1743" s="13" t="s">
        <v>2260</v>
      </c>
      <c r="M1743" s="13"/>
    </row>
    <row r="1744" customFormat="false" ht="15" hidden="false" customHeight="false" outlineLevel="0" collapsed="false">
      <c r="A1744" s="13" t="s">
        <v>628</v>
      </c>
      <c r="B1744" s="13" t="s">
        <v>627</v>
      </c>
      <c r="C1744" s="13" t="s">
        <v>2261</v>
      </c>
      <c r="D1744" s="13" t="s">
        <v>2270</v>
      </c>
      <c r="E1744" s="13" t="s">
        <v>2427</v>
      </c>
      <c r="F1744" s="13" t="s">
        <v>2290</v>
      </c>
      <c r="G1744" s="61" t="n">
        <v>-3830525560</v>
      </c>
      <c r="H1744" s="13" t="s">
        <v>2255</v>
      </c>
      <c r="I1744" s="13" t="s">
        <v>2429</v>
      </c>
      <c r="J1744" s="13" t="n">
        <v>5</v>
      </c>
      <c r="K1744" s="13" t="s">
        <v>2276</v>
      </c>
      <c r="L1744" s="13" t="s">
        <v>2263</v>
      </c>
      <c r="M1744" s="13"/>
    </row>
    <row r="1745" customFormat="false" ht="15" hidden="false" customHeight="false" outlineLevel="0" collapsed="false">
      <c r="A1745" s="13" t="s">
        <v>628</v>
      </c>
      <c r="B1745" s="13" t="s">
        <v>627</v>
      </c>
      <c r="C1745" s="13" t="s">
        <v>2264</v>
      </c>
      <c r="D1745" s="13" t="s">
        <v>2270</v>
      </c>
      <c r="E1745" s="13" t="s">
        <v>2427</v>
      </c>
      <c r="F1745" s="13" t="s">
        <v>2290</v>
      </c>
      <c r="G1745" s="61" t="n">
        <v>6484009640</v>
      </c>
      <c r="H1745" s="13" t="s">
        <v>2255</v>
      </c>
      <c r="I1745" s="13" t="s">
        <v>2429</v>
      </c>
      <c r="J1745" s="13" t="n">
        <v>5</v>
      </c>
      <c r="K1745" s="13" t="s">
        <v>2277</v>
      </c>
      <c r="L1745" s="13" t="s">
        <v>2265</v>
      </c>
      <c r="M1745" s="13"/>
    </row>
    <row r="1746" customFormat="false" ht="15" hidden="false" customHeight="false" outlineLevel="0" collapsed="false">
      <c r="A1746" s="13" t="s">
        <v>628</v>
      </c>
      <c r="B1746" s="13" t="s">
        <v>627</v>
      </c>
      <c r="C1746" s="13" t="s">
        <v>2254</v>
      </c>
      <c r="D1746" s="13" t="s">
        <v>2270</v>
      </c>
      <c r="E1746" s="13" t="s">
        <v>2435</v>
      </c>
      <c r="F1746" s="13" t="s">
        <v>2465</v>
      </c>
      <c r="G1746" s="61" t="n">
        <v>0</v>
      </c>
      <c r="H1746" s="13" t="s">
        <v>2255</v>
      </c>
      <c r="I1746" s="13" t="s">
        <v>2429</v>
      </c>
      <c r="J1746" s="13" t="n">
        <v>5</v>
      </c>
      <c r="K1746" s="13" t="s">
        <v>2274</v>
      </c>
      <c r="L1746" s="13" t="s">
        <v>2257</v>
      </c>
      <c r="M1746" s="13"/>
    </row>
    <row r="1747" customFormat="false" ht="15" hidden="false" customHeight="false" outlineLevel="0" collapsed="false">
      <c r="A1747" s="13" t="s">
        <v>628</v>
      </c>
      <c r="B1747" s="13" t="s">
        <v>627</v>
      </c>
      <c r="C1747" s="13" t="s">
        <v>2258</v>
      </c>
      <c r="D1747" s="13" t="s">
        <v>2270</v>
      </c>
      <c r="E1747" s="13" t="s">
        <v>2435</v>
      </c>
      <c r="F1747" s="13" t="s">
        <v>2465</v>
      </c>
      <c r="G1747" s="61" t="n">
        <v>-13458915462</v>
      </c>
      <c r="H1747" s="13" t="s">
        <v>2255</v>
      </c>
      <c r="I1747" s="13" t="s">
        <v>2429</v>
      </c>
      <c r="J1747" s="13" t="n">
        <v>5</v>
      </c>
      <c r="K1747" s="13" t="s">
        <v>2275</v>
      </c>
      <c r="L1747" s="13" t="s">
        <v>2260</v>
      </c>
      <c r="M1747" s="13"/>
    </row>
    <row r="1748" customFormat="false" ht="15" hidden="false" customHeight="false" outlineLevel="0" collapsed="false">
      <c r="A1748" s="13" t="s">
        <v>628</v>
      </c>
      <c r="B1748" s="13" t="s">
        <v>627</v>
      </c>
      <c r="C1748" s="13" t="s">
        <v>2261</v>
      </c>
      <c r="D1748" s="13" t="s">
        <v>2270</v>
      </c>
      <c r="E1748" s="13" t="s">
        <v>2435</v>
      </c>
      <c r="F1748" s="13" t="s">
        <v>2465</v>
      </c>
      <c r="G1748" s="61" t="n">
        <v>0</v>
      </c>
      <c r="H1748" s="13" t="s">
        <v>2255</v>
      </c>
      <c r="I1748" s="13" t="s">
        <v>2429</v>
      </c>
      <c r="J1748" s="13" t="n">
        <v>5</v>
      </c>
      <c r="K1748" s="13" t="s">
        <v>2276</v>
      </c>
      <c r="L1748" s="13" t="s">
        <v>2263</v>
      </c>
      <c r="M1748" s="13"/>
    </row>
    <row r="1749" customFormat="false" ht="15" hidden="false" customHeight="false" outlineLevel="0" collapsed="false">
      <c r="A1749" s="13" t="s">
        <v>628</v>
      </c>
      <c r="B1749" s="13" t="s">
        <v>627</v>
      </c>
      <c r="C1749" s="13" t="s">
        <v>2264</v>
      </c>
      <c r="D1749" s="13" t="s">
        <v>2270</v>
      </c>
      <c r="E1749" s="13" t="s">
        <v>2435</v>
      </c>
      <c r="F1749" s="13" t="s">
        <v>2465</v>
      </c>
      <c r="G1749" s="61" t="n">
        <v>0</v>
      </c>
      <c r="H1749" s="13" t="s">
        <v>2255</v>
      </c>
      <c r="I1749" s="13" t="s">
        <v>2429</v>
      </c>
      <c r="J1749" s="13" t="n">
        <v>5</v>
      </c>
      <c r="K1749" s="13" t="s">
        <v>2277</v>
      </c>
      <c r="L1749" s="13" t="s">
        <v>2265</v>
      </c>
      <c r="M1749" s="13"/>
    </row>
    <row r="1750" customFormat="false" ht="15" hidden="false" customHeight="false" outlineLevel="0" collapsed="false">
      <c r="A1750" s="13" t="s">
        <v>628</v>
      </c>
      <c r="B1750" s="13" t="s">
        <v>627</v>
      </c>
      <c r="C1750" s="13" t="s">
        <v>2261</v>
      </c>
      <c r="D1750" s="13" t="s">
        <v>2270</v>
      </c>
      <c r="E1750" s="13" t="s">
        <v>2466</v>
      </c>
      <c r="F1750" s="13" t="s">
        <v>2405</v>
      </c>
      <c r="G1750" s="61" t="n">
        <v>15236931143</v>
      </c>
      <c r="H1750" s="13" t="s">
        <v>2255</v>
      </c>
      <c r="I1750" s="13" t="s">
        <v>2394</v>
      </c>
      <c r="J1750" s="13" t="n">
        <v>7</v>
      </c>
      <c r="K1750" s="13" t="s">
        <v>2276</v>
      </c>
      <c r="L1750" s="13" t="s">
        <v>2263</v>
      </c>
      <c r="M1750" s="13"/>
    </row>
    <row r="1751" customFormat="false" ht="15" hidden="false" customHeight="false" outlineLevel="0" collapsed="false">
      <c r="A1751" s="13" t="s">
        <v>628</v>
      </c>
      <c r="B1751" s="13" t="s">
        <v>627</v>
      </c>
      <c r="C1751" s="13" t="s">
        <v>2261</v>
      </c>
      <c r="D1751" s="13" t="s">
        <v>2270</v>
      </c>
      <c r="E1751" s="13" t="s">
        <v>2466</v>
      </c>
      <c r="F1751" s="13" t="s">
        <v>2406</v>
      </c>
      <c r="G1751" s="61" t="n">
        <v>1456808822</v>
      </c>
      <c r="H1751" s="13" t="s">
        <v>2255</v>
      </c>
      <c r="I1751" s="13" t="s">
        <v>2394</v>
      </c>
      <c r="J1751" s="13" t="n">
        <v>7</v>
      </c>
      <c r="K1751" s="13" t="s">
        <v>2276</v>
      </c>
      <c r="L1751" s="13" t="s">
        <v>2263</v>
      </c>
      <c r="M1751" s="13"/>
    </row>
    <row r="1752" customFormat="false" ht="15" hidden="false" customHeight="false" outlineLevel="0" collapsed="false">
      <c r="A1752" s="13" t="s">
        <v>628</v>
      </c>
      <c r="B1752" s="13" t="s">
        <v>627</v>
      </c>
      <c r="C1752" s="13" t="s">
        <v>2261</v>
      </c>
      <c r="D1752" s="13" t="s">
        <v>2270</v>
      </c>
      <c r="E1752" s="13" t="s">
        <v>2466</v>
      </c>
      <c r="F1752" s="13" t="s">
        <v>2407</v>
      </c>
      <c r="G1752" s="61" t="n">
        <v>-1021471671</v>
      </c>
      <c r="H1752" s="13" t="s">
        <v>2255</v>
      </c>
      <c r="I1752" s="13" t="s">
        <v>2394</v>
      </c>
      <c r="J1752" s="13" t="n">
        <v>7</v>
      </c>
      <c r="K1752" s="13" t="s">
        <v>2276</v>
      </c>
      <c r="L1752" s="13" t="s">
        <v>2263</v>
      </c>
      <c r="M1752" s="13"/>
    </row>
    <row r="1753" customFormat="false" ht="15" hidden="false" customHeight="false" outlineLevel="0" collapsed="false">
      <c r="A1753" s="13" t="s">
        <v>628</v>
      </c>
      <c r="B1753" s="13" t="s">
        <v>627</v>
      </c>
      <c r="C1753" s="13" t="s">
        <v>2261</v>
      </c>
      <c r="D1753" s="13" t="s">
        <v>2270</v>
      </c>
      <c r="E1753" s="13" t="s">
        <v>2466</v>
      </c>
      <c r="F1753" s="13" t="s">
        <v>2462</v>
      </c>
      <c r="G1753" s="61" t="n">
        <v>-174682391</v>
      </c>
      <c r="H1753" s="13" t="s">
        <v>2255</v>
      </c>
      <c r="I1753" s="13" t="s">
        <v>2394</v>
      </c>
      <c r="J1753" s="13" t="n">
        <v>7</v>
      </c>
      <c r="K1753" s="13" t="s">
        <v>2276</v>
      </c>
      <c r="L1753" s="13" t="s">
        <v>2263</v>
      </c>
      <c r="M1753" s="13"/>
    </row>
    <row r="1754" customFormat="false" ht="15" hidden="false" customHeight="false" outlineLevel="0" collapsed="false">
      <c r="A1754" s="13" t="s">
        <v>628</v>
      </c>
      <c r="B1754" s="13" t="s">
        <v>627</v>
      </c>
      <c r="C1754" s="13" t="s">
        <v>2261</v>
      </c>
      <c r="D1754" s="13" t="s">
        <v>2270</v>
      </c>
      <c r="E1754" s="13" t="s">
        <v>2466</v>
      </c>
      <c r="F1754" s="13" t="s">
        <v>2409</v>
      </c>
      <c r="G1754" s="61" t="n">
        <v>15497585903</v>
      </c>
      <c r="H1754" s="13" t="s">
        <v>2255</v>
      </c>
      <c r="I1754" s="13" t="s">
        <v>2394</v>
      </c>
      <c r="J1754" s="13" t="n">
        <v>7</v>
      </c>
      <c r="K1754" s="13" t="s">
        <v>2276</v>
      </c>
      <c r="L1754" s="13" t="s">
        <v>2263</v>
      </c>
      <c r="M1754" s="13"/>
    </row>
    <row r="1755" customFormat="false" ht="15" hidden="false" customHeight="false" outlineLevel="0" collapsed="false">
      <c r="A1755" s="13" t="s">
        <v>628</v>
      </c>
      <c r="B1755" s="13" t="s">
        <v>627</v>
      </c>
      <c r="C1755" s="13" t="s">
        <v>2261</v>
      </c>
      <c r="D1755" s="13" t="s">
        <v>2270</v>
      </c>
      <c r="E1755" s="13" t="s">
        <v>2466</v>
      </c>
      <c r="F1755" s="13" t="s">
        <v>2410</v>
      </c>
      <c r="G1755" s="61" t="n">
        <v>136472211</v>
      </c>
      <c r="H1755" s="13" t="s">
        <v>2255</v>
      </c>
      <c r="I1755" s="13" t="s">
        <v>2394</v>
      </c>
      <c r="J1755" s="13" t="n">
        <v>7</v>
      </c>
      <c r="K1755" s="13" t="s">
        <v>2276</v>
      </c>
      <c r="L1755" s="13" t="s">
        <v>2263</v>
      </c>
      <c r="M1755" s="13"/>
    </row>
    <row r="1756" customFormat="false" ht="15" hidden="false" customHeight="false" outlineLevel="0" collapsed="false">
      <c r="A1756" s="13" t="s">
        <v>628</v>
      </c>
      <c r="B1756" s="13" t="s">
        <v>627</v>
      </c>
      <c r="C1756" s="13" t="s">
        <v>2261</v>
      </c>
      <c r="D1756" s="13" t="s">
        <v>2270</v>
      </c>
      <c r="E1756" s="13" t="s">
        <v>2466</v>
      </c>
      <c r="F1756" s="13" t="s">
        <v>2411</v>
      </c>
      <c r="G1756" s="61" t="n">
        <v>41139889</v>
      </c>
      <c r="H1756" s="13" t="s">
        <v>2255</v>
      </c>
      <c r="I1756" s="13" t="s">
        <v>2394</v>
      </c>
      <c r="J1756" s="13" t="n">
        <v>7</v>
      </c>
      <c r="K1756" s="13" t="s">
        <v>2276</v>
      </c>
      <c r="L1756" s="13" t="s">
        <v>2263</v>
      </c>
      <c r="M1756" s="13"/>
    </row>
    <row r="1757" customFormat="false" ht="15" hidden="false" customHeight="false" outlineLevel="0" collapsed="false">
      <c r="A1757" s="13" t="s">
        <v>628</v>
      </c>
      <c r="B1757" s="13" t="s">
        <v>627</v>
      </c>
      <c r="C1757" s="13" t="s">
        <v>2261</v>
      </c>
      <c r="D1757" s="13" t="s">
        <v>2270</v>
      </c>
      <c r="E1757" s="13" t="s">
        <v>2466</v>
      </c>
      <c r="F1757" s="13" t="s">
        <v>2412</v>
      </c>
      <c r="G1757" s="61" t="n">
        <v>15440430</v>
      </c>
      <c r="H1757" s="13" t="s">
        <v>2255</v>
      </c>
      <c r="I1757" s="13" t="s">
        <v>2394</v>
      </c>
      <c r="J1757" s="13" t="n">
        <v>7</v>
      </c>
      <c r="K1757" s="13" t="s">
        <v>2276</v>
      </c>
      <c r="L1757" s="13" t="s">
        <v>2263</v>
      </c>
      <c r="M1757" s="13"/>
    </row>
    <row r="1758" customFormat="false" ht="15" hidden="false" customHeight="false" outlineLevel="0" collapsed="false">
      <c r="A1758" s="13" t="s">
        <v>628</v>
      </c>
      <c r="B1758" s="13" t="s">
        <v>627</v>
      </c>
      <c r="C1758" s="13" t="s">
        <v>2261</v>
      </c>
      <c r="D1758" s="13" t="s">
        <v>2270</v>
      </c>
      <c r="E1758" s="13" t="s">
        <v>2466</v>
      </c>
      <c r="F1758" s="13" t="s">
        <v>2463</v>
      </c>
      <c r="G1758" s="61" t="n">
        <v>-174682391</v>
      </c>
      <c r="H1758" s="13" t="s">
        <v>2255</v>
      </c>
      <c r="I1758" s="13" t="s">
        <v>2394</v>
      </c>
      <c r="J1758" s="13" t="n">
        <v>7</v>
      </c>
      <c r="K1758" s="13" t="s">
        <v>2276</v>
      </c>
      <c r="L1758" s="13" t="s">
        <v>2263</v>
      </c>
      <c r="M1758" s="13"/>
    </row>
    <row r="1759" customFormat="false" ht="15" hidden="false" customHeight="false" outlineLevel="0" collapsed="false">
      <c r="A1759" s="13" t="s">
        <v>628</v>
      </c>
      <c r="B1759" s="13" t="s">
        <v>627</v>
      </c>
      <c r="C1759" s="13" t="s">
        <v>2261</v>
      </c>
      <c r="D1759" s="13" t="s">
        <v>2270</v>
      </c>
      <c r="E1759" s="13" t="s">
        <v>2466</v>
      </c>
      <c r="F1759" s="13" t="s">
        <v>2414</v>
      </c>
      <c r="G1759" s="61" t="n">
        <v>18370139</v>
      </c>
      <c r="H1759" s="13" t="s">
        <v>2255</v>
      </c>
      <c r="I1759" s="13" t="s">
        <v>2394</v>
      </c>
      <c r="J1759" s="13" t="n">
        <v>7</v>
      </c>
      <c r="K1759" s="13" t="s">
        <v>2276</v>
      </c>
      <c r="L1759" s="13" t="s">
        <v>2263</v>
      </c>
      <c r="M1759" s="13"/>
    </row>
    <row r="1760" customFormat="false" ht="15" hidden="false" customHeight="false" outlineLevel="0" collapsed="false">
      <c r="A1760" s="13" t="s">
        <v>628</v>
      </c>
      <c r="B1760" s="13" t="s">
        <v>627</v>
      </c>
      <c r="C1760" s="13" t="s">
        <v>2254</v>
      </c>
      <c r="D1760" s="13" t="s">
        <v>2270</v>
      </c>
      <c r="E1760" s="13" t="s">
        <v>2415</v>
      </c>
      <c r="F1760" s="13" t="s">
        <v>2467</v>
      </c>
      <c r="G1760" s="61" t="n">
        <v>391717789095</v>
      </c>
      <c r="H1760" s="13" t="s">
        <v>2255</v>
      </c>
      <c r="I1760" s="13" t="s">
        <v>2417</v>
      </c>
      <c r="J1760" s="13" t="n">
        <v>52</v>
      </c>
      <c r="K1760" s="13" t="s">
        <v>2274</v>
      </c>
      <c r="L1760" s="13" t="s">
        <v>2257</v>
      </c>
      <c r="M1760" s="13"/>
    </row>
    <row r="1761" customFormat="false" ht="15" hidden="false" customHeight="false" outlineLevel="0" collapsed="false">
      <c r="A1761" s="13" t="s">
        <v>628</v>
      </c>
      <c r="B1761" s="13" t="s">
        <v>627</v>
      </c>
      <c r="C1761" s="13" t="s">
        <v>2258</v>
      </c>
      <c r="D1761" s="13" t="s">
        <v>2270</v>
      </c>
      <c r="E1761" s="13" t="s">
        <v>2415</v>
      </c>
      <c r="F1761" s="13" t="s">
        <v>2467</v>
      </c>
      <c r="G1761" s="61" t="n">
        <v>391717789095</v>
      </c>
      <c r="H1761" s="13" t="s">
        <v>2255</v>
      </c>
      <c r="I1761" s="13" t="s">
        <v>2417</v>
      </c>
      <c r="J1761" s="13" t="n">
        <v>67</v>
      </c>
      <c r="K1761" s="13" t="s">
        <v>2275</v>
      </c>
      <c r="L1761" s="13" t="s">
        <v>2260</v>
      </c>
      <c r="M1761" s="13"/>
    </row>
    <row r="1762" customFormat="false" ht="15" hidden="false" customHeight="false" outlineLevel="0" collapsed="false">
      <c r="A1762" s="13" t="s">
        <v>628</v>
      </c>
      <c r="B1762" s="13" t="s">
        <v>627</v>
      </c>
      <c r="C1762" s="13" t="s">
        <v>2261</v>
      </c>
      <c r="D1762" s="13" t="s">
        <v>2270</v>
      </c>
      <c r="E1762" s="13" t="s">
        <v>2415</v>
      </c>
      <c r="F1762" s="13" t="s">
        <v>2467</v>
      </c>
      <c r="G1762" s="61" t="n">
        <v>391717789095</v>
      </c>
      <c r="H1762" s="13" t="s">
        <v>2255</v>
      </c>
      <c r="I1762" s="13" t="s">
        <v>2417</v>
      </c>
      <c r="J1762" s="13" t="n">
        <v>62</v>
      </c>
      <c r="K1762" s="13" t="s">
        <v>2276</v>
      </c>
      <c r="L1762" s="13" t="s">
        <v>2263</v>
      </c>
      <c r="M1762" s="13"/>
    </row>
    <row r="1763" customFormat="false" ht="15" hidden="false" customHeight="false" outlineLevel="0" collapsed="false">
      <c r="A1763" s="13" t="s">
        <v>628</v>
      </c>
      <c r="B1763" s="13" t="s">
        <v>627</v>
      </c>
      <c r="C1763" s="13" t="s">
        <v>2254</v>
      </c>
      <c r="D1763" s="13" t="s">
        <v>2270</v>
      </c>
      <c r="E1763" s="13" t="s">
        <v>2419</v>
      </c>
      <c r="F1763" s="13" t="s">
        <v>2467</v>
      </c>
      <c r="G1763" s="61" t="n">
        <v>76891886918</v>
      </c>
      <c r="H1763" s="13" t="s">
        <v>2255</v>
      </c>
      <c r="I1763" s="13" t="s">
        <v>2417</v>
      </c>
      <c r="J1763" s="13" t="n">
        <v>52</v>
      </c>
      <c r="K1763" s="13" t="s">
        <v>2274</v>
      </c>
      <c r="L1763" s="13" t="s">
        <v>2257</v>
      </c>
      <c r="M1763" s="13"/>
    </row>
    <row r="1764" customFormat="false" ht="15" hidden="false" customHeight="false" outlineLevel="0" collapsed="false">
      <c r="A1764" s="13" t="s">
        <v>628</v>
      </c>
      <c r="B1764" s="13" t="s">
        <v>627</v>
      </c>
      <c r="C1764" s="13" t="s">
        <v>2258</v>
      </c>
      <c r="D1764" s="13" t="s">
        <v>2270</v>
      </c>
      <c r="E1764" s="13" t="s">
        <v>2419</v>
      </c>
      <c r="F1764" s="13" t="s">
        <v>2467</v>
      </c>
      <c r="G1764" s="61" t="n">
        <v>203721505220</v>
      </c>
      <c r="H1764" s="13" t="s">
        <v>2255</v>
      </c>
      <c r="I1764" s="13" t="s">
        <v>2417</v>
      </c>
      <c r="J1764" s="13" t="n">
        <v>67</v>
      </c>
      <c r="K1764" s="13" t="s">
        <v>2275</v>
      </c>
      <c r="L1764" s="13" t="s">
        <v>2260</v>
      </c>
      <c r="M1764" s="13"/>
    </row>
    <row r="1765" customFormat="false" ht="15" hidden="false" customHeight="false" outlineLevel="0" collapsed="false">
      <c r="A1765" s="13" t="s">
        <v>628</v>
      </c>
      <c r="B1765" s="13" t="s">
        <v>627</v>
      </c>
      <c r="C1765" s="13" t="s">
        <v>2261</v>
      </c>
      <c r="D1765" s="13" t="s">
        <v>2270</v>
      </c>
      <c r="E1765" s="13" t="s">
        <v>2419</v>
      </c>
      <c r="F1765" s="13" t="s">
        <v>2467</v>
      </c>
      <c r="G1765" s="61" t="n">
        <v>453830174183</v>
      </c>
      <c r="H1765" s="13" t="s">
        <v>2255</v>
      </c>
      <c r="I1765" s="13" t="s">
        <v>2417</v>
      </c>
      <c r="J1765" s="13" t="n">
        <v>62</v>
      </c>
      <c r="K1765" s="13" t="s">
        <v>2276</v>
      </c>
      <c r="L1765" s="13" t="s">
        <v>2263</v>
      </c>
      <c r="M1765" s="13"/>
    </row>
    <row r="1766" customFormat="false" ht="15" hidden="false" customHeight="false" outlineLevel="0" collapsed="false">
      <c r="A1766" s="13" t="s">
        <v>628</v>
      </c>
      <c r="B1766" s="13" t="s">
        <v>627</v>
      </c>
      <c r="C1766" s="13" t="s">
        <v>2254</v>
      </c>
      <c r="D1766" s="13" t="s">
        <v>2270</v>
      </c>
      <c r="E1766" s="13" t="s">
        <v>2292</v>
      </c>
      <c r="F1766" s="13" t="s">
        <v>2468</v>
      </c>
      <c r="G1766" s="61" t="n">
        <v>-57270000</v>
      </c>
      <c r="H1766" s="13" t="s">
        <v>2255</v>
      </c>
      <c r="I1766" s="13" t="s">
        <v>2294</v>
      </c>
      <c r="J1766" s="13" t="n">
        <v>7</v>
      </c>
      <c r="K1766" s="13" t="s">
        <v>2274</v>
      </c>
      <c r="L1766" s="13" t="s">
        <v>2257</v>
      </c>
      <c r="M1766" s="13"/>
    </row>
    <row r="1767" customFormat="false" ht="15" hidden="false" customHeight="false" outlineLevel="0" collapsed="false">
      <c r="A1767" s="13" t="s">
        <v>628</v>
      </c>
      <c r="B1767" s="13" t="s">
        <v>627</v>
      </c>
      <c r="C1767" s="13" t="s">
        <v>2258</v>
      </c>
      <c r="D1767" s="13" t="s">
        <v>2270</v>
      </c>
      <c r="E1767" s="13" t="s">
        <v>2292</v>
      </c>
      <c r="F1767" s="13" t="s">
        <v>2468</v>
      </c>
      <c r="G1767" s="61" t="n">
        <v>0</v>
      </c>
      <c r="H1767" s="13" t="s">
        <v>2255</v>
      </c>
      <c r="I1767" s="13" t="s">
        <v>2294</v>
      </c>
      <c r="J1767" s="13" t="n">
        <v>7</v>
      </c>
      <c r="K1767" s="13" t="s">
        <v>2275</v>
      </c>
      <c r="L1767" s="13" t="s">
        <v>2260</v>
      </c>
      <c r="M1767" s="13"/>
    </row>
    <row r="1768" customFormat="false" ht="15" hidden="false" customHeight="false" outlineLevel="0" collapsed="false">
      <c r="A1768" s="13" t="s">
        <v>628</v>
      </c>
      <c r="B1768" s="13" t="s">
        <v>627</v>
      </c>
      <c r="C1768" s="13" t="s">
        <v>2254</v>
      </c>
      <c r="D1768" s="13" t="s">
        <v>2270</v>
      </c>
      <c r="E1768" s="13" t="s">
        <v>2296</v>
      </c>
      <c r="F1768" s="13" t="s">
        <v>2468</v>
      </c>
      <c r="G1768" s="61" t="n">
        <v>-39161985</v>
      </c>
      <c r="H1768" s="13" t="s">
        <v>2255</v>
      </c>
      <c r="I1768" s="13" t="s">
        <v>2294</v>
      </c>
      <c r="J1768" s="13" t="n">
        <v>7</v>
      </c>
      <c r="K1768" s="13" t="s">
        <v>2274</v>
      </c>
      <c r="L1768" s="13" t="s">
        <v>2257</v>
      </c>
      <c r="M1768" s="13"/>
    </row>
    <row r="1769" customFormat="false" ht="15" hidden="false" customHeight="false" outlineLevel="0" collapsed="false">
      <c r="A1769" s="13" t="s">
        <v>628</v>
      </c>
      <c r="B1769" s="13" t="s">
        <v>627</v>
      </c>
      <c r="C1769" s="13" t="s">
        <v>2258</v>
      </c>
      <c r="D1769" s="13" t="s">
        <v>2270</v>
      </c>
      <c r="E1769" s="13" t="s">
        <v>2296</v>
      </c>
      <c r="F1769" s="13" t="s">
        <v>2468</v>
      </c>
      <c r="G1769" s="61" t="n">
        <v>0</v>
      </c>
      <c r="H1769" s="13" t="s">
        <v>2255</v>
      </c>
      <c r="I1769" s="13" t="s">
        <v>2294</v>
      </c>
      <c r="J1769" s="13" t="n">
        <v>7</v>
      </c>
      <c r="K1769" s="13" t="s">
        <v>2275</v>
      </c>
      <c r="L1769" s="13" t="s">
        <v>2260</v>
      </c>
      <c r="M1769" s="13"/>
    </row>
    <row r="1770" customFormat="false" ht="15" hidden="false" customHeight="false" outlineLevel="0" collapsed="false">
      <c r="A1770" s="13" t="s">
        <v>628</v>
      </c>
      <c r="B1770" s="13" t="s">
        <v>627</v>
      </c>
      <c r="C1770" s="13" t="s">
        <v>2254</v>
      </c>
      <c r="D1770" s="13" t="s">
        <v>2270</v>
      </c>
      <c r="E1770" s="13" t="s">
        <v>2297</v>
      </c>
      <c r="F1770" s="13" t="s">
        <v>2468</v>
      </c>
      <c r="G1770" s="61" t="n">
        <v>0</v>
      </c>
      <c r="H1770" s="13" t="s">
        <v>2255</v>
      </c>
      <c r="I1770" s="13" t="s">
        <v>2294</v>
      </c>
      <c r="J1770" s="13" t="n">
        <v>7</v>
      </c>
      <c r="K1770" s="13" t="s">
        <v>2274</v>
      </c>
      <c r="L1770" s="13" t="s">
        <v>2257</v>
      </c>
      <c r="M1770" s="13"/>
    </row>
    <row r="1771" customFormat="false" ht="15" hidden="false" customHeight="false" outlineLevel="0" collapsed="false">
      <c r="A1771" s="13" t="s">
        <v>628</v>
      </c>
      <c r="B1771" s="13" t="s">
        <v>627</v>
      </c>
      <c r="C1771" s="13" t="s">
        <v>2258</v>
      </c>
      <c r="D1771" s="13" t="s">
        <v>2270</v>
      </c>
      <c r="E1771" s="13" t="s">
        <v>2297</v>
      </c>
      <c r="F1771" s="13" t="s">
        <v>2468</v>
      </c>
      <c r="G1771" s="61" t="n">
        <v>0</v>
      </c>
      <c r="H1771" s="13" t="s">
        <v>2255</v>
      </c>
      <c r="I1771" s="13" t="s">
        <v>2294</v>
      </c>
      <c r="J1771" s="13" t="n">
        <v>7</v>
      </c>
      <c r="K1771" s="13" t="s">
        <v>2275</v>
      </c>
      <c r="L1771" s="13" t="s">
        <v>2260</v>
      </c>
      <c r="M1771" s="13"/>
    </row>
    <row r="1772" customFormat="false" ht="15" hidden="false" customHeight="false" outlineLevel="0" collapsed="false">
      <c r="A1772" s="13" t="s">
        <v>628</v>
      </c>
      <c r="B1772" s="13" t="s">
        <v>627</v>
      </c>
      <c r="C1772" s="13" t="s">
        <v>2254</v>
      </c>
      <c r="D1772" s="13" t="s">
        <v>2270</v>
      </c>
      <c r="E1772" s="13" t="s">
        <v>2298</v>
      </c>
      <c r="F1772" s="13" t="s">
        <v>2468</v>
      </c>
      <c r="G1772" s="61" t="n">
        <v>-96431985</v>
      </c>
      <c r="H1772" s="13" t="s">
        <v>2255</v>
      </c>
      <c r="I1772" s="13" t="s">
        <v>2294</v>
      </c>
      <c r="J1772" s="13" t="n">
        <v>7</v>
      </c>
      <c r="K1772" s="13" t="s">
        <v>2274</v>
      </c>
      <c r="L1772" s="13" t="s">
        <v>2257</v>
      </c>
      <c r="M1772" s="13"/>
    </row>
    <row r="1773" customFormat="false" ht="15" hidden="false" customHeight="false" outlineLevel="0" collapsed="false">
      <c r="A1773" s="13" t="s">
        <v>628</v>
      </c>
      <c r="B1773" s="13" t="s">
        <v>627</v>
      </c>
      <c r="C1773" s="13" t="s">
        <v>2258</v>
      </c>
      <c r="D1773" s="13" t="s">
        <v>2270</v>
      </c>
      <c r="E1773" s="13" t="s">
        <v>2298</v>
      </c>
      <c r="F1773" s="13" t="s">
        <v>2468</v>
      </c>
      <c r="G1773" s="61" t="n">
        <v>0</v>
      </c>
      <c r="H1773" s="13" t="s">
        <v>2255</v>
      </c>
      <c r="I1773" s="13" t="s">
        <v>2294</v>
      </c>
      <c r="J1773" s="13" t="n">
        <v>7</v>
      </c>
      <c r="K1773" s="13" t="s">
        <v>2275</v>
      </c>
      <c r="L1773" s="13" t="s">
        <v>2260</v>
      </c>
      <c r="M1773" s="13"/>
    </row>
    <row r="1774" customFormat="false" ht="15" hidden="false" customHeight="false" outlineLevel="0" collapsed="false">
      <c r="A1774" s="13" t="s">
        <v>628</v>
      </c>
      <c r="B1774" s="13" t="s">
        <v>627</v>
      </c>
      <c r="C1774" s="13" t="s">
        <v>2254</v>
      </c>
      <c r="D1774" s="13" t="s">
        <v>2270</v>
      </c>
      <c r="E1774" s="13" t="s">
        <v>2292</v>
      </c>
      <c r="F1774" s="13" t="s">
        <v>687</v>
      </c>
      <c r="G1774" s="61" t="n">
        <v>25816403786</v>
      </c>
      <c r="H1774" s="13" t="s">
        <v>2255</v>
      </c>
      <c r="I1774" s="13" t="s">
        <v>2294</v>
      </c>
      <c r="J1774" s="13" t="n">
        <v>7</v>
      </c>
      <c r="K1774" s="13" t="s">
        <v>2274</v>
      </c>
      <c r="L1774" s="13" t="s">
        <v>2257</v>
      </c>
      <c r="M1774" s="13"/>
    </row>
    <row r="1775" customFormat="false" ht="15" hidden="false" customHeight="false" outlineLevel="0" collapsed="false">
      <c r="A1775" s="13" t="s">
        <v>628</v>
      </c>
      <c r="B1775" s="13" t="s">
        <v>627</v>
      </c>
      <c r="C1775" s="13" t="s">
        <v>2258</v>
      </c>
      <c r="D1775" s="13" t="s">
        <v>2270</v>
      </c>
      <c r="E1775" s="13" t="s">
        <v>2292</v>
      </c>
      <c r="F1775" s="13" t="s">
        <v>687</v>
      </c>
      <c r="G1775" s="61" t="n">
        <v>25206974173</v>
      </c>
      <c r="H1775" s="13" t="s">
        <v>2255</v>
      </c>
      <c r="I1775" s="13" t="s">
        <v>2294</v>
      </c>
      <c r="J1775" s="13" t="n">
        <v>7</v>
      </c>
      <c r="K1775" s="13" t="s">
        <v>2275</v>
      </c>
      <c r="L1775" s="13" t="s">
        <v>2260</v>
      </c>
      <c r="M1775" s="13"/>
    </row>
    <row r="1776" customFormat="false" ht="15" hidden="false" customHeight="false" outlineLevel="0" collapsed="false">
      <c r="A1776" s="13" t="s">
        <v>628</v>
      </c>
      <c r="B1776" s="13" t="s">
        <v>627</v>
      </c>
      <c r="C1776" s="13" t="s">
        <v>2254</v>
      </c>
      <c r="D1776" s="13" t="s">
        <v>2270</v>
      </c>
      <c r="E1776" s="13" t="s">
        <v>2296</v>
      </c>
      <c r="F1776" s="13" t="s">
        <v>687</v>
      </c>
      <c r="G1776" s="61" t="n">
        <v>0</v>
      </c>
      <c r="H1776" s="13" t="s">
        <v>2255</v>
      </c>
      <c r="I1776" s="13" t="s">
        <v>2294</v>
      </c>
      <c r="J1776" s="13" t="n">
        <v>7</v>
      </c>
      <c r="K1776" s="13" t="s">
        <v>2274</v>
      </c>
      <c r="L1776" s="13" t="s">
        <v>2257</v>
      </c>
      <c r="M1776" s="13"/>
    </row>
    <row r="1777" customFormat="false" ht="15" hidden="false" customHeight="false" outlineLevel="0" collapsed="false">
      <c r="A1777" s="13" t="s">
        <v>628</v>
      </c>
      <c r="B1777" s="13" t="s">
        <v>627</v>
      </c>
      <c r="C1777" s="13" t="s">
        <v>2258</v>
      </c>
      <c r="D1777" s="13" t="s">
        <v>2270</v>
      </c>
      <c r="E1777" s="13" t="s">
        <v>2296</v>
      </c>
      <c r="F1777" s="13" t="s">
        <v>687</v>
      </c>
      <c r="G1777" s="61" t="n">
        <v>0</v>
      </c>
      <c r="H1777" s="13" t="s">
        <v>2255</v>
      </c>
      <c r="I1777" s="13" t="s">
        <v>2294</v>
      </c>
      <c r="J1777" s="13" t="n">
        <v>7</v>
      </c>
      <c r="K1777" s="13" t="s">
        <v>2275</v>
      </c>
      <c r="L1777" s="13" t="s">
        <v>2260</v>
      </c>
      <c r="M1777" s="13"/>
    </row>
    <row r="1778" customFormat="false" ht="15" hidden="false" customHeight="false" outlineLevel="0" collapsed="false">
      <c r="A1778" s="13" t="s">
        <v>628</v>
      </c>
      <c r="B1778" s="13" t="s">
        <v>627</v>
      </c>
      <c r="C1778" s="13" t="s">
        <v>2254</v>
      </c>
      <c r="D1778" s="13" t="s">
        <v>2270</v>
      </c>
      <c r="E1778" s="13" t="s">
        <v>2297</v>
      </c>
      <c r="F1778" s="13" t="s">
        <v>687</v>
      </c>
      <c r="G1778" s="61" t="n">
        <v>0</v>
      </c>
      <c r="H1778" s="13" t="s">
        <v>2255</v>
      </c>
      <c r="I1778" s="13" t="s">
        <v>2294</v>
      </c>
      <c r="J1778" s="13" t="n">
        <v>7</v>
      </c>
      <c r="K1778" s="13" t="s">
        <v>2274</v>
      </c>
      <c r="L1778" s="13" t="s">
        <v>2257</v>
      </c>
      <c r="M1778" s="13"/>
    </row>
    <row r="1779" customFormat="false" ht="15" hidden="false" customHeight="false" outlineLevel="0" collapsed="false">
      <c r="A1779" s="13" t="s">
        <v>628</v>
      </c>
      <c r="B1779" s="13" t="s">
        <v>627</v>
      </c>
      <c r="C1779" s="13" t="s">
        <v>2258</v>
      </c>
      <c r="D1779" s="13" t="s">
        <v>2270</v>
      </c>
      <c r="E1779" s="13" t="s">
        <v>2297</v>
      </c>
      <c r="F1779" s="13" t="s">
        <v>687</v>
      </c>
      <c r="G1779" s="61" t="n">
        <v>0</v>
      </c>
      <c r="H1779" s="13" t="s">
        <v>2255</v>
      </c>
      <c r="I1779" s="13" t="s">
        <v>2294</v>
      </c>
      <c r="J1779" s="13" t="n">
        <v>7</v>
      </c>
      <c r="K1779" s="13" t="s">
        <v>2275</v>
      </c>
      <c r="L1779" s="13" t="s">
        <v>2260</v>
      </c>
      <c r="M1779" s="13"/>
    </row>
    <row r="1780" customFormat="false" ht="15" hidden="false" customHeight="false" outlineLevel="0" collapsed="false">
      <c r="A1780" s="13" t="s">
        <v>628</v>
      </c>
      <c r="B1780" s="13" t="s">
        <v>627</v>
      </c>
      <c r="C1780" s="13" t="s">
        <v>2254</v>
      </c>
      <c r="D1780" s="13" t="s">
        <v>2270</v>
      </c>
      <c r="E1780" s="13" t="s">
        <v>2298</v>
      </c>
      <c r="F1780" s="13" t="s">
        <v>687</v>
      </c>
      <c r="G1780" s="61" t="n">
        <v>25816403786</v>
      </c>
      <c r="H1780" s="13" t="s">
        <v>2255</v>
      </c>
      <c r="I1780" s="13" t="s">
        <v>2294</v>
      </c>
      <c r="J1780" s="13" t="n">
        <v>7</v>
      </c>
      <c r="K1780" s="13" t="s">
        <v>2274</v>
      </c>
      <c r="L1780" s="13" t="s">
        <v>2257</v>
      </c>
      <c r="M1780" s="13"/>
    </row>
    <row r="1781" customFormat="false" ht="15" hidden="false" customHeight="false" outlineLevel="0" collapsed="false">
      <c r="A1781" s="13" t="s">
        <v>628</v>
      </c>
      <c r="B1781" s="13" t="s">
        <v>627</v>
      </c>
      <c r="C1781" s="13" t="s">
        <v>2258</v>
      </c>
      <c r="D1781" s="13" t="s">
        <v>2270</v>
      </c>
      <c r="E1781" s="13" t="s">
        <v>2298</v>
      </c>
      <c r="F1781" s="13" t="s">
        <v>687</v>
      </c>
      <c r="G1781" s="61" t="n">
        <v>25206974173</v>
      </c>
      <c r="H1781" s="13" t="s">
        <v>2255</v>
      </c>
      <c r="I1781" s="13" t="s">
        <v>2294</v>
      </c>
      <c r="J1781" s="13" t="n">
        <v>7</v>
      </c>
      <c r="K1781" s="13" t="s">
        <v>2275</v>
      </c>
      <c r="L1781" s="13" t="s">
        <v>2260</v>
      </c>
      <c r="M1781" s="13"/>
    </row>
    <row r="1782" customFormat="false" ht="15" hidden="false" customHeight="false" outlineLevel="0" collapsed="false">
      <c r="A1782" s="13" t="s">
        <v>628</v>
      </c>
      <c r="B1782" s="13" t="s">
        <v>627</v>
      </c>
      <c r="C1782" s="13" t="s">
        <v>2254</v>
      </c>
      <c r="D1782" s="13" t="s">
        <v>2270</v>
      </c>
      <c r="E1782" s="13" t="s">
        <v>2337</v>
      </c>
      <c r="F1782" s="13" t="s">
        <v>2469</v>
      </c>
      <c r="G1782" s="61" t="n">
        <v>29064786131</v>
      </c>
      <c r="H1782" s="13" t="s">
        <v>2255</v>
      </c>
      <c r="I1782" s="13" t="s">
        <v>2339</v>
      </c>
      <c r="J1782" s="13" t="n">
        <v>39</v>
      </c>
      <c r="K1782" s="13" t="s">
        <v>2274</v>
      </c>
      <c r="L1782" s="13" t="s">
        <v>2257</v>
      </c>
      <c r="M1782" s="13"/>
    </row>
    <row r="1783" customFormat="false" ht="15" hidden="false" customHeight="false" outlineLevel="0" collapsed="false">
      <c r="A1783" s="13" t="s">
        <v>628</v>
      </c>
      <c r="B1783" s="13" t="s">
        <v>627</v>
      </c>
      <c r="C1783" s="13" t="s">
        <v>2258</v>
      </c>
      <c r="D1783" s="13" t="s">
        <v>2270</v>
      </c>
      <c r="E1783" s="13" t="s">
        <v>2337</v>
      </c>
      <c r="F1783" s="13" t="s">
        <v>2469</v>
      </c>
      <c r="G1783" s="61" t="n">
        <v>72478378130</v>
      </c>
      <c r="H1783" s="13" t="s">
        <v>2255</v>
      </c>
      <c r="I1783" s="13" t="s">
        <v>2339</v>
      </c>
      <c r="J1783" s="13" t="n">
        <v>53</v>
      </c>
      <c r="K1783" s="13" t="s">
        <v>2275</v>
      </c>
      <c r="L1783" s="13" t="s">
        <v>2260</v>
      </c>
      <c r="M1783" s="13"/>
    </row>
    <row r="1784" customFormat="false" ht="15" hidden="false" customHeight="false" outlineLevel="0" collapsed="false">
      <c r="A1784" s="13" t="s">
        <v>628</v>
      </c>
      <c r="B1784" s="13" t="s">
        <v>627</v>
      </c>
      <c r="C1784" s="13" t="s">
        <v>2258</v>
      </c>
      <c r="D1784" s="13" t="s">
        <v>2270</v>
      </c>
      <c r="E1784" s="13" t="s">
        <v>2470</v>
      </c>
      <c r="F1784" s="13" t="s">
        <v>2405</v>
      </c>
      <c r="G1784" s="61" t="n">
        <v>12573860849</v>
      </c>
      <c r="H1784" s="13" t="s">
        <v>2255</v>
      </c>
      <c r="I1784" s="13" t="s">
        <v>2394</v>
      </c>
      <c r="J1784" s="13" t="n">
        <v>7</v>
      </c>
      <c r="K1784" s="13" t="s">
        <v>2275</v>
      </c>
      <c r="L1784" s="13" t="s">
        <v>2260</v>
      </c>
      <c r="M1784" s="13"/>
    </row>
    <row r="1785" customFormat="false" ht="15" hidden="false" customHeight="false" outlineLevel="0" collapsed="false">
      <c r="A1785" s="13" t="s">
        <v>628</v>
      </c>
      <c r="B1785" s="13" t="s">
        <v>627</v>
      </c>
      <c r="C1785" s="13" t="s">
        <v>2258</v>
      </c>
      <c r="D1785" s="13" t="s">
        <v>2270</v>
      </c>
      <c r="E1785" s="13" t="s">
        <v>2470</v>
      </c>
      <c r="F1785" s="13" t="s">
        <v>2406</v>
      </c>
      <c r="G1785" s="61" t="n">
        <v>1294963258</v>
      </c>
      <c r="H1785" s="13" t="s">
        <v>2255</v>
      </c>
      <c r="I1785" s="13" t="s">
        <v>2394</v>
      </c>
      <c r="J1785" s="13" t="n">
        <v>7</v>
      </c>
      <c r="K1785" s="13" t="s">
        <v>2275</v>
      </c>
      <c r="L1785" s="13" t="s">
        <v>2260</v>
      </c>
      <c r="M1785" s="13"/>
    </row>
    <row r="1786" customFormat="false" ht="15" hidden="false" customHeight="false" outlineLevel="0" collapsed="false">
      <c r="A1786" s="13" t="s">
        <v>628</v>
      </c>
      <c r="B1786" s="13" t="s">
        <v>627</v>
      </c>
      <c r="C1786" s="13" t="s">
        <v>2258</v>
      </c>
      <c r="D1786" s="13" t="s">
        <v>2270</v>
      </c>
      <c r="E1786" s="13" t="s">
        <v>2470</v>
      </c>
      <c r="F1786" s="13" t="s">
        <v>2407</v>
      </c>
      <c r="G1786" s="61" t="n">
        <v>1367118258</v>
      </c>
      <c r="H1786" s="13" t="s">
        <v>2255</v>
      </c>
      <c r="I1786" s="13" t="s">
        <v>2394</v>
      </c>
      <c r="J1786" s="13" t="n">
        <v>7</v>
      </c>
      <c r="K1786" s="13" t="s">
        <v>2275</v>
      </c>
      <c r="L1786" s="13" t="s">
        <v>2260</v>
      </c>
      <c r="M1786" s="13"/>
    </row>
    <row r="1787" customFormat="false" ht="15" hidden="false" customHeight="false" outlineLevel="0" collapsed="false">
      <c r="A1787" s="13" t="s">
        <v>628</v>
      </c>
      <c r="B1787" s="13" t="s">
        <v>627</v>
      </c>
      <c r="C1787" s="13" t="s">
        <v>2258</v>
      </c>
      <c r="D1787" s="13" t="s">
        <v>2270</v>
      </c>
      <c r="E1787" s="13" t="s">
        <v>2470</v>
      </c>
      <c r="F1787" s="13" t="s">
        <v>2462</v>
      </c>
      <c r="G1787" s="61" t="n">
        <v>988778</v>
      </c>
      <c r="H1787" s="13" t="s">
        <v>2255</v>
      </c>
      <c r="I1787" s="13" t="s">
        <v>2394</v>
      </c>
      <c r="J1787" s="13" t="n">
        <v>7</v>
      </c>
      <c r="K1787" s="13" t="s">
        <v>2275</v>
      </c>
      <c r="L1787" s="13" t="s">
        <v>2260</v>
      </c>
      <c r="M1787" s="13"/>
    </row>
    <row r="1788" customFormat="false" ht="15" hidden="false" customHeight="false" outlineLevel="0" collapsed="false">
      <c r="A1788" s="13" t="s">
        <v>628</v>
      </c>
      <c r="B1788" s="13" t="s">
        <v>627</v>
      </c>
      <c r="C1788" s="13" t="s">
        <v>2258</v>
      </c>
      <c r="D1788" s="13" t="s">
        <v>2270</v>
      </c>
      <c r="E1788" s="13" t="s">
        <v>2470</v>
      </c>
      <c r="F1788" s="13" t="s">
        <v>2409</v>
      </c>
      <c r="G1788" s="61" t="n">
        <v>15236931143</v>
      </c>
      <c r="H1788" s="13" t="s">
        <v>2255</v>
      </c>
      <c r="I1788" s="13" t="s">
        <v>2394</v>
      </c>
      <c r="J1788" s="13" t="n">
        <v>7</v>
      </c>
      <c r="K1788" s="13" t="s">
        <v>2275</v>
      </c>
      <c r="L1788" s="13" t="s">
        <v>2260</v>
      </c>
      <c r="M1788" s="13"/>
    </row>
    <row r="1789" customFormat="false" ht="15" hidden="false" customHeight="false" outlineLevel="0" collapsed="false">
      <c r="A1789" s="13" t="s">
        <v>628</v>
      </c>
      <c r="B1789" s="13" t="s">
        <v>627</v>
      </c>
      <c r="C1789" s="13" t="s">
        <v>2258</v>
      </c>
      <c r="D1789" s="13" t="s">
        <v>2270</v>
      </c>
      <c r="E1789" s="13" t="s">
        <v>2470</v>
      </c>
      <c r="F1789" s="13" t="s">
        <v>2410</v>
      </c>
      <c r="G1789" s="61" t="n">
        <v>114698348</v>
      </c>
      <c r="H1789" s="13" t="s">
        <v>2255</v>
      </c>
      <c r="I1789" s="13" t="s">
        <v>2394</v>
      </c>
      <c r="J1789" s="13" t="n">
        <v>7</v>
      </c>
      <c r="K1789" s="13" t="s">
        <v>2275</v>
      </c>
      <c r="L1789" s="13" t="s">
        <v>2260</v>
      </c>
      <c r="M1789" s="13"/>
    </row>
    <row r="1790" customFormat="false" ht="15" hidden="false" customHeight="false" outlineLevel="0" collapsed="false">
      <c r="A1790" s="13" t="s">
        <v>628</v>
      </c>
      <c r="B1790" s="13" t="s">
        <v>627</v>
      </c>
      <c r="C1790" s="13" t="s">
        <v>2258</v>
      </c>
      <c r="D1790" s="13" t="s">
        <v>2270</v>
      </c>
      <c r="E1790" s="13" t="s">
        <v>2470</v>
      </c>
      <c r="F1790" s="13" t="s">
        <v>2411</v>
      </c>
      <c r="G1790" s="61" t="n">
        <v>125811473</v>
      </c>
      <c r="H1790" s="13" t="s">
        <v>2255</v>
      </c>
      <c r="I1790" s="13" t="s">
        <v>2394</v>
      </c>
      <c r="J1790" s="13" t="n">
        <v>7</v>
      </c>
      <c r="K1790" s="13" t="s">
        <v>2275</v>
      </c>
      <c r="L1790" s="13" t="s">
        <v>2260</v>
      </c>
      <c r="M1790" s="13"/>
    </row>
    <row r="1791" customFormat="false" ht="15" hidden="false" customHeight="false" outlineLevel="0" collapsed="false">
      <c r="A1791" s="13" t="s">
        <v>628</v>
      </c>
      <c r="B1791" s="13" t="s">
        <v>627</v>
      </c>
      <c r="C1791" s="13" t="s">
        <v>2258</v>
      </c>
      <c r="D1791" s="13" t="s">
        <v>2270</v>
      </c>
      <c r="E1791" s="13" t="s">
        <v>2470</v>
      </c>
      <c r="F1791" s="13" t="s">
        <v>2412</v>
      </c>
      <c r="G1791" s="61" t="n">
        <v>-104037610</v>
      </c>
      <c r="H1791" s="13" t="s">
        <v>2255</v>
      </c>
      <c r="I1791" s="13" t="s">
        <v>2394</v>
      </c>
      <c r="J1791" s="13" t="n">
        <v>7</v>
      </c>
      <c r="K1791" s="13" t="s">
        <v>2275</v>
      </c>
      <c r="L1791" s="13" t="s">
        <v>2260</v>
      </c>
      <c r="M1791" s="13"/>
    </row>
    <row r="1792" customFormat="false" ht="15" hidden="false" customHeight="false" outlineLevel="0" collapsed="false">
      <c r="A1792" s="13" t="s">
        <v>628</v>
      </c>
      <c r="B1792" s="13" t="s">
        <v>627</v>
      </c>
      <c r="C1792" s="13" t="s">
        <v>2258</v>
      </c>
      <c r="D1792" s="13" t="s">
        <v>2270</v>
      </c>
      <c r="E1792" s="13" t="s">
        <v>2470</v>
      </c>
      <c r="F1792" s="13" t="s">
        <v>2463</v>
      </c>
      <c r="G1792" s="61" t="n">
        <v>0</v>
      </c>
      <c r="H1792" s="13" t="s">
        <v>2255</v>
      </c>
      <c r="I1792" s="13" t="s">
        <v>2394</v>
      </c>
      <c r="J1792" s="13" t="n">
        <v>7</v>
      </c>
      <c r="K1792" s="13" t="s">
        <v>2275</v>
      </c>
      <c r="L1792" s="13" t="s">
        <v>2260</v>
      </c>
      <c r="M1792" s="13"/>
    </row>
    <row r="1793" customFormat="false" ht="15" hidden="false" customHeight="false" outlineLevel="0" collapsed="false">
      <c r="A1793" s="13" t="s">
        <v>628</v>
      </c>
      <c r="B1793" s="13" t="s">
        <v>627</v>
      </c>
      <c r="C1793" s="13" t="s">
        <v>2258</v>
      </c>
      <c r="D1793" s="13" t="s">
        <v>2270</v>
      </c>
      <c r="E1793" s="13" t="s">
        <v>2470</v>
      </c>
      <c r="F1793" s="13" t="s">
        <v>2414</v>
      </c>
      <c r="G1793" s="61" t="n">
        <v>136472211</v>
      </c>
      <c r="H1793" s="13" t="s">
        <v>2255</v>
      </c>
      <c r="I1793" s="13" t="s">
        <v>2394</v>
      </c>
      <c r="J1793" s="13" t="n">
        <v>7</v>
      </c>
      <c r="K1793" s="13" t="s">
        <v>2275</v>
      </c>
      <c r="L1793" s="13" t="s">
        <v>2260</v>
      </c>
      <c r="M1793" s="13"/>
    </row>
    <row r="1794" customFormat="false" ht="15" hidden="false" customHeight="false" outlineLevel="0" collapsed="false">
      <c r="A1794" s="13" t="s">
        <v>628</v>
      </c>
      <c r="B1794" s="13" t="s">
        <v>627</v>
      </c>
      <c r="C1794" s="13" t="s">
        <v>2254</v>
      </c>
      <c r="D1794" s="13" t="s">
        <v>2270</v>
      </c>
      <c r="E1794" s="13" t="s">
        <v>2471</v>
      </c>
      <c r="F1794" s="13" t="s">
        <v>2472</v>
      </c>
      <c r="G1794" s="61" t="n">
        <v>301000000000</v>
      </c>
      <c r="H1794" s="13" t="s">
        <v>2255</v>
      </c>
      <c r="I1794" s="13" t="s">
        <v>2417</v>
      </c>
      <c r="J1794" s="13" t="n">
        <v>5</v>
      </c>
      <c r="K1794" s="13" t="s">
        <v>2274</v>
      </c>
      <c r="L1794" s="13" t="s">
        <v>2257</v>
      </c>
      <c r="M1794" s="13"/>
    </row>
    <row r="1795" customFormat="false" ht="15" hidden="false" customHeight="false" outlineLevel="0" collapsed="false">
      <c r="A1795" s="13" t="s">
        <v>628</v>
      </c>
      <c r="B1795" s="13" t="s">
        <v>627</v>
      </c>
      <c r="C1795" s="13" t="s">
        <v>2258</v>
      </c>
      <c r="D1795" s="13" t="s">
        <v>2270</v>
      </c>
      <c r="E1795" s="13" t="s">
        <v>2471</v>
      </c>
      <c r="F1795" s="13" t="s">
        <v>2472</v>
      </c>
      <c r="G1795" s="61" t="n">
        <v>0</v>
      </c>
      <c r="H1795" s="13" t="s">
        <v>2255</v>
      </c>
      <c r="I1795" s="13" t="s">
        <v>2417</v>
      </c>
      <c r="J1795" s="13" t="n">
        <v>5</v>
      </c>
      <c r="K1795" s="13" t="s">
        <v>2275</v>
      </c>
      <c r="L1795" s="13" t="s">
        <v>2260</v>
      </c>
      <c r="M1795" s="13"/>
    </row>
    <row r="1796" customFormat="false" ht="15" hidden="false" customHeight="false" outlineLevel="0" collapsed="false">
      <c r="A1796" s="13" t="s">
        <v>628</v>
      </c>
      <c r="B1796" s="13" t="s">
        <v>627</v>
      </c>
      <c r="C1796" s="13" t="s">
        <v>2254</v>
      </c>
      <c r="D1796" s="13" t="s">
        <v>2270</v>
      </c>
      <c r="E1796" s="13" t="s">
        <v>2343</v>
      </c>
      <c r="F1796" s="13" t="s">
        <v>2473</v>
      </c>
      <c r="G1796" s="61" t="n">
        <v>53252999</v>
      </c>
      <c r="H1796" s="13" t="s">
        <v>2255</v>
      </c>
      <c r="I1796" s="13" t="s">
        <v>2339</v>
      </c>
      <c r="J1796" s="13" t="n">
        <v>39</v>
      </c>
      <c r="K1796" s="13" t="s">
        <v>2274</v>
      </c>
      <c r="L1796" s="13" t="s">
        <v>2257</v>
      </c>
      <c r="M1796" s="13"/>
    </row>
    <row r="1797" customFormat="false" ht="15" hidden="false" customHeight="false" outlineLevel="0" collapsed="false">
      <c r="A1797" s="13" t="s">
        <v>628</v>
      </c>
      <c r="B1797" s="13" t="s">
        <v>627</v>
      </c>
      <c r="C1797" s="13" t="s">
        <v>2254</v>
      </c>
      <c r="D1797" s="13" t="s">
        <v>2270</v>
      </c>
      <c r="E1797" s="13" t="s">
        <v>2382</v>
      </c>
      <c r="F1797" s="13" t="s">
        <v>2474</v>
      </c>
      <c r="G1797" s="61" t="n">
        <v>26709213177</v>
      </c>
      <c r="H1797" s="13" t="s">
        <v>2255</v>
      </c>
      <c r="I1797" s="13" t="s">
        <v>2384</v>
      </c>
      <c r="J1797" s="13" t="n">
        <v>48</v>
      </c>
      <c r="K1797" s="13" t="s">
        <v>2274</v>
      </c>
      <c r="L1797" s="13" t="s">
        <v>2257</v>
      </c>
      <c r="M1797" s="13"/>
    </row>
    <row r="1798" customFormat="false" ht="15" hidden="false" customHeight="false" outlineLevel="0" collapsed="false">
      <c r="A1798" s="13" t="s">
        <v>628</v>
      </c>
      <c r="B1798" s="13" t="s">
        <v>627</v>
      </c>
      <c r="C1798" s="13" t="s">
        <v>2254</v>
      </c>
      <c r="D1798" s="13" t="s">
        <v>2270</v>
      </c>
      <c r="E1798" s="13" t="s">
        <v>2475</v>
      </c>
      <c r="F1798" s="13" t="s">
        <v>2405</v>
      </c>
      <c r="G1798" s="61" t="n">
        <v>8920188321</v>
      </c>
      <c r="H1798" s="13" t="s">
        <v>2255</v>
      </c>
      <c r="I1798" s="13" t="s">
        <v>2394</v>
      </c>
      <c r="J1798" s="13" t="n">
        <v>7</v>
      </c>
      <c r="K1798" s="13" t="s">
        <v>2274</v>
      </c>
      <c r="L1798" s="13" t="s">
        <v>2257</v>
      </c>
      <c r="M1798" s="13"/>
    </row>
    <row r="1799" customFormat="false" ht="15" hidden="false" customHeight="false" outlineLevel="0" collapsed="false">
      <c r="A1799" s="13" t="s">
        <v>628</v>
      </c>
      <c r="B1799" s="13" t="s">
        <v>627</v>
      </c>
      <c r="C1799" s="13" t="s">
        <v>2254</v>
      </c>
      <c r="D1799" s="13" t="s">
        <v>2270</v>
      </c>
      <c r="E1799" s="13" t="s">
        <v>2475</v>
      </c>
      <c r="F1799" s="13" t="s">
        <v>2406</v>
      </c>
      <c r="G1799" s="61" t="n">
        <v>4039429014</v>
      </c>
      <c r="H1799" s="13" t="s">
        <v>2255</v>
      </c>
      <c r="I1799" s="13" t="s">
        <v>2394</v>
      </c>
      <c r="J1799" s="13" t="n">
        <v>7</v>
      </c>
      <c r="K1799" s="13" t="s">
        <v>2274</v>
      </c>
      <c r="L1799" s="13" t="s">
        <v>2257</v>
      </c>
      <c r="M1799" s="13"/>
    </row>
    <row r="1800" customFormat="false" ht="15" hidden="false" customHeight="false" outlineLevel="0" collapsed="false">
      <c r="A1800" s="13" t="s">
        <v>628</v>
      </c>
      <c r="B1800" s="13" t="s">
        <v>627</v>
      </c>
      <c r="C1800" s="13" t="s">
        <v>2254</v>
      </c>
      <c r="D1800" s="13" t="s">
        <v>2270</v>
      </c>
      <c r="E1800" s="13" t="s">
        <v>2475</v>
      </c>
      <c r="F1800" s="13" t="s">
        <v>2407</v>
      </c>
      <c r="G1800" s="61" t="n">
        <v>-286030550</v>
      </c>
      <c r="H1800" s="13" t="s">
        <v>2255</v>
      </c>
      <c r="I1800" s="13" t="s">
        <v>2394</v>
      </c>
      <c r="J1800" s="13" t="n">
        <v>7</v>
      </c>
      <c r="K1800" s="13" t="s">
        <v>2274</v>
      </c>
      <c r="L1800" s="13" t="s">
        <v>2257</v>
      </c>
      <c r="M1800" s="13"/>
    </row>
    <row r="1801" customFormat="false" ht="15" hidden="false" customHeight="false" outlineLevel="0" collapsed="false">
      <c r="A1801" s="13" t="s">
        <v>628</v>
      </c>
      <c r="B1801" s="13" t="s">
        <v>627</v>
      </c>
      <c r="C1801" s="13" t="s">
        <v>2254</v>
      </c>
      <c r="D1801" s="13" t="s">
        <v>2270</v>
      </c>
      <c r="E1801" s="13" t="s">
        <v>2475</v>
      </c>
      <c r="F1801" s="13" t="s">
        <v>2462</v>
      </c>
      <c r="G1801" s="61" t="n">
        <v>-862425306</v>
      </c>
      <c r="H1801" s="13" t="s">
        <v>2255</v>
      </c>
      <c r="I1801" s="13" t="s">
        <v>2394</v>
      </c>
      <c r="J1801" s="13" t="n">
        <v>7</v>
      </c>
      <c r="K1801" s="13" t="s">
        <v>2274</v>
      </c>
      <c r="L1801" s="13" t="s">
        <v>2257</v>
      </c>
      <c r="M1801" s="13"/>
    </row>
    <row r="1802" customFormat="false" ht="15" hidden="false" customHeight="false" outlineLevel="0" collapsed="false">
      <c r="A1802" s="13" t="s">
        <v>628</v>
      </c>
      <c r="B1802" s="13" t="s">
        <v>627</v>
      </c>
      <c r="C1802" s="13" t="s">
        <v>2254</v>
      </c>
      <c r="D1802" s="13" t="s">
        <v>2270</v>
      </c>
      <c r="E1802" s="13" t="s">
        <v>2475</v>
      </c>
      <c r="F1802" s="13" t="s">
        <v>2409</v>
      </c>
      <c r="G1802" s="61" t="n">
        <v>11811161479</v>
      </c>
      <c r="H1802" s="13" t="s">
        <v>2255</v>
      </c>
      <c r="I1802" s="13" t="s">
        <v>2394</v>
      </c>
      <c r="J1802" s="13" t="n">
        <v>7</v>
      </c>
      <c r="K1802" s="13" t="s">
        <v>2274</v>
      </c>
      <c r="L1802" s="13" t="s">
        <v>2257</v>
      </c>
      <c r="M1802" s="13"/>
    </row>
    <row r="1803" customFormat="false" ht="15" hidden="false" customHeight="false" outlineLevel="0" collapsed="false">
      <c r="A1803" s="13" t="s">
        <v>628</v>
      </c>
      <c r="B1803" s="13" t="s">
        <v>627</v>
      </c>
      <c r="C1803" s="13" t="s">
        <v>2254</v>
      </c>
      <c r="D1803" s="13" t="s">
        <v>2270</v>
      </c>
      <c r="E1803" s="13" t="s">
        <v>2475</v>
      </c>
      <c r="F1803" s="13" t="s">
        <v>2410</v>
      </c>
      <c r="G1803" s="61" t="n">
        <v>0</v>
      </c>
      <c r="H1803" s="13" t="s">
        <v>2255</v>
      </c>
      <c r="I1803" s="13" t="s">
        <v>2394</v>
      </c>
      <c r="J1803" s="13" t="n">
        <v>7</v>
      </c>
      <c r="K1803" s="13" t="s">
        <v>2274</v>
      </c>
      <c r="L1803" s="13" t="s">
        <v>2257</v>
      </c>
      <c r="M1803" s="13"/>
    </row>
    <row r="1804" customFormat="false" ht="15" hidden="false" customHeight="false" outlineLevel="0" collapsed="false">
      <c r="A1804" s="13" t="s">
        <v>628</v>
      </c>
      <c r="B1804" s="13" t="s">
        <v>627</v>
      </c>
      <c r="C1804" s="13" t="s">
        <v>2254</v>
      </c>
      <c r="D1804" s="13" t="s">
        <v>2270</v>
      </c>
      <c r="E1804" s="13" t="s">
        <v>2475</v>
      </c>
      <c r="F1804" s="13" t="s">
        <v>2411</v>
      </c>
      <c r="G1804" s="61" t="n">
        <v>121778175</v>
      </c>
      <c r="H1804" s="13" t="s">
        <v>2255</v>
      </c>
      <c r="I1804" s="13" t="s">
        <v>2394</v>
      </c>
      <c r="J1804" s="13" t="n">
        <v>7</v>
      </c>
      <c r="K1804" s="13" t="s">
        <v>2274</v>
      </c>
      <c r="L1804" s="13" t="s">
        <v>2257</v>
      </c>
      <c r="M1804" s="13"/>
    </row>
    <row r="1805" customFormat="false" ht="15" hidden="false" customHeight="false" outlineLevel="0" collapsed="false">
      <c r="A1805" s="13" t="s">
        <v>628</v>
      </c>
      <c r="B1805" s="13" t="s">
        <v>627</v>
      </c>
      <c r="C1805" s="13" t="s">
        <v>2254</v>
      </c>
      <c r="D1805" s="13" t="s">
        <v>2270</v>
      </c>
      <c r="E1805" s="13" t="s">
        <v>2475</v>
      </c>
      <c r="F1805" s="13" t="s">
        <v>2412</v>
      </c>
      <c r="G1805" s="61" t="n">
        <v>0</v>
      </c>
      <c r="H1805" s="13" t="s">
        <v>2255</v>
      </c>
      <c r="I1805" s="13" t="s">
        <v>2394</v>
      </c>
      <c r="J1805" s="13" t="n">
        <v>7</v>
      </c>
      <c r="K1805" s="13" t="s">
        <v>2274</v>
      </c>
      <c r="L1805" s="13" t="s">
        <v>2257</v>
      </c>
      <c r="M1805" s="13"/>
    </row>
    <row r="1806" customFormat="false" ht="15" hidden="false" customHeight="false" outlineLevel="0" collapsed="false">
      <c r="A1806" s="13" t="s">
        <v>628</v>
      </c>
      <c r="B1806" s="13" t="s">
        <v>627</v>
      </c>
      <c r="C1806" s="13" t="s">
        <v>2254</v>
      </c>
      <c r="D1806" s="13" t="s">
        <v>2270</v>
      </c>
      <c r="E1806" s="13" t="s">
        <v>2475</v>
      </c>
      <c r="F1806" s="13" t="s">
        <v>2463</v>
      </c>
      <c r="G1806" s="61" t="n">
        <v>-7079827</v>
      </c>
      <c r="H1806" s="13" t="s">
        <v>2255</v>
      </c>
      <c r="I1806" s="13" t="s">
        <v>2394</v>
      </c>
      <c r="J1806" s="13" t="n">
        <v>7</v>
      </c>
      <c r="K1806" s="13" t="s">
        <v>2274</v>
      </c>
      <c r="L1806" s="13" t="s">
        <v>2257</v>
      </c>
      <c r="M1806" s="13"/>
    </row>
    <row r="1807" customFormat="false" ht="15" hidden="false" customHeight="false" outlineLevel="0" collapsed="false">
      <c r="A1807" s="13" t="s">
        <v>628</v>
      </c>
      <c r="B1807" s="13" t="s">
        <v>627</v>
      </c>
      <c r="C1807" s="13" t="s">
        <v>2254</v>
      </c>
      <c r="D1807" s="13" t="s">
        <v>2270</v>
      </c>
      <c r="E1807" s="13" t="s">
        <v>2475</v>
      </c>
      <c r="F1807" s="13" t="s">
        <v>2414</v>
      </c>
      <c r="G1807" s="61" t="n">
        <v>114698348</v>
      </c>
      <c r="H1807" s="13" t="s">
        <v>2255</v>
      </c>
      <c r="I1807" s="13" t="s">
        <v>2394</v>
      </c>
      <c r="J1807" s="13" t="n">
        <v>7</v>
      </c>
      <c r="K1807" s="13" t="s">
        <v>2274</v>
      </c>
      <c r="L1807" s="13" t="s">
        <v>2257</v>
      </c>
      <c r="M1807" s="13"/>
    </row>
    <row r="1808" customFormat="false" ht="15" hidden="false" customHeight="false" outlineLevel="0" collapsed="false">
      <c r="A1808" s="13" t="s">
        <v>628</v>
      </c>
      <c r="B1808" s="13" t="s">
        <v>627</v>
      </c>
      <c r="C1808" s="13" t="s">
        <v>2254</v>
      </c>
      <c r="D1808" s="13" t="s">
        <v>2270</v>
      </c>
      <c r="E1808" s="13" t="s">
        <v>2476</v>
      </c>
      <c r="F1808" s="13" t="s">
        <v>2434</v>
      </c>
      <c r="G1808" s="61" t="n">
        <v>0</v>
      </c>
      <c r="H1808" s="13" t="s">
        <v>2255</v>
      </c>
      <c r="I1808" s="13" t="s">
        <v>2477</v>
      </c>
      <c r="J1808" s="13" t="n">
        <v>4</v>
      </c>
      <c r="K1808" s="13" t="s">
        <v>2478</v>
      </c>
      <c r="L1808" s="13" t="s">
        <v>2257</v>
      </c>
      <c r="M1808" s="13" t="s">
        <v>2479</v>
      </c>
    </row>
    <row r="1809" customFormat="false" ht="15" hidden="false" customHeight="false" outlineLevel="0" collapsed="false">
      <c r="A1809" s="13" t="s">
        <v>628</v>
      </c>
      <c r="B1809" s="13" t="s">
        <v>627</v>
      </c>
      <c r="C1809" s="13" t="s">
        <v>2254</v>
      </c>
      <c r="D1809" s="13" t="s">
        <v>2270</v>
      </c>
      <c r="E1809" s="13" t="s">
        <v>2480</v>
      </c>
      <c r="F1809" s="13" t="s">
        <v>2434</v>
      </c>
      <c r="G1809" s="61" t="n">
        <v>12144495437</v>
      </c>
      <c r="H1809" s="13" t="s">
        <v>2255</v>
      </c>
      <c r="I1809" s="13" t="s">
        <v>2477</v>
      </c>
      <c r="J1809" s="13" t="n">
        <v>4</v>
      </c>
      <c r="K1809" s="13" t="s">
        <v>2478</v>
      </c>
      <c r="L1809" s="13" t="s">
        <v>2257</v>
      </c>
      <c r="M1809" s="13" t="s">
        <v>2479</v>
      </c>
    </row>
    <row r="1810" customFormat="false" ht="15" hidden="false" customHeight="false" outlineLevel="0" collapsed="false">
      <c r="A1810" s="13" t="s">
        <v>628</v>
      </c>
      <c r="B1810" s="13" t="s">
        <v>627</v>
      </c>
      <c r="C1810" s="13" t="s">
        <v>2254</v>
      </c>
      <c r="D1810" s="13" t="s">
        <v>2270</v>
      </c>
      <c r="E1810" s="13" t="s">
        <v>2481</v>
      </c>
      <c r="F1810" s="13" t="s">
        <v>2434</v>
      </c>
      <c r="G1810" s="61" t="n">
        <v>0</v>
      </c>
      <c r="H1810" s="13" t="s">
        <v>2255</v>
      </c>
      <c r="I1810" s="13" t="s">
        <v>2477</v>
      </c>
      <c r="J1810" s="13" t="n">
        <v>4</v>
      </c>
      <c r="K1810" s="13" t="s">
        <v>2478</v>
      </c>
      <c r="L1810" s="13" t="s">
        <v>2257</v>
      </c>
      <c r="M1810" s="13" t="s">
        <v>2479</v>
      </c>
    </row>
    <row r="1811" customFormat="false" ht="15" hidden="false" customHeight="false" outlineLevel="0" collapsed="false">
      <c r="A1811" s="13" t="s">
        <v>628</v>
      </c>
      <c r="B1811" s="13" t="s">
        <v>627</v>
      </c>
      <c r="C1811" s="13" t="s">
        <v>2254</v>
      </c>
      <c r="D1811" s="13" t="s">
        <v>2270</v>
      </c>
      <c r="E1811" s="13" t="s">
        <v>2482</v>
      </c>
      <c r="F1811" s="13" t="s">
        <v>2434</v>
      </c>
      <c r="G1811" s="61" t="n">
        <v>0</v>
      </c>
      <c r="H1811" s="13" t="s">
        <v>2255</v>
      </c>
      <c r="I1811" s="13" t="s">
        <v>2477</v>
      </c>
      <c r="J1811" s="13" t="n">
        <v>4</v>
      </c>
      <c r="K1811" s="13" t="s">
        <v>2478</v>
      </c>
      <c r="L1811" s="13" t="s">
        <v>2257</v>
      </c>
      <c r="M1811" s="13" t="s">
        <v>2479</v>
      </c>
    </row>
    <row r="1812" customFormat="false" ht="15" hidden="false" customHeight="false" outlineLevel="0" collapsed="false">
      <c r="A1812" s="13" t="s">
        <v>628</v>
      </c>
      <c r="B1812" s="13" t="s">
        <v>627</v>
      </c>
      <c r="C1812" s="13" t="s">
        <v>2254</v>
      </c>
      <c r="D1812" s="13" t="s">
        <v>2270</v>
      </c>
      <c r="E1812" s="13" t="s">
        <v>2483</v>
      </c>
      <c r="F1812" s="13" t="s">
        <v>2434</v>
      </c>
      <c r="G1812" s="61" t="n">
        <v>0</v>
      </c>
      <c r="H1812" s="13" t="s">
        <v>2255</v>
      </c>
      <c r="I1812" s="13" t="s">
        <v>2477</v>
      </c>
      <c r="J1812" s="13" t="n">
        <v>4</v>
      </c>
      <c r="K1812" s="13" t="s">
        <v>2478</v>
      </c>
      <c r="L1812" s="13" t="s">
        <v>2257</v>
      </c>
      <c r="M1812" s="13" t="s">
        <v>2479</v>
      </c>
    </row>
    <row r="1813" customFormat="false" ht="15" hidden="false" customHeight="false" outlineLevel="0" collapsed="false">
      <c r="A1813" s="13" t="s">
        <v>628</v>
      </c>
      <c r="B1813" s="13" t="s">
        <v>627</v>
      </c>
      <c r="C1813" s="13" t="s">
        <v>2254</v>
      </c>
      <c r="D1813" s="13" t="s">
        <v>2270</v>
      </c>
      <c r="E1813" s="13" t="s">
        <v>2484</v>
      </c>
      <c r="F1813" s="13" t="s">
        <v>2434</v>
      </c>
      <c r="G1813" s="61" t="n">
        <v>0</v>
      </c>
      <c r="H1813" s="13" t="s">
        <v>2255</v>
      </c>
      <c r="I1813" s="13" t="s">
        <v>2477</v>
      </c>
      <c r="J1813" s="13" t="n">
        <v>4</v>
      </c>
      <c r="K1813" s="13" t="s">
        <v>2478</v>
      </c>
      <c r="L1813" s="13" t="s">
        <v>2257</v>
      </c>
      <c r="M1813" s="13" t="s">
        <v>2479</v>
      </c>
    </row>
    <row r="1814" customFormat="false" ht="15" hidden="false" customHeight="false" outlineLevel="0" collapsed="false">
      <c r="A1814" s="13" t="s">
        <v>628</v>
      </c>
      <c r="B1814" s="13" t="s">
        <v>627</v>
      </c>
      <c r="C1814" s="13" t="s">
        <v>2254</v>
      </c>
      <c r="D1814" s="13" t="s">
        <v>2270</v>
      </c>
      <c r="E1814" s="13" t="s">
        <v>2485</v>
      </c>
      <c r="F1814" s="13" t="s">
        <v>2434</v>
      </c>
      <c r="G1814" s="61" t="n">
        <v>12144495437</v>
      </c>
      <c r="H1814" s="13" t="s">
        <v>2255</v>
      </c>
      <c r="I1814" s="13" t="s">
        <v>2477</v>
      </c>
      <c r="J1814" s="13" t="n">
        <v>4</v>
      </c>
      <c r="K1814" s="13" t="s">
        <v>2478</v>
      </c>
      <c r="L1814" s="13" t="s">
        <v>2257</v>
      </c>
      <c r="M1814" s="13" t="s">
        <v>2479</v>
      </c>
    </row>
    <row r="1815" customFormat="false" ht="15" hidden="false" customHeight="false" outlineLevel="0" collapsed="false">
      <c r="A1815" s="13" t="s">
        <v>628</v>
      </c>
      <c r="B1815" s="13" t="s">
        <v>627</v>
      </c>
      <c r="C1815" s="13" t="s">
        <v>2254</v>
      </c>
      <c r="D1815" s="13" t="s">
        <v>2270</v>
      </c>
      <c r="E1815" s="13" t="s">
        <v>2486</v>
      </c>
      <c r="F1815" s="13" t="s">
        <v>2434</v>
      </c>
      <c r="G1815" s="61" t="n">
        <v>0</v>
      </c>
      <c r="H1815" s="13" t="s">
        <v>2255</v>
      </c>
      <c r="I1815" s="13" t="s">
        <v>2477</v>
      </c>
      <c r="J1815" s="13" t="n">
        <v>4</v>
      </c>
      <c r="K1815" s="13" t="s">
        <v>2478</v>
      </c>
      <c r="L1815" s="13" t="s">
        <v>2257</v>
      </c>
      <c r="M1815" s="13" t="s">
        <v>2479</v>
      </c>
    </row>
    <row r="1816" customFormat="false" ht="15" hidden="false" customHeight="false" outlineLevel="0" collapsed="false">
      <c r="A1816" s="13" t="s">
        <v>628</v>
      </c>
      <c r="B1816" s="13" t="s">
        <v>627</v>
      </c>
      <c r="C1816" s="13" t="s">
        <v>2254</v>
      </c>
      <c r="D1816" s="13" t="s">
        <v>2270</v>
      </c>
      <c r="E1816" s="13" t="s">
        <v>2487</v>
      </c>
      <c r="F1816" s="13" t="s">
        <v>2434</v>
      </c>
      <c r="G1816" s="61" t="n">
        <v>36393603163</v>
      </c>
      <c r="H1816" s="13" t="s">
        <v>2255</v>
      </c>
      <c r="I1816" s="13" t="s">
        <v>2477</v>
      </c>
      <c r="J1816" s="13" t="n">
        <v>4</v>
      </c>
      <c r="K1816" s="13" t="s">
        <v>2478</v>
      </c>
      <c r="L1816" s="13" t="s">
        <v>2257</v>
      </c>
      <c r="M1816" s="13" t="s">
        <v>2479</v>
      </c>
    </row>
    <row r="1817" customFormat="false" ht="15" hidden="false" customHeight="false" outlineLevel="0" collapsed="false">
      <c r="A1817" s="13" t="s">
        <v>628</v>
      </c>
      <c r="B1817" s="13" t="s">
        <v>627</v>
      </c>
      <c r="C1817" s="13" t="s">
        <v>2254</v>
      </c>
      <c r="D1817" s="13" t="s">
        <v>2270</v>
      </c>
      <c r="E1817" s="13" t="s">
        <v>2488</v>
      </c>
      <c r="F1817" s="13" t="s">
        <v>2434</v>
      </c>
      <c r="G1817" s="61" t="n">
        <v>0</v>
      </c>
      <c r="H1817" s="13" t="s">
        <v>2255</v>
      </c>
      <c r="I1817" s="13" t="s">
        <v>2477</v>
      </c>
      <c r="J1817" s="13" t="n">
        <v>4</v>
      </c>
      <c r="K1817" s="13" t="s">
        <v>2478</v>
      </c>
      <c r="L1817" s="13" t="s">
        <v>2257</v>
      </c>
      <c r="M1817" s="13" t="s">
        <v>2479</v>
      </c>
    </row>
    <row r="1818" customFormat="false" ht="15" hidden="false" customHeight="false" outlineLevel="0" collapsed="false">
      <c r="A1818" s="13" t="s">
        <v>628</v>
      </c>
      <c r="B1818" s="13" t="s">
        <v>627</v>
      </c>
      <c r="C1818" s="13" t="s">
        <v>2254</v>
      </c>
      <c r="D1818" s="13" t="s">
        <v>2270</v>
      </c>
      <c r="E1818" s="13" t="s">
        <v>2489</v>
      </c>
      <c r="F1818" s="13" t="s">
        <v>2434</v>
      </c>
      <c r="G1818" s="61" t="n">
        <v>0</v>
      </c>
      <c r="H1818" s="13" t="s">
        <v>2255</v>
      </c>
      <c r="I1818" s="13" t="s">
        <v>2477</v>
      </c>
      <c r="J1818" s="13" t="n">
        <v>4</v>
      </c>
      <c r="K1818" s="13" t="s">
        <v>2478</v>
      </c>
      <c r="L1818" s="13" t="s">
        <v>2257</v>
      </c>
      <c r="M1818" s="13" t="s">
        <v>2479</v>
      </c>
    </row>
    <row r="1819" customFormat="false" ht="15" hidden="false" customHeight="false" outlineLevel="0" collapsed="false">
      <c r="A1819" s="13" t="s">
        <v>628</v>
      </c>
      <c r="B1819" s="13" t="s">
        <v>627</v>
      </c>
      <c r="C1819" s="13" t="s">
        <v>2254</v>
      </c>
      <c r="D1819" s="13" t="s">
        <v>2270</v>
      </c>
      <c r="E1819" s="13" t="s">
        <v>2490</v>
      </c>
      <c r="F1819" s="13" t="s">
        <v>2434</v>
      </c>
      <c r="G1819" s="61" t="n">
        <v>0</v>
      </c>
      <c r="H1819" s="13" t="s">
        <v>2255</v>
      </c>
      <c r="I1819" s="13" t="s">
        <v>2477</v>
      </c>
      <c r="J1819" s="13" t="n">
        <v>4</v>
      </c>
      <c r="K1819" s="13" t="s">
        <v>2478</v>
      </c>
      <c r="L1819" s="13" t="s">
        <v>2257</v>
      </c>
      <c r="M1819" s="13" t="s">
        <v>2479</v>
      </c>
    </row>
    <row r="1820" customFormat="false" ht="15" hidden="false" customHeight="false" outlineLevel="0" collapsed="false">
      <c r="A1820" s="13" t="s">
        <v>628</v>
      </c>
      <c r="B1820" s="13" t="s">
        <v>627</v>
      </c>
      <c r="C1820" s="13" t="s">
        <v>2254</v>
      </c>
      <c r="D1820" s="13" t="s">
        <v>2270</v>
      </c>
      <c r="E1820" s="13" t="s">
        <v>2491</v>
      </c>
      <c r="F1820" s="13" t="s">
        <v>2434</v>
      </c>
      <c r="G1820" s="61" t="n">
        <v>0</v>
      </c>
      <c r="H1820" s="13" t="s">
        <v>2255</v>
      </c>
      <c r="I1820" s="13" t="s">
        <v>2477</v>
      </c>
      <c r="J1820" s="13" t="n">
        <v>4</v>
      </c>
      <c r="K1820" s="13" t="s">
        <v>2478</v>
      </c>
      <c r="L1820" s="13" t="s">
        <v>2257</v>
      </c>
      <c r="M1820" s="13" t="s">
        <v>2479</v>
      </c>
    </row>
    <row r="1821" customFormat="false" ht="15" hidden="false" customHeight="false" outlineLevel="0" collapsed="false">
      <c r="A1821" s="13" t="s">
        <v>628</v>
      </c>
      <c r="B1821" s="13" t="s">
        <v>627</v>
      </c>
      <c r="C1821" s="13" t="s">
        <v>2254</v>
      </c>
      <c r="D1821" s="13" t="s">
        <v>2270</v>
      </c>
      <c r="E1821" s="13" t="s">
        <v>2492</v>
      </c>
      <c r="F1821" s="13" t="s">
        <v>2434</v>
      </c>
      <c r="G1821" s="61" t="n">
        <v>36393603163</v>
      </c>
      <c r="H1821" s="13" t="s">
        <v>2255</v>
      </c>
      <c r="I1821" s="13" t="s">
        <v>2477</v>
      </c>
      <c r="J1821" s="13" t="n">
        <v>4</v>
      </c>
      <c r="K1821" s="13" t="s">
        <v>2478</v>
      </c>
      <c r="L1821" s="13" t="s">
        <v>2257</v>
      </c>
      <c r="M1821" s="13" t="s">
        <v>2479</v>
      </c>
    </row>
    <row r="1822" customFormat="false" ht="15" hidden="false" customHeight="false" outlineLevel="0" collapsed="false">
      <c r="A1822" s="13" t="s">
        <v>628</v>
      </c>
      <c r="B1822" s="13" t="s">
        <v>627</v>
      </c>
      <c r="C1822" s="13" t="s">
        <v>2254</v>
      </c>
      <c r="D1822" s="13" t="s">
        <v>2270</v>
      </c>
      <c r="E1822" s="13" t="s">
        <v>2493</v>
      </c>
      <c r="F1822" s="13" t="s">
        <v>2448</v>
      </c>
      <c r="G1822" s="61" t="n">
        <v>26142949896</v>
      </c>
      <c r="H1822" s="13" t="s">
        <v>2255</v>
      </c>
      <c r="I1822" s="13" t="s">
        <v>2477</v>
      </c>
      <c r="J1822" s="13" t="n">
        <v>43</v>
      </c>
      <c r="K1822" s="13" t="s">
        <v>2478</v>
      </c>
      <c r="L1822" s="13" t="s">
        <v>2257</v>
      </c>
      <c r="M1822" s="13" t="s">
        <v>2479</v>
      </c>
    </row>
    <row r="1823" customFormat="false" ht="15" hidden="false" customHeight="false" outlineLevel="0" collapsed="false">
      <c r="A1823" s="13" t="s">
        <v>628</v>
      </c>
      <c r="B1823" s="13" t="s">
        <v>627</v>
      </c>
      <c r="C1823" s="13" t="s">
        <v>2254</v>
      </c>
      <c r="D1823" s="13" t="s">
        <v>2270</v>
      </c>
      <c r="E1823" s="13" t="s">
        <v>2494</v>
      </c>
      <c r="F1823" s="13" t="s">
        <v>2448</v>
      </c>
      <c r="G1823" s="61" t="n">
        <v>15090360671</v>
      </c>
      <c r="H1823" s="13" t="s">
        <v>2255</v>
      </c>
      <c r="I1823" s="13" t="s">
        <v>2477</v>
      </c>
      <c r="J1823" s="13" t="n">
        <v>43</v>
      </c>
      <c r="K1823" s="13" t="s">
        <v>2478</v>
      </c>
      <c r="L1823" s="13" t="s">
        <v>2257</v>
      </c>
      <c r="M1823" s="13" t="s">
        <v>2479</v>
      </c>
    </row>
    <row r="1824" customFormat="false" ht="15" hidden="false" customHeight="false" outlineLevel="0" collapsed="false">
      <c r="A1824" s="13" t="s">
        <v>628</v>
      </c>
      <c r="B1824" s="13" t="s">
        <v>627</v>
      </c>
      <c r="C1824" s="13" t="s">
        <v>2254</v>
      </c>
      <c r="D1824" s="13" t="s">
        <v>2270</v>
      </c>
      <c r="E1824" s="13" t="s">
        <v>2495</v>
      </c>
      <c r="F1824" s="13" t="s">
        <v>2448</v>
      </c>
      <c r="G1824" s="61" t="n">
        <v>-2292384165</v>
      </c>
      <c r="H1824" s="13" t="s">
        <v>2255</v>
      </c>
      <c r="I1824" s="13" t="s">
        <v>2477</v>
      </c>
      <c r="J1824" s="13" t="n">
        <v>43</v>
      </c>
      <c r="K1824" s="13" t="s">
        <v>2478</v>
      </c>
      <c r="L1824" s="13" t="s">
        <v>2257</v>
      </c>
      <c r="M1824" s="13" t="s">
        <v>2479</v>
      </c>
    </row>
    <row r="1825" customFormat="false" ht="15" hidden="false" customHeight="false" outlineLevel="0" collapsed="false">
      <c r="A1825" s="13" t="s">
        <v>628</v>
      </c>
      <c r="B1825" s="13" t="s">
        <v>627</v>
      </c>
      <c r="C1825" s="13" t="s">
        <v>2254</v>
      </c>
      <c r="D1825" s="13" t="s">
        <v>2270</v>
      </c>
      <c r="E1825" s="13" t="s">
        <v>2496</v>
      </c>
      <c r="F1825" s="13" t="s">
        <v>2448</v>
      </c>
      <c r="G1825" s="61" t="n">
        <v>-27804619486</v>
      </c>
      <c r="H1825" s="13" t="s">
        <v>2255</v>
      </c>
      <c r="I1825" s="13" t="s">
        <v>2477</v>
      </c>
      <c r="J1825" s="13" t="n">
        <v>43</v>
      </c>
      <c r="K1825" s="13" t="s">
        <v>2478</v>
      </c>
      <c r="L1825" s="13" t="s">
        <v>2257</v>
      </c>
      <c r="M1825" s="13" t="s">
        <v>2479</v>
      </c>
    </row>
    <row r="1826" customFormat="false" ht="15" hidden="false" customHeight="false" outlineLevel="0" collapsed="false">
      <c r="A1826" s="13" t="s">
        <v>628</v>
      </c>
      <c r="B1826" s="13" t="s">
        <v>627</v>
      </c>
      <c r="C1826" s="13" t="s">
        <v>2254</v>
      </c>
      <c r="D1826" s="13" t="s">
        <v>2270</v>
      </c>
      <c r="E1826" s="13" t="s">
        <v>2497</v>
      </c>
      <c r="F1826" s="13" t="s">
        <v>2448</v>
      </c>
      <c r="G1826" s="61" t="n">
        <v>0</v>
      </c>
      <c r="H1826" s="13" t="s">
        <v>2255</v>
      </c>
      <c r="I1826" s="13" t="s">
        <v>2477</v>
      </c>
      <c r="J1826" s="13" t="n">
        <v>43</v>
      </c>
      <c r="K1826" s="13" t="s">
        <v>2478</v>
      </c>
      <c r="L1826" s="13" t="s">
        <v>2257</v>
      </c>
      <c r="M1826" s="13" t="s">
        <v>2479</v>
      </c>
    </row>
    <row r="1827" customFormat="false" ht="15" hidden="false" customHeight="false" outlineLevel="0" collapsed="false">
      <c r="A1827" s="13" t="s">
        <v>628</v>
      </c>
      <c r="B1827" s="13" t="s">
        <v>627</v>
      </c>
      <c r="C1827" s="13" t="s">
        <v>2254</v>
      </c>
      <c r="D1827" s="13" t="s">
        <v>2270</v>
      </c>
      <c r="E1827" s="13" t="s">
        <v>2498</v>
      </c>
      <c r="F1827" s="13" t="s">
        <v>2448</v>
      </c>
      <c r="G1827" s="61" t="n">
        <v>0</v>
      </c>
      <c r="H1827" s="13" t="s">
        <v>2255</v>
      </c>
      <c r="I1827" s="13" t="s">
        <v>2477</v>
      </c>
      <c r="J1827" s="13" t="n">
        <v>43</v>
      </c>
      <c r="K1827" s="13" t="s">
        <v>2478</v>
      </c>
      <c r="L1827" s="13" t="s">
        <v>2257</v>
      </c>
      <c r="M1827" s="13" t="s">
        <v>2479</v>
      </c>
    </row>
    <row r="1828" customFormat="false" ht="15" hidden="false" customHeight="false" outlineLevel="0" collapsed="false">
      <c r="A1828" s="13" t="s">
        <v>628</v>
      </c>
      <c r="B1828" s="13" t="s">
        <v>627</v>
      </c>
      <c r="C1828" s="13" t="s">
        <v>2254</v>
      </c>
      <c r="D1828" s="13" t="s">
        <v>2270</v>
      </c>
      <c r="E1828" s="13" t="s">
        <v>2499</v>
      </c>
      <c r="F1828" s="13" t="s">
        <v>2448</v>
      </c>
      <c r="G1828" s="61" t="n">
        <v>11136306916</v>
      </c>
      <c r="H1828" s="13" t="s">
        <v>2255</v>
      </c>
      <c r="I1828" s="13" t="s">
        <v>2477</v>
      </c>
      <c r="J1828" s="13" t="n">
        <v>43</v>
      </c>
      <c r="K1828" s="13" t="s">
        <v>2478</v>
      </c>
      <c r="L1828" s="13" t="s">
        <v>2257</v>
      </c>
      <c r="M1828" s="13" t="s">
        <v>2479</v>
      </c>
    </row>
    <row r="1829" customFormat="false" ht="15" hidden="false" customHeight="false" outlineLevel="0" collapsed="false">
      <c r="A1829" s="13" t="s">
        <v>628</v>
      </c>
      <c r="B1829" s="13" t="s">
        <v>627</v>
      </c>
      <c r="C1829" s="13" t="s">
        <v>2254</v>
      </c>
      <c r="D1829" s="13" t="s">
        <v>2270</v>
      </c>
      <c r="E1829" s="13" t="s">
        <v>2493</v>
      </c>
      <c r="F1829" s="13" t="s">
        <v>2500</v>
      </c>
      <c r="G1829" s="61" t="n">
        <v>156791844792</v>
      </c>
      <c r="H1829" s="13" t="s">
        <v>2255</v>
      </c>
      <c r="I1829" s="13" t="s">
        <v>2477</v>
      </c>
      <c r="J1829" s="13" t="n">
        <v>43</v>
      </c>
      <c r="K1829" s="13" t="s">
        <v>2478</v>
      </c>
      <c r="L1829" s="13" t="s">
        <v>2257</v>
      </c>
      <c r="M1829" s="13" t="s">
        <v>2479</v>
      </c>
    </row>
    <row r="1830" customFormat="false" ht="15" hidden="false" customHeight="false" outlineLevel="0" collapsed="false">
      <c r="A1830" s="13" t="s">
        <v>628</v>
      </c>
      <c r="B1830" s="13" t="s">
        <v>627</v>
      </c>
      <c r="C1830" s="13" t="s">
        <v>2254</v>
      </c>
      <c r="D1830" s="13" t="s">
        <v>2270</v>
      </c>
      <c r="E1830" s="13" t="s">
        <v>2494</v>
      </c>
      <c r="F1830" s="13" t="s">
        <v>2500</v>
      </c>
      <c r="G1830" s="61" t="n">
        <v>17585221496</v>
      </c>
      <c r="H1830" s="13" t="s">
        <v>2255</v>
      </c>
      <c r="I1830" s="13" t="s">
        <v>2477</v>
      </c>
      <c r="J1830" s="13" t="n">
        <v>43</v>
      </c>
      <c r="K1830" s="13" t="s">
        <v>2478</v>
      </c>
      <c r="L1830" s="13" t="s">
        <v>2257</v>
      </c>
      <c r="M1830" s="13" t="s">
        <v>2479</v>
      </c>
    </row>
    <row r="1831" customFormat="false" ht="15" hidden="false" customHeight="false" outlineLevel="0" collapsed="false">
      <c r="A1831" s="13" t="s">
        <v>628</v>
      </c>
      <c r="B1831" s="13" t="s">
        <v>627</v>
      </c>
      <c r="C1831" s="13" t="s">
        <v>2254</v>
      </c>
      <c r="D1831" s="13" t="s">
        <v>2270</v>
      </c>
      <c r="E1831" s="13" t="s">
        <v>2495</v>
      </c>
      <c r="F1831" s="13" t="s">
        <v>2500</v>
      </c>
      <c r="G1831" s="61" t="n">
        <v>-4660250726</v>
      </c>
      <c r="H1831" s="13" t="s">
        <v>2255</v>
      </c>
      <c r="I1831" s="13" t="s">
        <v>2477</v>
      </c>
      <c r="J1831" s="13" t="n">
        <v>43</v>
      </c>
      <c r="K1831" s="13" t="s">
        <v>2478</v>
      </c>
      <c r="L1831" s="13" t="s">
        <v>2257</v>
      </c>
      <c r="M1831" s="13" t="s">
        <v>2479</v>
      </c>
    </row>
    <row r="1832" customFormat="false" ht="15" hidden="false" customHeight="false" outlineLevel="0" collapsed="false">
      <c r="A1832" s="13" t="s">
        <v>628</v>
      </c>
      <c r="B1832" s="13" t="s">
        <v>627</v>
      </c>
      <c r="C1832" s="13" t="s">
        <v>2254</v>
      </c>
      <c r="D1832" s="13" t="s">
        <v>2270</v>
      </c>
      <c r="E1832" s="13" t="s">
        <v>2496</v>
      </c>
      <c r="F1832" s="13" t="s">
        <v>2500</v>
      </c>
      <c r="G1832" s="61" t="n">
        <v>7828683737</v>
      </c>
      <c r="H1832" s="13" t="s">
        <v>2255</v>
      </c>
      <c r="I1832" s="13" t="s">
        <v>2477</v>
      </c>
      <c r="J1832" s="13" t="n">
        <v>43</v>
      </c>
      <c r="K1832" s="13" t="s">
        <v>2478</v>
      </c>
      <c r="L1832" s="13" t="s">
        <v>2257</v>
      </c>
      <c r="M1832" s="13" t="s">
        <v>2479</v>
      </c>
    </row>
    <row r="1833" customFormat="false" ht="15" hidden="false" customHeight="false" outlineLevel="0" collapsed="false">
      <c r="A1833" s="13" t="s">
        <v>628</v>
      </c>
      <c r="B1833" s="13" t="s">
        <v>627</v>
      </c>
      <c r="C1833" s="13" t="s">
        <v>2254</v>
      </c>
      <c r="D1833" s="13" t="s">
        <v>2270</v>
      </c>
      <c r="E1833" s="13" t="s">
        <v>2497</v>
      </c>
      <c r="F1833" s="13" t="s">
        <v>2500</v>
      </c>
      <c r="G1833" s="61" t="n">
        <v>0</v>
      </c>
      <c r="H1833" s="13" t="s">
        <v>2255</v>
      </c>
      <c r="I1833" s="13" t="s">
        <v>2477</v>
      </c>
      <c r="J1833" s="13" t="n">
        <v>43</v>
      </c>
      <c r="K1833" s="13" t="s">
        <v>2478</v>
      </c>
      <c r="L1833" s="13" t="s">
        <v>2257</v>
      </c>
      <c r="M1833" s="13" t="s">
        <v>2479</v>
      </c>
    </row>
    <row r="1834" customFormat="false" ht="15" hidden="false" customHeight="false" outlineLevel="0" collapsed="false">
      <c r="A1834" s="13" t="s">
        <v>628</v>
      </c>
      <c r="B1834" s="13" t="s">
        <v>627</v>
      </c>
      <c r="C1834" s="13" t="s">
        <v>2254</v>
      </c>
      <c r="D1834" s="13" t="s">
        <v>2270</v>
      </c>
      <c r="E1834" s="13" t="s">
        <v>2498</v>
      </c>
      <c r="F1834" s="13" t="s">
        <v>2500</v>
      </c>
      <c r="G1834" s="61" t="n">
        <v>0</v>
      </c>
      <c r="H1834" s="13" t="s">
        <v>2255</v>
      </c>
      <c r="I1834" s="13" t="s">
        <v>2477</v>
      </c>
      <c r="J1834" s="13" t="n">
        <v>43</v>
      </c>
      <c r="K1834" s="13" t="s">
        <v>2478</v>
      </c>
      <c r="L1834" s="13" t="s">
        <v>2257</v>
      </c>
      <c r="M1834" s="13" t="s">
        <v>2479</v>
      </c>
    </row>
    <row r="1835" customFormat="false" ht="15" hidden="false" customHeight="false" outlineLevel="0" collapsed="false">
      <c r="A1835" s="13" t="s">
        <v>628</v>
      </c>
      <c r="B1835" s="13" t="s">
        <v>627</v>
      </c>
      <c r="C1835" s="13" t="s">
        <v>2254</v>
      </c>
      <c r="D1835" s="13" t="s">
        <v>2270</v>
      </c>
      <c r="E1835" s="13" t="s">
        <v>2499</v>
      </c>
      <c r="F1835" s="13" t="s">
        <v>2500</v>
      </c>
      <c r="G1835" s="61" t="n">
        <v>177545499299</v>
      </c>
      <c r="H1835" s="13" t="s">
        <v>2255</v>
      </c>
      <c r="I1835" s="13" t="s">
        <v>2477</v>
      </c>
      <c r="J1835" s="13" t="n">
        <v>43</v>
      </c>
      <c r="K1835" s="13" t="s">
        <v>2478</v>
      </c>
      <c r="L1835" s="13" t="s">
        <v>2257</v>
      </c>
      <c r="M1835" s="13" t="s">
        <v>2479</v>
      </c>
    </row>
    <row r="1836" customFormat="false" ht="15" hidden="false" customHeight="false" outlineLevel="0" collapsed="false">
      <c r="A1836" s="13" t="s">
        <v>628</v>
      </c>
      <c r="B1836" s="13" t="s">
        <v>627</v>
      </c>
      <c r="C1836" s="13" t="s">
        <v>2254</v>
      </c>
      <c r="D1836" s="13" t="s">
        <v>2270</v>
      </c>
      <c r="E1836" s="13" t="s">
        <v>2493</v>
      </c>
      <c r="F1836" s="13" t="s">
        <v>2501</v>
      </c>
      <c r="G1836" s="61" t="n">
        <v>18438181025</v>
      </c>
      <c r="H1836" s="13" t="s">
        <v>2255</v>
      </c>
      <c r="I1836" s="13" t="s">
        <v>2477</v>
      </c>
      <c r="J1836" s="13" t="n">
        <v>43</v>
      </c>
      <c r="K1836" s="13" t="s">
        <v>2478</v>
      </c>
      <c r="L1836" s="13" t="s">
        <v>2257</v>
      </c>
      <c r="M1836" s="13" t="s">
        <v>2479</v>
      </c>
    </row>
    <row r="1837" customFormat="false" ht="15" hidden="false" customHeight="false" outlineLevel="0" collapsed="false">
      <c r="A1837" s="13" t="s">
        <v>628</v>
      </c>
      <c r="B1837" s="13" t="s">
        <v>627</v>
      </c>
      <c r="C1837" s="13" t="s">
        <v>2254</v>
      </c>
      <c r="D1837" s="13" t="s">
        <v>2270</v>
      </c>
      <c r="E1837" s="13" t="s">
        <v>2494</v>
      </c>
      <c r="F1837" s="13" t="s">
        <v>2501</v>
      </c>
      <c r="G1837" s="61" t="n">
        <v>5318883764</v>
      </c>
      <c r="H1837" s="13" t="s">
        <v>2255</v>
      </c>
      <c r="I1837" s="13" t="s">
        <v>2477</v>
      </c>
      <c r="J1837" s="13" t="n">
        <v>43</v>
      </c>
      <c r="K1837" s="13" t="s">
        <v>2478</v>
      </c>
      <c r="L1837" s="13" t="s">
        <v>2257</v>
      </c>
      <c r="M1837" s="13" t="s">
        <v>2479</v>
      </c>
    </row>
    <row r="1838" customFormat="false" ht="15" hidden="false" customHeight="false" outlineLevel="0" collapsed="false">
      <c r="A1838" s="13" t="s">
        <v>628</v>
      </c>
      <c r="B1838" s="13" t="s">
        <v>627</v>
      </c>
      <c r="C1838" s="13" t="s">
        <v>2254</v>
      </c>
      <c r="D1838" s="13" t="s">
        <v>2270</v>
      </c>
      <c r="E1838" s="13" t="s">
        <v>2495</v>
      </c>
      <c r="F1838" s="13" t="s">
        <v>2501</v>
      </c>
      <c r="G1838" s="61" t="n">
        <v>-637124521</v>
      </c>
      <c r="H1838" s="13" t="s">
        <v>2255</v>
      </c>
      <c r="I1838" s="13" t="s">
        <v>2477</v>
      </c>
      <c r="J1838" s="13" t="n">
        <v>43</v>
      </c>
      <c r="K1838" s="13" t="s">
        <v>2478</v>
      </c>
      <c r="L1838" s="13" t="s">
        <v>2257</v>
      </c>
      <c r="M1838" s="13" t="s">
        <v>2479</v>
      </c>
    </row>
    <row r="1839" customFormat="false" ht="15" hidden="false" customHeight="false" outlineLevel="0" collapsed="false">
      <c r="A1839" s="13" t="s">
        <v>628</v>
      </c>
      <c r="B1839" s="13" t="s">
        <v>627</v>
      </c>
      <c r="C1839" s="13" t="s">
        <v>2254</v>
      </c>
      <c r="D1839" s="13" t="s">
        <v>2270</v>
      </c>
      <c r="E1839" s="13" t="s">
        <v>2496</v>
      </c>
      <c r="F1839" s="13" t="s">
        <v>2501</v>
      </c>
      <c r="G1839" s="61" t="n">
        <v>1247202970</v>
      </c>
      <c r="H1839" s="13" t="s">
        <v>2255</v>
      </c>
      <c r="I1839" s="13" t="s">
        <v>2477</v>
      </c>
      <c r="J1839" s="13" t="n">
        <v>43</v>
      </c>
      <c r="K1839" s="13" t="s">
        <v>2478</v>
      </c>
      <c r="L1839" s="13" t="s">
        <v>2257</v>
      </c>
      <c r="M1839" s="13" t="s">
        <v>2479</v>
      </c>
    </row>
    <row r="1840" customFormat="false" ht="15" hidden="false" customHeight="false" outlineLevel="0" collapsed="false">
      <c r="A1840" s="13" t="s">
        <v>628</v>
      </c>
      <c r="B1840" s="13" t="s">
        <v>627</v>
      </c>
      <c r="C1840" s="13" t="s">
        <v>2254</v>
      </c>
      <c r="D1840" s="13" t="s">
        <v>2270</v>
      </c>
      <c r="E1840" s="13" t="s">
        <v>2497</v>
      </c>
      <c r="F1840" s="13" t="s">
        <v>2501</v>
      </c>
      <c r="G1840" s="61" t="n">
        <v>0</v>
      </c>
      <c r="H1840" s="13" t="s">
        <v>2255</v>
      </c>
      <c r="I1840" s="13" t="s">
        <v>2477</v>
      </c>
      <c r="J1840" s="13" t="n">
        <v>43</v>
      </c>
      <c r="K1840" s="13" t="s">
        <v>2478</v>
      </c>
      <c r="L1840" s="13" t="s">
        <v>2257</v>
      </c>
      <c r="M1840" s="13" t="s">
        <v>2479</v>
      </c>
    </row>
    <row r="1841" customFormat="false" ht="15" hidden="false" customHeight="false" outlineLevel="0" collapsed="false">
      <c r="A1841" s="13" t="s">
        <v>628</v>
      </c>
      <c r="B1841" s="13" t="s">
        <v>627</v>
      </c>
      <c r="C1841" s="13" t="s">
        <v>2254</v>
      </c>
      <c r="D1841" s="13" t="s">
        <v>2270</v>
      </c>
      <c r="E1841" s="13" t="s">
        <v>2498</v>
      </c>
      <c r="F1841" s="13" t="s">
        <v>2501</v>
      </c>
      <c r="G1841" s="61" t="n">
        <v>0</v>
      </c>
      <c r="H1841" s="13" t="s">
        <v>2255</v>
      </c>
      <c r="I1841" s="13" t="s">
        <v>2477</v>
      </c>
      <c r="J1841" s="13" t="n">
        <v>43</v>
      </c>
      <c r="K1841" s="13" t="s">
        <v>2478</v>
      </c>
      <c r="L1841" s="13" t="s">
        <v>2257</v>
      </c>
      <c r="M1841" s="13" t="s">
        <v>2479</v>
      </c>
    </row>
    <row r="1842" customFormat="false" ht="15" hidden="false" customHeight="false" outlineLevel="0" collapsed="false">
      <c r="A1842" s="13" t="s">
        <v>628</v>
      </c>
      <c r="B1842" s="13" t="s">
        <v>627</v>
      </c>
      <c r="C1842" s="13" t="s">
        <v>2254</v>
      </c>
      <c r="D1842" s="13" t="s">
        <v>2270</v>
      </c>
      <c r="E1842" s="13" t="s">
        <v>2499</v>
      </c>
      <c r="F1842" s="13" t="s">
        <v>2501</v>
      </c>
      <c r="G1842" s="61" t="n">
        <v>24367143238</v>
      </c>
      <c r="H1842" s="13" t="s">
        <v>2255</v>
      </c>
      <c r="I1842" s="13" t="s">
        <v>2477</v>
      </c>
      <c r="J1842" s="13" t="n">
        <v>43</v>
      </c>
      <c r="K1842" s="13" t="s">
        <v>2478</v>
      </c>
      <c r="L1842" s="13" t="s">
        <v>2257</v>
      </c>
      <c r="M1842" s="13" t="s">
        <v>2479</v>
      </c>
    </row>
    <row r="1843" customFormat="false" ht="15" hidden="false" customHeight="false" outlineLevel="0" collapsed="false">
      <c r="A1843" s="13" t="s">
        <v>628</v>
      </c>
      <c r="B1843" s="13" t="s">
        <v>627</v>
      </c>
      <c r="C1843" s="13" t="s">
        <v>2254</v>
      </c>
      <c r="D1843" s="13" t="s">
        <v>2270</v>
      </c>
      <c r="E1843" s="13" t="s">
        <v>2493</v>
      </c>
      <c r="F1843" s="13" t="s">
        <v>2502</v>
      </c>
      <c r="G1843" s="61" t="n">
        <v>24467839477</v>
      </c>
      <c r="H1843" s="13" t="s">
        <v>2255</v>
      </c>
      <c r="I1843" s="13" t="s">
        <v>2477</v>
      </c>
      <c r="J1843" s="13" t="n">
        <v>43</v>
      </c>
      <c r="K1843" s="13" t="s">
        <v>2478</v>
      </c>
      <c r="L1843" s="13" t="s">
        <v>2257</v>
      </c>
      <c r="M1843" s="13" t="s">
        <v>2479</v>
      </c>
    </row>
    <row r="1844" customFormat="false" ht="15" hidden="false" customHeight="false" outlineLevel="0" collapsed="false">
      <c r="A1844" s="13" t="s">
        <v>628</v>
      </c>
      <c r="B1844" s="13" t="s">
        <v>627</v>
      </c>
      <c r="C1844" s="13" t="s">
        <v>2254</v>
      </c>
      <c r="D1844" s="13" t="s">
        <v>2270</v>
      </c>
      <c r="E1844" s="13" t="s">
        <v>2494</v>
      </c>
      <c r="F1844" s="13" t="s">
        <v>2502</v>
      </c>
      <c r="G1844" s="61" t="n">
        <v>13942375913</v>
      </c>
      <c r="H1844" s="13" t="s">
        <v>2255</v>
      </c>
      <c r="I1844" s="13" t="s">
        <v>2477</v>
      </c>
      <c r="J1844" s="13" t="n">
        <v>43</v>
      </c>
      <c r="K1844" s="13" t="s">
        <v>2478</v>
      </c>
      <c r="L1844" s="13" t="s">
        <v>2257</v>
      </c>
      <c r="M1844" s="13" t="s">
        <v>2479</v>
      </c>
    </row>
    <row r="1845" customFormat="false" ht="15" hidden="false" customHeight="false" outlineLevel="0" collapsed="false">
      <c r="A1845" s="13" t="s">
        <v>628</v>
      </c>
      <c r="B1845" s="13" t="s">
        <v>627</v>
      </c>
      <c r="C1845" s="13" t="s">
        <v>2254</v>
      </c>
      <c r="D1845" s="13" t="s">
        <v>2270</v>
      </c>
      <c r="E1845" s="13" t="s">
        <v>2495</v>
      </c>
      <c r="F1845" s="13" t="s">
        <v>2502</v>
      </c>
      <c r="G1845" s="61" t="n">
        <v>-754016335</v>
      </c>
      <c r="H1845" s="13" t="s">
        <v>2255</v>
      </c>
      <c r="I1845" s="13" t="s">
        <v>2477</v>
      </c>
      <c r="J1845" s="13" t="n">
        <v>43</v>
      </c>
      <c r="K1845" s="13" t="s">
        <v>2478</v>
      </c>
      <c r="L1845" s="13" t="s">
        <v>2257</v>
      </c>
      <c r="M1845" s="13" t="s">
        <v>2479</v>
      </c>
    </row>
    <row r="1846" customFormat="false" ht="15" hidden="false" customHeight="false" outlineLevel="0" collapsed="false">
      <c r="A1846" s="13" t="s">
        <v>628</v>
      </c>
      <c r="B1846" s="13" t="s">
        <v>627</v>
      </c>
      <c r="C1846" s="13" t="s">
        <v>2254</v>
      </c>
      <c r="D1846" s="13" t="s">
        <v>2270</v>
      </c>
      <c r="E1846" s="13" t="s">
        <v>2496</v>
      </c>
      <c r="F1846" s="13" t="s">
        <v>2502</v>
      </c>
      <c r="G1846" s="61" t="n">
        <v>-8561702945</v>
      </c>
      <c r="H1846" s="13" t="s">
        <v>2255</v>
      </c>
      <c r="I1846" s="13" t="s">
        <v>2477</v>
      </c>
      <c r="J1846" s="13" t="n">
        <v>43</v>
      </c>
      <c r="K1846" s="13" t="s">
        <v>2478</v>
      </c>
      <c r="L1846" s="13" t="s">
        <v>2257</v>
      </c>
      <c r="M1846" s="13" t="s">
        <v>2479</v>
      </c>
    </row>
    <row r="1847" customFormat="false" ht="15" hidden="false" customHeight="false" outlineLevel="0" collapsed="false">
      <c r="A1847" s="13" t="s">
        <v>628</v>
      </c>
      <c r="B1847" s="13" t="s">
        <v>627</v>
      </c>
      <c r="C1847" s="13" t="s">
        <v>2254</v>
      </c>
      <c r="D1847" s="13" t="s">
        <v>2270</v>
      </c>
      <c r="E1847" s="13" t="s">
        <v>2497</v>
      </c>
      <c r="F1847" s="13" t="s">
        <v>2502</v>
      </c>
      <c r="G1847" s="61" t="n">
        <v>0</v>
      </c>
      <c r="H1847" s="13" t="s">
        <v>2255</v>
      </c>
      <c r="I1847" s="13" t="s">
        <v>2477</v>
      </c>
      <c r="J1847" s="13" t="n">
        <v>43</v>
      </c>
      <c r="K1847" s="13" t="s">
        <v>2478</v>
      </c>
      <c r="L1847" s="13" t="s">
        <v>2257</v>
      </c>
      <c r="M1847" s="13" t="s">
        <v>2479</v>
      </c>
    </row>
    <row r="1848" customFormat="false" ht="15" hidden="false" customHeight="false" outlineLevel="0" collapsed="false">
      <c r="A1848" s="13" t="s">
        <v>628</v>
      </c>
      <c r="B1848" s="13" t="s">
        <v>627</v>
      </c>
      <c r="C1848" s="13" t="s">
        <v>2254</v>
      </c>
      <c r="D1848" s="13" t="s">
        <v>2270</v>
      </c>
      <c r="E1848" s="13" t="s">
        <v>2498</v>
      </c>
      <c r="F1848" s="13" t="s">
        <v>2502</v>
      </c>
      <c r="G1848" s="61" t="n">
        <v>0</v>
      </c>
      <c r="H1848" s="13" t="s">
        <v>2255</v>
      </c>
      <c r="I1848" s="13" t="s">
        <v>2477</v>
      </c>
      <c r="J1848" s="13" t="n">
        <v>43</v>
      </c>
      <c r="K1848" s="13" t="s">
        <v>2478</v>
      </c>
      <c r="L1848" s="13" t="s">
        <v>2257</v>
      </c>
      <c r="M1848" s="13" t="s">
        <v>2479</v>
      </c>
    </row>
    <row r="1849" customFormat="false" ht="15" hidden="false" customHeight="false" outlineLevel="0" collapsed="false">
      <c r="A1849" s="13" t="s">
        <v>628</v>
      </c>
      <c r="B1849" s="13" t="s">
        <v>627</v>
      </c>
      <c r="C1849" s="13" t="s">
        <v>2254</v>
      </c>
      <c r="D1849" s="13" t="s">
        <v>2270</v>
      </c>
      <c r="E1849" s="13" t="s">
        <v>2499</v>
      </c>
      <c r="F1849" s="13" t="s">
        <v>2502</v>
      </c>
      <c r="G1849" s="61" t="n">
        <v>29094496110</v>
      </c>
      <c r="H1849" s="13" t="s">
        <v>2255</v>
      </c>
      <c r="I1849" s="13" t="s">
        <v>2477</v>
      </c>
      <c r="J1849" s="13" t="n">
        <v>43</v>
      </c>
      <c r="K1849" s="13" t="s">
        <v>2478</v>
      </c>
      <c r="L1849" s="13" t="s">
        <v>2257</v>
      </c>
      <c r="M1849" s="13" t="s">
        <v>2479</v>
      </c>
    </row>
    <row r="1850" customFormat="false" ht="15" hidden="false" customHeight="false" outlineLevel="0" collapsed="false">
      <c r="A1850" s="13" t="s">
        <v>628</v>
      </c>
      <c r="B1850" s="13" t="s">
        <v>627</v>
      </c>
      <c r="C1850" s="13" t="s">
        <v>2254</v>
      </c>
      <c r="D1850" s="13" t="s">
        <v>2270</v>
      </c>
      <c r="E1850" s="13" t="s">
        <v>2493</v>
      </c>
      <c r="F1850" s="13" t="s">
        <v>2503</v>
      </c>
      <c r="G1850" s="61" t="n">
        <v>5522427928</v>
      </c>
      <c r="H1850" s="13" t="s">
        <v>2255</v>
      </c>
      <c r="I1850" s="13" t="s">
        <v>2477</v>
      </c>
      <c r="J1850" s="13" t="n">
        <v>43</v>
      </c>
      <c r="K1850" s="13" t="s">
        <v>2478</v>
      </c>
      <c r="L1850" s="13" t="s">
        <v>2257</v>
      </c>
      <c r="M1850" s="13" t="s">
        <v>2479</v>
      </c>
    </row>
    <row r="1851" customFormat="false" ht="15" hidden="false" customHeight="false" outlineLevel="0" collapsed="false">
      <c r="A1851" s="13" t="s">
        <v>628</v>
      </c>
      <c r="B1851" s="13" t="s">
        <v>627</v>
      </c>
      <c r="C1851" s="13" t="s">
        <v>2254</v>
      </c>
      <c r="D1851" s="13" t="s">
        <v>2270</v>
      </c>
      <c r="E1851" s="13" t="s">
        <v>2494</v>
      </c>
      <c r="F1851" s="13" t="s">
        <v>2503</v>
      </c>
      <c r="G1851" s="61" t="n">
        <v>1980665030</v>
      </c>
      <c r="H1851" s="13" t="s">
        <v>2255</v>
      </c>
      <c r="I1851" s="13" t="s">
        <v>2477</v>
      </c>
      <c r="J1851" s="13" t="n">
        <v>43</v>
      </c>
      <c r="K1851" s="13" t="s">
        <v>2478</v>
      </c>
      <c r="L1851" s="13" t="s">
        <v>2257</v>
      </c>
      <c r="M1851" s="13" t="s">
        <v>2479</v>
      </c>
    </row>
    <row r="1852" customFormat="false" ht="15" hidden="false" customHeight="false" outlineLevel="0" collapsed="false">
      <c r="A1852" s="13" t="s">
        <v>628</v>
      </c>
      <c r="B1852" s="13" t="s">
        <v>627</v>
      </c>
      <c r="C1852" s="13" t="s">
        <v>2254</v>
      </c>
      <c r="D1852" s="13" t="s">
        <v>2270</v>
      </c>
      <c r="E1852" s="13" t="s">
        <v>2495</v>
      </c>
      <c r="F1852" s="13" t="s">
        <v>2503</v>
      </c>
      <c r="G1852" s="61" t="n">
        <v>0</v>
      </c>
      <c r="H1852" s="13" t="s">
        <v>2255</v>
      </c>
      <c r="I1852" s="13" t="s">
        <v>2477</v>
      </c>
      <c r="J1852" s="13" t="n">
        <v>43</v>
      </c>
      <c r="K1852" s="13" t="s">
        <v>2478</v>
      </c>
      <c r="L1852" s="13" t="s">
        <v>2257</v>
      </c>
      <c r="M1852" s="13" t="s">
        <v>2479</v>
      </c>
    </row>
    <row r="1853" customFormat="false" ht="15" hidden="false" customHeight="false" outlineLevel="0" collapsed="false">
      <c r="A1853" s="13" t="s">
        <v>628</v>
      </c>
      <c r="B1853" s="13" t="s">
        <v>627</v>
      </c>
      <c r="C1853" s="13" t="s">
        <v>2254</v>
      </c>
      <c r="D1853" s="13" t="s">
        <v>2270</v>
      </c>
      <c r="E1853" s="13" t="s">
        <v>2496</v>
      </c>
      <c r="F1853" s="13" t="s">
        <v>2503</v>
      </c>
      <c r="G1853" s="61" t="n">
        <v>-3810535809</v>
      </c>
      <c r="H1853" s="13" t="s">
        <v>2255</v>
      </c>
      <c r="I1853" s="13" t="s">
        <v>2477</v>
      </c>
      <c r="J1853" s="13" t="n">
        <v>43</v>
      </c>
      <c r="K1853" s="13" t="s">
        <v>2478</v>
      </c>
      <c r="L1853" s="13" t="s">
        <v>2257</v>
      </c>
      <c r="M1853" s="13" t="s">
        <v>2479</v>
      </c>
    </row>
    <row r="1854" customFormat="false" ht="15" hidden="false" customHeight="false" outlineLevel="0" collapsed="false">
      <c r="A1854" s="13" t="s">
        <v>628</v>
      </c>
      <c r="B1854" s="13" t="s">
        <v>627</v>
      </c>
      <c r="C1854" s="13" t="s">
        <v>2254</v>
      </c>
      <c r="D1854" s="13" t="s">
        <v>2270</v>
      </c>
      <c r="E1854" s="13" t="s">
        <v>2497</v>
      </c>
      <c r="F1854" s="13" t="s">
        <v>2503</v>
      </c>
      <c r="G1854" s="61" t="n">
        <v>0</v>
      </c>
      <c r="H1854" s="13" t="s">
        <v>2255</v>
      </c>
      <c r="I1854" s="13" t="s">
        <v>2477</v>
      </c>
      <c r="J1854" s="13" t="n">
        <v>43</v>
      </c>
      <c r="K1854" s="13" t="s">
        <v>2478</v>
      </c>
      <c r="L1854" s="13" t="s">
        <v>2257</v>
      </c>
      <c r="M1854" s="13" t="s">
        <v>2479</v>
      </c>
    </row>
    <row r="1855" customFormat="false" ht="15" hidden="false" customHeight="false" outlineLevel="0" collapsed="false">
      <c r="A1855" s="13" t="s">
        <v>628</v>
      </c>
      <c r="B1855" s="13" t="s">
        <v>627</v>
      </c>
      <c r="C1855" s="13" t="s">
        <v>2254</v>
      </c>
      <c r="D1855" s="13" t="s">
        <v>2270</v>
      </c>
      <c r="E1855" s="13" t="s">
        <v>2498</v>
      </c>
      <c r="F1855" s="13" t="s">
        <v>2503</v>
      </c>
      <c r="G1855" s="61" t="n">
        <v>0</v>
      </c>
      <c r="H1855" s="13" t="s">
        <v>2255</v>
      </c>
      <c r="I1855" s="13" t="s">
        <v>2477</v>
      </c>
      <c r="J1855" s="13" t="n">
        <v>43</v>
      </c>
      <c r="K1855" s="13" t="s">
        <v>2478</v>
      </c>
      <c r="L1855" s="13" t="s">
        <v>2257</v>
      </c>
      <c r="M1855" s="13" t="s">
        <v>2479</v>
      </c>
    </row>
    <row r="1856" customFormat="false" ht="15" hidden="false" customHeight="false" outlineLevel="0" collapsed="false">
      <c r="A1856" s="13" t="s">
        <v>628</v>
      </c>
      <c r="B1856" s="13" t="s">
        <v>627</v>
      </c>
      <c r="C1856" s="13" t="s">
        <v>2254</v>
      </c>
      <c r="D1856" s="13" t="s">
        <v>2270</v>
      </c>
      <c r="E1856" s="13" t="s">
        <v>2499</v>
      </c>
      <c r="F1856" s="13" t="s">
        <v>2503</v>
      </c>
      <c r="G1856" s="61" t="n">
        <v>3692557149</v>
      </c>
      <c r="H1856" s="13" t="s">
        <v>2255</v>
      </c>
      <c r="I1856" s="13" t="s">
        <v>2477</v>
      </c>
      <c r="J1856" s="13" t="n">
        <v>43</v>
      </c>
      <c r="K1856" s="13" t="s">
        <v>2478</v>
      </c>
      <c r="L1856" s="13" t="s">
        <v>2257</v>
      </c>
      <c r="M1856" s="13" t="s">
        <v>2479</v>
      </c>
    </row>
    <row r="1857" customFormat="false" ht="15" hidden="false" customHeight="false" outlineLevel="0" collapsed="false">
      <c r="A1857" s="13" t="s">
        <v>628</v>
      </c>
      <c r="B1857" s="13" t="s">
        <v>627</v>
      </c>
      <c r="C1857" s="13" t="s">
        <v>2254</v>
      </c>
      <c r="D1857" s="13" t="s">
        <v>2270</v>
      </c>
      <c r="E1857" s="13" t="s">
        <v>2493</v>
      </c>
      <c r="F1857" s="13" t="s">
        <v>2504</v>
      </c>
      <c r="G1857" s="61" t="n">
        <v>9745314881</v>
      </c>
      <c r="H1857" s="13" t="s">
        <v>2255</v>
      </c>
      <c r="I1857" s="13" t="s">
        <v>2477</v>
      </c>
      <c r="J1857" s="13" t="n">
        <v>43</v>
      </c>
      <c r="K1857" s="13" t="s">
        <v>2478</v>
      </c>
      <c r="L1857" s="13" t="s">
        <v>2257</v>
      </c>
      <c r="M1857" s="13" t="s">
        <v>2479</v>
      </c>
    </row>
    <row r="1858" customFormat="false" ht="15" hidden="false" customHeight="false" outlineLevel="0" collapsed="false">
      <c r="A1858" s="13" t="s">
        <v>628</v>
      </c>
      <c r="B1858" s="13" t="s">
        <v>627</v>
      </c>
      <c r="C1858" s="13" t="s">
        <v>2254</v>
      </c>
      <c r="D1858" s="13" t="s">
        <v>2270</v>
      </c>
      <c r="E1858" s="13" t="s">
        <v>2494</v>
      </c>
      <c r="F1858" s="13" t="s">
        <v>2504</v>
      </c>
      <c r="G1858" s="61" t="n">
        <v>1678558347</v>
      </c>
      <c r="H1858" s="13" t="s">
        <v>2255</v>
      </c>
      <c r="I1858" s="13" t="s">
        <v>2477</v>
      </c>
      <c r="J1858" s="13" t="n">
        <v>43</v>
      </c>
      <c r="K1858" s="13" t="s">
        <v>2478</v>
      </c>
      <c r="L1858" s="13" t="s">
        <v>2257</v>
      </c>
      <c r="M1858" s="13" t="s">
        <v>2479</v>
      </c>
    </row>
    <row r="1859" customFormat="false" ht="15" hidden="false" customHeight="false" outlineLevel="0" collapsed="false">
      <c r="A1859" s="13" t="s">
        <v>628</v>
      </c>
      <c r="B1859" s="13" t="s">
        <v>627</v>
      </c>
      <c r="C1859" s="13" t="s">
        <v>2254</v>
      </c>
      <c r="D1859" s="13" t="s">
        <v>2270</v>
      </c>
      <c r="E1859" s="13" t="s">
        <v>2495</v>
      </c>
      <c r="F1859" s="13" t="s">
        <v>2504</v>
      </c>
      <c r="G1859" s="61" t="n">
        <v>-169674000</v>
      </c>
      <c r="H1859" s="13" t="s">
        <v>2255</v>
      </c>
      <c r="I1859" s="13" t="s">
        <v>2477</v>
      </c>
      <c r="J1859" s="13" t="n">
        <v>43</v>
      </c>
      <c r="K1859" s="13" t="s">
        <v>2478</v>
      </c>
      <c r="L1859" s="13" t="s">
        <v>2257</v>
      </c>
      <c r="M1859" s="13" t="s">
        <v>2479</v>
      </c>
    </row>
    <row r="1860" customFormat="false" ht="15" hidden="false" customHeight="false" outlineLevel="0" collapsed="false">
      <c r="A1860" s="13" t="s">
        <v>628</v>
      </c>
      <c r="B1860" s="13" t="s">
        <v>627</v>
      </c>
      <c r="C1860" s="13" t="s">
        <v>2254</v>
      </c>
      <c r="D1860" s="13" t="s">
        <v>2270</v>
      </c>
      <c r="E1860" s="13" t="s">
        <v>2496</v>
      </c>
      <c r="F1860" s="13" t="s">
        <v>2504</v>
      </c>
      <c r="G1860" s="61" t="n">
        <v>0</v>
      </c>
      <c r="H1860" s="13" t="s">
        <v>2255</v>
      </c>
      <c r="I1860" s="13" t="s">
        <v>2477</v>
      </c>
      <c r="J1860" s="13" t="n">
        <v>43</v>
      </c>
      <c r="K1860" s="13" t="s">
        <v>2478</v>
      </c>
      <c r="L1860" s="13" t="s">
        <v>2257</v>
      </c>
      <c r="M1860" s="13" t="s">
        <v>2479</v>
      </c>
    </row>
    <row r="1861" customFormat="false" ht="15" hidden="false" customHeight="false" outlineLevel="0" collapsed="false">
      <c r="A1861" s="13" t="s">
        <v>628</v>
      </c>
      <c r="B1861" s="13" t="s">
        <v>627</v>
      </c>
      <c r="C1861" s="13" t="s">
        <v>2254</v>
      </c>
      <c r="D1861" s="13" t="s">
        <v>2270</v>
      </c>
      <c r="E1861" s="13" t="s">
        <v>2497</v>
      </c>
      <c r="F1861" s="13" t="s">
        <v>2504</v>
      </c>
      <c r="G1861" s="61" t="n">
        <v>0</v>
      </c>
      <c r="H1861" s="13" t="s">
        <v>2255</v>
      </c>
      <c r="I1861" s="13" t="s">
        <v>2477</v>
      </c>
      <c r="J1861" s="13" t="n">
        <v>43</v>
      </c>
      <c r="K1861" s="13" t="s">
        <v>2478</v>
      </c>
      <c r="L1861" s="13" t="s">
        <v>2257</v>
      </c>
      <c r="M1861" s="13" t="s">
        <v>2479</v>
      </c>
    </row>
    <row r="1862" customFormat="false" ht="15" hidden="false" customHeight="false" outlineLevel="0" collapsed="false">
      <c r="A1862" s="13" t="s">
        <v>628</v>
      </c>
      <c r="B1862" s="13" t="s">
        <v>627</v>
      </c>
      <c r="C1862" s="13" t="s">
        <v>2254</v>
      </c>
      <c r="D1862" s="13" t="s">
        <v>2270</v>
      </c>
      <c r="E1862" s="13" t="s">
        <v>2498</v>
      </c>
      <c r="F1862" s="13" t="s">
        <v>2504</v>
      </c>
      <c r="G1862" s="61" t="n">
        <v>0</v>
      </c>
      <c r="H1862" s="13" t="s">
        <v>2255</v>
      </c>
      <c r="I1862" s="13" t="s">
        <v>2477</v>
      </c>
      <c r="J1862" s="13" t="n">
        <v>43</v>
      </c>
      <c r="K1862" s="13" t="s">
        <v>2478</v>
      </c>
      <c r="L1862" s="13" t="s">
        <v>2257</v>
      </c>
      <c r="M1862" s="13" t="s">
        <v>2479</v>
      </c>
    </row>
    <row r="1863" customFormat="false" ht="15" hidden="false" customHeight="false" outlineLevel="0" collapsed="false">
      <c r="A1863" s="13" t="s">
        <v>628</v>
      </c>
      <c r="B1863" s="13" t="s">
        <v>627</v>
      </c>
      <c r="C1863" s="13" t="s">
        <v>2254</v>
      </c>
      <c r="D1863" s="13" t="s">
        <v>2270</v>
      </c>
      <c r="E1863" s="13" t="s">
        <v>2499</v>
      </c>
      <c r="F1863" s="13" t="s">
        <v>2504</v>
      </c>
      <c r="G1863" s="61" t="n">
        <v>11254199228</v>
      </c>
      <c r="H1863" s="13" t="s">
        <v>2255</v>
      </c>
      <c r="I1863" s="13" t="s">
        <v>2477</v>
      </c>
      <c r="J1863" s="13" t="n">
        <v>43</v>
      </c>
      <c r="K1863" s="13" t="s">
        <v>2478</v>
      </c>
      <c r="L1863" s="13" t="s">
        <v>2257</v>
      </c>
      <c r="M1863" s="13" t="s">
        <v>2479</v>
      </c>
    </row>
    <row r="1864" customFormat="false" ht="15" hidden="false" customHeight="false" outlineLevel="0" collapsed="false">
      <c r="A1864" s="13" t="s">
        <v>628</v>
      </c>
      <c r="B1864" s="13" t="s">
        <v>627</v>
      </c>
      <c r="C1864" s="13" t="s">
        <v>2254</v>
      </c>
      <c r="D1864" s="13" t="s">
        <v>2270</v>
      </c>
      <c r="E1864" s="13" t="s">
        <v>2493</v>
      </c>
      <c r="F1864" s="13" t="s">
        <v>2290</v>
      </c>
      <c r="G1864" s="61" t="n">
        <v>241108557999</v>
      </c>
      <c r="H1864" s="13" t="s">
        <v>2255</v>
      </c>
      <c r="I1864" s="13" t="s">
        <v>2477</v>
      </c>
      <c r="J1864" s="13" t="n">
        <v>43</v>
      </c>
      <c r="K1864" s="13" t="s">
        <v>2478</v>
      </c>
      <c r="L1864" s="13" t="s">
        <v>2257</v>
      </c>
      <c r="M1864" s="13" t="s">
        <v>2479</v>
      </c>
    </row>
    <row r="1865" customFormat="false" ht="15" hidden="false" customHeight="false" outlineLevel="0" collapsed="false">
      <c r="A1865" s="13" t="s">
        <v>628</v>
      </c>
      <c r="B1865" s="13" t="s">
        <v>627</v>
      </c>
      <c r="C1865" s="13" t="s">
        <v>2254</v>
      </c>
      <c r="D1865" s="13" t="s">
        <v>2270</v>
      </c>
      <c r="E1865" s="13" t="s">
        <v>2494</v>
      </c>
      <c r="F1865" s="13" t="s">
        <v>2290</v>
      </c>
      <c r="G1865" s="61" t="n">
        <v>55596065221</v>
      </c>
      <c r="H1865" s="13" t="s">
        <v>2255</v>
      </c>
      <c r="I1865" s="13" t="s">
        <v>2477</v>
      </c>
      <c r="J1865" s="13" t="n">
        <v>43</v>
      </c>
      <c r="K1865" s="13" t="s">
        <v>2478</v>
      </c>
      <c r="L1865" s="13" t="s">
        <v>2257</v>
      </c>
      <c r="M1865" s="13" t="s">
        <v>2479</v>
      </c>
    </row>
    <row r="1866" customFormat="false" ht="15" hidden="false" customHeight="false" outlineLevel="0" collapsed="false">
      <c r="A1866" s="13" t="s">
        <v>628</v>
      </c>
      <c r="B1866" s="13" t="s">
        <v>627</v>
      </c>
      <c r="C1866" s="13" t="s">
        <v>2254</v>
      </c>
      <c r="D1866" s="13" t="s">
        <v>2270</v>
      </c>
      <c r="E1866" s="13" t="s">
        <v>2495</v>
      </c>
      <c r="F1866" s="13" t="s">
        <v>2290</v>
      </c>
      <c r="G1866" s="61" t="n">
        <v>-8513449747</v>
      </c>
      <c r="H1866" s="13" t="s">
        <v>2255</v>
      </c>
      <c r="I1866" s="13" t="s">
        <v>2477</v>
      </c>
      <c r="J1866" s="13" t="n">
        <v>43</v>
      </c>
      <c r="K1866" s="13" t="s">
        <v>2478</v>
      </c>
      <c r="L1866" s="13" t="s">
        <v>2257</v>
      </c>
      <c r="M1866" s="13" t="s">
        <v>2479</v>
      </c>
    </row>
    <row r="1867" customFormat="false" ht="15" hidden="false" customHeight="false" outlineLevel="0" collapsed="false">
      <c r="A1867" s="13" t="s">
        <v>628</v>
      </c>
      <c r="B1867" s="13" t="s">
        <v>627</v>
      </c>
      <c r="C1867" s="13" t="s">
        <v>2254</v>
      </c>
      <c r="D1867" s="13" t="s">
        <v>2270</v>
      </c>
      <c r="E1867" s="13" t="s">
        <v>2496</v>
      </c>
      <c r="F1867" s="13" t="s">
        <v>2290</v>
      </c>
      <c r="G1867" s="61" t="n">
        <v>-31100971533</v>
      </c>
      <c r="H1867" s="13" t="s">
        <v>2255</v>
      </c>
      <c r="I1867" s="13" t="s">
        <v>2477</v>
      </c>
      <c r="J1867" s="13" t="n">
        <v>43</v>
      </c>
      <c r="K1867" s="13" t="s">
        <v>2478</v>
      </c>
      <c r="L1867" s="13" t="s">
        <v>2257</v>
      </c>
      <c r="M1867" s="13" t="s">
        <v>2479</v>
      </c>
    </row>
    <row r="1868" customFormat="false" ht="15" hidden="false" customHeight="false" outlineLevel="0" collapsed="false">
      <c r="A1868" s="13" t="s">
        <v>628</v>
      </c>
      <c r="B1868" s="13" t="s">
        <v>627</v>
      </c>
      <c r="C1868" s="13" t="s">
        <v>2254</v>
      </c>
      <c r="D1868" s="13" t="s">
        <v>2270</v>
      </c>
      <c r="E1868" s="13" t="s">
        <v>2497</v>
      </c>
      <c r="F1868" s="13" t="s">
        <v>2290</v>
      </c>
      <c r="G1868" s="61" t="n">
        <v>0</v>
      </c>
      <c r="H1868" s="13" t="s">
        <v>2255</v>
      </c>
      <c r="I1868" s="13" t="s">
        <v>2477</v>
      </c>
      <c r="J1868" s="13" t="n">
        <v>43</v>
      </c>
      <c r="K1868" s="13" t="s">
        <v>2478</v>
      </c>
      <c r="L1868" s="13" t="s">
        <v>2257</v>
      </c>
      <c r="M1868" s="13" t="s">
        <v>2479</v>
      </c>
    </row>
    <row r="1869" customFormat="false" ht="15" hidden="false" customHeight="false" outlineLevel="0" collapsed="false">
      <c r="A1869" s="13" t="s">
        <v>628</v>
      </c>
      <c r="B1869" s="13" t="s">
        <v>627</v>
      </c>
      <c r="C1869" s="13" t="s">
        <v>2254</v>
      </c>
      <c r="D1869" s="13" t="s">
        <v>2270</v>
      </c>
      <c r="E1869" s="13" t="s">
        <v>2498</v>
      </c>
      <c r="F1869" s="13" t="s">
        <v>2290</v>
      </c>
      <c r="G1869" s="61" t="n">
        <v>0</v>
      </c>
      <c r="H1869" s="13" t="s">
        <v>2255</v>
      </c>
      <c r="I1869" s="13" t="s">
        <v>2477</v>
      </c>
      <c r="J1869" s="13" t="n">
        <v>43</v>
      </c>
      <c r="K1869" s="13" t="s">
        <v>2478</v>
      </c>
      <c r="L1869" s="13" t="s">
        <v>2257</v>
      </c>
      <c r="M1869" s="13" t="s">
        <v>2479</v>
      </c>
    </row>
    <row r="1870" customFormat="false" ht="15" hidden="false" customHeight="false" outlineLevel="0" collapsed="false">
      <c r="A1870" s="13" t="s">
        <v>628</v>
      </c>
      <c r="B1870" s="13" t="s">
        <v>627</v>
      </c>
      <c r="C1870" s="13" t="s">
        <v>2254</v>
      </c>
      <c r="D1870" s="13" t="s">
        <v>2270</v>
      </c>
      <c r="E1870" s="13" t="s">
        <v>2499</v>
      </c>
      <c r="F1870" s="13" t="s">
        <v>2290</v>
      </c>
      <c r="G1870" s="61" t="n">
        <v>257090201940</v>
      </c>
      <c r="H1870" s="13" t="s">
        <v>2255</v>
      </c>
      <c r="I1870" s="13" t="s">
        <v>2477</v>
      </c>
      <c r="J1870" s="13" t="n">
        <v>43</v>
      </c>
      <c r="K1870" s="13" t="s">
        <v>2478</v>
      </c>
      <c r="L1870" s="13" t="s">
        <v>2257</v>
      </c>
      <c r="M1870" s="13" t="s">
        <v>2479</v>
      </c>
    </row>
    <row r="1871" customFormat="false" ht="15" hidden="false" customHeight="false" outlineLevel="0" collapsed="false">
      <c r="A1871" s="13" t="s">
        <v>628</v>
      </c>
      <c r="B1871" s="13" t="s">
        <v>627</v>
      </c>
      <c r="C1871" s="13" t="s">
        <v>2254</v>
      </c>
      <c r="D1871" s="13" t="s">
        <v>2270</v>
      </c>
      <c r="E1871" s="13" t="s">
        <v>2505</v>
      </c>
      <c r="F1871" s="13" t="s">
        <v>2447</v>
      </c>
      <c r="G1871" s="61" t="n">
        <v>778573929919</v>
      </c>
      <c r="H1871" s="13" t="s">
        <v>2255</v>
      </c>
      <c r="I1871" s="13" t="s">
        <v>2477</v>
      </c>
      <c r="J1871" s="13" t="n">
        <v>43</v>
      </c>
      <c r="K1871" s="13" t="s">
        <v>2478</v>
      </c>
      <c r="L1871" s="13" t="s">
        <v>2257</v>
      </c>
      <c r="M1871" s="13" t="s">
        <v>2479</v>
      </c>
    </row>
    <row r="1872" customFormat="false" ht="15" hidden="false" customHeight="false" outlineLevel="0" collapsed="false">
      <c r="A1872" s="13" t="s">
        <v>628</v>
      </c>
      <c r="B1872" s="13" t="s">
        <v>627</v>
      </c>
      <c r="C1872" s="13" t="s">
        <v>2254</v>
      </c>
      <c r="D1872" s="13" t="s">
        <v>2270</v>
      </c>
      <c r="E1872" s="13" t="s">
        <v>2506</v>
      </c>
      <c r="F1872" s="13" t="s">
        <v>2447</v>
      </c>
      <c r="G1872" s="61" t="n">
        <v>6792495000</v>
      </c>
      <c r="H1872" s="13" t="s">
        <v>2255</v>
      </c>
      <c r="I1872" s="13" t="s">
        <v>2477</v>
      </c>
      <c r="J1872" s="13" t="n">
        <v>43</v>
      </c>
      <c r="K1872" s="13" t="s">
        <v>2478</v>
      </c>
      <c r="L1872" s="13" t="s">
        <v>2257</v>
      </c>
      <c r="M1872" s="13" t="s">
        <v>2479</v>
      </c>
    </row>
    <row r="1873" customFormat="false" ht="15" hidden="false" customHeight="false" outlineLevel="0" collapsed="false">
      <c r="A1873" s="13" t="s">
        <v>628</v>
      </c>
      <c r="B1873" s="13" t="s">
        <v>627</v>
      </c>
      <c r="C1873" s="13" t="s">
        <v>2254</v>
      </c>
      <c r="D1873" s="13" t="s">
        <v>2270</v>
      </c>
      <c r="E1873" s="13" t="s">
        <v>2507</v>
      </c>
      <c r="F1873" s="13" t="s">
        <v>2447</v>
      </c>
      <c r="G1873" s="61" t="n">
        <v>0</v>
      </c>
      <c r="H1873" s="13" t="s">
        <v>2255</v>
      </c>
      <c r="I1873" s="13" t="s">
        <v>2477</v>
      </c>
      <c r="J1873" s="13" t="n">
        <v>43</v>
      </c>
      <c r="K1873" s="13" t="s">
        <v>2478</v>
      </c>
      <c r="L1873" s="13" t="s">
        <v>2257</v>
      </c>
      <c r="M1873" s="13" t="s">
        <v>2479</v>
      </c>
    </row>
    <row r="1874" customFormat="false" ht="15" hidden="false" customHeight="false" outlineLevel="0" collapsed="false">
      <c r="A1874" s="13" t="s">
        <v>628</v>
      </c>
      <c r="B1874" s="13" t="s">
        <v>627</v>
      </c>
      <c r="C1874" s="13" t="s">
        <v>2254</v>
      </c>
      <c r="D1874" s="13" t="s">
        <v>2270</v>
      </c>
      <c r="E1874" s="13" t="s">
        <v>2508</v>
      </c>
      <c r="F1874" s="13" t="s">
        <v>2447</v>
      </c>
      <c r="G1874" s="61" t="n">
        <v>7030600651</v>
      </c>
      <c r="H1874" s="13" t="s">
        <v>2255</v>
      </c>
      <c r="I1874" s="13" t="s">
        <v>2477</v>
      </c>
      <c r="J1874" s="13" t="n">
        <v>43</v>
      </c>
      <c r="K1874" s="13" t="s">
        <v>2478</v>
      </c>
      <c r="L1874" s="13" t="s">
        <v>2257</v>
      </c>
      <c r="M1874" s="13" t="s">
        <v>2479</v>
      </c>
    </row>
    <row r="1875" customFormat="false" ht="15" hidden="false" customHeight="false" outlineLevel="0" collapsed="false">
      <c r="A1875" s="13" t="s">
        <v>628</v>
      </c>
      <c r="B1875" s="13" t="s">
        <v>627</v>
      </c>
      <c r="C1875" s="13" t="s">
        <v>2254</v>
      </c>
      <c r="D1875" s="13" t="s">
        <v>2270</v>
      </c>
      <c r="E1875" s="13" t="s">
        <v>2509</v>
      </c>
      <c r="F1875" s="13" t="s">
        <v>2447</v>
      </c>
      <c r="G1875" s="61" t="n">
        <v>0</v>
      </c>
      <c r="H1875" s="13" t="s">
        <v>2255</v>
      </c>
      <c r="I1875" s="13" t="s">
        <v>2477</v>
      </c>
      <c r="J1875" s="13" t="n">
        <v>43</v>
      </c>
      <c r="K1875" s="13" t="s">
        <v>2478</v>
      </c>
      <c r="L1875" s="13" t="s">
        <v>2257</v>
      </c>
      <c r="M1875" s="13" t="s">
        <v>2479</v>
      </c>
    </row>
    <row r="1876" customFormat="false" ht="15" hidden="false" customHeight="false" outlineLevel="0" collapsed="false">
      <c r="A1876" s="13" t="s">
        <v>628</v>
      </c>
      <c r="B1876" s="13" t="s">
        <v>627</v>
      </c>
      <c r="C1876" s="13" t="s">
        <v>2254</v>
      </c>
      <c r="D1876" s="13" t="s">
        <v>2270</v>
      </c>
      <c r="E1876" s="13" t="s">
        <v>2510</v>
      </c>
      <c r="F1876" s="13" t="s">
        <v>2447</v>
      </c>
      <c r="G1876" s="61" t="n">
        <v>96803525081</v>
      </c>
      <c r="H1876" s="13" t="s">
        <v>2255</v>
      </c>
      <c r="I1876" s="13" t="s">
        <v>2477</v>
      </c>
      <c r="J1876" s="13" t="n">
        <v>43</v>
      </c>
      <c r="K1876" s="13" t="s">
        <v>2478</v>
      </c>
      <c r="L1876" s="13" t="s">
        <v>2257</v>
      </c>
      <c r="M1876" s="13" t="s">
        <v>2479</v>
      </c>
    </row>
    <row r="1877" customFormat="false" ht="15" hidden="false" customHeight="false" outlineLevel="0" collapsed="false">
      <c r="A1877" s="13" t="s">
        <v>628</v>
      </c>
      <c r="B1877" s="13" t="s">
        <v>627</v>
      </c>
      <c r="C1877" s="13" t="s">
        <v>2254</v>
      </c>
      <c r="D1877" s="13" t="s">
        <v>2270</v>
      </c>
      <c r="E1877" s="13" t="s">
        <v>2511</v>
      </c>
      <c r="F1877" s="13" t="s">
        <v>2447</v>
      </c>
      <c r="G1877" s="61" t="n">
        <v>889200550651</v>
      </c>
      <c r="H1877" s="13" t="s">
        <v>2255</v>
      </c>
      <c r="I1877" s="13" t="s">
        <v>2477</v>
      </c>
      <c r="J1877" s="13" t="n">
        <v>43</v>
      </c>
      <c r="K1877" s="13" t="s">
        <v>2478</v>
      </c>
      <c r="L1877" s="13" t="s">
        <v>2257</v>
      </c>
      <c r="M1877" s="13" t="s">
        <v>2479</v>
      </c>
    </row>
    <row r="1878" customFormat="false" ht="15" hidden="false" customHeight="false" outlineLevel="0" collapsed="false">
      <c r="A1878" s="13" t="s">
        <v>628</v>
      </c>
      <c r="B1878" s="13" t="s">
        <v>627</v>
      </c>
      <c r="C1878" s="13" t="s">
        <v>2254</v>
      </c>
      <c r="D1878" s="13" t="s">
        <v>2270</v>
      </c>
      <c r="E1878" s="13" t="s">
        <v>2505</v>
      </c>
      <c r="F1878" s="13" t="s">
        <v>2448</v>
      </c>
      <c r="G1878" s="61" t="n">
        <v>188901017256</v>
      </c>
      <c r="H1878" s="13" t="s">
        <v>2255</v>
      </c>
      <c r="I1878" s="13" t="s">
        <v>2477</v>
      </c>
      <c r="J1878" s="13" t="n">
        <v>43</v>
      </c>
      <c r="K1878" s="13" t="s">
        <v>2478</v>
      </c>
      <c r="L1878" s="13" t="s">
        <v>2257</v>
      </c>
      <c r="M1878" s="13" t="s">
        <v>2479</v>
      </c>
    </row>
    <row r="1879" customFormat="false" ht="15" hidden="false" customHeight="false" outlineLevel="0" collapsed="false">
      <c r="A1879" s="13" t="s">
        <v>628</v>
      </c>
      <c r="B1879" s="13" t="s">
        <v>627</v>
      </c>
      <c r="C1879" s="13" t="s">
        <v>2254</v>
      </c>
      <c r="D1879" s="13" t="s">
        <v>2270</v>
      </c>
      <c r="E1879" s="13" t="s">
        <v>2506</v>
      </c>
      <c r="F1879" s="13" t="s">
        <v>2448</v>
      </c>
      <c r="G1879" s="61" t="n">
        <v>8076783820</v>
      </c>
      <c r="H1879" s="13" t="s">
        <v>2255</v>
      </c>
      <c r="I1879" s="13" t="s">
        <v>2477</v>
      </c>
      <c r="J1879" s="13" t="n">
        <v>43</v>
      </c>
      <c r="K1879" s="13" t="s">
        <v>2478</v>
      </c>
      <c r="L1879" s="13" t="s">
        <v>2257</v>
      </c>
      <c r="M1879" s="13" t="s">
        <v>2479</v>
      </c>
    </row>
    <row r="1880" customFormat="false" ht="15" hidden="false" customHeight="false" outlineLevel="0" collapsed="false">
      <c r="A1880" s="13" t="s">
        <v>628</v>
      </c>
      <c r="B1880" s="13" t="s">
        <v>627</v>
      </c>
      <c r="C1880" s="13" t="s">
        <v>2254</v>
      </c>
      <c r="D1880" s="13" t="s">
        <v>2270</v>
      </c>
      <c r="E1880" s="13" t="s">
        <v>2507</v>
      </c>
      <c r="F1880" s="13" t="s">
        <v>2448</v>
      </c>
      <c r="G1880" s="61" t="n">
        <v>-231142503</v>
      </c>
      <c r="H1880" s="13" t="s">
        <v>2255</v>
      </c>
      <c r="I1880" s="13" t="s">
        <v>2477</v>
      </c>
      <c r="J1880" s="13" t="n">
        <v>43</v>
      </c>
      <c r="K1880" s="13" t="s">
        <v>2478</v>
      </c>
      <c r="L1880" s="13" t="s">
        <v>2257</v>
      </c>
      <c r="M1880" s="13" t="s">
        <v>2479</v>
      </c>
    </row>
    <row r="1881" customFormat="false" ht="15" hidden="false" customHeight="false" outlineLevel="0" collapsed="false">
      <c r="A1881" s="13" t="s">
        <v>628</v>
      </c>
      <c r="B1881" s="13" t="s">
        <v>627</v>
      </c>
      <c r="C1881" s="13" t="s">
        <v>2254</v>
      </c>
      <c r="D1881" s="13" t="s">
        <v>2270</v>
      </c>
      <c r="E1881" s="13" t="s">
        <v>2508</v>
      </c>
      <c r="F1881" s="13" t="s">
        <v>2448</v>
      </c>
      <c r="G1881" s="61" t="n">
        <v>3909993959</v>
      </c>
      <c r="H1881" s="13" t="s">
        <v>2255</v>
      </c>
      <c r="I1881" s="13" t="s">
        <v>2477</v>
      </c>
      <c r="J1881" s="13" t="n">
        <v>43</v>
      </c>
      <c r="K1881" s="13" t="s">
        <v>2478</v>
      </c>
      <c r="L1881" s="13" t="s">
        <v>2257</v>
      </c>
      <c r="M1881" s="13" t="s">
        <v>2479</v>
      </c>
    </row>
    <row r="1882" customFormat="false" ht="15" hidden="false" customHeight="false" outlineLevel="0" collapsed="false">
      <c r="A1882" s="13" t="s">
        <v>628</v>
      </c>
      <c r="B1882" s="13" t="s">
        <v>627</v>
      </c>
      <c r="C1882" s="13" t="s">
        <v>2254</v>
      </c>
      <c r="D1882" s="13" t="s">
        <v>2270</v>
      </c>
      <c r="E1882" s="13" t="s">
        <v>2509</v>
      </c>
      <c r="F1882" s="13" t="s">
        <v>2448</v>
      </c>
      <c r="G1882" s="61" t="n">
        <v>0</v>
      </c>
      <c r="H1882" s="13" t="s">
        <v>2255</v>
      </c>
      <c r="I1882" s="13" t="s">
        <v>2477</v>
      </c>
      <c r="J1882" s="13" t="n">
        <v>43</v>
      </c>
      <c r="K1882" s="13" t="s">
        <v>2478</v>
      </c>
      <c r="L1882" s="13" t="s">
        <v>2257</v>
      </c>
      <c r="M1882" s="13" t="s">
        <v>2479</v>
      </c>
    </row>
    <row r="1883" customFormat="false" ht="15" hidden="false" customHeight="false" outlineLevel="0" collapsed="false">
      <c r="A1883" s="13" t="s">
        <v>628</v>
      </c>
      <c r="B1883" s="13" t="s">
        <v>627</v>
      </c>
      <c r="C1883" s="13" t="s">
        <v>2254</v>
      </c>
      <c r="D1883" s="13" t="s">
        <v>2270</v>
      </c>
      <c r="E1883" s="13" t="s">
        <v>2510</v>
      </c>
      <c r="F1883" s="13" t="s">
        <v>2448</v>
      </c>
      <c r="G1883" s="61" t="n">
        <v>29534431037</v>
      </c>
      <c r="H1883" s="13" t="s">
        <v>2255</v>
      </c>
      <c r="I1883" s="13" t="s">
        <v>2477</v>
      </c>
      <c r="J1883" s="13" t="n">
        <v>43</v>
      </c>
      <c r="K1883" s="13" t="s">
        <v>2478</v>
      </c>
      <c r="L1883" s="13" t="s">
        <v>2257</v>
      </c>
      <c r="M1883" s="13" t="s">
        <v>2479</v>
      </c>
    </row>
    <row r="1884" customFormat="false" ht="15" hidden="false" customHeight="false" outlineLevel="0" collapsed="false">
      <c r="A1884" s="13" t="s">
        <v>628</v>
      </c>
      <c r="B1884" s="13" t="s">
        <v>627</v>
      </c>
      <c r="C1884" s="13" t="s">
        <v>2254</v>
      </c>
      <c r="D1884" s="13" t="s">
        <v>2270</v>
      </c>
      <c r="E1884" s="13" t="s">
        <v>2511</v>
      </c>
      <c r="F1884" s="13" t="s">
        <v>2448</v>
      </c>
      <c r="G1884" s="61" t="n">
        <v>230191083569</v>
      </c>
      <c r="H1884" s="13" t="s">
        <v>2255</v>
      </c>
      <c r="I1884" s="13" t="s">
        <v>2477</v>
      </c>
      <c r="J1884" s="13" t="n">
        <v>43</v>
      </c>
      <c r="K1884" s="13" t="s">
        <v>2478</v>
      </c>
      <c r="L1884" s="13" t="s">
        <v>2257</v>
      </c>
      <c r="M1884" s="13" t="s">
        <v>2479</v>
      </c>
    </row>
    <row r="1885" customFormat="false" ht="15" hidden="false" customHeight="false" outlineLevel="0" collapsed="false">
      <c r="A1885" s="13" t="s">
        <v>628</v>
      </c>
      <c r="B1885" s="13" t="s">
        <v>627</v>
      </c>
      <c r="C1885" s="13" t="s">
        <v>2254</v>
      </c>
      <c r="D1885" s="13" t="s">
        <v>2270</v>
      </c>
      <c r="E1885" s="13" t="s">
        <v>2505</v>
      </c>
      <c r="F1885" s="13" t="s">
        <v>2500</v>
      </c>
      <c r="G1885" s="61" t="n">
        <v>271431213200</v>
      </c>
      <c r="H1885" s="13" t="s">
        <v>2255</v>
      </c>
      <c r="I1885" s="13" t="s">
        <v>2477</v>
      </c>
      <c r="J1885" s="13" t="n">
        <v>43</v>
      </c>
      <c r="K1885" s="13" t="s">
        <v>2478</v>
      </c>
      <c r="L1885" s="13" t="s">
        <v>2257</v>
      </c>
      <c r="M1885" s="13" t="s">
        <v>2479</v>
      </c>
    </row>
    <row r="1886" customFormat="false" ht="15" hidden="false" customHeight="false" outlineLevel="0" collapsed="false">
      <c r="A1886" s="13" t="s">
        <v>628</v>
      </c>
      <c r="B1886" s="13" t="s">
        <v>627</v>
      </c>
      <c r="C1886" s="13" t="s">
        <v>2254</v>
      </c>
      <c r="D1886" s="13" t="s">
        <v>2270</v>
      </c>
      <c r="E1886" s="13" t="s">
        <v>2506</v>
      </c>
      <c r="F1886" s="13" t="s">
        <v>2500</v>
      </c>
      <c r="G1886" s="61" t="n">
        <v>12253585519</v>
      </c>
      <c r="H1886" s="13" t="s">
        <v>2255</v>
      </c>
      <c r="I1886" s="13" t="s">
        <v>2477</v>
      </c>
      <c r="J1886" s="13" t="n">
        <v>43</v>
      </c>
      <c r="K1886" s="13" t="s">
        <v>2478</v>
      </c>
      <c r="L1886" s="13" t="s">
        <v>2257</v>
      </c>
      <c r="M1886" s="13" t="s">
        <v>2479</v>
      </c>
    </row>
    <row r="1887" customFormat="false" ht="15" hidden="false" customHeight="false" outlineLevel="0" collapsed="false">
      <c r="A1887" s="13" t="s">
        <v>628</v>
      </c>
      <c r="B1887" s="13" t="s">
        <v>627</v>
      </c>
      <c r="C1887" s="13" t="s">
        <v>2254</v>
      </c>
      <c r="D1887" s="13" t="s">
        <v>2270</v>
      </c>
      <c r="E1887" s="13" t="s">
        <v>2507</v>
      </c>
      <c r="F1887" s="13" t="s">
        <v>2500</v>
      </c>
      <c r="G1887" s="61" t="n">
        <v>-6867029653</v>
      </c>
      <c r="H1887" s="13" t="s">
        <v>2255</v>
      </c>
      <c r="I1887" s="13" t="s">
        <v>2477</v>
      </c>
      <c r="J1887" s="13" t="n">
        <v>43</v>
      </c>
      <c r="K1887" s="13" t="s">
        <v>2478</v>
      </c>
      <c r="L1887" s="13" t="s">
        <v>2257</v>
      </c>
      <c r="M1887" s="13" t="s">
        <v>2479</v>
      </c>
    </row>
    <row r="1888" customFormat="false" ht="15" hidden="false" customHeight="false" outlineLevel="0" collapsed="false">
      <c r="A1888" s="13" t="s">
        <v>628</v>
      </c>
      <c r="B1888" s="13" t="s">
        <v>627</v>
      </c>
      <c r="C1888" s="13" t="s">
        <v>2254</v>
      </c>
      <c r="D1888" s="13" t="s">
        <v>2270</v>
      </c>
      <c r="E1888" s="13" t="s">
        <v>2508</v>
      </c>
      <c r="F1888" s="13" t="s">
        <v>2500</v>
      </c>
      <c r="G1888" s="61" t="n">
        <v>8112760192</v>
      </c>
      <c r="H1888" s="13" t="s">
        <v>2255</v>
      </c>
      <c r="I1888" s="13" t="s">
        <v>2477</v>
      </c>
      <c r="J1888" s="13" t="n">
        <v>43</v>
      </c>
      <c r="K1888" s="13" t="s">
        <v>2478</v>
      </c>
      <c r="L1888" s="13" t="s">
        <v>2257</v>
      </c>
      <c r="M1888" s="13" t="s">
        <v>2479</v>
      </c>
    </row>
    <row r="1889" customFormat="false" ht="15" hidden="false" customHeight="false" outlineLevel="0" collapsed="false">
      <c r="A1889" s="13" t="s">
        <v>628</v>
      </c>
      <c r="B1889" s="13" t="s">
        <v>627</v>
      </c>
      <c r="C1889" s="13" t="s">
        <v>2254</v>
      </c>
      <c r="D1889" s="13" t="s">
        <v>2270</v>
      </c>
      <c r="E1889" s="13" t="s">
        <v>2509</v>
      </c>
      <c r="F1889" s="13" t="s">
        <v>2500</v>
      </c>
      <c r="G1889" s="61" t="n">
        <v>0</v>
      </c>
      <c r="H1889" s="13" t="s">
        <v>2255</v>
      </c>
      <c r="I1889" s="13" t="s">
        <v>2477</v>
      </c>
      <c r="J1889" s="13" t="n">
        <v>43</v>
      </c>
      <c r="K1889" s="13" t="s">
        <v>2478</v>
      </c>
      <c r="L1889" s="13" t="s">
        <v>2257</v>
      </c>
      <c r="M1889" s="13" t="s">
        <v>2479</v>
      </c>
    </row>
    <row r="1890" customFormat="false" ht="15" hidden="false" customHeight="false" outlineLevel="0" collapsed="false">
      <c r="A1890" s="13" t="s">
        <v>628</v>
      </c>
      <c r="B1890" s="13" t="s">
        <v>627</v>
      </c>
      <c r="C1890" s="13" t="s">
        <v>2254</v>
      </c>
      <c r="D1890" s="13" t="s">
        <v>2270</v>
      </c>
      <c r="E1890" s="13" t="s">
        <v>2510</v>
      </c>
      <c r="F1890" s="13" t="s">
        <v>2500</v>
      </c>
      <c r="G1890" s="61" t="n">
        <v>0</v>
      </c>
      <c r="H1890" s="13" t="s">
        <v>2255</v>
      </c>
      <c r="I1890" s="13" t="s">
        <v>2477</v>
      </c>
      <c r="J1890" s="13" t="n">
        <v>43</v>
      </c>
      <c r="K1890" s="13" t="s">
        <v>2478</v>
      </c>
      <c r="L1890" s="13" t="s">
        <v>2257</v>
      </c>
      <c r="M1890" s="13" t="s">
        <v>2479</v>
      </c>
    </row>
    <row r="1891" customFormat="false" ht="15" hidden="false" customHeight="false" outlineLevel="0" collapsed="false">
      <c r="A1891" s="13" t="s">
        <v>628</v>
      </c>
      <c r="B1891" s="13" t="s">
        <v>627</v>
      </c>
      <c r="C1891" s="13" t="s">
        <v>2254</v>
      </c>
      <c r="D1891" s="13" t="s">
        <v>2270</v>
      </c>
      <c r="E1891" s="13" t="s">
        <v>2511</v>
      </c>
      <c r="F1891" s="13" t="s">
        <v>2500</v>
      </c>
      <c r="G1891" s="61" t="n">
        <v>284930529258</v>
      </c>
      <c r="H1891" s="13" t="s">
        <v>2255</v>
      </c>
      <c r="I1891" s="13" t="s">
        <v>2477</v>
      </c>
      <c r="J1891" s="13" t="n">
        <v>43</v>
      </c>
      <c r="K1891" s="13" t="s">
        <v>2478</v>
      </c>
      <c r="L1891" s="13" t="s">
        <v>2257</v>
      </c>
      <c r="M1891" s="13" t="s">
        <v>2479</v>
      </c>
    </row>
    <row r="1892" customFormat="false" ht="15" hidden="false" customHeight="false" outlineLevel="0" collapsed="false">
      <c r="A1892" s="13" t="s">
        <v>628</v>
      </c>
      <c r="B1892" s="13" t="s">
        <v>627</v>
      </c>
      <c r="C1892" s="13" t="s">
        <v>2254</v>
      </c>
      <c r="D1892" s="13" t="s">
        <v>2270</v>
      </c>
      <c r="E1892" s="13" t="s">
        <v>2505</v>
      </c>
      <c r="F1892" s="13" t="s">
        <v>2512</v>
      </c>
      <c r="G1892" s="61" t="n">
        <v>30213859178</v>
      </c>
      <c r="H1892" s="13" t="s">
        <v>2255</v>
      </c>
      <c r="I1892" s="13" t="s">
        <v>2477</v>
      </c>
      <c r="J1892" s="13" t="n">
        <v>43</v>
      </c>
      <c r="K1892" s="13" t="s">
        <v>2478</v>
      </c>
      <c r="L1892" s="13" t="s">
        <v>2257</v>
      </c>
      <c r="M1892" s="13" t="s">
        <v>2479</v>
      </c>
    </row>
    <row r="1893" customFormat="false" ht="15" hidden="false" customHeight="false" outlineLevel="0" collapsed="false">
      <c r="A1893" s="13" t="s">
        <v>628</v>
      </c>
      <c r="B1893" s="13" t="s">
        <v>627</v>
      </c>
      <c r="C1893" s="13" t="s">
        <v>2254</v>
      </c>
      <c r="D1893" s="13" t="s">
        <v>2270</v>
      </c>
      <c r="E1893" s="13" t="s">
        <v>2506</v>
      </c>
      <c r="F1893" s="13" t="s">
        <v>2512</v>
      </c>
      <c r="G1893" s="61" t="n">
        <v>4118916270</v>
      </c>
      <c r="H1893" s="13" t="s">
        <v>2255</v>
      </c>
      <c r="I1893" s="13" t="s">
        <v>2477</v>
      </c>
      <c r="J1893" s="13" t="n">
        <v>43</v>
      </c>
      <c r="K1893" s="13" t="s">
        <v>2478</v>
      </c>
      <c r="L1893" s="13" t="s">
        <v>2257</v>
      </c>
      <c r="M1893" s="13" t="s">
        <v>2479</v>
      </c>
    </row>
    <row r="1894" customFormat="false" ht="15" hidden="false" customHeight="false" outlineLevel="0" collapsed="false">
      <c r="A1894" s="13" t="s">
        <v>628</v>
      </c>
      <c r="B1894" s="13" t="s">
        <v>627</v>
      </c>
      <c r="C1894" s="13" t="s">
        <v>2254</v>
      </c>
      <c r="D1894" s="13" t="s">
        <v>2270</v>
      </c>
      <c r="E1894" s="13" t="s">
        <v>2507</v>
      </c>
      <c r="F1894" s="13" t="s">
        <v>2512</v>
      </c>
      <c r="G1894" s="61" t="n">
        <v>-1133649000</v>
      </c>
      <c r="H1894" s="13" t="s">
        <v>2255</v>
      </c>
      <c r="I1894" s="13" t="s">
        <v>2477</v>
      </c>
      <c r="J1894" s="13" t="n">
        <v>43</v>
      </c>
      <c r="K1894" s="13" t="s">
        <v>2478</v>
      </c>
      <c r="L1894" s="13" t="s">
        <v>2257</v>
      </c>
      <c r="M1894" s="13" t="s">
        <v>2479</v>
      </c>
    </row>
    <row r="1895" customFormat="false" ht="15" hidden="false" customHeight="false" outlineLevel="0" collapsed="false">
      <c r="A1895" s="13" t="s">
        <v>628</v>
      </c>
      <c r="B1895" s="13" t="s">
        <v>627</v>
      </c>
      <c r="C1895" s="13" t="s">
        <v>2254</v>
      </c>
      <c r="D1895" s="13" t="s">
        <v>2270</v>
      </c>
      <c r="E1895" s="13" t="s">
        <v>2508</v>
      </c>
      <c r="F1895" s="13" t="s">
        <v>2512</v>
      </c>
      <c r="G1895" s="61" t="n">
        <v>2492732268</v>
      </c>
      <c r="H1895" s="13" t="s">
        <v>2255</v>
      </c>
      <c r="I1895" s="13" t="s">
        <v>2477</v>
      </c>
      <c r="J1895" s="13" t="n">
        <v>43</v>
      </c>
      <c r="K1895" s="13" t="s">
        <v>2478</v>
      </c>
      <c r="L1895" s="13" t="s">
        <v>2257</v>
      </c>
      <c r="M1895" s="13" t="s">
        <v>2479</v>
      </c>
    </row>
    <row r="1896" customFormat="false" ht="15" hidden="false" customHeight="false" outlineLevel="0" collapsed="false">
      <c r="A1896" s="13" t="s">
        <v>628</v>
      </c>
      <c r="B1896" s="13" t="s">
        <v>627</v>
      </c>
      <c r="C1896" s="13" t="s">
        <v>2254</v>
      </c>
      <c r="D1896" s="13" t="s">
        <v>2270</v>
      </c>
      <c r="E1896" s="13" t="s">
        <v>2509</v>
      </c>
      <c r="F1896" s="13" t="s">
        <v>2512</v>
      </c>
      <c r="G1896" s="61" t="n">
        <v>0</v>
      </c>
      <c r="H1896" s="13" t="s">
        <v>2255</v>
      </c>
      <c r="I1896" s="13" t="s">
        <v>2477</v>
      </c>
      <c r="J1896" s="13" t="n">
        <v>43</v>
      </c>
      <c r="K1896" s="13" t="s">
        <v>2478</v>
      </c>
      <c r="L1896" s="13" t="s">
        <v>2257</v>
      </c>
      <c r="M1896" s="13" t="s">
        <v>2479</v>
      </c>
    </row>
    <row r="1897" customFormat="false" ht="15" hidden="false" customHeight="false" outlineLevel="0" collapsed="false">
      <c r="A1897" s="13" t="s">
        <v>628</v>
      </c>
      <c r="B1897" s="13" t="s">
        <v>627</v>
      </c>
      <c r="C1897" s="13" t="s">
        <v>2254</v>
      </c>
      <c r="D1897" s="13" t="s">
        <v>2270</v>
      </c>
      <c r="E1897" s="13" t="s">
        <v>2510</v>
      </c>
      <c r="F1897" s="13" t="s">
        <v>2512</v>
      </c>
      <c r="G1897" s="61" t="n">
        <v>0</v>
      </c>
      <c r="H1897" s="13" t="s">
        <v>2255</v>
      </c>
      <c r="I1897" s="13" t="s">
        <v>2477</v>
      </c>
      <c r="J1897" s="13" t="n">
        <v>43</v>
      </c>
      <c r="K1897" s="13" t="s">
        <v>2478</v>
      </c>
      <c r="L1897" s="13" t="s">
        <v>2257</v>
      </c>
      <c r="M1897" s="13" t="s">
        <v>2479</v>
      </c>
    </row>
    <row r="1898" customFormat="false" ht="15" hidden="false" customHeight="false" outlineLevel="0" collapsed="false">
      <c r="A1898" s="13" t="s">
        <v>628</v>
      </c>
      <c r="B1898" s="13" t="s">
        <v>627</v>
      </c>
      <c r="C1898" s="13" t="s">
        <v>2254</v>
      </c>
      <c r="D1898" s="13" t="s">
        <v>2270</v>
      </c>
      <c r="E1898" s="13" t="s">
        <v>2511</v>
      </c>
      <c r="F1898" s="13" t="s">
        <v>2512</v>
      </c>
      <c r="G1898" s="61" t="n">
        <v>35691858716</v>
      </c>
      <c r="H1898" s="13" t="s">
        <v>2255</v>
      </c>
      <c r="I1898" s="13" t="s">
        <v>2477</v>
      </c>
      <c r="J1898" s="13" t="n">
        <v>43</v>
      </c>
      <c r="K1898" s="13" t="s">
        <v>2478</v>
      </c>
      <c r="L1898" s="13" t="s">
        <v>2257</v>
      </c>
      <c r="M1898" s="13" t="s">
        <v>2479</v>
      </c>
    </row>
    <row r="1899" customFormat="false" ht="15" hidden="false" customHeight="false" outlineLevel="0" collapsed="false">
      <c r="A1899" s="13" t="s">
        <v>628</v>
      </c>
      <c r="B1899" s="13" t="s">
        <v>627</v>
      </c>
      <c r="C1899" s="13" t="s">
        <v>2254</v>
      </c>
      <c r="D1899" s="13" t="s">
        <v>2270</v>
      </c>
      <c r="E1899" s="13" t="s">
        <v>2505</v>
      </c>
      <c r="F1899" s="13" t="s">
        <v>2502</v>
      </c>
      <c r="G1899" s="61" t="n">
        <v>40966673963</v>
      </c>
      <c r="H1899" s="13" t="s">
        <v>2255</v>
      </c>
      <c r="I1899" s="13" t="s">
        <v>2477</v>
      </c>
      <c r="J1899" s="13" t="n">
        <v>43</v>
      </c>
      <c r="K1899" s="13" t="s">
        <v>2478</v>
      </c>
      <c r="L1899" s="13" t="s">
        <v>2257</v>
      </c>
      <c r="M1899" s="13" t="s">
        <v>2479</v>
      </c>
    </row>
    <row r="1900" customFormat="false" ht="15" hidden="false" customHeight="false" outlineLevel="0" collapsed="false">
      <c r="A1900" s="13" t="s">
        <v>628</v>
      </c>
      <c r="B1900" s="13" t="s">
        <v>627</v>
      </c>
      <c r="C1900" s="13" t="s">
        <v>2254</v>
      </c>
      <c r="D1900" s="13" t="s">
        <v>2270</v>
      </c>
      <c r="E1900" s="13" t="s">
        <v>2506</v>
      </c>
      <c r="F1900" s="13" t="s">
        <v>2502</v>
      </c>
      <c r="G1900" s="61" t="n">
        <v>12025610629</v>
      </c>
      <c r="H1900" s="13" t="s">
        <v>2255</v>
      </c>
      <c r="I1900" s="13" t="s">
        <v>2477</v>
      </c>
      <c r="J1900" s="13" t="n">
        <v>43</v>
      </c>
      <c r="K1900" s="13" t="s">
        <v>2478</v>
      </c>
      <c r="L1900" s="13" t="s">
        <v>2257</v>
      </c>
      <c r="M1900" s="13" t="s">
        <v>2479</v>
      </c>
    </row>
    <row r="1901" customFormat="false" ht="15" hidden="false" customHeight="false" outlineLevel="0" collapsed="false">
      <c r="A1901" s="13" t="s">
        <v>628</v>
      </c>
      <c r="B1901" s="13" t="s">
        <v>627</v>
      </c>
      <c r="C1901" s="13" t="s">
        <v>2254</v>
      </c>
      <c r="D1901" s="13" t="s">
        <v>2270</v>
      </c>
      <c r="E1901" s="13" t="s">
        <v>2507</v>
      </c>
      <c r="F1901" s="13" t="s">
        <v>2502</v>
      </c>
      <c r="G1901" s="61" t="n">
        <v>-1604659092</v>
      </c>
      <c r="H1901" s="13" t="s">
        <v>2255</v>
      </c>
      <c r="I1901" s="13" t="s">
        <v>2477</v>
      </c>
      <c r="J1901" s="13" t="n">
        <v>43</v>
      </c>
      <c r="K1901" s="13" t="s">
        <v>2478</v>
      </c>
      <c r="L1901" s="13" t="s">
        <v>2257</v>
      </c>
      <c r="M1901" s="13" t="s">
        <v>2479</v>
      </c>
    </row>
    <row r="1902" customFormat="false" ht="15" hidden="false" customHeight="false" outlineLevel="0" collapsed="false">
      <c r="A1902" s="13" t="s">
        <v>628</v>
      </c>
      <c r="B1902" s="13" t="s">
        <v>627</v>
      </c>
      <c r="C1902" s="13" t="s">
        <v>2254</v>
      </c>
      <c r="D1902" s="13" t="s">
        <v>2270</v>
      </c>
      <c r="E1902" s="13" t="s">
        <v>2508</v>
      </c>
      <c r="F1902" s="13" t="s">
        <v>2502</v>
      </c>
      <c r="G1902" s="61" t="n">
        <v>-9387563098</v>
      </c>
      <c r="H1902" s="13" t="s">
        <v>2255</v>
      </c>
      <c r="I1902" s="13" t="s">
        <v>2477</v>
      </c>
      <c r="J1902" s="13" t="n">
        <v>43</v>
      </c>
      <c r="K1902" s="13" t="s">
        <v>2478</v>
      </c>
      <c r="L1902" s="13" t="s">
        <v>2257</v>
      </c>
      <c r="M1902" s="13" t="s">
        <v>2479</v>
      </c>
    </row>
    <row r="1903" customFormat="false" ht="15" hidden="false" customHeight="false" outlineLevel="0" collapsed="false">
      <c r="A1903" s="13" t="s">
        <v>628</v>
      </c>
      <c r="B1903" s="13" t="s">
        <v>627</v>
      </c>
      <c r="C1903" s="13" t="s">
        <v>2254</v>
      </c>
      <c r="D1903" s="13" t="s">
        <v>2270</v>
      </c>
      <c r="E1903" s="13" t="s">
        <v>2509</v>
      </c>
      <c r="F1903" s="13" t="s">
        <v>2502</v>
      </c>
      <c r="G1903" s="61" t="n">
        <v>0</v>
      </c>
      <c r="H1903" s="13" t="s">
        <v>2255</v>
      </c>
      <c r="I1903" s="13" t="s">
        <v>2477</v>
      </c>
      <c r="J1903" s="13" t="n">
        <v>43</v>
      </c>
      <c r="K1903" s="13" t="s">
        <v>2478</v>
      </c>
      <c r="L1903" s="13" t="s">
        <v>2257</v>
      </c>
      <c r="M1903" s="13" t="s">
        <v>2479</v>
      </c>
    </row>
    <row r="1904" customFormat="false" ht="15" hidden="false" customHeight="false" outlineLevel="0" collapsed="false">
      <c r="A1904" s="13" t="s">
        <v>628</v>
      </c>
      <c r="B1904" s="13" t="s">
        <v>627</v>
      </c>
      <c r="C1904" s="13" t="s">
        <v>2254</v>
      </c>
      <c r="D1904" s="13" t="s">
        <v>2270</v>
      </c>
      <c r="E1904" s="13" t="s">
        <v>2510</v>
      </c>
      <c r="F1904" s="13" t="s">
        <v>2502</v>
      </c>
      <c r="G1904" s="61" t="n">
        <v>0</v>
      </c>
      <c r="H1904" s="13" t="s">
        <v>2255</v>
      </c>
      <c r="I1904" s="13" t="s">
        <v>2477</v>
      </c>
      <c r="J1904" s="13" t="n">
        <v>43</v>
      </c>
      <c r="K1904" s="13" t="s">
        <v>2478</v>
      </c>
      <c r="L1904" s="13" t="s">
        <v>2257</v>
      </c>
      <c r="M1904" s="13" t="s">
        <v>2479</v>
      </c>
    </row>
    <row r="1905" customFormat="false" ht="15" hidden="false" customHeight="false" outlineLevel="0" collapsed="false">
      <c r="A1905" s="13" t="s">
        <v>628</v>
      </c>
      <c r="B1905" s="13" t="s">
        <v>627</v>
      </c>
      <c r="C1905" s="13" t="s">
        <v>2254</v>
      </c>
      <c r="D1905" s="13" t="s">
        <v>2270</v>
      </c>
      <c r="E1905" s="13" t="s">
        <v>2511</v>
      </c>
      <c r="F1905" s="13" t="s">
        <v>2502</v>
      </c>
      <c r="G1905" s="61" t="n">
        <v>42000062402</v>
      </c>
      <c r="H1905" s="13" t="s">
        <v>2255</v>
      </c>
      <c r="I1905" s="13" t="s">
        <v>2477</v>
      </c>
      <c r="J1905" s="13" t="n">
        <v>43</v>
      </c>
      <c r="K1905" s="13" t="s">
        <v>2478</v>
      </c>
      <c r="L1905" s="13" t="s">
        <v>2257</v>
      </c>
      <c r="M1905" s="13" t="s">
        <v>2479</v>
      </c>
    </row>
    <row r="1906" customFormat="false" ht="15" hidden="false" customHeight="false" outlineLevel="0" collapsed="false">
      <c r="A1906" s="13" t="s">
        <v>628</v>
      </c>
      <c r="B1906" s="13" t="s">
        <v>627</v>
      </c>
      <c r="C1906" s="13" t="s">
        <v>2254</v>
      </c>
      <c r="D1906" s="13" t="s">
        <v>2270</v>
      </c>
      <c r="E1906" s="13" t="s">
        <v>2505</v>
      </c>
      <c r="F1906" s="13" t="s">
        <v>2503</v>
      </c>
      <c r="G1906" s="61" t="n">
        <v>27053779950</v>
      </c>
      <c r="H1906" s="13" t="s">
        <v>2255</v>
      </c>
      <c r="I1906" s="13" t="s">
        <v>2477</v>
      </c>
      <c r="J1906" s="13" t="n">
        <v>43</v>
      </c>
      <c r="K1906" s="13" t="s">
        <v>2478</v>
      </c>
      <c r="L1906" s="13" t="s">
        <v>2257</v>
      </c>
      <c r="M1906" s="13" t="s">
        <v>2479</v>
      </c>
    </row>
    <row r="1907" customFormat="false" ht="15" hidden="false" customHeight="false" outlineLevel="0" collapsed="false">
      <c r="A1907" s="13" t="s">
        <v>628</v>
      </c>
      <c r="B1907" s="13" t="s">
        <v>627</v>
      </c>
      <c r="C1907" s="13" t="s">
        <v>2254</v>
      </c>
      <c r="D1907" s="13" t="s">
        <v>2270</v>
      </c>
      <c r="E1907" s="13" t="s">
        <v>2506</v>
      </c>
      <c r="F1907" s="13" t="s">
        <v>2503</v>
      </c>
      <c r="G1907" s="61" t="n">
        <v>1121078257</v>
      </c>
      <c r="H1907" s="13" t="s">
        <v>2255</v>
      </c>
      <c r="I1907" s="13" t="s">
        <v>2477</v>
      </c>
      <c r="J1907" s="13" t="n">
        <v>43</v>
      </c>
      <c r="K1907" s="13" t="s">
        <v>2478</v>
      </c>
      <c r="L1907" s="13" t="s">
        <v>2257</v>
      </c>
      <c r="M1907" s="13" t="s">
        <v>2479</v>
      </c>
    </row>
    <row r="1908" customFormat="false" ht="15" hidden="false" customHeight="false" outlineLevel="0" collapsed="false">
      <c r="A1908" s="13" t="s">
        <v>628</v>
      </c>
      <c r="B1908" s="13" t="s">
        <v>627</v>
      </c>
      <c r="C1908" s="13" t="s">
        <v>2254</v>
      </c>
      <c r="D1908" s="13" t="s">
        <v>2270</v>
      </c>
      <c r="E1908" s="13" t="s">
        <v>2507</v>
      </c>
      <c r="F1908" s="13" t="s">
        <v>2503</v>
      </c>
      <c r="G1908" s="61" t="n">
        <v>0</v>
      </c>
      <c r="H1908" s="13" t="s">
        <v>2255</v>
      </c>
      <c r="I1908" s="13" t="s">
        <v>2477</v>
      </c>
      <c r="J1908" s="13" t="n">
        <v>43</v>
      </c>
      <c r="K1908" s="13" t="s">
        <v>2478</v>
      </c>
      <c r="L1908" s="13" t="s">
        <v>2257</v>
      </c>
      <c r="M1908" s="13" t="s">
        <v>2479</v>
      </c>
    </row>
    <row r="1909" customFormat="false" ht="15" hidden="false" customHeight="false" outlineLevel="0" collapsed="false">
      <c r="A1909" s="13" t="s">
        <v>628</v>
      </c>
      <c r="B1909" s="13" t="s">
        <v>627</v>
      </c>
      <c r="C1909" s="13" t="s">
        <v>2254</v>
      </c>
      <c r="D1909" s="13" t="s">
        <v>2270</v>
      </c>
      <c r="E1909" s="13" t="s">
        <v>2508</v>
      </c>
      <c r="F1909" s="13" t="s">
        <v>2503</v>
      </c>
      <c r="G1909" s="61" t="n">
        <v>-23627919873</v>
      </c>
      <c r="H1909" s="13" t="s">
        <v>2255</v>
      </c>
      <c r="I1909" s="13" t="s">
        <v>2477</v>
      </c>
      <c r="J1909" s="13" t="n">
        <v>43</v>
      </c>
      <c r="K1909" s="13" t="s">
        <v>2478</v>
      </c>
      <c r="L1909" s="13" t="s">
        <v>2257</v>
      </c>
      <c r="M1909" s="13" t="s">
        <v>2479</v>
      </c>
    </row>
    <row r="1910" customFormat="false" ht="15" hidden="false" customHeight="false" outlineLevel="0" collapsed="false">
      <c r="A1910" s="13" t="s">
        <v>628</v>
      </c>
      <c r="B1910" s="13" t="s">
        <v>627</v>
      </c>
      <c r="C1910" s="13" t="s">
        <v>2254</v>
      </c>
      <c r="D1910" s="13" t="s">
        <v>2270</v>
      </c>
      <c r="E1910" s="13" t="s">
        <v>2509</v>
      </c>
      <c r="F1910" s="13" t="s">
        <v>2503</v>
      </c>
      <c r="G1910" s="61" t="n">
        <v>0</v>
      </c>
      <c r="H1910" s="13" t="s">
        <v>2255</v>
      </c>
      <c r="I1910" s="13" t="s">
        <v>2477</v>
      </c>
      <c r="J1910" s="13" t="n">
        <v>43</v>
      </c>
      <c r="K1910" s="13" t="s">
        <v>2478</v>
      </c>
      <c r="L1910" s="13" t="s">
        <v>2257</v>
      </c>
      <c r="M1910" s="13" t="s">
        <v>2479</v>
      </c>
    </row>
    <row r="1911" customFormat="false" ht="15" hidden="false" customHeight="false" outlineLevel="0" collapsed="false">
      <c r="A1911" s="13" t="s">
        <v>628</v>
      </c>
      <c r="B1911" s="13" t="s">
        <v>627</v>
      </c>
      <c r="C1911" s="13" t="s">
        <v>2254</v>
      </c>
      <c r="D1911" s="13" t="s">
        <v>2270</v>
      </c>
      <c r="E1911" s="13" t="s">
        <v>2510</v>
      </c>
      <c r="F1911" s="13" t="s">
        <v>2503</v>
      </c>
      <c r="G1911" s="61" t="n">
        <v>0</v>
      </c>
      <c r="H1911" s="13" t="s">
        <v>2255</v>
      </c>
      <c r="I1911" s="13" t="s">
        <v>2477</v>
      </c>
      <c r="J1911" s="13" t="n">
        <v>43</v>
      </c>
      <c r="K1911" s="13" t="s">
        <v>2478</v>
      </c>
      <c r="L1911" s="13" t="s">
        <v>2257</v>
      </c>
      <c r="M1911" s="13" t="s">
        <v>2479</v>
      </c>
    </row>
    <row r="1912" customFormat="false" ht="15" hidden="false" customHeight="false" outlineLevel="0" collapsed="false">
      <c r="A1912" s="13" t="s">
        <v>628</v>
      </c>
      <c r="B1912" s="13" t="s">
        <v>627</v>
      </c>
      <c r="C1912" s="13" t="s">
        <v>2254</v>
      </c>
      <c r="D1912" s="13" t="s">
        <v>2270</v>
      </c>
      <c r="E1912" s="13" t="s">
        <v>2511</v>
      </c>
      <c r="F1912" s="13" t="s">
        <v>2503</v>
      </c>
      <c r="G1912" s="61" t="n">
        <v>4546938334</v>
      </c>
      <c r="H1912" s="13" t="s">
        <v>2255</v>
      </c>
      <c r="I1912" s="13" t="s">
        <v>2477</v>
      </c>
      <c r="J1912" s="13" t="n">
        <v>43</v>
      </c>
      <c r="K1912" s="13" t="s">
        <v>2478</v>
      </c>
      <c r="L1912" s="13" t="s">
        <v>2257</v>
      </c>
      <c r="M1912" s="13" t="s">
        <v>2479</v>
      </c>
    </row>
    <row r="1913" customFormat="false" ht="15" hidden="false" customHeight="false" outlineLevel="0" collapsed="false">
      <c r="A1913" s="13" t="s">
        <v>628</v>
      </c>
      <c r="B1913" s="13" t="s">
        <v>627</v>
      </c>
      <c r="C1913" s="13" t="s">
        <v>2254</v>
      </c>
      <c r="D1913" s="13" t="s">
        <v>2270</v>
      </c>
      <c r="E1913" s="13" t="s">
        <v>2505</v>
      </c>
      <c r="F1913" s="13" t="s">
        <v>2504</v>
      </c>
      <c r="G1913" s="61" t="n">
        <v>13476084817</v>
      </c>
      <c r="H1913" s="13" t="s">
        <v>2255</v>
      </c>
      <c r="I1913" s="13" t="s">
        <v>2477</v>
      </c>
      <c r="J1913" s="13" t="n">
        <v>43</v>
      </c>
      <c r="K1913" s="13" t="s">
        <v>2478</v>
      </c>
      <c r="L1913" s="13" t="s">
        <v>2257</v>
      </c>
      <c r="M1913" s="13" t="s">
        <v>2479</v>
      </c>
    </row>
    <row r="1914" customFormat="false" ht="15" hidden="false" customHeight="false" outlineLevel="0" collapsed="false">
      <c r="A1914" s="13" t="s">
        <v>628</v>
      </c>
      <c r="B1914" s="13" t="s">
        <v>627</v>
      </c>
      <c r="C1914" s="13" t="s">
        <v>2254</v>
      </c>
      <c r="D1914" s="13" t="s">
        <v>2270</v>
      </c>
      <c r="E1914" s="13" t="s">
        <v>2506</v>
      </c>
      <c r="F1914" s="13" t="s">
        <v>2504</v>
      </c>
      <c r="G1914" s="61" t="n">
        <v>167000000</v>
      </c>
      <c r="H1914" s="13" t="s">
        <v>2255</v>
      </c>
      <c r="I1914" s="13" t="s">
        <v>2477</v>
      </c>
      <c r="J1914" s="13" t="n">
        <v>43</v>
      </c>
      <c r="K1914" s="13" t="s">
        <v>2478</v>
      </c>
      <c r="L1914" s="13" t="s">
        <v>2257</v>
      </c>
      <c r="M1914" s="13" t="s">
        <v>2479</v>
      </c>
    </row>
    <row r="1915" customFormat="false" ht="15" hidden="false" customHeight="false" outlineLevel="0" collapsed="false">
      <c r="A1915" s="13" t="s">
        <v>628</v>
      </c>
      <c r="B1915" s="13" t="s">
        <v>627</v>
      </c>
      <c r="C1915" s="13" t="s">
        <v>2254</v>
      </c>
      <c r="D1915" s="13" t="s">
        <v>2270</v>
      </c>
      <c r="E1915" s="13" t="s">
        <v>2507</v>
      </c>
      <c r="F1915" s="13" t="s">
        <v>2504</v>
      </c>
      <c r="G1915" s="61" t="n">
        <v>-169674000</v>
      </c>
      <c r="H1915" s="13" t="s">
        <v>2255</v>
      </c>
      <c r="I1915" s="13" t="s">
        <v>2477</v>
      </c>
      <c r="J1915" s="13" t="n">
        <v>43</v>
      </c>
      <c r="K1915" s="13" t="s">
        <v>2478</v>
      </c>
      <c r="L1915" s="13" t="s">
        <v>2257</v>
      </c>
      <c r="M1915" s="13" t="s">
        <v>2479</v>
      </c>
    </row>
    <row r="1916" customFormat="false" ht="15" hidden="false" customHeight="false" outlineLevel="0" collapsed="false">
      <c r="A1916" s="13" t="s">
        <v>628</v>
      </c>
      <c r="B1916" s="13" t="s">
        <v>627</v>
      </c>
      <c r="C1916" s="13" t="s">
        <v>2254</v>
      </c>
      <c r="D1916" s="13" t="s">
        <v>2270</v>
      </c>
      <c r="E1916" s="13" t="s">
        <v>2508</v>
      </c>
      <c r="F1916" s="13" t="s">
        <v>2504</v>
      </c>
      <c r="G1916" s="61" t="n">
        <v>0</v>
      </c>
      <c r="H1916" s="13" t="s">
        <v>2255</v>
      </c>
      <c r="I1916" s="13" t="s">
        <v>2477</v>
      </c>
      <c r="J1916" s="13" t="n">
        <v>43</v>
      </c>
      <c r="K1916" s="13" t="s">
        <v>2478</v>
      </c>
      <c r="L1916" s="13" t="s">
        <v>2257</v>
      </c>
      <c r="M1916" s="13" t="s">
        <v>2479</v>
      </c>
    </row>
    <row r="1917" customFormat="false" ht="15" hidden="false" customHeight="false" outlineLevel="0" collapsed="false">
      <c r="A1917" s="13" t="s">
        <v>628</v>
      </c>
      <c r="B1917" s="13" t="s">
        <v>627</v>
      </c>
      <c r="C1917" s="13" t="s">
        <v>2254</v>
      </c>
      <c r="D1917" s="13" t="s">
        <v>2270</v>
      </c>
      <c r="E1917" s="13" t="s">
        <v>2509</v>
      </c>
      <c r="F1917" s="13" t="s">
        <v>2504</v>
      </c>
      <c r="G1917" s="61" t="n">
        <v>0</v>
      </c>
      <c r="H1917" s="13" t="s">
        <v>2255</v>
      </c>
      <c r="I1917" s="13" t="s">
        <v>2477</v>
      </c>
      <c r="J1917" s="13" t="n">
        <v>43</v>
      </c>
      <c r="K1917" s="13" t="s">
        <v>2478</v>
      </c>
      <c r="L1917" s="13" t="s">
        <v>2257</v>
      </c>
      <c r="M1917" s="13" t="s">
        <v>2479</v>
      </c>
    </row>
    <row r="1918" customFormat="false" ht="15" hidden="false" customHeight="false" outlineLevel="0" collapsed="false">
      <c r="A1918" s="13" t="s">
        <v>628</v>
      </c>
      <c r="B1918" s="13" t="s">
        <v>627</v>
      </c>
      <c r="C1918" s="13" t="s">
        <v>2254</v>
      </c>
      <c r="D1918" s="13" t="s">
        <v>2270</v>
      </c>
      <c r="E1918" s="13" t="s">
        <v>2510</v>
      </c>
      <c r="F1918" s="13" t="s">
        <v>2504</v>
      </c>
      <c r="G1918" s="61" t="n">
        <v>0</v>
      </c>
      <c r="H1918" s="13" t="s">
        <v>2255</v>
      </c>
      <c r="I1918" s="13" t="s">
        <v>2477</v>
      </c>
      <c r="J1918" s="13" t="n">
        <v>43</v>
      </c>
      <c r="K1918" s="13" t="s">
        <v>2478</v>
      </c>
      <c r="L1918" s="13" t="s">
        <v>2257</v>
      </c>
      <c r="M1918" s="13" t="s">
        <v>2479</v>
      </c>
    </row>
    <row r="1919" customFormat="false" ht="15" hidden="false" customHeight="false" outlineLevel="0" collapsed="false">
      <c r="A1919" s="13" t="s">
        <v>628</v>
      </c>
      <c r="B1919" s="13" t="s">
        <v>627</v>
      </c>
      <c r="C1919" s="13" t="s">
        <v>2254</v>
      </c>
      <c r="D1919" s="13" t="s">
        <v>2270</v>
      </c>
      <c r="E1919" s="13" t="s">
        <v>2511</v>
      </c>
      <c r="F1919" s="13" t="s">
        <v>2504</v>
      </c>
      <c r="G1919" s="61" t="n">
        <v>13473410817</v>
      </c>
      <c r="H1919" s="13" t="s">
        <v>2255</v>
      </c>
      <c r="I1919" s="13" t="s">
        <v>2477</v>
      </c>
      <c r="J1919" s="13" t="n">
        <v>43</v>
      </c>
      <c r="K1919" s="13" t="s">
        <v>2478</v>
      </c>
      <c r="L1919" s="13" t="s">
        <v>2257</v>
      </c>
      <c r="M1919" s="13" t="s">
        <v>2479</v>
      </c>
    </row>
    <row r="1920" customFormat="false" ht="15" hidden="false" customHeight="false" outlineLevel="0" collapsed="false">
      <c r="A1920" s="13" t="s">
        <v>628</v>
      </c>
      <c r="B1920" s="13" t="s">
        <v>627</v>
      </c>
      <c r="C1920" s="13" t="s">
        <v>2254</v>
      </c>
      <c r="D1920" s="13" t="s">
        <v>2270</v>
      </c>
      <c r="E1920" s="13" t="s">
        <v>2505</v>
      </c>
      <c r="F1920" s="13" t="s">
        <v>2513</v>
      </c>
      <c r="G1920" s="61" t="n">
        <v>14831696923</v>
      </c>
      <c r="H1920" s="13" t="s">
        <v>2255</v>
      </c>
      <c r="I1920" s="13" t="s">
        <v>2477</v>
      </c>
      <c r="J1920" s="13" t="n">
        <v>43</v>
      </c>
      <c r="K1920" s="13" t="s">
        <v>2478</v>
      </c>
      <c r="L1920" s="13" t="s">
        <v>2257</v>
      </c>
      <c r="M1920" s="13" t="s">
        <v>2479</v>
      </c>
    </row>
    <row r="1921" customFormat="false" ht="15" hidden="false" customHeight="false" outlineLevel="0" collapsed="false">
      <c r="A1921" s="13" t="s">
        <v>628</v>
      </c>
      <c r="B1921" s="13" t="s">
        <v>627</v>
      </c>
      <c r="C1921" s="13" t="s">
        <v>2254</v>
      </c>
      <c r="D1921" s="13" t="s">
        <v>2270</v>
      </c>
      <c r="E1921" s="13" t="s">
        <v>2506</v>
      </c>
      <c r="F1921" s="13" t="s">
        <v>2513</v>
      </c>
      <c r="G1921" s="61" t="n">
        <v>5051239676</v>
      </c>
      <c r="H1921" s="13" t="s">
        <v>2255</v>
      </c>
      <c r="I1921" s="13" t="s">
        <v>2477</v>
      </c>
      <c r="J1921" s="13" t="n">
        <v>43</v>
      </c>
      <c r="K1921" s="13" t="s">
        <v>2478</v>
      </c>
      <c r="L1921" s="13" t="s">
        <v>2257</v>
      </c>
      <c r="M1921" s="13" t="s">
        <v>2479</v>
      </c>
    </row>
    <row r="1922" customFormat="false" ht="15" hidden="false" customHeight="false" outlineLevel="0" collapsed="false">
      <c r="A1922" s="13" t="s">
        <v>628</v>
      </c>
      <c r="B1922" s="13" t="s">
        <v>627</v>
      </c>
      <c r="C1922" s="13" t="s">
        <v>2254</v>
      </c>
      <c r="D1922" s="13" t="s">
        <v>2270</v>
      </c>
      <c r="E1922" s="13" t="s">
        <v>2507</v>
      </c>
      <c r="F1922" s="13" t="s">
        <v>2513</v>
      </c>
      <c r="G1922" s="61" t="n">
        <v>-13850524944</v>
      </c>
      <c r="H1922" s="13" t="s">
        <v>2255</v>
      </c>
      <c r="I1922" s="13" t="s">
        <v>2477</v>
      </c>
      <c r="J1922" s="13" t="n">
        <v>43</v>
      </c>
      <c r="K1922" s="13" t="s">
        <v>2478</v>
      </c>
      <c r="L1922" s="13" t="s">
        <v>2257</v>
      </c>
      <c r="M1922" s="13" t="s">
        <v>2479</v>
      </c>
    </row>
    <row r="1923" customFormat="false" ht="15" hidden="false" customHeight="false" outlineLevel="0" collapsed="false">
      <c r="A1923" s="13" t="s">
        <v>628</v>
      </c>
      <c r="B1923" s="13" t="s">
        <v>627</v>
      </c>
      <c r="C1923" s="13" t="s">
        <v>2254</v>
      </c>
      <c r="D1923" s="13" t="s">
        <v>2270</v>
      </c>
      <c r="E1923" s="13" t="s">
        <v>2508</v>
      </c>
      <c r="F1923" s="13" t="s">
        <v>2513</v>
      </c>
      <c r="G1923" s="61" t="n">
        <v>-206965151</v>
      </c>
      <c r="H1923" s="13" t="s">
        <v>2255</v>
      </c>
      <c r="I1923" s="13" t="s">
        <v>2477</v>
      </c>
      <c r="J1923" s="13" t="n">
        <v>43</v>
      </c>
      <c r="K1923" s="13" t="s">
        <v>2478</v>
      </c>
      <c r="L1923" s="13" t="s">
        <v>2257</v>
      </c>
      <c r="M1923" s="13" t="s">
        <v>2479</v>
      </c>
    </row>
    <row r="1924" customFormat="false" ht="15" hidden="false" customHeight="false" outlineLevel="0" collapsed="false">
      <c r="A1924" s="13" t="s">
        <v>628</v>
      </c>
      <c r="B1924" s="13" t="s">
        <v>627</v>
      </c>
      <c r="C1924" s="13" t="s">
        <v>2254</v>
      </c>
      <c r="D1924" s="13" t="s">
        <v>2270</v>
      </c>
      <c r="E1924" s="13" t="s">
        <v>2509</v>
      </c>
      <c r="F1924" s="13" t="s">
        <v>2513</v>
      </c>
      <c r="G1924" s="61" t="n">
        <v>0</v>
      </c>
      <c r="H1924" s="13" t="s">
        <v>2255</v>
      </c>
      <c r="I1924" s="13" t="s">
        <v>2477</v>
      </c>
      <c r="J1924" s="13" t="n">
        <v>43</v>
      </c>
      <c r="K1924" s="13" t="s">
        <v>2478</v>
      </c>
      <c r="L1924" s="13" t="s">
        <v>2257</v>
      </c>
      <c r="M1924" s="13" t="s">
        <v>2479</v>
      </c>
    </row>
    <row r="1925" customFormat="false" ht="15" hidden="false" customHeight="false" outlineLevel="0" collapsed="false">
      <c r="A1925" s="13" t="s">
        <v>628</v>
      </c>
      <c r="B1925" s="13" t="s">
        <v>627</v>
      </c>
      <c r="C1925" s="13" t="s">
        <v>2254</v>
      </c>
      <c r="D1925" s="13" t="s">
        <v>2270</v>
      </c>
      <c r="E1925" s="13" t="s">
        <v>2510</v>
      </c>
      <c r="F1925" s="13" t="s">
        <v>2513</v>
      </c>
      <c r="G1925" s="61" t="n">
        <v>0</v>
      </c>
      <c r="H1925" s="13" t="s">
        <v>2255</v>
      </c>
      <c r="I1925" s="13" t="s">
        <v>2477</v>
      </c>
      <c r="J1925" s="13" t="n">
        <v>43</v>
      </c>
      <c r="K1925" s="13" t="s">
        <v>2478</v>
      </c>
      <c r="L1925" s="13" t="s">
        <v>2257</v>
      </c>
      <c r="M1925" s="13" t="s">
        <v>2479</v>
      </c>
    </row>
    <row r="1926" customFormat="false" ht="15" hidden="false" customHeight="false" outlineLevel="0" collapsed="false">
      <c r="A1926" s="13" t="s">
        <v>628</v>
      </c>
      <c r="B1926" s="13" t="s">
        <v>627</v>
      </c>
      <c r="C1926" s="13" t="s">
        <v>2254</v>
      </c>
      <c r="D1926" s="13" t="s">
        <v>2270</v>
      </c>
      <c r="E1926" s="13" t="s">
        <v>2511</v>
      </c>
      <c r="F1926" s="13" t="s">
        <v>2513</v>
      </c>
      <c r="G1926" s="61" t="n">
        <v>5825446504</v>
      </c>
      <c r="H1926" s="13" t="s">
        <v>2255</v>
      </c>
      <c r="I1926" s="13" t="s">
        <v>2477</v>
      </c>
      <c r="J1926" s="13" t="n">
        <v>43</v>
      </c>
      <c r="K1926" s="13" t="s">
        <v>2478</v>
      </c>
      <c r="L1926" s="13" t="s">
        <v>2257</v>
      </c>
      <c r="M1926" s="13" t="s">
        <v>2479</v>
      </c>
    </row>
    <row r="1927" customFormat="false" ht="15" hidden="false" customHeight="false" outlineLevel="0" collapsed="false">
      <c r="A1927" s="13" t="s">
        <v>628</v>
      </c>
      <c r="B1927" s="13" t="s">
        <v>627</v>
      </c>
      <c r="C1927" s="13" t="s">
        <v>2254</v>
      </c>
      <c r="D1927" s="13" t="s">
        <v>2270</v>
      </c>
      <c r="E1927" s="13" t="s">
        <v>2505</v>
      </c>
      <c r="F1927" s="13" t="s">
        <v>2290</v>
      </c>
      <c r="G1927" s="61" t="n">
        <v>1365448255206</v>
      </c>
      <c r="H1927" s="13" t="s">
        <v>2255</v>
      </c>
      <c r="I1927" s="13" t="s">
        <v>2477</v>
      </c>
      <c r="J1927" s="13" t="n">
        <v>43</v>
      </c>
      <c r="K1927" s="13" t="s">
        <v>2478</v>
      </c>
      <c r="L1927" s="13" t="s">
        <v>2257</v>
      </c>
      <c r="M1927" s="13" t="s">
        <v>2479</v>
      </c>
    </row>
    <row r="1928" customFormat="false" ht="15" hidden="false" customHeight="false" outlineLevel="0" collapsed="false">
      <c r="A1928" s="13" t="s">
        <v>628</v>
      </c>
      <c r="B1928" s="13" t="s">
        <v>627</v>
      </c>
      <c r="C1928" s="13" t="s">
        <v>2254</v>
      </c>
      <c r="D1928" s="13" t="s">
        <v>2270</v>
      </c>
      <c r="E1928" s="13" t="s">
        <v>2506</v>
      </c>
      <c r="F1928" s="13" t="s">
        <v>2290</v>
      </c>
      <c r="G1928" s="61" t="n">
        <v>49606709171</v>
      </c>
      <c r="H1928" s="13" t="s">
        <v>2255</v>
      </c>
      <c r="I1928" s="13" t="s">
        <v>2477</v>
      </c>
      <c r="J1928" s="13" t="n">
        <v>43</v>
      </c>
      <c r="K1928" s="13" t="s">
        <v>2478</v>
      </c>
      <c r="L1928" s="13" t="s">
        <v>2257</v>
      </c>
      <c r="M1928" s="13" t="s">
        <v>2479</v>
      </c>
    </row>
    <row r="1929" customFormat="false" ht="15" hidden="false" customHeight="false" outlineLevel="0" collapsed="false">
      <c r="A1929" s="13" t="s">
        <v>628</v>
      </c>
      <c r="B1929" s="13" t="s">
        <v>627</v>
      </c>
      <c r="C1929" s="13" t="s">
        <v>2254</v>
      </c>
      <c r="D1929" s="13" t="s">
        <v>2270</v>
      </c>
      <c r="E1929" s="13" t="s">
        <v>2507</v>
      </c>
      <c r="F1929" s="13" t="s">
        <v>2290</v>
      </c>
      <c r="G1929" s="61" t="n">
        <v>-23856679192</v>
      </c>
      <c r="H1929" s="13" t="s">
        <v>2255</v>
      </c>
      <c r="I1929" s="13" t="s">
        <v>2477</v>
      </c>
      <c r="J1929" s="13" t="n">
        <v>43</v>
      </c>
      <c r="K1929" s="13" t="s">
        <v>2478</v>
      </c>
      <c r="L1929" s="13" t="s">
        <v>2257</v>
      </c>
      <c r="M1929" s="13" t="s">
        <v>2479</v>
      </c>
    </row>
    <row r="1930" customFormat="false" ht="15" hidden="false" customHeight="false" outlineLevel="0" collapsed="false">
      <c r="A1930" s="13" t="s">
        <v>628</v>
      </c>
      <c r="B1930" s="13" t="s">
        <v>627</v>
      </c>
      <c r="C1930" s="13" t="s">
        <v>2254</v>
      </c>
      <c r="D1930" s="13" t="s">
        <v>2270</v>
      </c>
      <c r="E1930" s="13" t="s">
        <v>2508</v>
      </c>
      <c r="F1930" s="13" t="s">
        <v>2290</v>
      </c>
      <c r="G1930" s="61" t="n">
        <v>-11676361052</v>
      </c>
      <c r="H1930" s="13" t="s">
        <v>2255</v>
      </c>
      <c r="I1930" s="13" t="s">
        <v>2477</v>
      </c>
      <c r="J1930" s="13" t="n">
        <v>43</v>
      </c>
      <c r="K1930" s="13" t="s">
        <v>2478</v>
      </c>
      <c r="L1930" s="13" t="s">
        <v>2257</v>
      </c>
      <c r="M1930" s="13" t="s">
        <v>2479</v>
      </c>
    </row>
    <row r="1931" customFormat="false" ht="15" hidden="false" customHeight="false" outlineLevel="0" collapsed="false">
      <c r="A1931" s="13" t="s">
        <v>628</v>
      </c>
      <c r="B1931" s="13" t="s">
        <v>627</v>
      </c>
      <c r="C1931" s="13" t="s">
        <v>2254</v>
      </c>
      <c r="D1931" s="13" t="s">
        <v>2270</v>
      </c>
      <c r="E1931" s="13" t="s">
        <v>2509</v>
      </c>
      <c r="F1931" s="13" t="s">
        <v>2290</v>
      </c>
      <c r="G1931" s="61" t="n">
        <v>0</v>
      </c>
      <c r="H1931" s="13" t="s">
        <v>2255</v>
      </c>
      <c r="I1931" s="13" t="s">
        <v>2477</v>
      </c>
      <c r="J1931" s="13" t="n">
        <v>43</v>
      </c>
      <c r="K1931" s="13" t="s">
        <v>2478</v>
      </c>
      <c r="L1931" s="13" t="s">
        <v>2257</v>
      </c>
      <c r="M1931" s="13" t="s">
        <v>2479</v>
      </c>
    </row>
    <row r="1932" customFormat="false" ht="15" hidden="false" customHeight="false" outlineLevel="0" collapsed="false">
      <c r="A1932" s="13" t="s">
        <v>628</v>
      </c>
      <c r="B1932" s="13" t="s">
        <v>627</v>
      </c>
      <c r="C1932" s="13" t="s">
        <v>2254</v>
      </c>
      <c r="D1932" s="13" t="s">
        <v>2270</v>
      </c>
      <c r="E1932" s="13" t="s">
        <v>2510</v>
      </c>
      <c r="F1932" s="13" t="s">
        <v>2290</v>
      </c>
      <c r="G1932" s="61" t="n">
        <v>126337956118</v>
      </c>
      <c r="H1932" s="13" t="s">
        <v>2255</v>
      </c>
      <c r="I1932" s="13" t="s">
        <v>2477</v>
      </c>
      <c r="J1932" s="13" t="n">
        <v>43</v>
      </c>
      <c r="K1932" s="13" t="s">
        <v>2478</v>
      </c>
      <c r="L1932" s="13" t="s">
        <v>2257</v>
      </c>
      <c r="M1932" s="13" t="s">
        <v>2479</v>
      </c>
    </row>
    <row r="1933" customFormat="false" ht="15" hidden="false" customHeight="false" outlineLevel="0" collapsed="false">
      <c r="A1933" s="13" t="s">
        <v>628</v>
      </c>
      <c r="B1933" s="13" t="s">
        <v>627</v>
      </c>
      <c r="C1933" s="13" t="s">
        <v>2254</v>
      </c>
      <c r="D1933" s="13" t="s">
        <v>2270</v>
      </c>
      <c r="E1933" s="13" t="s">
        <v>2511</v>
      </c>
      <c r="F1933" s="13" t="s">
        <v>2290</v>
      </c>
      <c r="G1933" s="61" t="n">
        <v>1505859880251</v>
      </c>
      <c r="H1933" s="13" t="s">
        <v>2255</v>
      </c>
      <c r="I1933" s="13" t="s">
        <v>2477</v>
      </c>
      <c r="J1933" s="13" t="n">
        <v>43</v>
      </c>
      <c r="K1933" s="13" t="s">
        <v>2478</v>
      </c>
      <c r="L1933" s="13" t="s">
        <v>2257</v>
      </c>
      <c r="M1933" s="13" t="s">
        <v>2479</v>
      </c>
    </row>
    <row r="1934" customFormat="false" ht="15" hidden="false" customHeight="false" outlineLevel="0" collapsed="false">
      <c r="A1934" s="13" t="s">
        <v>628</v>
      </c>
      <c r="B1934" s="13" t="s">
        <v>627</v>
      </c>
      <c r="C1934" s="13" t="s">
        <v>2258</v>
      </c>
      <c r="D1934" s="13" t="s">
        <v>2270</v>
      </c>
      <c r="E1934" s="13" t="s">
        <v>2476</v>
      </c>
      <c r="F1934" s="13" t="s">
        <v>2434</v>
      </c>
      <c r="G1934" s="61" t="n">
        <v>14104719858</v>
      </c>
      <c r="H1934" s="13" t="s">
        <v>2255</v>
      </c>
      <c r="I1934" s="13" t="s">
        <v>2477</v>
      </c>
      <c r="J1934" s="13" t="n">
        <v>4</v>
      </c>
      <c r="K1934" s="13" t="s">
        <v>2478</v>
      </c>
      <c r="L1934" s="13" t="s">
        <v>2260</v>
      </c>
      <c r="M1934" s="13" t="s">
        <v>2479</v>
      </c>
    </row>
    <row r="1935" customFormat="false" ht="15" hidden="false" customHeight="false" outlineLevel="0" collapsed="false">
      <c r="A1935" s="13" t="s">
        <v>628</v>
      </c>
      <c r="B1935" s="13" t="s">
        <v>627</v>
      </c>
      <c r="C1935" s="13" t="s">
        <v>2258</v>
      </c>
      <c r="D1935" s="13" t="s">
        <v>2270</v>
      </c>
      <c r="E1935" s="13" t="s">
        <v>2480</v>
      </c>
      <c r="F1935" s="13" t="s">
        <v>2434</v>
      </c>
      <c r="G1935" s="61" t="n">
        <v>22523019455</v>
      </c>
      <c r="H1935" s="13" t="s">
        <v>2255</v>
      </c>
      <c r="I1935" s="13" t="s">
        <v>2477</v>
      </c>
      <c r="J1935" s="13" t="n">
        <v>4</v>
      </c>
      <c r="K1935" s="13" t="s">
        <v>2478</v>
      </c>
      <c r="L1935" s="13" t="s">
        <v>2260</v>
      </c>
      <c r="M1935" s="13" t="s">
        <v>2479</v>
      </c>
    </row>
    <row r="1936" customFormat="false" ht="15" hidden="false" customHeight="false" outlineLevel="0" collapsed="false">
      <c r="A1936" s="13" t="s">
        <v>628</v>
      </c>
      <c r="B1936" s="13" t="s">
        <v>627</v>
      </c>
      <c r="C1936" s="13" t="s">
        <v>2258</v>
      </c>
      <c r="D1936" s="13" t="s">
        <v>2270</v>
      </c>
      <c r="E1936" s="13" t="s">
        <v>2481</v>
      </c>
      <c r="F1936" s="13" t="s">
        <v>2434</v>
      </c>
      <c r="G1936" s="61" t="n">
        <v>-11087298140</v>
      </c>
      <c r="H1936" s="13" t="s">
        <v>2255</v>
      </c>
      <c r="I1936" s="13" t="s">
        <v>2477</v>
      </c>
      <c r="J1936" s="13" t="n">
        <v>4</v>
      </c>
      <c r="K1936" s="13" t="s">
        <v>2478</v>
      </c>
      <c r="L1936" s="13" t="s">
        <v>2260</v>
      </c>
      <c r="M1936" s="13" t="s">
        <v>2479</v>
      </c>
    </row>
    <row r="1937" customFormat="false" ht="15" hidden="false" customHeight="false" outlineLevel="0" collapsed="false">
      <c r="A1937" s="13" t="s">
        <v>628</v>
      </c>
      <c r="B1937" s="13" t="s">
        <v>627</v>
      </c>
      <c r="C1937" s="13" t="s">
        <v>2258</v>
      </c>
      <c r="D1937" s="13" t="s">
        <v>2270</v>
      </c>
      <c r="E1937" s="13" t="s">
        <v>2482</v>
      </c>
      <c r="F1937" s="13" t="s">
        <v>2434</v>
      </c>
      <c r="G1937" s="61" t="n">
        <v>-189589897</v>
      </c>
      <c r="H1937" s="13" t="s">
        <v>2255</v>
      </c>
      <c r="I1937" s="13" t="s">
        <v>2477</v>
      </c>
      <c r="J1937" s="13" t="n">
        <v>4</v>
      </c>
      <c r="K1937" s="13" t="s">
        <v>2478</v>
      </c>
      <c r="L1937" s="13" t="s">
        <v>2260</v>
      </c>
      <c r="M1937" s="13" t="s">
        <v>2479</v>
      </c>
    </row>
    <row r="1938" customFormat="false" ht="15" hidden="false" customHeight="false" outlineLevel="0" collapsed="false">
      <c r="A1938" s="13" t="s">
        <v>628</v>
      </c>
      <c r="B1938" s="13" t="s">
        <v>627</v>
      </c>
      <c r="C1938" s="13" t="s">
        <v>2258</v>
      </c>
      <c r="D1938" s="13" t="s">
        <v>2270</v>
      </c>
      <c r="E1938" s="13" t="s">
        <v>2483</v>
      </c>
      <c r="F1938" s="13" t="s">
        <v>2434</v>
      </c>
      <c r="G1938" s="61" t="n">
        <v>0</v>
      </c>
      <c r="H1938" s="13" t="s">
        <v>2255</v>
      </c>
      <c r="I1938" s="13" t="s">
        <v>2477</v>
      </c>
      <c r="J1938" s="13" t="n">
        <v>4</v>
      </c>
      <c r="K1938" s="13" t="s">
        <v>2478</v>
      </c>
      <c r="L1938" s="13" t="s">
        <v>2260</v>
      </c>
      <c r="M1938" s="13" t="s">
        <v>2479</v>
      </c>
    </row>
    <row r="1939" customFormat="false" ht="15" hidden="false" customHeight="false" outlineLevel="0" collapsed="false">
      <c r="A1939" s="13" t="s">
        <v>628</v>
      </c>
      <c r="B1939" s="13" t="s">
        <v>627</v>
      </c>
      <c r="C1939" s="13" t="s">
        <v>2258</v>
      </c>
      <c r="D1939" s="13" t="s">
        <v>2270</v>
      </c>
      <c r="E1939" s="13" t="s">
        <v>2484</v>
      </c>
      <c r="F1939" s="13" t="s">
        <v>2434</v>
      </c>
      <c r="G1939" s="61" t="n">
        <v>0</v>
      </c>
      <c r="H1939" s="13" t="s">
        <v>2255</v>
      </c>
      <c r="I1939" s="13" t="s">
        <v>2477</v>
      </c>
      <c r="J1939" s="13" t="n">
        <v>4</v>
      </c>
      <c r="K1939" s="13" t="s">
        <v>2478</v>
      </c>
      <c r="L1939" s="13" t="s">
        <v>2260</v>
      </c>
      <c r="M1939" s="13" t="s">
        <v>2479</v>
      </c>
    </row>
    <row r="1940" customFormat="false" ht="15" hidden="false" customHeight="false" outlineLevel="0" collapsed="false">
      <c r="A1940" s="13" t="s">
        <v>628</v>
      </c>
      <c r="B1940" s="13" t="s">
        <v>627</v>
      </c>
      <c r="C1940" s="13" t="s">
        <v>2258</v>
      </c>
      <c r="D1940" s="13" t="s">
        <v>2270</v>
      </c>
      <c r="E1940" s="13" t="s">
        <v>2485</v>
      </c>
      <c r="F1940" s="13" t="s">
        <v>2434</v>
      </c>
      <c r="G1940" s="61" t="n">
        <v>25350851276</v>
      </c>
      <c r="H1940" s="13" t="s">
        <v>2255</v>
      </c>
      <c r="I1940" s="13" t="s">
        <v>2477</v>
      </c>
      <c r="J1940" s="13" t="n">
        <v>4</v>
      </c>
      <c r="K1940" s="13" t="s">
        <v>2478</v>
      </c>
      <c r="L1940" s="13" t="s">
        <v>2260</v>
      </c>
      <c r="M1940" s="13" t="s">
        <v>2479</v>
      </c>
    </row>
    <row r="1941" customFormat="false" ht="15" hidden="false" customHeight="false" outlineLevel="0" collapsed="false">
      <c r="A1941" s="13" t="s">
        <v>628</v>
      </c>
      <c r="B1941" s="13" t="s">
        <v>627</v>
      </c>
      <c r="C1941" s="13" t="s">
        <v>2258</v>
      </c>
      <c r="D1941" s="13" t="s">
        <v>2270</v>
      </c>
      <c r="E1941" s="13" t="s">
        <v>2486</v>
      </c>
      <c r="F1941" s="13" t="s">
        <v>2434</v>
      </c>
      <c r="G1941" s="61" t="n">
        <v>43382126814</v>
      </c>
      <c r="H1941" s="13" t="s">
        <v>2255</v>
      </c>
      <c r="I1941" s="13" t="s">
        <v>2477</v>
      </c>
      <c r="J1941" s="13" t="n">
        <v>4</v>
      </c>
      <c r="K1941" s="13" t="s">
        <v>2478</v>
      </c>
      <c r="L1941" s="13" t="s">
        <v>2260</v>
      </c>
      <c r="M1941" s="13" t="s">
        <v>2479</v>
      </c>
    </row>
    <row r="1942" customFormat="false" ht="15" hidden="false" customHeight="false" outlineLevel="0" collapsed="false">
      <c r="A1942" s="13" t="s">
        <v>628</v>
      </c>
      <c r="B1942" s="13" t="s">
        <v>627</v>
      </c>
      <c r="C1942" s="13" t="s">
        <v>2258</v>
      </c>
      <c r="D1942" s="13" t="s">
        <v>2270</v>
      </c>
      <c r="E1942" s="13" t="s">
        <v>2487</v>
      </c>
      <c r="F1942" s="13" t="s">
        <v>2434</v>
      </c>
      <c r="G1942" s="61" t="n">
        <v>53759764902</v>
      </c>
      <c r="H1942" s="13" t="s">
        <v>2255</v>
      </c>
      <c r="I1942" s="13" t="s">
        <v>2477</v>
      </c>
      <c r="J1942" s="13" t="n">
        <v>4</v>
      </c>
      <c r="K1942" s="13" t="s">
        <v>2478</v>
      </c>
      <c r="L1942" s="13" t="s">
        <v>2260</v>
      </c>
      <c r="M1942" s="13" t="s">
        <v>2479</v>
      </c>
    </row>
    <row r="1943" customFormat="false" ht="15" hidden="false" customHeight="false" outlineLevel="0" collapsed="false">
      <c r="A1943" s="13" t="s">
        <v>628</v>
      </c>
      <c r="B1943" s="13" t="s">
        <v>627</v>
      </c>
      <c r="C1943" s="13" t="s">
        <v>2258</v>
      </c>
      <c r="D1943" s="13" t="s">
        <v>2270</v>
      </c>
      <c r="E1943" s="13" t="s">
        <v>2488</v>
      </c>
      <c r="F1943" s="13" t="s">
        <v>2434</v>
      </c>
      <c r="G1943" s="61" t="n">
        <v>-11087298140</v>
      </c>
      <c r="H1943" s="13" t="s">
        <v>2255</v>
      </c>
      <c r="I1943" s="13" t="s">
        <v>2477</v>
      </c>
      <c r="J1943" s="13" t="n">
        <v>4</v>
      </c>
      <c r="K1943" s="13" t="s">
        <v>2478</v>
      </c>
      <c r="L1943" s="13" t="s">
        <v>2260</v>
      </c>
      <c r="M1943" s="13" t="s">
        <v>2479</v>
      </c>
    </row>
    <row r="1944" customFormat="false" ht="15" hidden="false" customHeight="false" outlineLevel="0" collapsed="false">
      <c r="A1944" s="13" t="s">
        <v>628</v>
      </c>
      <c r="B1944" s="13" t="s">
        <v>627</v>
      </c>
      <c r="C1944" s="13" t="s">
        <v>2258</v>
      </c>
      <c r="D1944" s="13" t="s">
        <v>2270</v>
      </c>
      <c r="E1944" s="13" t="s">
        <v>2489</v>
      </c>
      <c r="F1944" s="13" t="s">
        <v>2434</v>
      </c>
      <c r="G1944" s="61" t="n">
        <v>-223302323</v>
      </c>
      <c r="H1944" s="13" t="s">
        <v>2255</v>
      </c>
      <c r="I1944" s="13" t="s">
        <v>2477</v>
      </c>
      <c r="J1944" s="13" t="n">
        <v>4</v>
      </c>
      <c r="K1944" s="13" t="s">
        <v>2478</v>
      </c>
      <c r="L1944" s="13" t="s">
        <v>2260</v>
      </c>
      <c r="M1944" s="13" t="s">
        <v>2479</v>
      </c>
    </row>
    <row r="1945" customFormat="false" ht="15" hidden="false" customHeight="false" outlineLevel="0" collapsed="false">
      <c r="A1945" s="13" t="s">
        <v>628</v>
      </c>
      <c r="B1945" s="13" t="s">
        <v>627</v>
      </c>
      <c r="C1945" s="13" t="s">
        <v>2258</v>
      </c>
      <c r="D1945" s="13" t="s">
        <v>2270</v>
      </c>
      <c r="E1945" s="13" t="s">
        <v>2490</v>
      </c>
      <c r="F1945" s="13" t="s">
        <v>2434</v>
      </c>
      <c r="G1945" s="61" t="n">
        <v>0</v>
      </c>
      <c r="H1945" s="13" t="s">
        <v>2255</v>
      </c>
      <c r="I1945" s="13" t="s">
        <v>2477</v>
      </c>
      <c r="J1945" s="13" t="n">
        <v>4</v>
      </c>
      <c r="K1945" s="13" t="s">
        <v>2478</v>
      </c>
      <c r="L1945" s="13" t="s">
        <v>2260</v>
      </c>
      <c r="M1945" s="13" t="s">
        <v>2479</v>
      </c>
    </row>
    <row r="1946" customFormat="false" ht="15" hidden="false" customHeight="false" outlineLevel="0" collapsed="false">
      <c r="A1946" s="13" t="s">
        <v>628</v>
      </c>
      <c r="B1946" s="13" t="s">
        <v>627</v>
      </c>
      <c r="C1946" s="13" t="s">
        <v>2258</v>
      </c>
      <c r="D1946" s="13" t="s">
        <v>2270</v>
      </c>
      <c r="E1946" s="13" t="s">
        <v>2491</v>
      </c>
      <c r="F1946" s="13" t="s">
        <v>2434</v>
      </c>
      <c r="G1946" s="61" t="n">
        <v>0</v>
      </c>
      <c r="H1946" s="13" t="s">
        <v>2255</v>
      </c>
      <c r="I1946" s="13" t="s">
        <v>2477</v>
      </c>
      <c r="J1946" s="13" t="n">
        <v>4</v>
      </c>
      <c r="K1946" s="13" t="s">
        <v>2478</v>
      </c>
      <c r="L1946" s="13" t="s">
        <v>2260</v>
      </c>
      <c r="M1946" s="13" t="s">
        <v>2479</v>
      </c>
    </row>
    <row r="1947" customFormat="false" ht="15" hidden="false" customHeight="false" outlineLevel="0" collapsed="false">
      <c r="A1947" s="13" t="s">
        <v>628</v>
      </c>
      <c r="B1947" s="13" t="s">
        <v>627</v>
      </c>
      <c r="C1947" s="13" t="s">
        <v>2258</v>
      </c>
      <c r="D1947" s="13" t="s">
        <v>2270</v>
      </c>
      <c r="E1947" s="13" t="s">
        <v>2492</v>
      </c>
      <c r="F1947" s="13" t="s">
        <v>2434</v>
      </c>
      <c r="G1947" s="61" t="n">
        <v>85831291253</v>
      </c>
      <c r="H1947" s="13" t="s">
        <v>2255</v>
      </c>
      <c r="I1947" s="13" t="s">
        <v>2477</v>
      </c>
      <c r="J1947" s="13" t="n">
        <v>4</v>
      </c>
      <c r="K1947" s="13" t="s">
        <v>2478</v>
      </c>
      <c r="L1947" s="13" t="s">
        <v>2260</v>
      </c>
      <c r="M1947" s="13" t="s">
        <v>2479</v>
      </c>
    </row>
    <row r="1948" customFormat="false" ht="15" hidden="false" customHeight="false" outlineLevel="0" collapsed="false">
      <c r="A1948" s="13" t="s">
        <v>628</v>
      </c>
      <c r="B1948" s="13" t="s">
        <v>627</v>
      </c>
      <c r="C1948" s="13" t="s">
        <v>2258</v>
      </c>
      <c r="D1948" s="13" t="s">
        <v>2270</v>
      </c>
      <c r="E1948" s="13" t="s">
        <v>2493</v>
      </c>
      <c r="F1948" s="13" t="s">
        <v>2448</v>
      </c>
      <c r="G1948" s="61" t="n">
        <v>11762739916</v>
      </c>
      <c r="H1948" s="13" t="s">
        <v>2255</v>
      </c>
      <c r="I1948" s="13" t="s">
        <v>2477</v>
      </c>
      <c r="J1948" s="13" t="n">
        <v>56</v>
      </c>
      <c r="K1948" s="13" t="s">
        <v>2478</v>
      </c>
      <c r="L1948" s="13" t="s">
        <v>2260</v>
      </c>
      <c r="M1948" s="13" t="s">
        <v>2479</v>
      </c>
    </row>
    <row r="1949" customFormat="false" ht="15" hidden="false" customHeight="false" outlineLevel="0" collapsed="false">
      <c r="A1949" s="13" t="s">
        <v>628</v>
      </c>
      <c r="B1949" s="13" t="s">
        <v>627</v>
      </c>
      <c r="C1949" s="13" t="s">
        <v>2258</v>
      </c>
      <c r="D1949" s="13" t="s">
        <v>2270</v>
      </c>
      <c r="E1949" s="13" t="s">
        <v>2494</v>
      </c>
      <c r="F1949" s="13" t="s">
        <v>2448</v>
      </c>
      <c r="G1949" s="61" t="n">
        <v>19494753170</v>
      </c>
      <c r="H1949" s="13" t="s">
        <v>2255</v>
      </c>
      <c r="I1949" s="13" t="s">
        <v>2477</v>
      </c>
      <c r="J1949" s="13" t="n">
        <v>56</v>
      </c>
      <c r="K1949" s="13" t="s">
        <v>2478</v>
      </c>
      <c r="L1949" s="13" t="s">
        <v>2260</v>
      </c>
      <c r="M1949" s="13" t="s">
        <v>2479</v>
      </c>
    </row>
    <row r="1950" customFormat="false" ht="15" hidden="false" customHeight="false" outlineLevel="0" collapsed="false">
      <c r="A1950" s="13" t="s">
        <v>628</v>
      </c>
      <c r="B1950" s="13" t="s">
        <v>627</v>
      </c>
      <c r="C1950" s="13" t="s">
        <v>2258</v>
      </c>
      <c r="D1950" s="13" t="s">
        <v>2270</v>
      </c>
      <c r="E1950" s="13" t="s">
        <v>2495</v>
      </c>
      <c r="F1950" s="13" t="s">
        <v>2448</v>
      </c>
      <c r="G1950" s="61" t="n">
        <v>0</v>
      </c>
      <c r="H1950" s="13" t="s">
        <v>2255</v>
      </c>
      <c r="I1950" s="13" t="s">
        <v>2477</v>
      </c>
      <c r="J1950" s="13" t="n">
        <v>56</v>
      </c>
      <c r="K1950" s="13" t="s">
        <v>2478</v>
      </c>
      <c r="L1950" s="13" t="s">
        <v>2260</v>
      </c>
      <c r="M1950" s="13" t="s">
        <v>2479</v>
      </c>
    </row>
    <row r="1951" customFormat="false" ht="15" hidden="false" customHeight="false" outlineLevel="0" collapsed="false">
      <c r="A1951" s="13" t="s">
        <v>628</v>
      </c>
      <c r="B1951" s="13" t="s">
        <v>627</v>
      </c>
      <c r="C1951" s="13" t="s">
        <v>2258</v>
      </c>
      <c r="D1951" s="13" t="s">
        <v>2270</v>
      </c>
      <c r="E1951" s="13" t="s">
        <v>2496</v>
      </c>
      <c r="F1951" s="13" t="s">
        <v>2448</v>
      </c>
      <c r="G1951" s="61" t="n">
        <v>0</v>
      </c>
      <c r="H1951" s="13" t="s">
        <v>2255</v>
      </c>
      <c r="I1951" s="13" t="s">
        <v>2477</v>
      </c>
      <c r="J1951" s="13" t="n">
        <v>56</v>
      </c>
      <c r="K1951" s="13" t="s">
        <v>2478</v>
      </c>
      <c r="L1951" s="13" t="s">
        <v>2260</v>
      </c>
      <c r="M1951" s="13" t="s">
        <v>2479</v>
      </c>
    </row>
    <row r="1952" customFormat="false" ht="15" hidden="false" customHeight="false" outlineLevel="0" collapsed="false">
      <c r="A1952" s="13" t="s">
        <v>628</v>
      </c>
      <c r="B1952" s="13" t="s">
        <v>627</v>
      </c>
      <c r="C1952" s="13" t="s">
        <v>2258</v>
      </c>
      <c r="D1952" s="13" t="s">
        <v>2270</v>
      </c>
      <c r="E1952" s="13" t="s">
        <v>2497</v>
      </c>
      <c r="F1952" s="13" t="s">
        <v>2448</v>
      </c>
      <c r="G1952" s="61" t="n">
        <v>0</v>
      </c>
      <c r="H1952" s="13" t="s">
        <v>2255</v>
      </c>
      <c r="I1952" s="13" t="s">
        <v>2477</v>
      </c>
      <c r="J1952" s="13" t="n">
        <v>56</v>
      </c>
      <c r="K1952" s="13" t="s">
        <v>2478</v>
      </c>
      <c r="L1952" s="13" t="s">
        <v>2260</v>
      </c>
      <c r="M1952" s="13" t="s">
        <v>2479</v>
      </c>
    </row>
    <row r="1953" customFormat="false" ht="15" hidden="false" customHeight="false" outlineLevel="0" collapsed="false">
      <c r="A1953" s="13" t="s">
        <v>628</v>
      </c>
      <c r="B1953" s="13" t="s">
        <v>627</v>
      </c>
      <c r="C1953" s="13" t="s">
        <v>2258</v>
      </c>
      <c r="D1953" s="13" t="s">
        <v>2270</v>
      </c>
      <c r="E1953" s="13" t="s">
        <v>2498</v>
      </c>
      <c r="F1953" s="13" t="s">
        <v>2448</v>
      </c>
      <c r="G1953" s="61" t="n">
        <v>0</v>
      </c>
      <c r="H1953" s="13" t="s">
        <v>2255</v>
      </c>
      <c r="I1953" s="13" t="s">
        <v>2477</v>
      </c>
      <c r="J1953" s="13" t="n">
        <v>56</v>
      </c>
      <c r="K1953" s="13" t="s">
        <v>2478</v>
      </c>
      <c r="L1953" s="13" t="s">
        <v>2260</v>
      </c>
      <c r="M1953" s="13" t="s">
        <v>2479</v>
      </c>
    </row>
    <row r="1954" customFormat="false" ht="15" hidden="false" customHeight="false" outlineLevel="0" collapsed="false">
      <c r="A1954" s="13" t="s">
        <v>628</v>
      </c>
      <c r="B1954" s="13" t="s">
        <v>627</v>
      </c>
      <c r="C1954" s="13" t="s">
        <v>2258</v>
      </c>
      <c r="D1954" s="13" t="s">
        <v>2270</v>
      </c>
      <c r="E1954" s="13" t="s">
        <v>2499</v>
      </c>
      <c r="F1954" s="13" t="s">
        <v>2448</v>
      </c>
      <c r="G1954" s="61" t="n">
        <v>31257493086</v>
      </c>
      <c r="H1954" s="13" t="s">
        <v>2255</v>
      </c>
      <c r="I1954" s="13" t="s">
        <v>2477</v>
      </c>
      <c r="J1954" s="13" t="n">
        <v>56</v>
      </c>
      <c r="K1954" s="13" t="s">
        <v>2478</v>
      </c>
      <c r="L1954" s="13" t="s">
        <v>2260</v>
      </c>
      <c r="M1954" s="13" t="s">
        <v>2479</v>
      </c>
    </row>
    <row r="1955" customFormat="false" ht="15" hidden="false" customHeight="false" outlineLevel="0" collapsed="false">
      <c r="A1955" s="13" t="s">
        <v>628</v>
      </c>
      <c r="B1955" s="13" t="s">
        <v>627</v>
      </c>
      <c r="C1955" s="13" t="s">
        <v>2258</v>
      </c>
      <c r="D1955" s="13" t="s">
        <v>2270</v>
      </c>
      <c r="E1955" s="13" t="s">
        <v>2493</v>
      </c>
      <c r="F1955" s="13" t="s">
        <v>2500</v>
      </c>
      <c r="G1955" s="61" t="n">
        <v>180835962173</v>
      </c>
      <c r="H1955" s="13" t="s">
        <v>2255</v>
      </c>
      <c r="I1955" s="13" t="s">
        <v>2477</v>
      </c>
      <c r="J1955" s="13" t="n">
        <v>56</v>
      </c>
      <c r="K1955" s="13" t="s">
        <v>2478</v>
      </c>
      <c r="L1955" s="13" t="s">
        <v>2260</v>
      </c>
      <c r="M1955" s="13" t="s">
        <v>2479</v>
      </c>
    </row>
    <row r="1956" customFormat="false" ht="15" hidden="false" customHeight="false" outlineLevel="0" collapsed="false">
      <c r="A1956" s="13" t="s">
        <v>628</v>
      </c>
      <c r="B1956" s="13" t="s">
        <v>627</v>
      </c>
      <c r="C1956" s="13" t="s">
        <v>2258</v>
      </c>
      <c r="D1956" s="13" t="s">
        <v>2270</v>
      </c>
      <c r="E1956" s="13" t="s">
        <v>2494</v>
      </c>
      <c r="F1956" s="13" t="s">
        <v>2500</v>
      </c>
      <c r="G1956" s="61" t="n">
        <v>24925022963</v>
      </c>
      <c r="H1956" s="13" t="s">
        <v>2255</v>
      </c>
      <c r="I1956" s="13" t="s">
        <v>2477</v>
      </c>
      <c r="J1956" s="13" t="n">
        <v>56</v>
      </c>
      <c r="K1956" s="13" t="s">
        <v>2478</v>
      </c>
      <c r="L1956" s="13" t="s">
        <v>2260</v>
      </c>
      <c r="M1956" s="13" t="s">
        <v>2479</v>
      </c>
    </row>
    <row r="1957" customFormat="false" ht="15" hidden="false" customHeight="false" outlineLevel="0" collapsed="false">
      <c r="A1957" s="13" t="s">
        <v>628</v>
      </c>
      <c r="B1957" s="13" t="s">
        <v>627</v>
      </c>
      <c r="C1957" s="13" t="s">
        <v>2258</v>
      </c>
      <c r="D1957" s="13" t="s">
        <v>2270</v>
      </c>
      <c r="E1957" s="13" t="s">
        <v>2495</v>
      </c>
      <c r="F1957" s="13" t="s">
        <v>2500</v>
      </c>
      <c r="G1957" s="61" t="n">
        <v>-522031084</v>
      </c>
      <c r="H1957" s="13" t="s">
        <v>2255</v>
      </c>
      <c r="I1957" s="13" t="s">
        <v>2477</v>
      </c>
      <c r="J1957" s="13" t="n">
        <v>56</v>
      </c>
      <c r="K1957" s="13" t="s">
        <v>2478</v>
      </c>
      <c r="L1957" s="13" t="s">
        <v>2260</v>
      </c>
      <c r="M1957" s="13" t="s">
        <v>2479</v>
      </c>
    </row>
    <row r="1958" customFormat="false" ht="15" hidden="false" customHeight="false" outlineLevel="0" collapsed="false">
      <c r="A1958" s="13" t="s">
        <v>628</v>
      </c>
      <c r="B1958" s="13" t="s">
        <v>627</v>
      </c>
      <c r="C1958" s="13" t="s">
        <v>2258</v>
      </c>
      <c r="D1958" s="13" t="s">
        <v>2270</v>
      </c>
      <c r="E1958" s="13" t="s">
        <v>2496</v>
      </c>
      <c r="F1958" s="13" t="s">
        <v>2500</v>
      </c>
      <c r="G1958" s="61" t="n">
        <v>2314969884</v>
      </c>
      <c r="H1958" s="13" t="s">
        <v>2255</v>
      </c>
      <c r="I1958" s="13" t="s">
        <v>2477</v>
      </c>
      <c r="J1958" s="13" t="n">
        <v>56</v>
      </c>
      <c r="K1958" s="13" t="s">
        <v>2478</v>
      </c>
      <c r="L1958" s="13" t="s">
        <v>2260</v>
      </c>
      <c r="M1958" s="13" t="s">
        <v>2479</v>
      </c>
    </row>
    <row r="1959" customFormat="false" ht="15" hidden="false" customHeight="false" outlineLevel="0" collapsed="false">
      <c r="A1959" s="13" t="s">
        <v>628</v>
      </c>
      <c r="B1959" s="13" t="s">
        <v>627</v>
      </c>
      <c r="C1959" s="13" t="s">
        <v>2258</v>
      </c>
      <c r="D1959" s="13" t="s">
        <v>2270</v>
      </c>
      <c r="E1959" s="13" t="s">
        <v>2497</v>
      </c>
      <c r="F1959" s="13" t="s">
        <v>2500</v>
      </c>
      <c r="G1959" s="61" t="n">
        <v>0</v>
      </c>
      <c r="H1959" s="13" t="s">
        <v>2255</v>
      </c>
      <c r="I1959" s="13" t="s">
        <v>2477</v>
      </c>
      <c r="J1959" s="13" t="n">
        <v>56</v>
      </c>
      <c r="K1959" s="13" t="s">
        <v>2478</v>
      </c>
      <c r="L1959" s="13" t="s">
        <v>2260</v>
      </c>
      <c r="M1959" s="13" t="s">
        <v>2479</v>
      </c>
    </row>
    <row r="1960" customFormat="false" ht="15" hidden="false" customHeight="false" outlineLevel="0" collapsed="false">
      <c r="A1960" s="13" t="s">
        <v>628</v>
      </c>
      <c r="B1960" s="13" t="s">
        <v>627</v>
      </c>
      <c r="C1960" s="13" t="s">
        <v>2258</v>
      </c>
      <c r="D1960" s="13" t="s">
        <v>2270</v>
      </c>
      <c r="E1960" s="13" t="s">
        <v>2498</v>
      </c>
      <c r="F1960" s="13" t="s">
        <v>2500</v>
      </c>
      <c r="G1960" s="61" t="n">
        <v>0</v>
      </c>
      <c r="H1960" s="13" t="s">
        <v>2255</v>
      </c>
      <c r="I1960" s="13" t="s">
        <v>2477</v>
      </c>
      <c r="J1960" s="13" t="n">
        <v>56</v>
      </c>
      <c r="K1960" s="13" t="s">
        <v>2478</v>
      </c>
      <c r="L1960" s="13" t="s">
        <v>2260</v>
      </c>
      <c r="M1960" s="13" t="s">
        <v>2479</v>
      </c>
    </row>
    <row r="1961" customFormat="false" ht="15" hidden="false" customHeight="false" outlineLevel="0" collapsed="false">
      <c r="A1961" s="13" t="s">
        <v>628</v>
      </c>
      <c r="B1961" s="13" t="s">
        <v>627</v>
      </c>
      <c r="C1961" s="13" t="s">
        <v>2258</v>
      </c>
      <c r="D1961" s="13" t="s">
        <v>2270</v>
      </c>
      <c r="E1961" s="13" t="s">
        <v>2499</v>
      </c>
      <c r="F1961" s="13" t="s">
        <v>2500</v>
      </c>
      <c r="G1961" s="61" t="n">
        <v>207553923936</v>
      </c>
      <c r="H1961" s="13" t="s">
        <v>2255</v>
      </c>
      <c r="I1961" s="13" t="s">
        <v>2477</v>
      </c>
      <c r="J1961" s="13" t="n">
        <v>56</v>
      </c>
      <c r="K1961" s="13" t="s">
        <v>2478</v>
      </c>
      <c r="L1961" s="13" t="s">
        <v>2260</v>
      </c>
      <c r="M1961" s="13" t="s">
        <v>2479</v>
      </c>
    </row>
    <row r="1962" customFormat="false" ht="15" hidden="false" customHeight="false" outlineLevel="0" collapsed="false">
      <c r="A1962" s="13" t="s">
        <v>628</v>
      </c>
      <c r="B1962" s="13" t="s">
        <v>627</v>
      </c>
      <c r="C1962" s="13" t="s">
        <v>2258</v>
      </c>
      <c r="D1962" s="13" t="s">
        <v>2270</v>
      </c>
      <c r="E1962" s="13" t="s">
        <v>2493</v>
      </c>
      <c r="F1962" s="13" t="s">
        <v>2501</v>
      </c>
      <c r="G1962" s="61" t="n">
        <v>25051038517</v>
      </c>
      <c r="H1962" s="13" t="s">
        <v>2255</v>
      </c>
      <c r="I1962" s="13" t="s">
        <v>2477</v>
      </c>
      <c r="J1962" s="13" t="n">
        <v>56</v>
      </c>
      <c r="K1962" s="13" t="s">
        <v>2478</v>
      </c>
      <c r="L1962" s="13" t="s">
        <v>2260</v>
      </c>
      <c r="M1962" s="13" t="s">
        <v>2479</v>
      </c>
    </row>
    <row r="1963" customFormat="false" ht="15" hidden="false" customHeight="false" outlineLevel="0" collapsed="false">
      <c r="A1963" s="13" t="s">
        <v>628</v>
      </c>
      <c r="B1963" s="13" t="s">
        <v>627</v>
      </c>
      <c r="C1963" s="13" t="s">
        <v>2258</v>
      </c>
      <c r="D1963" s="13" t="s">
        <v>2270</v>
      </c>
      <c r="E1963" s="13" t="s">
        <v>2494</v>
      </c>
      <c r="F1963" s="13" t="s">
        <v>2501</v>
      </c>
      <c r="G1963" s="61" t="n">
        <v>10555781785</v>
      </c>
      <c r="H1963" s="13" t="s">
        <v>2255</v>
      </c>
      <c r="I1963" s="13" t="s">
        <v>2477</v>
      </c>
      <c r="J1963" s="13" t="n">
        <v>56</v>
      </c>
      <c r="K1963" s="13" t="s">
        <v>2478</v>
      </c>
      <c r="L1963" s="13" t="s">
        <v>2260</v>
      </c>
      <c r="M1963" s="13" t="s">
        <v>2479</v>
      </c>
    </row>
    <row r="1964" customFormat="false" ht="15" hidden="false" customHeight="false" outlineLevel="0" collapsed="false">
      <c r="A1964" s="13" t="s">
        <v>628</v>
      </c>
      <c r="B1964" s="13" t="s">
        <v>627</v>
      </c>
      <c r="C1964" s="13" t="s">
        <v>2258</v>
      </c>
      <c r="D1964" s="13" t="s">
        <v>2270</v>
      </c>
      <c r="E1964" s="13" t="s">
        <v>2495</v>
      </c>
      <c r="F1964" s="13" t="s">
        <v>2501</v>
      </c>
      <c r="G1964" s="61" t="n">
        <v>-30411330</v>
      </c>
      <c r="H1964" s="13" t="s">
        <v>2255</v>
      </c>
      <c r="I1964" s="13" t="s">
        <v>2477</v>
      </c>
      <c r="J1964" s="13" t="n">
        <v>56</v>
      </c>
      <c r="K1964" s="13" t="s">
        <v>2478</v>
      </c>
      <c r="L1964" s="13" t="s">
        <v>2260</v>
      </c>
      <c r="M1964" s="13" t="s">
        <v>2479</v>
      </c>
    </row>
    <row r="1965" customFormat="false" ht="15" hidden="false" customHeight="false" outlineLevel="0" collapsed="false">
      <c r="A1965" s="13" t="s">
        <v>628</v>
      </c>
      <c r="B1965" s="13" t="s">
        <v>627</v>
      </c>
      <c r="C1965" s="13" t="s">
        <v>2258</v>
      </c>
      <c r="D1965" s="13" t="s">
        <v>2270</v>
      </c>
      <c r="E1965" s="13" t="s">
        <v>2496</v>
      </c>
      <c r="F1965" s="13" t="s">
        <v>2501</v>
      </c>
      <c r="G1965" s="61" t="n">
        <v>-2314969884</v>
      </c>
      <c r="H1965" s="13" t="s">
        <v>2255</v>
      </c>
      <c r="I1965" s="13" t="s">
        <v>2477</v>
      </c>
      <c r="J1965" s="13" t="n">
        <v>56</v>
      </c>
      <c r="K1965" s="13" t="s">
        <v>2478</v>
      </c>
      <c r="L1965" s="13" t="s">
        <v>2260</v>
      </c>
      <c r="M1965" s="13" t="s">
        <v>2479</v>
      </c>
    </row>
    <row r="1966" customFormat="false" ht="15" hidden="false" customHeight="false" outlineLevel="0" collapsed="false">
      <c r="A1966" s="13" t="s">
        <v>628</v>
      </c>
      <c r="B1966" s="13" t="s">
        <v>627</v>
      </c>
      <c r="C1966" s="13" t="s">
        <v>2258</v>
      </c>
      <c r="D1966" s="13" t="s">
        <v>2270</v>
      </c>
      <c r="E1966" s="13" t="s">
        <v>2497</v>
      </c>
      <c r="F1966" s="13" t="s">
        <v>2501</v>
      </c>
      <c r="G1966" s="61" t="n">
        <v>0</v>
      </c>
      <c r="H1966" s="13" t="s">
        <v>2255</v>
      </c>
      <c r="I1966" s="13" t="s">
        <v>2477</v>
      </c>
      <c r="J1966" s="13" t="n">
        <v>56</v>
      </c>
      <c r="K1966" s="13" t="s">
        <v>2478</v>
      </c>
      <c r="L1966" s="13" t="s">
        <v>2260</v>
      </c>
      <c r="M1966" s="13" t="s">
        <v>2479</v>
      </c>
    </row>
    <row r="1967" customFormat="false" ht="15" hidden="false" customHeight="false" outlineLevel="0" collapsed="false">
      <c r="A1967" s="13" t="s">
        <v>628</v>
      </c>
      <c r="B1967" s="13" t="s">
        <v>627</v>
      </c>
      <c r="C1967" s="13" t="s">
        <v>2258</v>
      </c>
      <c r="D1967" s="13" t="s">
        <v>2270</v>
      </c>
      <c r="E1967" s="13" t="s">
        <v>2498</v>
      </c>
      <c r="F1967" s="13" t="s">
        <v>2501</v>
      </c>
      <c r="G1967" s="61" t="n">
        <v>0</v>
      </c>
      <c r="H1967" s="13" t="s">
        <v>2255</v>
      </c>
      <c r="I1967" s="13" t="s">
        <v>2477</v>
      </c>
      <c r="J1967" s="13" t="n">
        <v>56</v>
      </c>
      <c r="K1967" s="13" t="s">
        <v>2478</v>
      </c>
      <c r="L1967" s="13" t="s">
        <v>2260</v>
      </c>
      <c r="M1967" s="13" t="s">
        <v>2479</v>
      </c>
    </row>
    <row r="1968" customFormat="false" ht="15" hidden="false" customHeight="false" outlineLevel="0" collapsed="false">
      <c r="A1968" s="13" t="s">
        <v>628</v>
      </c>
      <c r="B1968" s="13" t="s">
        <v>627</v>
      </c>
      <c r="C1968" s="13" t="s">
        <v>2258</v>
      </c>
      <c r="D1968" s="13" t="s">
        <v>2270</v>
      </c>
      <c r="E1968" s="13" t="s">
        <v>2499</v>
      </c>
      <c r="F1968" s="13" t="s">
        <v>2501</v>
      </c>
      <c r="G1968" s="61" t="n">
        <v>33261439088</v>
      </c>
      <c r="H1968" s="13" t="s">
        <v>2255</v>
      </c>
      <c r="I1968" s="13" t="s">
        <v>2477</v>
      </c>
      <c r="J1968" s="13" t="n">
        <v>56</v>
      </c>
      <c r="K1968" s="13" t="s">
        <v>2478</v>
      </c>
      <c r="L1968" s="13" t="s">
        <v>2260</v>
      </c>
      <c r="M1968" s="13" t="s">
        <v>2479</v>
      </c>
    </row>
    <row r="1969" customFormat="false" ht="15" hidden="false" customHeight="false" outlineLevel="0" collapsed="false">
      <c r="A1969" s="13" t="s">
        <v>628</v>
      </c>
      <c r="B1969" s="13" t="s">
        <v>627</v>
      </c>
      <c r="C1969" s="13" t="s">
        <v>2258</v>
      </c>
      <c r="D1969" s="13" t="s">
        <v>2270</v>
      </c>
      <c r="E1969" s="13" t="s">
        <v>2493</v>
      </c>
      <c r="F1969" s="13" t="s">
        <v>2502</v>
      </c>
      <c r="G1969" s="61" t="n">
        <v>29094496110</v>
      </c>
      <c r="H1969" s="13" t="s">
        <v>2255</v>
      </c>
      <c r="I1969" s="13" t="s">
        <v>2477</v>
      </c>
      <c r="J1969" s="13" t="n">
        <v>56</v>
      </c>
      <c r="K1969" s="13" t="s">
        <v>2478</v>
      </c>
      <c r="L1969" s="13" t="s">
        <v>2260</v>
      </c>
      <c r="M1969" s="13" t="s">
        <v>2479</v>
      </c>
    </row>
    <row r="1970" customFormat="false" ht="15" hidden="false" customHeight="false" outlineLevel="0" collapsed="false">
      <c r="A1970" s="13" t="s">
        <v>628</v>
      </c>
      <c r="B1970" s="13" t="s">
        <v>627</v>
      </c>
      <c r="C1970" s="13" t="s">
        <v>2258</v>
      </c>
      <c r="D1970" s="13" t="s">
        <v>2270</v>
      </c>
      <c r="E1970" s="13" t="s">
        <v>2494</v>
      </c>
      <c r="F1970" s="13" t="s">
        <v>2502</v>
      </c>
      <c r="G1970" s="61" t="n">
        <v>4304692461</v>
      </c>
      <c r="H1970" s="13" t="s">
        <v>2255</v>
      </c>
      <c r="I1970" s="13" t="s">
        <v>2477</v>
      </c>
      <c r="J1970" s="13" t="n">
        <v>56</v>
      </c>
      <c r="K1970" s="13" t="s">
        <v>2478</v>
      </c>
      <c r="L1970" s="13" t="s">
        <v>2260</v>
      </c>
      <c r="M1970" s="13" t="s">
        <v>2479</v>
      </c>
    </row>
    <row r="1971" customFormat="false" ht="15" hidden="false" customHeight="false" outlineLevel="0" collapsed="false">
      <c r="A1971" s="13" t="s">
        <v>628</v>
      </c>
      <c r="B1971" s="13" t="s">
        <v>627</v>
      </c>
      <c r="C1971" s="13" t="s">
        <v>2258</v>
      </c>
      <c r="D1971" s="13" t="s">
        <v>2270</v>
      </c>
      <c r="E1971" s="13" t="s">
        <v>2495</v>
      </c>
      <c r="F1971" s="13" t="s">
        <v>2502</v>
      </c>
      <c r="G1971" s="61" t="n">
        <v>0</v>
      </c>
      <c r="H1971" s="13" t="s">
        <v>2255</v>
      </c>
      <c r="I1971" s="13" t="s">
        <v>2477</v>
      </c>
      <c r="J1971" s="13" t="n">
        <v>56</v>
      </c>
      <c r="K1971" s="13" t="s">
        <v>2478</v>
      </c>
      <c r="L1971" s="13" t="s">
        <v>2260</v>
      </c>
      <c r="M1971" s="13" t="s">
        <v>2479</v>
      </c>
    </row>
    <row r="1972" customFormat="false" ht="15" hidden="false" customHeight="false" outlineLevel="0" collapsed="false">
      <c r="A1972" s="13" t="s">
        <v>628</v>
      </c>
      <c r="B1972" s="13" t="s">
        <v>627</v>
      </c>
      <c r="C1972" s="13" t="s">
        <v>2258</v>
      </c>
      <c r="D1972" s="13" t="s">
        <v>2270</v>
      </c>
      <c r="E1972" s="13" t="s">
        <v>2496</v>
      </c>
      <c r="F1972" s="13" t="s">
        <v>2502</v>
      </c>
      <c r="G1972" s="61" t="n">
        <v>0</v>
      </c>
      <c r="H1972" s="13" t="s">
        <v>2255</v>
      </c>
      <c r="I1972" s="13" t="s">
        <v>2477</v>
      </c>
      <c r="J1972" s="13" t="n">
        <v>56</v>
      </c>
      <c r="K1972" s="13" t="s">
        <v>2478</v>
      </c>
      <c r="L1972" s="13" t="s">
        <v>2260</v>
      </c>
      <c r="M1972" s="13" t="s">
        <v>2479</v>
      </c>
    </row>
    <row r="1973" customFormat="false" ht="15" hidden="false" customHeight="false" outlineLevel="0" collapsed="false">
      <c r="A1973" s="13" t="s">
        <v>628</v>
      </c>
      <c r="B1973" s="13" t="s">
        <v>627</v>
      </c>
      <c r="C1973" s="13" t="s">
        <v>2258</v>
      </c>
      <c r="D1973" s="13" t="s">
        <v>2270</v>
      </c>
      <c r="E1973" s="13" t="s">
        <v>2497</v>
      </c>
      <c r="F1973" s="13" t="s">
        <v>2502</v>
      </c>
      <c r="G1973" s="61" t="n">
        <v>0</v>
      </c>
      <c r="H1973" s="13" t="s">
        <v>2255</v>
      </c>
      <c r="I1973" s="13" t="s">
        <v>2477</v>
      </c>
      <c r="J1973" s="13" t="n">
        <v>56</v>
      </c>
      <c r="K1973" s="13" t="s">
        <v>2478</v>
      </c>
      <c r="L1973" s="13" t="s">
        <v>2260</v>
      </c>
      <c r="M1973" s="13" t="s">
        <v>2479</v>
      </c>
    </row>
    <row r="1974" customFormat="false" ht="15" hidden="false" customHeight="false" outlineLevel="0" collapsed="false">
      <c r="A1974" s="13" t="s">
        <v>628</v>
      </c>
      <c r="B1974" s="13" t="s">
        <v>627</v>
      </c>
      <c r="C1974" s="13" t="s">
        <v>2258</v>
      </c>
      <c r="D1974" s="13" t="s">
        <v>2270</v>
      </c>
      <c r="E1974" s="13" t="s">
        <v>2498</v>
      </c>
      <c r="F1974" s="13" t="s">
        <v>2502</v>
      </c>
      <c r="G1974" s="61" t="n">
        <v>0</v>
      </c>
      <c r="H1974" s="13" t="s">
        <v>2255</v>
      </c>
      <c r="I1974" s="13" t="s">
        <v>2477</v>
      </c>
      <c r="J1974" s="13" t="n">
        <v>56</v>
      </c>
      <c r="K1974" s="13" t="s">
        <v>2478</v>
      </c>
      <c r="L1974" s="13" t="s">
        <v>2260</v>
      </c>
      <c r="M1974" s="13" t="s">
        <v>2479</v>
      </c>
    </row>
    <row r="1975" customFormat="false" ht="15" hidden="false" customHeight="false" outlineLevel="0" collapsed="false">
      <c r="A1975" s="13" t="s">
        <v>628</v>
      </c>
      <c r="B1975" s="13" t="s">
        <v>627</v>
      </c>
      <c r="C1975" s="13" t="s">
        <v>2258</v>
      </c>
      <c r="D1975" s="13" t="s">
        <v>2270</v>
      </c>
      <c r="E1975" s="13" t="s">
        <v>2499</v>
      </c>
      <c r="F1975" s="13" t="s">
        <v>2502</v>
      </c>
      <c r="G1975" s="61" t="n">
        <v>33399188571</v>
      </c>
      <c r="H1975" s="13" t="s">
        <v>2255</v>
      </c>
      <c r="I1975" s="13" t="s">
        <v>2477</v>
      </c>
      <c r="J1975" s="13" t="n">
        <v>56</v>
      </c>
      <c r="K1975" s="13" t="s">
        <v>2478</v>
      </c>
      <c r="L1975" s="13" t="s">
        <v>2260</v>
      </c>
      <c r="M1975" s="13" t="s">
        <v>2479</v>
      </c>
    </row>
    <row r="1976" customFormat="false" ht="15" hidden="false" customHeight="false" outlineLevel="0" collapsed="false">
      <c r="A1976" s="13" t="s">
        <v>628</v>
      </c>
      <c r="B1976" s="13" t="s">
        <v>627</v>
      </c>
      <c r="C1976" s="13" t="s">
        <v>2258</v>
      </c>
      <c r="D1976" s="13" t="s">
        <v>2270</v>
      </c>
      <c r="E1976" s="13" t="s">
        <v>2493</v>
      </c>
      <c r="F1976" s="13" t="s">
        <v>2503</v>
      </c>
      <c r="G1976" s="61" t="n">
        <v>3692557149</v>
      </c>
      <c r="H1976" s="13" t="s">
        <v>2255</v>
      </c>
      <c r="I1976" s="13" t="s">
        <v>2477</v>
      </c>
      <c r="J1976" s="13" t="n">
        <v>56</v>
      </c>
      <c r="K1976" s="13" t="s">
        <v>2478</v>
      </c>
      <c r="L1976" s="13" t="s">
        <v>2260</v>
      </c>
      <c r="M1976" s="13" t="s">
        <v>2479</v>
      </c>
    </row>
    <row r="1977" customFormat="false" ht="15" hidden="false" customHeight="false" outlineLevel="0" collapsed="false">
      <c r="A1977" s="13" t="s">
        <v>628</v>
      </c>
      <c r="B1977" s="13" t="s">
        <v>627</v>
      </c>
      <c r="C1977" s="13" t="s">
        <v>2258</v>
      </c>
      <c r="D1977" s="13" t="s">
        <v>2270</v>
      </c>
      <c r="E1977" s="13" t="s">
        <v>2494</v>
      </c>
      <c r="F1977" s="13" t="s">
        <v>2503</v>
      </c>
      <c r="G1977" s="61" t="n">
        <v>1122334128</v>
      </c>
      <c r="H1977" s="13" t="s">
        <v>2255</v>
      </c>
      <c r="I1977" s="13" t="s">
        <v>2477</v>
      </c>
      <c r="J1977" s="13" t="n">
        <v>56</v>
      </c>
      <c r="K1977" s="13" t="s">
        <v>2478</v>
      </c>
      <c r="L1977" s="13" t="s">
        <v>2260</v>
      </c>
      <c r="M1977" s="13" t="s">
        <v>2479</v>
      </c>
    </row>
    <row r="1978" customFormat="false" ht="15" hidden="false" customHeight="false" outlineLevel="0" collapsed="false">
      <c r="A1978" s="13" t="s">
        <v>628</v>
      </c>
      <c r="B1978" s="13" t="s">
        <v>627</v>
      </c>
      <c r="C1978" s="13" t="s">
        <v>2258</v>
      </c>
      <c r="D1978" s="13" t="s">
        <v>2270</v>
      </c>
      <c r="E1978" s="13" t="s">
        <v>2495</v>
      </c>
      <c r="F1978" s="13" t="s">
        <v>2503</v>
      </c>
      <c r="G1978" s="61" t="n">
        <v>0</v>
      </c>
      <c r="H1978" s="13" t="s">
        <v>2255</v>
      </c>
      <c r="I1978" s="13" t="s">
        <v>2477</v>
      </c>
      <c r="J1978" s="13" t="n">
        <v>56</v>
      </c>
      <c r="K1978" s="13" t="s">
        <v>2478</v>
      </c>
      <c r="L1978" s="13" t="s">
        <v>2260</v>
      </c>
      <c r="M1978" s="13" t="s">
        <v>2479</v>
      </c>
    </row>
    <row r="1979" customFormat="false" ht="15" hidden="false" customHeight="false" outlineLevel="0" collapsed="false">
      <c r="A1979" s="13" t="s">
        <v>628</v>
      </c>
      <c r="B1979" s="13" t="s">
        <v>627</v>
      </c>
      <c r="C1979" s="13" t="s">
        <v>2258</v>
      </c>
      <c r="D1979" s="13" t="s">
        <v>2270</v>
      </c>
      <c r="E1979" s="13" t="s">
        <v>2496</v>
      </c>
      <c r="F1979" s="13" t="s">
        <v>2503</v>
      </c>
      <c r="G1979" s="61" t="n">
        <v>0</v>
      </c>
      <c r="H1979" s="13" t="s">
        <v>2255</v>
      </c>
      <c r="I1979" s="13" t="s">
        <v>2477</v>
      </c>
      <c r="J1979" s="13" t="n">
        <v>56</v>
      </c>
      <c r="K1979" s="13" t="s">
        <v>2478</v>
      </c>
      <c r="L1979" s="13" t="s">
        <v>2260</v>
      </c>
      <c r="M1979" s="13" t="s">
        <v>2479</v>
      </c>
    </row>
    <row r="1980" customFormat="false" ht="15" hidden="false" customHeight="false" outlineLevel="0" collapsed="false">
      <c r="A1980" s="13" t="s">
        <v>628</v>
      </c>
      <c r="B1980" s="13" t="s">
        <v>627</v>
      </c>
      <c r="C1980" s="13" t="s">
        <v>2258</v>
      </c>
      <c r="D1980" s="13" t="s">
        <v>2270</v>
      </c>
      <c r="E1980" s="13" t="s">
        <v>2497</v>
      </c>
      <c r="F1980" s="13" t="s">
        <v>2503</v>
      </c>
      <c r="G1980" s="61" t="n">
        <v>0</v>
      </c>
      <c r="H1980" s="13" t="s">
        <v>2255</v>
      </c>
      <c r="I1980" s="13" t="s">
        <v>2477</v>
      </c>
      <c r="J1980" s="13" t="n">
        <v>56</v>
      </c>
      <c r="K1980" s="13" t="s">
        <v>2478</v>
      </c>
      <c r="L1980" s="13" t="s">
        <v>2260</v>
      </c>
      <c r="M1980" s="13" t="s">
        <v>2479</v>
      </c>
    </row>
    <row r="1981" customFormat="false" ht="15" hidden="false" customHeight="false" outlineLevel="0" collapsed="false">
      <c r="A1981" s="13" t="s">
        <v>628</v>
      </c>
      <c r="B1981" s="13" t="s">
        <v>627</v>
      </c>
      <c r="C1981" s="13" t="s">
        <v>2258</v>
      </c>
      <c r="D1981" s="13" t="s">
        <v>2270</v>
      </c>
      <c r="E1981" s="13" t="s">
        <v>2498</v>
      </c>
      <c r="F1981" s="13" t="s">
        <v>2503</v>
      </c>
      <c r="G1981" s="61" t="n">
        <v>0</v>
      </c>
      <c r="H1981" s="13" t="s">
        <v>2255</v>
      </c>
      <c r="I1981" s="13" t="s">
        <v>2477</v>
      </c>
      <c r="J1981" s="13" t="n">
        <v>56</v>
      </c>
      <c r="K1981" s="13" t="s">
        <v>2478</v>
      </c>
      <c r="L1981" s="13" t="s">
        <v>2260</v>
      </c>
      <c r="M1981" s="13" t="s">
        <v>2479</v>
      </c>
    </row>
    <row r="1982" customFormat="false" ht="15" hidden="false" customHeight="false" outlineLevel="0" collapsed="false">
      <c r="A1982" s="13" t="s">
        <v>628</v>
      </c>
      <c r="B1982" s="13" t="s">
        <v>627</v>
      </c>
      <c r="C1982" s="13" t="s">
        <v>2258</v>
      </c>
      <c r="D1982" s="13" t="s">
        <v>2270</v>
      </c>
      <c r="E1982" s="13" t="s">
        <v>2499</v>
      </c>
      <c r="F1982" s="13" t="s">
        <v>2503</v>
      </c>
      <c r="G1982" s="61" t="n">
        <v>4814891277</v>
      </c>
      <c r="H1982" s="13" t="s">
        <v>2255</v>
      </c>
      <c r="I1982" s="13" t="s">
        <v>2477</v>
      </c>
      <c r="J1982" s="13" t="n">
        <v>56</v>
      </c>
      <c r="K1982" s="13" t="s">
        <v>2478</v>
      </c>
      <c r="L1982" s="13" t="s">
        <v>2260</v>
      </c>
      <c r="M1982" s="13" t="s">
        <v>2479</v>
      </c>
    </row>
    <row r="1983" customFormat="false" ht="15" hidden="false" customHeight="false" outlineLevel="0" collapsed="false">
      <c r="A1983" s="13" t="s">
        <v>628</v>
      </c>
      <c r="B1983" s="13" t="s">
        <v>627</v>
      </c>
      <c r="C1983" s="13" t="s">
        <v>2258</v>
      </c>
      <c r="D1983" s="13" t="s">
        <v>2270</v>
      </c>
      <c r="E1983" s="13" t="s">
        <v>2493</v>
      </c>
      <c r="F1983" s="13" t="s">
        <v>2504</v>
      </c>
      <c r="G1983" s="61" t="n">
        <v>11417082648</v>
      </c>
      <c r="H1983" s="13" t="s">
        <v>2255</v>
      </c>
      <c r="I1983" s="13" t="s">
        <v>2477</v>
      </c>
      <c r="J1983" s="13" t="n">
        <v>56</v>
      </c>
      <c r="K1983" s="13" t="s">
        <v>2478</v>
      </c>
      <c r="L1983" s="13" t="s">
        <v>2260</v>
      </c>
      <c r="M1983" s="13" t="s">
        <v>2479</v>
      </c>
    </row>
    <row r="1984" customFormat="false" ht="15" hidden="false" customHeight="false" outlineLevel="0" collapsed="false">
      <c r="A1984" s="13" t="s">
        <v>628</v>
      </c>
      <c r="B1984" s="13" t="s">
        <v>627</v>
      </c>
      <c r="C1984" s="13" t="s">
        <v>2258</v>
      </c>
      <c r="D1984" s="13" t="s">
        <v>2270</v>
      </c>
      <c r="E1984" s="13" t="s">
        <v>2494</v>
      </c>
      <c r="F1984" s="13" t="s">
        <v>2504</v>
      </c>
      <c r="G1984" s="61" t="n">
        <v>2201358055</v>
      </c>
      <c r="H1984" s="13" t="s">
        <v>2255</v>
      </c>
      <c r="I1984" s="13" t="s">
        <v>2477</v>
      </c>
      <c r="J1984" s="13" t="n">
        <v>56</v>
      </c>
      <c r="K1984" s="13" t="s">
        <v>2478</v>
      </c>
      <c r="L1984" s="13" t="s">
        <v>2260</v>
      </c>
      <c r="M1984" s="13" t="s">
        <v>2479</v>
      </c>
    </row>
    <row r="1985" customFormat="false" ht="15" hidden="false" customHeight="false" outlineLevel="0" collapsed="false">
      <c r="A1985" s="13" t="s">
        <v>628</v>
      </c>
      <c r="B1985" s="13" t="s">
        <v>627</v>
      </c>
      <c r="C1985" s="13" t="s">
        <v>2258</v>
      </c>
      <c r="D1985" s="13" t="s">
        <v>2270</v>
      </c>
      <c r="E1985" s="13" t="s">
        <v>2495</v>
      </c>
      <c r="F1985" s="13" t="s">
        <v>2504</v>
      </c>
      <c r="G1985" s="61" t="n">
        <v>-1103819480</v>
      </c>
      <c r="H1985" s="13" t="s">
        <v>2255</v>
      </c>
      <c r="I1985" s="13" t="s">
        <v>2477</v>
      </c>
      <c r="J1985" s="13" t="n">
        <v>56</v>
      </c>
      <c r="K1985" s="13" t="s">
        <v>2478</v>
      </c>
      <c r="L1985" s="13" t="s">
        <v>2260</v>
      </c>
      <c r="M1985" s="13" t="s">
        <v>2479</v>
      </c>
    </row>
    <row r="1986" customFormat="false" ht="15" hidden="false" customHeight="false" outlineLevel="0" collapsed="false">
      <c r="A1986" s="13" t="s">
        <v>628</v>
      </c>
      <c r="B1986" s="13" t="s">
        <v>627</v>
      </c>
      <c r="C1986" s="13" t="s">
        <v>2258</v>
      </c>
      <c r="D1986" s="13" t="s">
        <v>2270</v>
      </c>
      <c r="E1986" s="13" t="s">
        <v>2496</v>
      </c>
      <c r="F1986" s="13" t="s">
        <v>2504</v>
      </c>
      <c r="G1986" s="61" t="n">
        <v>0</v>
      </c>
      <c r="H1986" s="13" t="s">
        <v>2255</v>
      </c>
      <c r="I1986" s="13" t="s">
        <v>2477</v>
      </c>
      <c r="J1986" s="13" t="n">
        <v>56</v>
      </c>
      <c r="K1986" s="13" t="s">
        <v>2478</v>
      </c>
      <c r="L1986" s="13" t="s">
        <v>2260</v>
      </c>
      <c r="M1986" s="13" t="s">
        <v>2479</v>
      </c>
    </row>
    <row r="1987" customFormat="false" ht="15" hidden="false" customHeight="false" outlineLevel="0" collapsed="false">
      <c r="A1987" s="13" t="s">
        <v>628</v>
      </c>
      <c r="B1987" s="13" t="s">
        <v>627</v>
      </c>
      <c r="C1987" s="13" t="s">
        <v>2258</v>
      </c>
      <c r="D1987" s="13" t="s">
        <v>2270</v>
      </c>
      <c r="E1987" s="13" t="s">
        <v>2497</v>
      </c>
      <c r="F1987" s="13" t="s">
        <v>2504</v>
      </c>
      <c r="G1987" s="61" t="n">
        <v>0</v>
      </c>
      <c r="H1987" s="13" t="s">
        <v>2255</v>
      </c>
      <c r="I1987" s="13" t="s">
        <v>2477</v>
      </c>
      <c r="J1987" s="13" t="n">
        <v>56</v>
      </c>
      <c r="K1987" s="13" t="s">
        <v>2478</v>
      </c>
      <c r="L1987" s="13" t="s">
        <v>2260</v>
      </c>
      <c r="M1987" s="13" t="s">
        <v>2479</v>
      </c>
    </row>
    <row r="1988" customFormat="false" ht="15" hidden="false" customHeight="false" outlineLevel="0" collapsed="false">
      <c r="A1988" s="13" t="s">
        <v>628</v>
      </c>
      <c r="B1988" s="13" t="s">
        <v>627</v>
      </c>
      <c r="C1988" s="13" t="s">
        <v>2258</v>
      </c>
      <c r="D1988" s="13" t="s">
        <v>2270</v>
      </c>
      <c r="E1988" s="13" t="s">
        <v>2498</v>
      </c>
      <c r="F1988" s="13" t="s">
        <v>2504</v>
      </c>
      <c r="G1988" s="61" t="n">
        <v>0</v>
      </c>
      <c r="H1988" s="13" t="s">
        <v>2255</v>
      </c>
      <c r="I1988" s="13" t="s">
        <v>2477</v>
      </c>
      <c r="J1988" s="13" t="n">
        <v>56</v>
      </c>
      <c r="K1988" s="13" t="s">
        <v>2478</v>
      </c>
      <c r="L1988" s="13" t="s">
        <v>2260</v>
      </c>
      <c r="M1988" s="13" t="s">
        <v>2479</v>
      </c>
    </row>
    <row r="1989" customFormat="false" ht="15" hidden="false" customHeight="false" outlineLevel="0" collapsed="false">
      <c r="A1989" s="13" t="s">
        <v>628</v>
      </c>
      <c r="B1989" s="13" t="s">
        <v>627</v>
      </c>
      <c r="C1989" s="13" t="s">
        <v>2258</v>
      </c>
      <c r="D1989" s="13" t="s">
        <v>2270</v>
      </c>
      <c r="E1989" s="13" t="s">
        <v>2499</v>
      </c>
      <c r="F1989" s="13" t="s">
        <v>2504</v>
      </c>
      <c r="G1989" s="61" t="n">
        <v>12514621223</v>
      </c>
      <c r="H1989" s="13" t="s">
        <v>2255</v>
      </c>
      <c r="I1989" s="13" t="s">
        <v>2477</v>
      </c>
      <c r="J1989" s="13" t="n">
        <v>56</v>
      </c>
      <c r="K1989" s="13" t="s">
        <v>2478</v>
      </c>
      <c r="L1989" s="13" t="s">
        <v>2260</v>
      </c>
      <c r="M1989" s="13" t="s">
        <v>2479</v>
      </c>
    </row>
    <row r="1990" customFormat="false" ht="15" hidden="false" customHeight="false" outlineLevel="0" collapsed="false">
      <c r="A1990" s="13" t="s">
        <v>628</v>
      </c>
      <c r="B1990" s="13" t="s">
        <v>627</v>
      </c>
      <c r="C1990" s="13" t="s">
        <v>2258</v>
      </c>
      <c r="D1990" s="13" t="s">
        <v>2270</v>
      </c>
      <c r="E1990" s="13" t="s">
        <v>2493</v>
      </c>
      <c r="F1990" s="13" t="s">
        <v>2290</v>
      </c>
      <c r="G1990" s="61" t="n">
        <v>261853876513</v>
      </c>
      <c r="H1990" s="13" t="s">
        <v>2255</v>
      </c>
      <c r="I1990" s="13" t="s">
        <v>2477</v>
      </c>
      <c r="J1990" s="13" t="n">
        <v>56</v>
      </c>
      <c r="K1990" s="13" t="s">
        <v>2478</v>
      </c>
      <c r="L1990" s="13" t="s">
        <v>2260</v>
      </c>
      <c r="M1990" s="13" t="s">
        <v>2479</v>
      </c>
    </row>
    <row r="1991" customFormat="false" ht="15" hidden="false" customHeight="false" outlineLevel="0" collapsed="false">
      <c r="A1991" s="13" t="s">
        <v>628</v>
      </c>
      <c r="B1991" s="13" t="s">
        <v>627</v>
      </c>
      <c r="C1991" s="13" t="s">
        <v>2258</v>
      </c>
      <c r="D1991" s="13" t="s">
        <v>2270</v>
      </c>
      <c r="E1991" s="13" t="s">
        <v>2494</v>
      </c>
      <c r="F1991" s="13" t="s">
        <v>2290</v>
      </c>
      <c r="G1991" s="61" t="n">
        <v>62603942562</v>
      </c>
      <c r="H1991" s="13" t="s">
        <v>2255</v>
      </c>
      <c r="I1991" s="13" t="s">
        <v>2477</v>
      </c>
      <c r="J1991" s="13" t="n">
        <v>56</v>
      </c>
      <c r="K1991" s="13" t="s">
        <v>2478</v>
      </c>
      <c r="L1991" s="13" t="s">
        <v>2260</v>
      </c>
      <c r="M1991" s="13" t="s">
        <v>2479</v>
      </c>
    </row>
    <row r="1992" customFormat="false" ht="15" hidden="false" customHeight="false" outlineLevel="0" collapsed="false">
      <c r="A1992" s="13" t="s">
        <v>628</v>
      </c>
      <c r="B1992" s="13" t="s">
        <v>627</v>
      </c>
      <c r="C1992" s="13" t="s">
        <v>2258</v>
      </c>
      <c r="D1992" s="13" t="s">
        <v>2270</v>
      </c>
      <c r="E1992" s="13" t="s">
        <v>2495</v>
      </c>
      <c r="F1992" s="13" t="s">
        <v>2290</v>
      </c>
      <c r="G1992" s="61" t="n">
        <v>-1656261894</v>
      </c>
      <c r="H1992" s="13" t="s">
        <v>2255</v>
      </c>
      <c r="I1992" s="13" t="s">
        <v>2477</v>
      </c>
      <c r="J1992" s="13" t="n">
        <v>56</v>
      </c>
      <c r="K1992" s="13" t="s">
        <v>2478</v>
      </c>
      <c r="L1992" s="13" t="s">
        <v>2260</v>
      </c>
      <c r="M1992" s="13" t="s">
        <v>2479</v>
      </c>
    </row>
    <row r="1993" customFormat="false" ht="15" hidden="false" customHeight="false" outlineLevel="0" collapsed="false">
      <c r="A1993" s="13" t="s">
        <v>628</v>
      </c>
      <c r="B1993" s="13" t="s">
        <v>627</v>
      </c>
      <c r="C1993" s="13" t="s">
        <v>2258</v>
      </c>
      <c r="D1993" s="13" t="s">
        <v>2270</v>
      </c>
      <c r="E1993" s="13" t="s">
        <v>2496</v>
      </c>
      <c r="F1993" s="13" t="s">
        <v>2290</v>
      </c>
      <c r="G1993" s="61" t="n">
        <v>0</v>
      </c>
      <c r="H1993" s="13" t="s">
        <v>2255</v>
      </c>
      <c r="I1993" s="13" t="s">
        <v>2477</v>
      </c>
      <c r="J1993" s="13" t="n">
        <v>56</v>
      </c>
      <c r="K1993" s="13" t="s">
        <v>2478</v>
      </c>
      <c r="L1993" s="13" t="s">
        <v>2260</v>
      </c>
      <c r="M1993" s="13" t="s">
        <v>2479</v>
      </c>
    </row>
    <row r="1994" customFormat="false" ht="15" hidden="false" customHeight="false" outlineLevel="0" collapsed="false">
      <c r="A1994" s="13" t="s">
        <v>628</v>
      </c>
      <c r="B1994" s="13" t="s">
        <v>627</v>
      </c>
      <c r="C1994" s="13" t="s">
        <v>2258</v>
      </c>
      <c r="D1994" s="13" t="s">
        <v>2270</v>
      </c>
      <c r="E1994" s="13" t="s">
        <v>2497</v>
      </c>
      <c r="F1994" s="13" t="s">
        <v>2290</v>
      </c>
      <c r="G1994" s="61" t="n">
        <v>0</v>
      </c>
      <c r="H1994" s="13" t="s">
        <v>2255</v>
      </c>
      <c r="I1994" s="13" t="s">
        <v>2477</v>
      </c>
      <c r="J1994" s="13" t="n">
        <v>56</v>
      </c>
      <c r="K1994" s="13" t="s">
        <v>2478</v>
      </c>
      <c r="L1994" s="13" t="s">
        <v>2260</v>
      </c>
      <c r="M1994" s="13" t="s">
        <v>2479</v>
      </c>
    </row>
    <row r="1995" customFormat="false" ht="15" hidden="false" customHeight="false" outlineLevel="0" collapsed="false">
      <c r="A1995" s="13" t="s">
        <v>628</v>
      </c>
      <c r="B1995" s="13" t="s">
        <v>627</v>
      </c>
      <c r="C1995" s="13" t="s">
        <v>2258</v>
      </c>
      <c r="D1995" s="13" t="s">
        <v>2270</v>
      </c>
      <c r="E1995" s="13" t="s">
        <v>2498</v>
      </c>
      <c r="F1995" s="13" t="s">
        <v>2290</v>
      </c>
      <c r="G1995" s="61" t="n">
        <v>0</v>
      </c>
      <c r="H1995" s="13" t="s">
        <v>2255</v>
      </c>
      <c r="I1995" s="13" t="s">
        <v>2477</v>
      </c>
      <c r="J1995" s="13" t="n">
        <v>56</v>
      </c>
      <c r="K1995" s="13" t="s">
        <v>2478</v>
      </c>
      <c r="L1995" s="13" t="s">
        <v>2260</v>
      </c>
      <c r="M1995" s="13" t="s">
        <v>2479</v>
      </c>
    </row>
    <row r="1996" customFormat="false" ht="15" hidden="false" customHeight="false" outlineLevel="0" collapsed="false">
      <c r="A1996" s="13" t="s">
        <v>628</v>
      </c>
      <c r="B1996" s="13" t="s">
        <v>627</v>
      </c>
      <c r="C1996" s="13" t="s">
        <v>2258</v>
      </c>
      <c r="D1996" s="13" t="s">
        <v>2270</v>
      </c>
      <c r="E1996" s="13" t="s">
        <v>2499</v>
      </c>
      <c r="F1996" s="13" t="s">
        <v>2290</v>
      </c>
      <c r="G1996" s="61" t="n">
        <v>322801557181</v>
      </c>
      <c r="H1996" s="13" t="s">
        <v>2255</v>
      </c>
      <c r="I1996" s="13" t="s">
        <v>2477</v>
      </c>
      <c r="J1996" s="13" t="n">
        <v>56</v>
      </c>
      <c r="K1996" s="13" t="s">
        <v>2478</v>
      </c>
      <c r="L1996" s="13" t="s">
        <v>2260</v>
      </c>
      <c r="M1996" s="13" t="s">
        <v>2479</v>
      </c>
    </row>
    <row r="1997" customFormat="false" ht="15" hidden="false" customHeight="false" outlineLevel="0" collapsed="false">
      <c r="A1997" s="13" t="s">
        <v>628</v>
      </c>
      <c r="B1997" s="13" t="s">
        <v>627</v>
      </c>
      <c r="C1997" s="13" t="s">
        <v>2258</v>
      </c>
      <c r="D1997" s="13" t="s">
        <v>2270</v>
      </c>
      <c r="E1997" s="13" t="s">
        <v>2505</v>
      </c>
      <c r="F1997" s="13" t="s">
        <v>2447</v>
      </c>
      <c r="G1997" s="61" t="n">
        <v>889200550651</v>
      </c>
      <c r="H1997" s="13" t="s">
        <v>2255</v>
      </c>
      <c r="I1997" s="13" t="s">
        <v>2477</v>
      </c>
      <c r="J1997" s="13" t="n">
        <v>56</v>
      </c>
      <c r="K1997" s="13" t="s">
        <v>2478</v>
      </c>
      <c r="L1997" s="13" t="s">
        <v>2260</v>
      </c>
      <c r="M1997" s="13" t="s">
        <v>2479</v>
      </c>
    </row>
    <row r="1998" customFormat="false" ht="15" hidden="false" customHeight="false" outlineLevel="0" collapsed="false">
      <c r="A1998" s="13" t="s">
        <v>628</v>
      </c>
      <c r="B1998" s="13" t="s">
        <v>627</v>
      </c>
      <c r="C1998" s="13" t="s">
        <v>2258</v>
      </c>
      <c r="D1998" s="13" t="s">
        <v>2270</v>
      </c>
      <c r="E1998" s="13" t="s">
        <v>2506</v>
      </c>
      <c r="F1998" s="13" t="s">
        <v>2447</v>
      </c>
      <c r="G1998" s="61" t="n">
        <v>72522185898</v>
      </c>
      <c r="H1998" s="13" t="s">
        <v>2255</v>
      </c>
      <c r="I1998" s="13" t="s">
        <v>2477</v>
      </c>
      <c r="J1998" s="13" t="n">
        <v>56</v>
      </c>
      <c r="K1998" s="13" t="s">
        <v>2478</v>
      </c>
      <c r="L1998" s="13" t="s">
        <v>2260</v>
      </c>
      <c r="M1998" s="13" t="s">
        <v>2479</v>
      </c>
    </row>
    <row r="1999" customFormat="false" ht="15" hidden="false" customHeight="false" outlineLevel="0" collapsed="false">
      <c r="A1999" s="13" t="s">
        <v>628</v>
      </c>
      <c r="B1999" s="13" t="s">
        <v>627</v>
      </c>
      <c r="C1999" s="13" t="s">
        <v>2258</v>
      </c>
      <c r="D1999" s="13" t="s">
        <v>2270</v>
      </c>
      <c r="E1999" s="13" t="s">
        <v>2507</v>
      </c>
      <c r="F1999" s="13" t="s">
        <v>2447</v>
      </c>
      <c r="G1999" s="61" t="n">
        <v>0</v>
      </c>
      <c r="H1999" s="13" t="s">
        <v>2255</v>
      </c>
      <c r="I1999" s="13" t="s">
        <v>2477</v>
      </c>
      <c r="J1999" s="13" t="n">
        <v>56</v>
      </c>
      <c r="K1999" s="13" t="s">
        <v>2478</v>
      </c>
      <c r="L1999" s="13" t="s">
        <v>2260</v>
      </c>
      <c r="M1999" s="13" t="s">
        <v>2479</v>
      </c>
    </row>
    <row r="2000" customFormat="false" ht="15" hidden="false" customHeight="false" outlineLevel="0" collapsed="false">
      <c r="A2000" s="13" t="s">
        <v>628</v>
      </c>
      <c r="B2000" s="13" t="s">
        <v>627</v>
      </c>
      <c r="C2000" s="13" t="s">
        <v>2258</v>
      </c>
      <c r="D2000" s="13" t="s">
        <v>2270</v>
      </c>
      <c r="E2000" s="13" t="s">
        <v>2508</v>
      </c>
      <c r="F2000" s="13" t="s">
        <v>2447</v>
      </c>
      <c r="G2000" s="61" t="n">
        <v>0</v>
      </c>
      <c r="H2000" s="13" t="s">
        <v>2255</v>
      </c>
      <c r="I2000" s="13" t="s">
        <v>2477</v>
      </c>
      <c r="J2000" s="13" t="n">
        <v>56</v>
      </c>
      <c r="K2000" s="13" t="s">
        <v>2478</v>
      </c>
      <c r="L2000" s="13" t="s">
        <v>2260</v>
      </c>
      <c r="M2000" s="13" t="s">
        <v>2479</v>
      </c>
    </row>
    <row r="2001" customFormat="false" ht="15" hidden="false" customHeight="false" outlineLevel="0" collapsed="false">
      <c r="A2001" s="13" t="s">
        <v>628</v>
      </c>
      <c r="B2001" s="13" t="s">
        <v>627</v>
      </c>
      <c r="C2001" s="13" t="s">
        <v>2258</v>
      </c>
      <c r="D2001" s="13" t="s">
        <v>2270</v>
      </c>
      <c r="E2001" s="13" t="s">
        <v>2509</v>
      </c>
      <c r="F2001" s="13" t="s">
        <v>2447</v>
      </c>
      <c r="G2001" s="61" t="n">
        <v>0</v>
      </c>
      <c r="H2001" s="13" t="s">
        <v>2255</v>
      </c>
      <c r="I2001" s="13" t="s">
        <v>2477</v>
      </c>
      <c r="J2001" s="13" t="n">
        <v>56</v>
      </c>
      <c r="K2001" s="13" t="s">
        <v>2478</v>
      </c>
      <c r="L2001" s="13" t="s">
        <v>2260</v>
      </c>
      <c r="M2001" s="13" t="s">
        <v>2479</v>
      </c>
    </row>
    <row r="2002" customFormat="false" ht="15" hidden="false" customHeight="false" outlineLevel="0" collapsed="false">
      <c r="A2002" s="13" t="s">
        <v>628</v>
      </c>
      <c r="B2002" s="13" t="s">
        <v>627</v>
      </c>
      <c r="C2002" s="13" t="s">
        <v>2258</v>
      </c>
      <c r="D2002" s="13" t="s">
        <v>2270</v>
      </c>
      <c r="E2002" s="13" t="s">
        <v>2510</v>
      </c>
      <c r="F2002" s="13" t="s">
        <v>2447</v>
      </c>
      <c r="G2002" s="61" t="n">
        <v>0</v>
      </c>
      <c r="H2002" s="13" t="s">
        <v>2255</v>
      </c>
      <c r="I2002" s="13" t="s">
        <v>2477</v>
      </c>
      <c r="J2002" s="13" t="n">
        <v>56</v>
      </c>
      <c r="K2002" s="13" t="s">
        <v>2478</v>
      </c>
      <c r="L2002" s="13" t="s">
        <v>2260</v>
      </c>
      <c r="M2002" s="13" t="s">
        <v>2479</v>
      </c>
    </row>
    <row r="2003" customFormat="false" ht="15" hidden="false" customHeight="false" outlineLevel="0" collapsed="false">
      <c r="A2003" s="13" t="s">
        <v>628</v>
      </c>
      <c r="B2003" s="13" t="s">
        <v>627</v>
      </c>
      <c r="C2003" s="13" t="s">
        <v>2258</v>
      </c>
      <c r="D2003" s="13" t="s">
        <v>2270</v>
      </c>
      <c r="E2003" s="13" t="s">
        <v>2511</v>
      </c>
      <c r="F2003" s="13" t="s">
        <v>2447</v>
      </c>
      <c r="G2003" s="61" t="n">
        <v>961722736549</v>
      </c>
      <c r="H2003" s="13" t="s">
        <v>2255</v>
      </c>
      <c r="I2003" s="13" t="s">
        <v>2477</v>
      </c>
      <c r="J2003" s="13" t="n">
        <v>56</v>
      </c>
      <c r="K2003" s="13" t="s">
        <v>2478</v>
      </c>
      <c r="L2003" s="13" t="s">
        <v>2260</v>
      </c>
      <c r="M2003" s="13" t="s">
        <v>2479</v>
      </c>
    </row>
    <row r="2004" customFormat="false" ht="15" hidden="false" customHeight="false" outlineLevel="0" collapsed="false">
      <c r="A2004" s="13" t="s">
        <v>628</v>
      </c>
      <c r="B2004" s="13" t="s">
        <v>627</v>
      </c>
      <c r="C2004" s="13" t="s">
        <v>2258</v>
      </c>
      <c r="D2004" s="13" t="s">
        <v>2270</v>
      </c>
      <c r="E2004" s="13" t="s">
        <v>2505</v>
      </c>
      <c r="F2004" s="13" t="s">
        <v>2448</v>
      </c>
      <c r="G2004" s="61" t="n">
        <v>231770848012</v>
      </c>
      <c r="H2004" s="13" t="s">
        <v>2255</v>
      </c>
      <c r="I2004" s="13" t="s">
        <v>2477</v>
      </c>
      <c r="J2004" s="13" t="n">
        <v>56</v>
      </c>
      <c r="K2004" s="13" t="s">
        <v>2478</v>
      </c>
      <c r="L2004" s="13" t="s">
        <v>2260</v>
      </c>
      <c r="M2004" s="13" t="s">
        <v>2479</v>
      </c>
    </row>
    <row r="2005" customFormat="false" ht="15" hidden="false" customHeight="false" outlineLevel="0" collapsed="false">
      <c r="A2005" s="13" t="s">
        <v>628</v>
      </c>
      <c r="B2005" s="13" t="s">
        <v>627</v>
      </c>
      <c r="C2005" s="13" t="s">
        <v>2258</v>
      </c>
      <c r="D2005" s="13" t="s">
        <v>2270</v>
      </c>
      <c r="E2005" s="13" t="s">
        <v>2506</v>
      </c>
      <c r="F2005" s="13" t="s">
        <v>2448</v>
      </c>
      <c r="G2005" s="61" t="n">
        <v>83871939134</v>
      </c>
      <c r="H2005" s="13" t="s">
        <v>2255</v>
      </c>
      <c r="I2005" s="13" t="s">
        <v>2477</v>
      </c>
      <c r="J2005" s="13" t="n">
        <v>56</v>
      </c>
      <c r="K2005" s="13" t="s">
        <v>2478</v>
      </c>
      <c r="L2005" s="13" t="s">
        <v>2260</v>
      </c>
      <c r="M2005" s="13" t="s">
        <v>2479</v>
      </c>
    </row>
    <row r="2006" customFormat="false" ht="15" hidden="false" customHeight="false" outlineLevel="0" collapsed="false">
      <c r="A2006" s="13" t="s">
        <v>628</v>
      </c>
      <c r="B2006" s="13" t="s">
        <v>627</v>
      </c>
      <c r="C2006" s="13" t="s">
        <v>2258</v>
      </c>
      <c r="D2006" s="13" t="s">
        <v>2270</v>
      </c>
      <c r="E2006" s="13" t="s">
        <v>2507</v>
      </c>
      <c r="F2006" s="13" t="s">
        <v>2448</v>
      </c>
      <c r="G2006" s="61" t="n">
        <v>0</v>
      </c>
      <c r="H2006" s="13" t="s">
        <v>2255</v>
      </c>
      <c r="I2006" s="13" t="s">
        <v>2477</v>
      </c>
      <c r="J2006" s="13" t="n">
        <v>56</v>
      </c>
      <c r="K2006" s="13" t="s">
        <v>2478</v>
      </c>
      <c r="L2006" s="13" t="s">
        <v>2260</v>
      </c>
      <c r="M2006" s="13" t="s">
        <v>2479</v>
      </c>
    </row>
    <row r="2007" customFormat="false" ht="15" hidden="false" customHeight="false" outlineLevel="0" collapsed="false">
      <c r="A2007" s="13" t="s">
        <v>628</v>
      </c>
      <c r="B2007" s="13" t="s">
        <v>627</v>
      </c>
      <c r="C2007" s="13" t="s">
        <v>2258</v>
      </c>
      <c r="D2007" s="13" t="s">
        <v>2270</v>
      </c>
      <c r="E2007" s="13" t="s">
        <v>2508</v>
      </c>
      <c r="F2007" s="13" t="s">
        <v>2448</v>
      </c>
      <c r="G2007" s="61" t="n">
        <v>10795857197</v>
      </c>
      <c r="H2007" s="13" t="s">
        <v>2255</v>
      </c>
      <c r="I2007" s="13" t="s">
        <v>2477</v>
      </c>
      <c r="J2007" s="13" t="n">
        <v>56</v>
      </c>
      <c r="K2007" s="13" t="s">
        <v>2478</v>
      </c>
      <c r="L2007" s="13" t="s">
        <v>2260</v>
      </c>
      <c r="M2007" s="13" t="s">
        <v>2479</v>
      </c>
    </row>
    <row r="2008" customFormat="false" ht="15" hidden="false" customHeight="false" outlineLevel="0" collapsed="false">
      <c r="A2008" s="13" t="s">
        <v>628</v>
      </c>
      <c r="B2008" s="13" t="s">
        <v>627</v>
      </c>
      <c r="C2008" s="13" t="s">
        <v>2258</v>
      </c>
      <c r="D2008" s="13" t="s">
        <v>2270</v>
      </c>
      <c r="E2008" s="13" t="s">
        <v>2509</v>
      </c>
      <c r="F2008" s="13" t="s">
        <v>2448</v>
      </c>
      <c r="G2008" s="61" t="n">
        <v>0</v>
      </c>
      <c r="H2008" s="13" t="s">
        <v>2255</v>
      </c>
      <c r="I2008" s="13" t="s">
        <v>2477</v>
      </c>
      <c r="J2008" s="13" t="n">
        <v>56</v>
      </c>
      <c r="K2008" s="13" t="s">
        <v>2478</v>
      </c>
      <c r="L2008" s="13" t="s">
        <v>2260</v>
      </c>
      <c r="M2008" s="13" t="s">
        <v>2479</v>
      </c>
    </row>
    <row r="2009" customFormat="false" ht="15" hidden="false" customHeight="false" outlineLevel="0" collapsed="false">
      <c r="A2009" s="13" t="s">
        <v>628</v>
      </c>
      <c r="B2009" s="13" t="s">
        <v>627</v>
      </c>
      <c r="C2009" s="13" t="s">
        <v>2258</v>
      </c>
      <c r="D2009" s="13" t="s">
        <v>2270</v>
      </c>
      <c r="E2009" s="13" t="s">
        <v>2510</v>
      </c>
      <c r="F2009" s="13" t="s">
        <v>2448</v>
      </c>
      <c r="G2009" s="61" t="n">
        <v>0</v>
      </c>
      <c r="H2009" s="13" t="s">
        <v>2255</v>
      </c>
      <c r="I2009" s="13" t="s">
        <v>2477</v>
      </c>
      <c r="J2009" s="13" t="n">
        <v>56</v>
      </c>
      <c r="K2009" s="13" t="s">
        <v>2478</v>
      </c>
      <c r="L2009" s="13" t="s">
        <v>2260</v>
      </c>
      <c r="M2009" s="13" t="s">
        <v>2479</v>
      </c>
    </row>
    <row r="2010" customFormat="false" ht="15" hidden="false" customHeight="false" outlineLevel="0" collapsed="false">
      <c r="A2010" s="13" t="s">
        <v>628</v>
      </c>
      <c r="B2010" s="13" t="s">
        <v>627</v>
      </c>
      <c r="C2010" s="13" t="s">
        <v>2258</v>
      </c>
      <c r="D2010" s="13" t="s">
        <v>2270</v>
      </c>
      <c r="E2010" s="13" t="s">
        <v>2511</v>
      </c>
      <c r="F2010" s="13" t="s">
        <v>2448</v>
      </c>
      <c r="G2010" s="61" t="n">
        <v>326438644343</v>
      </c>
      <c r="H2010" s="13" t="s">
        <v>2255</v>
      </c>
      <c r="I2010" s="13" t="s">
        <v>2477</v>
      </c>
      <c r="J2010" s="13" t="n">
        <v>56</v>
      </c>
      <c r="K2010" s="13" t="s">
        <v>2478</v>
      </c>
      <c r="L2010" s="13" t="s">
        <v>2260</v>
      </c>
      <c r="M2010" s="13" t="s">
        <v>2479</v>
      </c>
    </row>
    <row r="2011" customFormat="false" ht="15" hidden="false" customHeight="false" outlineLevel="0" collapsed="false">
      <c r="A2011" s="13" t="s">
        <v>628</v>
      </c>
      <c r="B2011" s="13" t="s">
        <v>627</v>
      </c>
      <c r="C2011" s="13" t="s">
        <v>2258</v>
      </c>
      <c r="D2011" s="13" t="s">
        <v>2270</v>
      </c>
      <c r="E2011" s="13" t="s">
        <v>2505</v>
      </c>
      <c r="F2011" s="13" t="s">
        <v>2500</v>
      </c>
      <c r="G2011" s="61" t="n">
        <v>298433588541</v>
      </c>
      <c r="H2011" s="13" t="s">
        <v>2255</v>
      </c>
      <c r="I2011" s="13" t="s">
        <v>2477</v>
      </c>
      <c r="J2011" s="13" t="n">
        <v>56</v>
      </c>
      <c r="K2011" s="13" t="s">
        <v>2478</v>
      </c>
      <c r="L2011" s="13" t="s">
        <v>2260</v>
      </c>
      <c r="M2011" s="13" t="s">
        <v>2479</v>
      </c>
    </row>
    <row r="2012" customFormat="false" ht="15" hidden="false" customHeight="false" outlineLevel="0" collapsed="false">
      <c r="A2012" s="13" t="s">
        <v>628</v>
      </c>
      <c r="B2012" s="13" t="s">
        <v>627</v>
      </c>
      <c r="C2012" s="13" t="s">
        <v>2258</v>
      </c>
      <c r="D2012" s="13" t="s">
        <v>2270</v>
      </c>
      <c r="E2012" s="13" t="s">
        <v>2506</v>
      </c>
      <c r="F2012" s="13" t="s">
        <v>2500</v>
      </c>
      <c r="G2012" s="61" t="n">
        <v>51033895085</v>
      </c>
      <c r="H2012" s="13" t="s">
        <v>2255</v>
      </c>
      <c r="I2012" s="13" t="s">
        <v>2477</v>
      </c>
      <c r="J2012" s="13" t="n">
        <v>56</v>
      </c>
      <c r="K2012" s="13" t="s">
        <v>2478</v>
      </c>
      <c r="L2012" s="13" t="s">
        <v>2260</v>
      </c>
      <c r="M2012" s="13" t="s">
        <v>2479</v>
      </c>
    </row>
    <row r="2013" customFormat="false" ht="15" hidden="false" customHeight="false" outlineLevel="0" collapsed="false">
      <c r="A2013" s="13" t="s">
        <v>628</v>
      </c>
      <c r="B2013" s="13" t="s">
        <v>627</v>
      </c>
      <c r="C2013" s="13" t="s">
        <v>2258</v>
      </c>
      <c r="D2013" s="13" t="s">
        <v>2270</v>
      </c>
      <c r="E2013" s="13" t="s">
        <v>2507</v>
      </c>
      <c r="F2013" s="13" t="s">
        <v>2500</v>
      </c>
      <c r="G2013" s="61" t="n">
        <v>-713849004</v>
      </c>
      <c r="H2013" s="13" t="s">
        <v>2255</v>
      </c>
      <c r="I2013" s="13" t="s">
        <v>2477</v>
      </c>
      <c r="J2013" s="13" t="n">
        <v>56</v>
      </c>
      <c r="K2013" s="13" t="s">
        <v>2478</v>
      </c>
      <c r="L2013" s="13" t="s">
        <v>2260</v>
      </c>
      <c r="M2013" s="13" t="s">
        <v>2479</v>
      </c>
    </row>
    <row r="2014" customFormat="false" ht="15" hidden="false" customHeight="false" outlineLevel="0" collapsed="false">
      <c r="A2014" s="13" t="s">
        <v>628</v>
      </c>
      <c r="B2014" s="13" t="s">
        <v>627</v>
      </c>
      <c r="C2014" s="13" t="s">
        <v>2258</v>
      </c>
      <c r="D2014" s="13" t="s">
        <v>2270</v>
      </c>
      <c r="E2014" s="13" t="s">
        <v>2508</v>
      </c>
      <c r="F2014" s="13" t="s">
        <v>2500</v>
      </c>
      <c r="G2014" s="61" t="n">
        <v>364100384</v>
      </c>
      <c r="H2014" s="13" t="s">
        <v>2255</v>
      </c>
      <c r="I2014" s="13" t="s">
        <v>2477</v>
      </c>
      <c r="J2014" s="13" t="n">
        <v>56</v>
      </c>
      <c r="K2014" s="13" t="s">
        <v>2478</v>
      </c>
      <c r="L2014" s="13" t="s">
        <v>2260</v>
      </c>
      <c r="M2014" s="13" t="s">
        <v>2479</v>
      </c>
    </row>
    <row r="2015" customFormat="false" ht="15" hidden="false" customHeight="false" outlineLevel="0" collapsed="false">
      <c r="A2015" s="13" t="s">
        <v>628</v>
      </c>
      <c r="B2015" s="13" t="s">
        <v>627</v>
      </c>
      <c r="C2015" s="13" t="s">
        <v>2258</v>
      </c>
      <c r="D2015" s="13" t="s">
        <v>2270</v>
      </c>
      <c r="E2015" s="13" t="s">
        <v>2509</v>
      </c>
      <c r="F2015" s="13" t="s">
        <v>2500</v>
      </c>
      <c r="G2015" s="61" t="n">
        <v>0</v>
      </c>
      <c r="H2015" s="13" t="s">
        <v>2255</v>
      </c>
      <c r="I2015" s="13" t="s">
        <v>2477</v>
      </c>
      <c r="J2015" s="13" t="n">
        <v>56</v>
      </c>
      <c r="K2015" s="13" t="s">
        <v>2478</v>
      </c>
      <c r="L2015" s="13" t="s">
        <v>2260</v>
      </c>
      <c r="M2015" s="13" t="s">
        <v>2479</v>
      </c>
    </row>
    <row r="2016" customFormat="false" ht="15" hidden="false" customHeight="false" outlineLevel="0" collapsed="false">
      <c r="A2016" s="13" t="s">
        <v>628</v>
      </c>
      <c r="B2016" s="13" t="s">
        <v>627</v>
      </c>
      <c r="C2016" s="13" t="s">
        <v>2258</v>
      </c>
      <c r="D2016" s="13" t="s">
        <v>2270</v>
      </c>
      <c r="E2016" s="13" t="s">
        <v>2510</v>
      </c>
      <c r="F2016" s="13" t="s">
        <v>2500</v>
      </c>
      <c r="G2016" s="61" t="n">
        <v>0</v>
      </c>
      <c r="H2016" s="13" t="s">
        <v>2255</v>
      </c>
      <c r="I2016" s="13" t="s">
        <v>2477</v>
      </c>
      <c r="J2016" s="13" t="n">
        <v>56</v>
      </c>
      <c r="K2016" s="13" t="s">
        <v>2478</v>
      </c>
      <c r="L2016" s="13" t="s">
        <v>2260</v>
      </c>
      <c r="M2016" s="13" t="s">
        <v>2479</v>
      </c>
    </row>
    <row r="2017" customFormat="false" ht="15" hidden="false" customHeight="false" outlineLevel="0" collapsed="false">
      <c r="A2017" s="13" t="s">
        <v>628</v>
      </c>
      <c r="B2017" s="13" t="s">
        <v>627</v>
      </c>
      <c r="C2017" s="13" t="s">
        <v>2258</v>
      </c>
      <c r="D2017" s="13" t="s">
        <v>2270</v>
      </c>
      <c r="E2017" s="13" t="s">
        <v>2511</v>
      </c>
      <c r="F2017" s="13" t="s">
        <v>2500</v>
      </c>
      <c r="G2017" s="61" t="n">
        <v>349117735006</v>
      </c>
      <c r="H2017" s="13" t="s">
        <v>2255</v>
      </c>
      <c r="I2017" s="13" t="s">
        <v>2477</v>
      </c>
      <c r="J2017" s="13" t="n">
        <v>56</v>
      </c>
      <c r="K2017" s="13" t="s">
        <v>2478</v>
      </c>
      <c r="L2017" s="13" t="s">
        <v>2260</v>
      </c>
      <c r="M2017" s="13" t="s">
        <v>2479</v>
      </c>
    </row>
    <row r="2018" customFormat="false" ht="15" hidden="false" customHeight="false" outlineLevel="0" collapsed="false">
      <c r="A2018" s="13" t="s">
        <v>628</v>
      </c>
      <c r="B2018" s="13" t="s">
        <v>627</v>
      </c>
      <c r="C2018" s="13" t="s">
        <v>2258</v>
      </c>
      <c r="D2018" s="13" t="s">
        <v>2270</v>
      </c>
      <c r="E2018" s="13" t="s">
        <v>2505</v>
      </c>
      <c r="F2018" s="13" t="s">
        <v>2512</v>
      </c>
      <c r="G2018" s="61" t="n">
        <v>39473862761</v>
      </c>
      <c r="H2018" s="13" t="s">
        <v>2255</v>
      </c>
      <c r="I2018" s="13" t="s">
        <v>2477</v>
      </c>
      <c r="J2018" s="13" t="n">
        <v>56</v>
      </c>
      <c r="K2018" s="13" t="s">
        <v>2478</v>
      </c>
      <c r="L2018" s="13" t="s">
        <v>2260</v>
      </c>
      <c r="M2018" s="13" t="s">
        <v>2479</v>
      </c>
    </row>
    <row r="2019" customFormat="false" ht="15" hidden="false" customHeight="false" outlineLevel="0" collapsed="false">
      <c r="A2019" s="13" t="s">
        <v>628</v>
      </c>
      <c r="B2019" s="13" t="s">
        <v>627</v>
      </c>
      <c r="C2019" s="13" t="s">
        <v>2258</v>
      </c>
      <c r="D2019" s="13" t="s">
        <v>2270</v>
      </c>
      <c r="E2019" s="13" t="s">
        <v>2506</v>
      </c>
      <c r="F2019" s="13" t="s">
        <v>2512</v>
      </c>
      <c r="G2019" s="61" t="n">
        <v>17632695469</v>
      </c>
      <c r="H2019" s="13" t="s">
        <v>2255</v>
      </c>
      <c r="I2019" s="13" t="s">
        <v>2477</v>
      </c>
      <c r="J2019" s="13" t="n">
        <v>56</v>
      </c>
      <c r="K2019" s="13" t="s">
        <v>2478</v>
      </c>
      <c r="L2019" s="13" t="s">
        <v>2260</v>
      </c>
      <c r="M2019" s="13" t="s">
        <v>2479</v>
      </c>
    </row>
    <row r="2020" customFormat="false" ht="15" hidden="false" customHeight="false" outlineLevel="0" collapsed="false">
      <c r="A2020" s="13" t="s">
        <v>628</v>
      </c>
      <c r="B2020" s="13" t="s">
        <v>627</v>
      </c>
      <c r="C2020" s="13" t="s">
        <v>2258</v>
      </c>
      <c r="D2020" s="13" t="s">
        <v>2270</v>
      </c>
      <c r="E2020" s="13" t="s">
        <v>2507</v>
      </c>
      <c r="F2020" s="13" t="s">
        <v>2512</v>
      </c>
      <c r="G2020" s="61" t="n">
        <v>-60720000</v>
      </c>
      <c r="H2020" s="13" t="s">
        <v>2255</v>
      </c>
      <c r="I2020" s="13" t="s">
        <v>2477</v>
      </c>
      <c r="J2020" s="13" t="n">
        <v>56</v>
      </c>
      <c r="K2020" s="13" t="s">
        <v>2478</v>
      </c>
      <c r="L2020" s="13" t="s">
        <v>2260</v>
      </c>
      <c r="M2020" s="13" t="s">
        <v>2479</v>
      </c>
    </row>
    <row r="2021" customFormat="false" ht="15" hidden="false" customHeight="false" outlineLevel="0" collapsed="false">
      <c r="A2021" s="13" t="s">
        <v>628</v>
      </c>
      <c r="B2021" s="13" t="s">
        <v>627</v>
      </c>
      <c r="C2021" s="13" t="s">
        <v>2258</v>
      </c>
      <c r="D2021" s="13" t="s">
        <v>2270</v>
      </c>
      <c r="E2021" s="13" t="s">
        <v>2508</v>
      </c>
      <c r="F2021" s="13" t="s">
        <v>2512</v>
      </c>
      <c r="G2021" s="61" t="n">
        <v>9595707282</v>
      </c>
      <c r="H2021" s="13" t="s">
        <v>2255</v>
      </c>
      <c r="I2021" s="13" t="s">
        <v>2477</v>
      </c>
      <c r="J2021" s="13" t="n">
        <v>56</v>
      </c>
      <c r="K2021" s="13" t="s">
        <v>2478</v>
      </c>
      <c r="L2021" s="13" t="s">
        <v>2260</v>
      </c>
      <c r="M2021" s="13" t="s">
        <v>2479</v>
      </c>
    </row>
    <row r="2022" customFormat="false" ht="15" hidden="false" customHeight="false" outlineLevel="0" collapsed="false">
      <c r="A2022" s="13" t="s">
        <v>628</v>
      </c>
      <c r="B2022" s="13" t="s">
        <v>627</v>
      </c>
      <c r="C2022" s="13" t="s">
        <v>2258</v>
      </c>
      <c r="D2022" s="13" t="s">
        <v>2270</v>
      </c>
      <c r="E2022" s="13" t="s">
        <v>2509</v>
      </c>
      <c r="F2022" s="13" t="s">
        <v>2512</v>
      </c>
      <c r="G2022" s="61" t="n">
        <v>0</v>
      </c>
      <c r="H2022" s="13" t="s">
        <v>2255</v>
      </c>
      <c r="I2022" s="13" t="s">
        <v>2477</v>
      </c>
      <c r="J2022" s="13" t="n">
        <v>56</v>
      </c>
      <c r="K2022" s="13" t="s">
        <v>2478</v>
      </c>
      <c r="L2022" s="13" t="s">
        <v>2260</v>
      </c>
      <c r="M2022" s="13" t="s">
        <v>2479</v>
      </c>
    </row>
    <row r="2023" customFormat="false" ht="15" hidden="false" customHeight="false" outlineLevel="0" collapsed="false">
      <c r="A2023" s="13" t="s">
        <v>628</v>
      </c>
      <c r="B2023" s="13" t="s">
        <v>627</v>
      </c>
      <c r="C2023" s="13" t="s">
        <v>2258</v>
      </c>
      <c r="D2023" s="13" t="s">
        <v>2270</v>
      </c>
      <c r="E2023" s="13" t="s">
        <v>2510</v>
      </c>
      <c r="F2023" s="13" t="s">
        <v>2512</v>
      </c>
      <c r="G2023" s="61" t="n">
        <v>0</v>
      </c>
      <c r="H2023" s="13" t="s">
        <v>2255</v>
      </c>
      <c r="I2023" s="13" t="s">
        <v>2477</v>
      </c>
      <c r="J2023" s="13" t="n">
        <v>56</v>
      </c>
      <c r="K2023" s="13" t="s">
        <v>2478</v>
      </c>
      <c r="L2023" s="13" t="s">
        <v>2260</v>
      </c>
      <c r="M2023" s="13" t="s">
        <v>2479</v>
      </c>
    </row>
    <row r="2024" customFormat="false" ht="15" hidden="false" customHeight="false" outlineLevel="0" collapsed="false">
      <c r="A2024" s="13" t="s">
        <v>628</v>
      </c>
      <c r="B2024" s="13" t="s">
        <v>627</v>
      </c>
      <c r="C2024" s="13" t="s">
        <v>2258</v>
      </c>
      <c r="D2024" s="13" t="s">
        <v>2270</v>
      </c>
      <c r="E2024" s="13" t="s">
        <v>2511</v>
      </c>
      <c r="F2024" s="13" t="s">
        <v>2512</v>
      </c>
      <c r="G2024" s="61" t="n">
        <v>66641545512</v>
      </c>
      <c r="H2024" s="13" t="s">
        <v>2255</v>
      </c>
      <c r="I2024" s="13" t="s">
        <v>2477</v>
      </c>
      <c r="J2024" s="13" t="n">
        <v>56</v>
      </c>
      <c r="K2024" s="13" t="s">
        <v>2478</v>
      </c>
      <c r="L2024" s="13" t="s">
        <v>2260</v>
      </c>
      <c r="M2024" s="13" t="s">
        <v>2479</v>
      </c>
    </row>
    <row r="2025" customFormat="false" ht="15" hidden="false" customHeight="false" outlineLevel="0" collapsed="false">
      <c r="A2025" s="13" t="s">
        <v>628</v>
      </c>
      <c r="B2025" s="13" t="s">
        <v>627</v>
      </c>
      <c r="C2025" s="13" t="s">
        <v>2258</v>
      </c>
      <c r="D2025" s="13" t="s">
        <v>2270</v>
      </c>
      <c r="E2025" s="13" t="s">
        <v>2505</v>
      </c>
      <c r="F2025" s="13" t="s">
        <v>2502</v>
      </c>
      <c r="G2025" s="61" t="n">
        <v>42000062402</v>
      </c>
      <c r="H2025" s="13" t="s">
        <v>2255</v>
      </c>
      <c r="I2025" s="13" t="s">
        <v>2477</v>
      </c>
      <c r="J2025" s="13" t="n">
        <v>56</v>
      </c>
      <c r="K2025" s="13" t="s">
        <v>2478</v>
      </c>
      <c r="L2025" s="13" t="s">
        <v>2260</v>
      </c>
      <c r="M2025" s="13" t="s">
        <v>2479</v>
      </c>
    </row>
    <row r="2026" customFormat="false" ht="15" hidden="false" customHeight="false" outlineLevel="0" collapsed="false">
      <c r="A2026" s="13" t="s">
        <v>628</v>
      </c>
      <c r="B2026" s="13" t="s">
        <v>627</v>
      </c>
      <c r="C2026" s="13" t="s">
        <v>2258</v>
      </c>
      <c r="D2026" s="13" t="s">
        <v>2270</v>
      </c>
      <c r="E2026" s="13" t="s">
        <v>2506</v>
      </c>
      <c r="F2026" s="13" t="s">
        <v>2502</v>
      </c>
      <c r="G2026" s="61" t="n">
        <v>4034133379</v>
      </c>
      <c r="H2026" s="13" t="s">
        <v>2255</v>
      </c>
      <c r="I2026" s="13" t="s">
        <v>2477</v>
      </c>
      <c r="J2026" s="13" t="n">
        <v>56</v>
      </c>
      <c r="K2026" s="13" t="s">
        <v>2478</v>
      </c>
      <c r="L2026" s="13" t="s">
        <v>2260</v>
      </c>
      <c r="M2026" s="13" t="s">
        <v>2479</v>
      </c>
    </row>
    <row r="2027" customFormat="false" ht="15" hidden="false" customHeight="false" outlineLevel="0" collapsed="false">
      <c r="A2027" s="13" t="s">
        <v>628</v>
      </c>
      <c r="B2027" s="13" t="s">
        <v>627</v>
      </c>
      <c r="C2027" s="13" t="s">
        <v>2258</v>
      </c>
      <c r="D2027" s="13" t="s">
        <v>2270</v>
      </c>
      <c r="E2027" s="13" t="s">
        <v>2507</v>
      </c>
      <c r="F2027" s="13" t="s">
        <v>2502</v>
      </c>
      <c r="G2027" s="61" t="n">
        <v>0</v>
      </c>
      <c r="H2027" s="13" t="s">
        <v>2255</v>
      </c>
      <c r="I2027" s="13" t="s">
        <v>2477</v>
      </c>
      <c r="J2027" s="13" t="n">
        <v>56</v>
      </c>
      <c r="K2027" s="13" t="s">
        <v>2478</v>
      </c>
      <c r="L2027" s="13" t="s">
        <v>2260</v>
      </c>
      <c r="M2027" s="13" t="s">
        <v>2479</v>
      </c>
    </row>
    <row r="2028" customFormat="false" ht="15" hidden="false" customHeight="false" outlineLevel="0" collapsed="false">
      <c r="A2028" s="13" t="s">
        <v>628</v>
      </c>
      <c r="B2028" s="13" t="s">
        <v>627</v>
      </c>
      <c r="C2028" s="13" t="s">
        <v>2258</v>
      </c>
      <c r="D2028" s="13" t="s">
        <v>2270</v>
      </c>
      <c r="E2028" s="13" t="s">
        <v>2508</v>
      </c>
      <c r="F2028" s="13" t="s">
        <v>2502</v>
      </c>
      <c r="G2028" s="61" t="n">
        <v>0</v>
      </c>
      <c r="H2028" s="13" t="s">
        <v>2255</v>
      </c>
      <c r="I2028" s="13" t="s">
        <v>2477</v>
      </c>
      <c r="J2028" s="13" t="n">
        <v>56</v>
      </c>
      <c r="K2028" s="13" t="s">
        <v>2478</v>
      </c>
      <c r="L2028" s="13" t="s">
        <v>2260</v>
      </c>
      <c r="M2028" s="13" t="s">
        <v>2479</v>
      </c>
    </row>
    <row r="2029" customFormat="false" ht="15" hidden="false" customHeight="false" outlineLevel="0" collapsed="false">
      <c r="A2029" s="13" t="s">
        <v>628</v>
      </c>
      <c r="B2029" s="13" t="s">
        <v>627</v>
      </c>
      <c r="C2029" s="13" t="s">
        <v>2258</v>
      </c>
      <c r="D2029" s="13" t="s">
        <v>2270</v>
      </c>
      <c r="E2029" s="13" t="s">
        <v>2509</v>
      </c>
      <c r="F2029" s="13" t="s">
        <v>2502</v>
      </c>
      <c r="G2029" s="61" t="n">
        <v>0</v>
      </c>
      <c r="H2029" s="13" t="s">
        <v>2255</v>
      </c>
      <c r="I2029" s="13" t="s">
        <v>2477</v>
      </c>
      <c r="J2029" s="13" t="n">
        <v>56</v>
      </c>
      <c r="K2029" s="13" t="s">
        <v>2478</v>
      </c>
      <c r="L2029" s="13" t="s">
        <v>2260</v>
      </c>
      <c r="M2029" s="13" t="s">
        <v>2479</v>
      </c>
    </row>
    <row r="2030" customFormat="false" ht="15" hidden="false" customHeight="false" outlineLevel="0" collapsed="false">
      <c r="A2030" s="13" t="s">
        <v>628</v>
      </c>
      <c r="B2030" s="13" t="s">
        <v>627</v>
      </c>
      <c r="C2030" s="13" t="s">
        <v>2258</v>
      </c>
      <c r="D2030" s="13" t="s">
        <v>2270</v>
      </c>
      <c r="E2030" s="13" t="s">
        <v>2510</v>
      </c>
      <c r="F2030" s="13" t="s">
        <v>2502</v>
      </c>
      <c r="G2030" s="61" t="n">
        <v>0</v>
      </c>
      <c r="H2030" s="13" t="s">
        <v>2255</v>
      </c>
      <c r="I2030" s="13" t="s">
        <v>2477</v>
      </c>
      <c r="J2030" s="13" t="n">
        <v>56</v>
      </c>
      <c r="K2030" s="13" t="s">
        <v>2478</v>
      </c>
      <c r="L2030" s="13" t="s">
        <v>2260</v>
      </c>
      <c r="M2030" s="13" t="s">
        <v>2479</v>
      </c>
    </row>
    <row r="2031" customFormat="false" ht="15" hidden="false" customHeight="false" outlineLevel="0" collapsed="false">
      <c r="A2031" s="13" t="s">
        <v>628</v>
      </c>
      <c r="B2031" s="13" t="s">
        <v>627</v>
      </c>
      <c r="C2031" s="13" t="s">
        <v>2258</v>
      </c>
      <c r="D2031" s="13" t="s">
        <v>2270</v>
      </c>
      <c r="E2031" s="13" t="s">
        <v>2511</v>
      </c>
      <c r="F2031" s="13" t="s">
        <v>2502</v>
      </c>
      <c r="G2031" s="61" t="n">
        <v>46034195781</v>
      </c>
      <c r="H2031" s="13" t="s">
        <v>2255</v>
      </c>
      <c r="I2031" s="13" t="s">
        <v>2477</v>
      </c>
      <c r="J2031" s="13" t="n">
        <v>56</v>
      </c>
      <c r="K2031" s="13" t="s">
        <v>2478</v>
      </c>
      <c r="L2031" s="13" t="s">
        <v>2260</v>
      </c>
      <c r="M2031" s="13" t="s">
        <v>2479</v>
      </c>
    </row>
    <row r="2032" customFormat="false" ht="15" hidden="false" customHeight="false" outlineLevel="0" collapsed="false">
      <c r="A2032" s="13" t="s">
        <v>628</v>
      </c>
      <c r="B2032" s="13" t="s">
        <v>627</v>
      </c>
      <c r="C2032" s="13" t="s">
        <v>2258</v>
      </c>
      <c r="D2032" s="13" t="s">
        <v>2270</v>
      </c>
      <c r="E2032" s="13" t="s">
        <v>2505</v>
      </c>
      <c r="F2032" s="13" t="s">
        <v>2503</v>
      </c>
      <c r="G2032" s="61" t="n">
        <v>4546938334</v>
      </c>
      <c r="H2032" s="13" t="s">
        <v>2255</v>
      </c>
      <c r="I2032" s="13" t="s">
        <v>2477</v>
      </c>
      <c r="J2032" s="13" t="n">
        <v>56</v>
      </c>
      <c r="K2032" s="13" t="s">
        <v>2478</v>
      </c>
      <c r="L2032" s="13" t="s">
        <v>2260</v>
      </c>
      <c r="M2032" s="13" t="s">
        <v>2479</v>
      </c>
    </row>
    <row r="2033" customFormat="false" ht="15" hidden="false" customHeight="false" outlineLevel="0" collapsed="false">
      <c r="A2033" s="13" t="s">
        <v>628</v>
      </c>
      <c r="B2033" s="13" t="s">
        <v>627</v>
      </c>
      <c r="C2033" s="13" t="s">
        <v>2258</v>
      </c>
      <c r="D2033" s="13" t="s">
        <v>2270</v>
      </c>
      <c r="E2033" s="13" t="s">
        <v>2506</v>
      </c>
      <c r="F2033" s="13" t="s">
        <v>2503</v>
      </c>
      <c r="G2033" s="61" t="n">
        <v>4097335978</v>
      </c>
      <c r="H2033" s="13" t="s">
        <v>2255</v>
      </c>
      <c r="I2033" s="13" t="s">
        <v>2477</v>
      </c>
      <c r="J2033" s="13" t="n">
        <v>56</v>
      </c>
      <c r="K2033" s="13" t="s">
        <v>2478</v>
      </c>
      <c r="L2033" s="13" t="s">
        <v>2260</v>
      </c>
      <c r="M2033" s="13" t="s">
        <v>2479</v>
      </c>
    </row>
    <row r="2034" customFormat="false" ht="15" hidden="false" customHeight="false" outlineLevel="0" collapsed="false">
      <c r="A2034" s="13" t="s">
        <v>628</v>
      </c>
      <c r="B2034" s="13" t="s">
        <v>627</v>
      </c>
      <c r="C2034" s="13" t="s">
        <v>2258</v>
      </c>
      <c r="D2034" s="13" t="s">
        <v>2270</v>
      </c>
      <c r="E2034" s="13" t="s">
        <v>2507</v>
      </c>
      <c r="F2034" s="13" t="s">
        <v>2503</v>
      </c>
      <c r="G2034" s="61" t="n">
        <v>0</v>
      </c>
      <c r="H2034" s="13" t="s">
        <v>2255</v>
      </c>
      <c r="I2034" s="13" t="s">
        <v>2477</v>
      </c>
      <c r="J2034" s="13" t="n">
        <v>56</v>
      </c>
      <c r="K2034" s="13" t="s">
        <v>2478</v>
      </c>
      <c r="L2034" s="13" t="s">
        <v>2260</v>
      </c>
      <c r="M2034" s="13" t="s">
        <v>2479</v>
      </c>
    </row>
    <row r="2035" customFormat="false" ht="15" hidden="false" customHeight="false" outlineLevel="0" collapsed="false">
      <c r="A2035" s="13" t="s">
        <v>628</v>
      </c>
      <c r="B2035" s="13" t="s">
        <v>627</v>
      </c>
      <c r="C2035" s="13" t="s">
        <v>2258</v>
      </c>
      <c r="D2035" s="13" t="s">
        <v>2270</v>
      </c>
      <c r="E2035" s="13" t="s">
        <v>2508</v>
      </c>
      <c r="F2035" s="13" t="s">
        <v>2503</v>
      </c>
      <c r="G2035" s="61" t="n">
        <v>0</v>
      </c>
      <c r="H2035" s="13" t="s">
        <v>2255</v>
      </c>
      <c r="I2035" s="13" t="s">
        <v>2477</v>
      </c>
      <c r="J2035" s="13" t="n">
        <v>56</v>
      </c>
      <c r="K2035" s="13" t="s">
        <v>2478</v>
      </c>
      <c r="L2035" s="13" t="s">
        <v>2260</v>
      </c>
      <c r="M2035" s="13" t="s">
        <v>2479</v>
      </c>
    </row>
    <row r="2036" customFormat="false" ht="15" hidden="false" customHeight="false" outlineLevel="0" collapsed="false">
      <c r="A2036" s="13" t="s">
        <v>628</v>
      </c>
      <c r="B2036" s="13" t="s">
        <v>627</v>
      </c>
      <c r="C2036" s="13" t="s">
        <v>2258</v>
      </c>
      <c r="D2036" s="13" t="s">
        <v>2270</v>
      </c>
      <c r="E2036" s="13" t="s">
        <v>2509</v>
      </c>
      <c r="F2036" s="13" t="s">
        <v>2503</v>
      </c>
      <c r="G2036" s="61" t="n">
        <v>0</v>
      </c>
      <c r="H2036" s="13" t="s">
        <v>2255</v>
      </c>
      <c r="I2036" s="13" t="s">
        <v>2477</v>
      </c>
      <c r="J2036" s="13" t="n">
        <v>56</v>
      </c>
      <c r="K2036" s="13" t="s">
        <v>2478</v>
      </c>
      <c r="L2036" s="13" t="s">
        <v>2260</v>
      </c>
      <c r="M2036" s="13" t="s">
        <v>2479</v>
      </c>
    </row>
    <row r="2037" customFormat="false" ht="15" hidden="false" customHeight="false" outlineLevel="0" collapsed="false">
      <c r="A2037" s="13" t="s">
        <v>628</v>
      </c>
      <c r="B2037" s="13" t="s">
        <v>627</v>
      </c>
      <c r="C2037" s="13" t="s">
        <v>2258</v>
      </c>
      <c r="D2037" s="13" t="s">
        <v>2270</v>
      </c>
      <c r="E2037" s="13" t="s">
        <v>2510</v>
      </c>
      <c r="F2037" s="13" t="s">
        <v>2503</v>
      </c>
      <c r="G2037" s="61" t="n">
        <v>0</v>
      </c>
      <c r="H2037" s="13" t="s">
        <v>2255</v>
      </c>
      <c r="I2037" s="13" t="s">
        <v>2477</v>
      </c>
      <c r="J2037" s="13" t="n">
        <v>56</v>
      </c>
      <c r="K2037" s="13" t="s">
        <v>2478</v>
      </c>
      <c r="L2037" s="13" t="s">
        <v>2260</v>
      </c>
      <c r="M2037" s="13" t="s">
        <v>2479</v>
      </c>
    </row>
    <row r="2038" customFormat="false" ht="15" hidden="false" customHeight="false" outlineLevel="0" collapsed="false">
      <c r="A2038" s="13" t="s">
        <v>628</v>
      </c>
      <c r="B2038" s="13" t="s">
        <v>627</v>
      </c>
      <c r="C2038" s="13" t="s">
        <v>2258</v>
      </c>
      <c r="D2038" s="13" t="s">
        <v>2270</v>
      </c>
      <c r="E2038" s="13" t="s">
        <v>2511</v>
      </c>
      <c r="F2038" s="13" t="s">
        <v>2503</v>
      </c>
      <c r="G2038" s="61" t="n">
        <v>8644274312</v>
      </c>
      <c r="H2038" s="13" t="s">
        <v>2255</v>
      </c>
      <c r="I2038" s="13" t="s">
        <v>2477</v>
      </c>
      <c r="J2038" s="13" t="n">
        <v>56</v>
      </c>
      <c r="K2038" s="13" t="s">
        <v>2478</v>
      </c>
      <c r="L2038" s="13" t="s">
        <v>2260</v>
      </c>
      <c r="M2038" s="13" t="s">
        <v>2479</v>
      </c>
    </row>
    <row r="2039" customFormat="false" ht="15" hidden="false" customHeight="false" outlineLevel="0" collapsed="false">
      <c r="A2039" s="13" t="s">
        <v>628</v>
      </c>
      <c r="B2039" s="13" t="s">
        <v>627</v>
      </c>
      <c r="C2039" s="13" t="s">
        <v>2258</v>
      </c>
      <c r="D2039" s="13" t="s">
        <v>2270</v>
      </c>
      <c r="E2039" s="13" t="s">
        <v>2505</v>
      </c>
      <c r="F2039" s="13" t="s">
        <v>2504</v>
      </c>
      <c r="G2039" s="61" t="n">
        <v>14451593317</v>
      </c>
      <c r="H2039" s="13" t="s">
        <v>2255</v>
      </c>
      <c r="I2039" s="13" t="s">
        <v>2477</v>
      </c>
      <c r="J2039" s="13" t="n">
        <v>56</v>
      </c>
      <c r="K2039" s="13" t="s">
        <v>2478</v>
      </c>
      <c r="L2039" s="13" t="s">
        <v>2260</v>
      </c>
      <c r="M2039" s="13" t="s">
        <v>2479</v>
      </c>
    </row>
    <row r="2040" customFormat="false" ht="15" hidden="false" customHeight="false" outlineLevel="0" collapsed="false">
      <c r="A2040" s="13" t="s">
        <v>628</v>
      </c>
      <c r="B2040" s="13" t="s">
        <v>627</v>
      </c>
      <c r="C2040" s="13" t="s">
        <v>2258</v>
      </c>
      <c r="D2040" s="13" t="s">
        <v>2270</v>
      </c>
      <c r="E2040" s="13" t="s">
        <v>2506</v>
      </c>
      <c r="F2040" s="13" t="s">
        <v>2504</v>
      </c>
      <c r="G2040" s="61" t="n">
        <v>7036475352</v>
      </c>
      <c r="H2040" s="13" t="s">
        <v>2255</v>
      </c>
      <c r="I2040" s="13" t="s">
        <v>2477</v>
      </c>
      <c r="J2040" s="13" t="n">
        <v>56</v>
      </c>
      <c r="K2040" s="13" t="s">
        <v>2478</v>
      </c>
      <c r="L2040" s="13" t="s">
        <v>2260</v>
      </c>
      <c r="M2040" s="13" t="s">
        <v>2479</v>
      </c>
    </row>
    <row r="2041" customFormat="false" ht="15" hidden="false" customHeight="false" outlineLevel="0" collapsed="false">
      <c r="A2041" s="13" t="s">
        <v>628</v>
      </c>
      <c r="B2041" s="13" t="s">
        <v>627</v>
      </c>
      <c r="C2041" s="13" t="s">
        <v>2258</v>
      </c>
      <c r="D2041" s="13" t="s">
        <v>2270</v>
      </c>
      <c r="E2041" s="13" t="s">
        <v>2507</v>
      </c>
      <c r="F2041" s="13" t="s">
        <v>2504</v>
      </c>
      <c r="G2041" s="61" t="n">
        <v>-1103819480</v>
      </c>
      <c r="H2041" s="13" t="s">
        <v>2255</v>
      </c>
      <c r="I2041" s="13" t="s">
        <v>2477</v>
      </c>
      <c r="J2041" s="13" t="n">
        <v>56</v>
      </c>
      <c r="K2041" s="13" t="s">
        <v>2478</v>
      </c>
      <c r="L2041" s="13" t="s">
        <v>2260</v>
      </c>
      <c r="M2041" s="13" t="s">
        <v>2479</v>
      </c>
    </row>
    <row r="2042" customFormat="false" ht="15" hidden="false" customHeight="false" outlineLevel="0" collapsed="false">
      <c r="A2042" s="13" t="s">
        <v>628</v>
      </c>
      <c r="B2042" s="13" t="s">
        <v>627</v>
      </c>
      <c r="C2042" s="13" t="s">
        <v>2258</v>
      </c>
      <c r="D2042" s="13" t="s">
        <v>2270</v>
      </c>
      <c r="E2042" s="13" t="s">
        <v>2508</v>
      </c>
      <c r="F2042" s="13" t="s">
        <v>2504</v>
      </c>
      <c r="G2042" s="61" t="n">
        <v>0</v>
      </c>
      <c r="H2042" s="13" t="s">
        <v>2255</v>
      </c>
      <c r="I2042" s="13" t="s">
        <v>2477</v>
      </c>
      <c r="J2042" s="13" t="n">
        <v>56</v>
      </c>
      <c r="K2042" s="13" t="s">
        <v>2478</v>
      </c>
      <c r="L2042" s="13" t="s">
        <v>2260</v>
      </c>
      <c r="M2042" s="13" t="s">
        <v>2479</v>
      </c>
    </row>
    <row r="2043" customFormat="false" ht="15" hidden="false" customHeight="false" outlineLevel="0" collapsed="false">
      <c r="A2043" s="13" t="s">
        <v>628</v>
      </c>
      <c r="B2043" s="13" t="s">
        <v>627</v>
      </c>
      <c r="C2043" s="13" t="s">
        <v>2258</v>
      </c>
      <c r="D2043" s="13" t="s">
        <v>2270</v>
      </c>
      <c r="E2043" s="13" t="s">
        <v>2509</v>
      </c>
      <c r="F2043" s="13" t="s">
        <v>2504</v>
      </c>
      <c r="G2043" s="61" t="n">
        <v>0</v>
      </c>
      <c r="H2043" s="13" t="s">
        <v>2255</v>
      </c>
      <c r="I2043" s="13" t="s">
        <v>2477</v>
      </c>
      <c r="J2043" s="13" t="n">
        <v>56</v>
      </c>
      <c r="K2043" s="13" t="s">
        <v>2478</v>
      </c>
      <c r="L2043" s="13" t="s">
        <v>2260</v>
      </c>
      <c r="M2043" s="13" t="s">
        <v>2479</v>
      </c>
    </row>
    <row r="2044" customFormat="false" ht="15" hidden="false" customHeight="false" outlineLevel="0" collapsed="false">
      <c r="A2044" s="13" t="s">
        <v>628</v>
      </c>
      <c r="B2044" s="13" t="s">
        <v>627</v>
      </c>
      <c r="C2044" s="13" t="s">
        <v>2258</v>
      </c>
      <c r="D2044" s="13" t="s">
        <v>2270</v>
      </c>
      <c r="E2044" s="13" t="s">
        <v>2510</v>
      </c>
      <c r="F2044" s="13" t="s">
        <v>2504</v>
      </c>
      <c r="G2044" s="61" t="n">
        <v>0</v>
      </c>
      <c r="H2044" s="13" t="s">
        <v>2255</v>
      </c>
      <c r="I2044" s="13" t="s">
        <v>2477</v>
      </c>
      <c r="J2044" s="13" t="n">
        <v>56</v>
      </c>
      <c r="K2044" s="13" t="s">
        <v>2478</v>
      </c>
      <c r="L2044" s="13" t="s">
        <v>2260</v>
      </c>
      <c r="M2044" s="13" t="s">
        <v>2479</v>
      </c>
    </row>
    <row r="2045" customFormat="false" ht="15" hidden="false" customHeight="false" outlineLevel="0" collapsed="false">
      <c r="A2045" s="13" t="s">
        <v>628</v>
      </c>
      <c r="B2045" s="13" t="s">
        <v>627</v>
      </c>
      <c r="C2045" s="13" t="s">
        <v>2258</v>
      </c>
      <c r="D2045" s="13" t="s">
        <v>2270</v>
      </c>
      <c r="E2045" s="13" t="s">
        <v>2511</v>
      </c>
      <c r="F2045" s="13" t="s">
        <v>2504</v>
      </c>
      <c r="G2045" s="61" t="n">
        <v>20384249189</v>
      </c>
      <c r="H2045" s="13" t="s">
        <v>2255</v>
      </c>
      <c r="I2045" s="13" t="s">
        <v>2477</v>
      </c>
      <c r="J2045" s="13" t="n">
        <v>56</v>
      </c>
      <c r="K2045" s="13" t="s">
        <v>2478</v>
      </c>
      <c r="L2045" s="13" t="s">
        <v>2260</v>
      </c>
      <c r="M2045" s="13" t="s">
        <v>2479</v>
      </c>
    </row>
    <row r="2046" customFormat="false" ht="15" hidden="false" customHeight="false" outlineLevel="0" collapsed="false">
      <c r="A2046" s="13" t="s">
        <v>628</v>
      </c>
      <c r="B2046" s="13" t="s">
        <v>627</v>
      </c>
      <c r="C2046" s="13" t="s">
        <v>2258</v>
      </c>
      <c r="D2046" s="13" t="s">
        <v>2270</v>
      </c>
      <c r="E2046" s="13" t="s">
        <v>2505</v>
      </c>
      <c r="F2046" s="13" t="s">
        <v>2513</v>
      </c>
      <c r="G2046" s="61" t="n">
        <v>5825446504</v>
      </c>
      <c r="H2046" s="13" t="s">
        <v>2255</v>
      </c>
      <c r="I2046" s="13" t="s">
        <v>2477</v>
      </c>
      <c r="J2046" s="13" t="n">
        <v>56</v>
      </c>
      <c r="K2046" s="13" t="s">
        <v>2478</v>
      </c>
      <c r="L2046" s="13" t="s">
        <v>2260</v>
      </c>
      <c r="M2046" s="13" t="s">
        <v>2479</v>
      </c>
    </row>
    <row r="2047" customFormat="false" ht="15" hidden="false" customHeight="false" outlineLevel="0" collapsed="false">
      <c r="A2047" s="13" t="s">
        <v>628</v>
      </c>
      <c r="B2047" s="13" t="s">
        <v>627</v>
      </c>
      <c r="C2047" s="13" t="s">
        <v>2258</v>
      </c>
      <c r="D2047" s="13" t="s">
        <v>2270</v>
      </c>
      <c r="E2047" s="13" t="s">
        <v>2506</v>
      </c>
      <c r="F2047" s="13" t="s">
        <v>2513</v>
      </c>
      <c r="G2047" s="61" t="n">
        <v>57946701886</v>
      </c>
      <c r="H2047" s="13" t="s">
        <v>2255</v>
      </c>
      <c r="I2047" s="13" t="s">
        <v>2477</v>
      </c>
      <c r="J2047" s="13" t="n">
        <v>56</v>
      </c>
      <c r="K2047" s="13" t="s">
        <v>2478</v>
      </c>
      <c r="L2047" s="13" t="s">
        <v>2260</v>
      </c>
      <c r="M2047" s="13" t="s">
        <v>2479</v>
      </c>
    </row>
    <row r="2048" customFormat="false" ht="15" hidden="false" customHeight="false" outlineLevel="0" collapsed="false">
      <c r="A2048" s="13" t="s">
        <v>628</v>
      </c>
      <c r="B2048" s="13" t="s">
        <v>627</v>
      </c>
      <c r="C2048" s="13" t="s">
        <v>2258</v>
      </c>
      <c r="D2048" s="13" t="s">
        <v>2270</v>
      </c>
      <c r="E2048" s="13" t="s">
        <v>2507</v>
      </c>
      <c r="F2048" s="13" t="s">
        <v>2513</v>
      </c>
      <c r="G2048" s="61" t="n">
        <v>0</v>
      </c>
      <c r="H2048" s="13" t="s">
        <v>2255</v>
      </c>
      <c r="I2048" s="13" t="s">
        <v>2477</v>
      </c>
      <c r="J2048" s="13" t="n">
        <v>56</v>
      </c>
      <c r="K2048" s="13" t="s">
        <v>2478</v>
      </c>
      <c r="L2048" s="13" t="s">
        <v>2260</v>
      </c>
      <c r="M2048" s="13" t="s">
        <v>2479</v>
      </c>
    </row>
    <row r="2049" customFormat="false" ht="15" hidden="false" customHeight="false" outlineLevel="0" collapsed="false">
      <c r="A2049" s="13" t="s">
        <v>628</v>
      </c>
      <c r="B2049" s="13" t="s">
        <v>627</v>
      </c>
      <c r="C2049" s="13" t="s">
        <v>2258</v>
      </c>
      <c r="D2049" s="13" t="s">
        <v>2270</v>
      </c>
      <c r="E2049" s="13" t="s">
        <v>2508</v>
      </c>
      <c r="F2049" s="13" t="s">
        <v>2513</v>
      </c>
      <c r="G2049" s="61" t="n">
        <v>-20755664863</v>
      </c>
      <c r="H2049" s="13" t="s">
        <v>2255</v>
      </c>
      <c r="I2049" s="13" t="s">
        <v>2477</v>
      </c>
      <c r="J2049" s="13" t="n">
        <v>56</v>
      </c>
      <c r="K2049" s="13" t="s">
        <v>2478</v>
      </c>
      <c r="L2049" s="13" t="s">
        <v>2260</v>
      </c>
      <c r="M2049" s="13" t="s">
        <v>2479</v>
      </c>
    </row>
    <row r="2050" customFormat="false" ht="15" hidden="false" customHeight="false" outlineLevel="0" collapsed="false">
      <c r="A2050" s="13" t="s">
        <v>628</v>
      </c>
      <c r="B2050" s="13" t="s">
        <v>627</v>
      </c>
      <c r="C2050" s="13" t="s">
        <v>2258</v>
      </c>
      <c r="D2050" s="13" t="s">
        <v>2270</v>
      </c>
      <c r="E2050" s="13" t="s">
        <v>2509</v>
      </c>
      <c r="F2050" s="13" t="s">
        <v>2513</v>
      </c>
      <c r="G2050" s="61" t="n">
        <v>0</v>
      </c>
      <c r="H2050" s="13" t="s">
        <v>2255</v>
      </c>
      <c r="I2050" s="13" t="s">
        <v>2477</v>
      </c>
      <c r="J2050" s="13" t="n">
        <v>56</v>
      </c>
      <c r="K2050" s="13" t="s">
        <v>2478</v>
      </c>
      <c r="L2050" s="13" t="s">
        <v>2260</v>
      </c>
      <c r="M2050" s="13" t="s">
        <v>2479</v>
      </c>
    </row>
    <row r="2051" customFormat="false" ht="15" hidden="false" customHeight="false" outlineLevel="0" collapsed="false">
      <c r="A2051" s="13" t="s">
        <v>628</v>
      </c>
      <c r="B2051" s="13" t="s">
        <v>627</v>
      </c>
      <c r="C2051" s="13" t="s">
        <v>2258</v>
      </c>
      <c r="D2051" s="13" t="s">
        <v>2270</v>
      </c>
      <c r="E2051" s="13" t="s">
        <v>2510</v>
      </c>
      <c r="F2051" s="13" t="s">
        <v>2513</v>
      </c>
      <c r="G2051" s="61" t="n">
        <v>0</v>
      </c>
      <c r="H2051" s="13" t="s">
        <v>2255</v>
      </c>
      <c r="I2051" s="13" t="s">
        <v>2477</v>
      </c>
      <c r="J2051" s="13" t="n">
        <v>56</v>
      </c>
      <c r="K2051" s="13" t="s">
        <v>2478</v>
      </c>
      <c r="L2051" s="13" t="s">
        <v>2260</v>
      </c>
      <c r="M2051" s="13" t="s">
        <v>2479</v>
      </c>
    </row>
    <row r="2052" customFormat="false" ht="15" hidden="false" customHeight="false" outlineLevel="0" collapsed="false">
      <c r="A2052" s="13" t="s">
        <v>628</v>
      </c>
      <c r="B2052" s="13" t="s">
        <v>627</v>
      </c>
      <c r="C2052" s="13" t="s">
        <v>2258</v>
      </c>
      <c r="D2052" s="13" t="s">
        <v>2270</v>
      </c>
      <c r="E2052" s="13" t="s">
        <v>2511</v>
      </c>
      <c r="F2052" s="13" t="s">
        <v>2513</v>
      </c>
      <c r="G2052" s="61" t="n">
        <v>43016483527</v>
      </c>
      <c r="H2052" s="13" t="s">
        <v>2255</v>
      </c>
      <c r="I2052" s="13" t="s">
        <v>2477</v>
      </c>
      <c r="J2052" s="13" t="n">
        <v>56</v>
      </c>
      <c r="K2052" s="13" t="s">
        <v>2478</v>
      </c>
      <c r="L2052" s="13" t="s">
        <v>2260</v>
      </c>
      <c r="M2052" s="13" t="s">
        <v>2479</v>
      </c>
    </row>
    <row r="2053" customFormat="false" ht="15" hidden="false" customHeight="false" outlineLevel="0" collapsed="false">
      <c r="A2053" s="13" t="s">
        <v>628</v>
      </c>
      <c r="B2053" s="13" t="s">
        <v>627</v>
      </c>
      <c r="C2053" s="13" t="s">
        <v>2258</v>
      </c>
      <c r="D2053" s="13" t="s">
        <v>2270</v>
      </c>
      <c r="E2053" s="13" t="s">
        <v>2505</v>
      </c>
      <c r="F2053" s="13" t="s">
        <v>2290</v>
      </c>
      <c r="G2053" s="61" t="n">
        <v>1525702890522</v>
      </c>
      <c r="H2053" s="13" t="s">
        <v>2255</v>
      </c>
      <c r="I2053" s="13" t="s">
        <v>2477</v>
      </c>
      <c r="J2053" s="13" t="n">
        <v>56</v>
      </c>
      <c r="K2053" s="13" t="s">
        <v>2478</v>
      </c>
      <c r="L2053" s="13" t="s">
        <v>2260</v>
      </c>
      <c r="M2053" s="13" t="s">
        <v>2479</v>
      </c>
    </row>
    <row r="2054" customFormat="false" ht="15" hidden="false" customHeight="false" outlineLevel="0" collapsed="false">
      <c r="A2054" s="13" t="s">
        <v>628</v>
      </c>
      <c r="B2054" s="13" t="s">
        <v>627</v>
      </c>
      <c r="C2054" s="13" t="s">
        <v>2258</v>
      </c>
      <c r="D2054" s="13" t="s">
        <v>2270</v>
      </c>
      <c r="E2054" s="13" t="s">
        <v>2506</v>
      </c>
      <c r="F2054" s="13" t="s">
        <v>2290</v>
      </c>
      <c r="G2054" s="61" t="n">
        <v>298175362181</v>
      </c>
      <c r="H2054" s="13" t="s">
        <v>2255</v>
      </c>
      <c r="I2054" s="13" t="s">
        <v>2477</v>
      </c>
      <c r="J2054" s="13" t="n">
        <v>56</v>
      </c>
      <c r="K2054" s="13" t="s">
        <v>2478</v>
      </c>
      <c r="L2054" s="13" t="s">
        <v>2260</v>
      </c>
      <c r="M2054" s="13" t="s">
        <v>2479</v>
      </c>
    </row>
    <row r="2055" customFormat="false" ht="15" hidden="false" customHeight="false" outlineLevel="0" collapsed="false">
      <c r="A2055" s="13" t="s">
        <v>628</v>
      </c>
      <c r="B2055" s="13" t="s">
        <v>627</v>
      </c>
      <c r="C2055" s="13" t="s">
        <v>2258</v>
      </c>
      <c r="D2055" s="13" t="s">
        <v>2270</v>
      </c>
      <c r="E2055" s="13" t="s">
        <v>2507</v>
      </c>
      <c r="F2055" s="13" t="s">
        <v>2290</v>
      </c>
      <c r="G2055" s="61" t="n">
        <v>-1878388484</v>
      </c>
      <c r="H2055" s="13" t="s">
        <v>2255</v>
      </c>
      <c r="I2055" s="13" t="s">
        <v>2477</v>
      </c>
      <c r="J2055" s="13" t="n">
        <v>56</v>
      </c>
      <c r="K2055" s="13" t="s">
        <v>2478</v>
      </c>
      <c r="L2055" s="13" t="s">
        <v>2260</v>
      </c>
      <c r="M2055" s="13" t="s">
        <v>2479</v>
      </c>
    </row>
    <row r="2056" customFormat="false" ht="15" hidden="false" customHeight="false" outlineLevel="0" collapsed="false">
      <c r="A2056" s="13" t="s">
        <v>628</v>
      </c>
      <c r="B2056" s="13" t="s">
        <v>627</v>
      </c>
      <c r="C2056" s="13" t="s">
        <v>2258</v>
      </c>
      <c r="D2056" s="13" t="s">
        <v>2270</v>
      </c>
      <c r="E2056" s="13" t="s">
        <v>2508</v>
      </c>
      <c r="F2056" s="13" t="s">
        <v>2290</v>
      </c>
      <c r="G2056" s="61" t="n">
        <v>0</v>
      </c>
      <c r="H2056" s="13" t="s">
        <v>2255</v>
      </c>
      <c r="I2056" s="13" t="s">
        <v>2477</v>
      </c>
      <c r="J2056" s="13" t="n">
        <v>56</v>
      </c>
      <c r="K2056" s="13" t="s">
        <v>2478</v>
      </c>
      <c r="L2056" s="13" t="s">
        <v>2260</v>
      </c>
      <c r="M2056" s="13" t="s">
        <v>2479</v>
      </c>
    </row>
    <row r="2057" customFormat="false" ht="15" hidden="false" customHeight="false" outlineLevel="0" collapsed="false">
      <c r="A2057" s="13" t="s">
        <v>628</v>
      </c>
      <c r="B2057" s="13" t="s">
        <v>627</v>
      </c>
      <c r="C2057" s="13" t="s">
        <v>2258</v>
      </c>
      <c r="D2057" s="13" t="s">
        <v>2270</v>
      </c>
      <c r="E2057" s="13" t="s">
        <v>2509</v>
      </c>
      <c r="F2057" s="13" t="s">
        <v>2290</v>
      </c>
      <c r="G2057" s="61" t="n">
        <v>0</v>
      </c>
      <c r="H2057" s="13" t="s">
        <v>2255</v>
      </c>
      <c r="I2057" s="13" t="s">
        <v>2477</v>
      </c>
      <c r="J2057" s="13" t="n">
        <v>56</v>
      </c>
      <c r="K2057" s="13" t="s">
        <v>2478</v>
      </c>
      <c r="L2057" s="13" t="s">
        <v>2260</v>
      </c>
      <c r="M2057" s="13" t="s">
        <v>2479</v>
      </c>
    </row>
    <row r="2058" customFormat="false" ht="15" hidden="false" customHeight="false" outlineLevel="0" collapsed="false">
      <c r="A2058" s="13" t="s">
        <v>628</v>
      </c>
      <c r="B2058" s="13" t="s">
        <v>627</v>
      </c>
      <c r="C2058" s="13" t="s">
        <v>2258</v>
      </c>
      <c r="D2058" s="13" t="s">
        <v>2270</v>
      </c>
      <c r="E2058" s="13" t="s">
        <v>2510</v>
      </c>
      <c r="F2058" s="13" t="s">
        <v>2290</v>
      </c>
      <c r="G2058" s="61" t="n">
        <v>0</v>
      </c>
      <c r="H2058" s="13" t="s">
        <v>2255</v>
      </c>
      <c r="I2058" s="13" t="s">
        <v>2477</v>
      </c>
      <c r="J2058" s="13" t="n">
        <v>56</v>
      </c>
      <c r="K2058" s="13" t="s">
        <v>2478</v>
      </c>
      <c r="L2058" s="13" t="s">
        <v>2260</v>
      </c>
      <c r="M2058" s="13" t="s">
        <v>2479</v>
      </c>
    </row>
    <row r="2059" customFormat="false" ht="15" hidden="false" customHeight="false" outlineLevel="0" collapsed="false">
      <c r="A2059" s="13" t="s">
        <v>628</v>
      </c>
      <c r="B2059" s="13" t="s">
        <v>627</v>
      </c>
      <c r="C2059" s="13" t="s">
        <v>2258</v>
      </c>
      <c r="D2059" s="13" t="s">
        <v>2270</v>
      </c>
      <c r="E2059" s="13" t="s">
        <v>2511</v>
      </c>
      <c r="F2059" s="13" t="s">
        <v>2290</v>
      </c>
      <c r="G2059" s="61" t="n">
        <v>1821999864219</v>
      </c>
      <c r="H2059" s="13" t="s">
        <v>2255</v>
      </c>
      <c r="I2059" s="13" t="s">
        <v>2477</v>
      </c>
      <c r="J2059" s="13" t="n">
        <v>56</v>
      </c>
      <c r="K2059" s="13" t="s">
        <v>2478</v>
      </c>
      <c r="L2059" s="13" t="s">
        <v>2260</v>
      </c>
      <c r="M2059" s="13" t="s">
        <v>2479</v>
      </c>
    </row>
    <row r="2060" customFormat="false" ht="15" hidden="false" customHeight="false" outlineLevel="0" collapsed="false">
      <c r="A2060" s="13" t="s">
        <v>628</v>
      </c>
      <c r="B2060" s="13" t="s">
        <v>627</v>
      </c>
      <c r="C2060" s="13" t="s">
        <v>2261</v>
      </c>
      <c r="D2060" s="13" t="s">
        <v>2270</v>
      </c>
      <c r="E2060" s="13" t="s">
        <v>2476</v>
      </c>
      <c r="F2060" s="13" t="s">
        <v>2434</v>
      </c>
      <c r="G2060" s="61" t="n">
        <v>25350851276</v>
      </c>
      <c r="H2060" s="13" t="s">
        <v>2255</v>
      </c>
      <c r="I2060" s="13" t="s">
        <v>2477</v>
      </c>
      <c r="J2060" s="13" t="n">
        <v>4</v>
      </c>
      <c r="K2060" s="13" t="s">
        <v>2478</v>
      </c>
      <c r="L2060" s="13" t="s">
        <v>2263</v>
      </c>
      <c r="M2060" s="13" t="s">
        <v>2479</v>
      </c>
    </row>
    <row r="2061" customFormat="false" ht="15" hidden="false" customHeight="false" outlineLevel="0" collapsed="false">
      <c r="A2061" s="13" t="s">
        <v>628</v>
      </c>
      <c r="B2061" s="13" t="s">
        <v>627</v>
      </c>
      <c r="C2061" s="13" t="s">
        <v>2261</v>
      </c>
      <c r="D2061" s="13" t="s">
        <v>2270</v>
      </c>
      <c r="E2061" s="13" t="s">
        <v>2480</v>
      </c>
      <c r="F2061" s="13" t="s">
        <v>2434</v>
      </c>
      <c r="G2061" s="61" t="n">
        <v>30576498120</v>
      </c>
      <c r="H2061" s="13" t="s">
        <v>2255</v>
      </c>
      <c r="I2061" s="13" t="s">
        <v>2477</v>
      </c>
      <c r="J2061" s="13" t="n">
        <v>4</v>
      </c>
      <c r="K2061" s="13" t="s">
        <v>2478</v>
      </c>
      <c r="L2061" s="13" t="s">
        <v>2263</v>
      </c>
      <c r="M2061" s="13" t="s">
        <v>2479</v>
      </c>
    </row>
    <row r="2062" customFormat="false" ht="15" hidden="false" customHeight="false" outlineLevel="0" collapsed="false">
      <c r="A2062" s="13" t="s">
        <v>628</v>
      </c>
      <c r="B2062" s="13" t="s">
        <v>627</v>
      </c>
      <c r="C2062" s="13" t="s">
        <v>2261</v>
      </c>
      <c r="D2062" s="13" t="s">
        <v>2270</v>
      </c>
      <c r="E2062" s="13" t="s">
        <v>2481</v>
      </c>
      <c r="F2062" s="13" t="s">
        <v>2434</v>
      </c>
      <c r="G2062" s="61" t="n">
        <v>-7795822852</v>
      </c>
      <c r="H2062" s="13" t="s">
        <v>2255</v>
      </c>
      <c r="I2062" s="13" t="s">
        <v>2477</v>
      </c>
      <c r="J2062" s="13" t="n">
        <v>4</v>
      </c>
      <c r="K2062" s="13" t="s">
        <v>2478</v>
      </c>
      <c r="L2062" s="13" t="s">
        <v>2263</v>
      </c>
      <c r="M2062" s="13" t="s">
        <v>2479</v>
      </c>
    </row>
    <row r="2063" customFormat="false" ht="15" hidden="false" customHeight="false" outlineLevel="0" collapsed="false">
      <c r="A2063" s="13" t="s">
        <v>628</v>
      </c>
      <c r="B2063" s="13" t="s">
        <v>627</v>
      </c>
      <c r="C2063" s="13" t="s">
        <v>2261</v>
      </c>
      <c r="D2063" s="13" t="s">
        <v>2270</v>
      </c>
      <c r="E2063" s="13" t="s">
        <v>2482</v>
      </c>
      <c r="F2063" s="13" t="s">
        <v>2434</v>
      </c>
      <c r="G2063" s="61" t="n">
        <v>0</v>
      </c>
      <c r="H2063" s="13" t="s">
        <v>2255</v>
      </c>
      <c r="I2063" s="13" t="s">
        <v>2477</v>
      </c>
      <c r="J2063" s="13" t="n">
        <v>4</v>
      </c>
      <c r="K2063" s="13" t="s">
        <v>2478</v>
      </c>
      <c r="L2063" s="13" t="s">
        <v>2263</v>
      </c>
      <c r="M2063" s="13" t="s">
        <v>2479</v>
      </c>
    </row>
    <row r="2064" customFormat="false" ht="15" hidden="false" customHeight="false" outlineLevel="0" collapsed="false">
      <c r="A2064" s="13" t="s">
        <v>628</v>
      </c>
      <c r="B2064" s="13" t="s">
        <v>627</v>
      </c>
      <c r="C2064" s="13" t="s">
        <v>2261</v>
      </c>
      <c r="D2064" s="13" t="s">
        <v>2270</v>
      </c>
      <c r="E2064" s="13" t="s">
        <v>2483</v>
      </c>
      <c r="F2064" s="13" t="s">
        <v>2434</v>
      </c>
      <c r="G2064" s="61" t="n">
        <v>0</v>
      </c>
      <c r="H2064" s="13" t="s">
        <v>2255</v>
      </c>
      <c r="I2064" s="13" t="s">
        <v>2477</v>
      </c>
      <c r="J2064" s="13" t="n">
        <v>4</v>
      </c>
      <c r="K2064" s="13" t="s">
        <v>2478</v>
      </c>
      <c r="L2064" s="13" t="s">
        <v>2263</v>
      </c>
      <c r="M2064" s="13" t="s">
        <v>2479</v>
      </c>
    </row>
    <row r="2065" customFormat="false" ht="15" hidden="false" customHeight="false" outlineLevel="0" collapsed="false">
      <c r="A2065" s="13" t="s">
        <v>628</v>
      </c>
      <c r="B2065" s="13" t="s">
        <v>627</v>
      </c>
      <c r="C2065" s="13" t="s">
        <v>2261</v>
      </c>
      <c r="D2065" s="13" t="s">
        <v>2270</v>
      </c>
      <c r="E2065" s="13" t="s">
        <v>2484</v>
      </c>
      <c r="F2065" s="13" t="s">
        <v>2434</v>
      </c>
      <c r="G2065" s="61" t="n">
        <v>0</v>
      </c>
      <c r="H2065" s="13" t="s">
        <v>2255</v>
      </c>
      <c r="I2065" s="13" t="s">
        <v>2477</v>
      </c>
      <c r="J2065" s="13" t="n">
        <v>4</v>
      </c>
      <c r="K2065" s="13" t="s">
        <v>2478</v>
      </c>
      <c r="L2065" s="13" t="s">
        <v>2263</v>
      </c>
      <c r="M2065" s="13" t="s">
        <v>2479</v>
      </c>
    </row>
    <row r="2066" customFormat="false" ht="15" hidden="false" customHeight="false" outlineLevel="0" collapsed="false">
      <c r="A2066" s="13" t="s">
        <v>628</v>
      </c>
      <c r="B2066" s="13" t="s">
        <v>627</v>
      </c>
      <c r="C2066" s="13" t="s">
        <v>2261</v>
      </c>
      <c r="D2066" s="13" t="s">
        <v>2270</v>
      </c>
      <c r="E2066" s="13" t="s">
        <v>2485</v>
      </c>
      <c r="F2066" s="13" t="s">
        <v>2434</v>
      </c>
      <c r="G2066" s="61" t="n">
        <v>48131526544</v>
      </c>
      <c r="H2066" s="13" t="s">
        <v>2255</v>
      </c>
      <c r="I2066" s="13" t="s">
        <v>2477</v>
      </c>
      <c r="J2066" s="13" t="n">
        <v>4</v>
      </c>
      <c r="K2066" s="13" t="s">
        <v>2478</v>
      </c>
      <c r="L2066" s="13" t="s">
        <v>2263</v>
      </c>
      <c r="M2066" s="13" t="s">
        <v>2479</v>
      </c>
    </row>
    <row r="2067" customFormat="false" ht="15" hidden="false" customHeight="false" outlineLevel="0" collapsed="false">
      <c r="A2067" s="13" t="s">
        <v>628</v>
      </c>
      <c r="B2067" s="13" t="s">
        <v>627</v>
      </c>
      <c r="C2067" s="13" t="s">
        <v>2261</v>
      </c>
      <c r="D2067" s="13" t="s">
        <v>2270</v>
      </c>
      <c r="E2067" s="13" t="s">
        <v>2486</v>
      </c>
      <c r="F2067" s="13" t="s">
        <v>2434</v>
      </c>
      <c r="G2067" s="61" t="n">
        <v>85831291253</v>
      </c>
      <c r="H2067" s="13" t="s">
        <v>2255</v>
      </c>
      <c r="I2067" s="13" t="s">
        <v>2477</v>
      </c>
      <c r="J2067" s="13" t="n">
        <v>4</v>
      </c>
      <c r="K2067" s="13" t="s">
        <v>2478</v>
      </c>
      <c r="L2067" s="13" t="s">
        <v>2263</v>
      </c>
      <c r="M2067" s="13" t="s">
        <v>2479</v>
      </c>
    </row>
    <row r="2068" customFormat="false" ht="15" hidden="false" customHeight="false" outlineLevel="0" collapsed="false">
      <c r="A2068" s="13" t="s">
        <v>628</v>
      </c>
      <c r="B2068" s="13" t="s">
        <v>627</v>
      </c>
      <c r="C2068" s="13" t="s">
        <v>2261</v>
      </c>
      <c r="D2068" s="13" t="s">
        <v>2270</v>
      </c>
      <c r="E2068" s="13" t="s">
        <v>2487</v>
      </c>
      <c r="F2068" s="13" t="s">
        <v>2434</v>
      </c>
      <c r="G2068" s="61" t="n">
        <v>56832840429</v>
      </c>
      <c r="H2068" s="13" t="s">
        <v>2255</v>
      </c>
      <c r="I2068" s="13" t="s">
        <v>2477</v>
      </c>
      <c r="J2068" s="13" t="n">
        <v>4</v>
      </c>
      <c r="K2068" s="13" t="s">
        <v>2478</v>
      </c>
      <c r="L2068" s="13" t="s">
        <v>2263</v>
      </c>
      <c r="M2068" s="13" t="s">
        <v>2479</v>
      </c>
    </row>
    <row r="2069" customFormat="false" ht="15" hidden="false" customHeight="false" outlineLevel="0" collapsed="false">
      <c r="A2069" s="13" t="s">
        <v>628</v>
      </c>
      <c r="B2069" s="13" t="s">
        <v>627</v>
      </c>
      <c r="C2069" s="13" t="s">
        <v>2261</v>
      </c>
      <c r="D2069" s="13" t="s">
        <v>2270</v>
      </c>
      <c r="E2069" s="13" t="s">
        <v>2488</v>
      </c>
      <c r="F2069" s="13" t="s">
        <v>2434</v>
      </c>
      <c r="G2069" s="61" t="n">
        <v>-7958526902</v>
      </c>
      <c r="H2069" s="13" t="s">
        <v>2255</v>
      </c>
      <c r="I2069" s="13" t="s">
        <v>2477</v>
      </c>
      <c r="J2069" s="13" t="n">
        <v>4</v>
      </c>
      <c r="K2069" s="13" t="s">
        <v>2478</v>
      </c>
      <c r="L2069" s="13" t="s">
        <v>2263</v>
      </c>
      <c r="M2069" s="13" t="s">
        <v>2479</v>
      </c>
    </row>
    <row r="2070" customFormat="false" ht="15" hidden="false" customHeight="false" outlineLevel="0" collapsed="false">
      <c r="A2070" s="13" t="s">
        <v>628</v>
      </c>
      <c r="B2070" s="13" t="s">
        <v>627</v>
      </c>
      <c r="C2070" s="13" t="s">
        <v>2261</v>
      </c>
      <c r="D2070" s="13" t="s">
        <v>2270</v>
      </c>
      <c r="E2070" s="13" t="s">
        <v>2489</v>
      </c>
      <c r="F2070" s="13" t="s">
        <v>2434</v>
      </c>
      <c r="G2070" s="61" t="n">
        <v>0</v>
      </c>
      <c r="H2070" s="13" t="s">
        <v>2255</v>
      </c>
      <c r="I2070" s="13" t="s">
        <v>2477</v>
      </c>
      <c r="J2070" s="13" t="n">
        <v>4</v>
      </c>
      <c r="K2070" s="13" t="s">
        <v>2478</v>
      </c>
      <c r="L2070" s="13" t="s">
        <v>2263</v>
      </c>
      <c r="M2070" s="13" t="s">
        <v>2479</v>
      </c>
    </row>
    <row r="2071" customFormat="false" ht="15" hidden="false" customHeight="false" outlineLevel="0" collapsed="false">
      <c r="A2071" s="13" t="s">
        <v>628</v>
      </c>
      <c r="B2071" s="13" t="s">
        <v>627</v>
      </c>
      <c r="C2071" s="13" t="s">
        <v>2261</v>
      </c>
      <c r="D2071" s="13" t="s">
        <v>2270</v>
      </c>
      <c r="E2071" s="13" t="s">
        <v>2490</v>
      </c>
      <c r="F2071" s="13" t="s">
        <v>2434</v>
      </c>
      <c r="G2071" s="61" t="n">
        <v>0</v>
      </c>
      <c r="H2071" s="13" t="s">
        <v>2255</v>
      </c>
      <c r="I2071" s="13" t="s">
        <v>2477</v>
      </c>
      <c r="J2071" s="13" t="n">
        <v>4</v>
      </c>
      <c r="K2071" s="13" t="s">
        <v>2478</v>
      </c>
      <c r="L2071" s="13" t="s">
        <v>2263</v>
      </c>
      <c r="M2071" s="13" t="s">
        <v>2479</v>
      </c>
    </row>
    <row r="2072" customFormat="false" ht="15" hidden="false" customHeight="false" outlineLevel="0" collapsed="false">
      <c r="A2072" s="13" t="s">
        <v>628</v>
      </c>
      <c r="B2072" s="13" t="s">
        <v>627</v>
      </c>
      <c r="C2072" s="13" t="s">
        <v>2261</v>
      </c>
      <c r="D2072" s="13" t="s">
        <v>2270</v>
      </c>
      <c r="E2072" s="13" t="s">
        <v>2491</v>
      </c>
      <c r="F2072" s="13" t="s">
        <v>2434</v>
      </c>
      <c r="G2072" s="61" t="n">
        <v>0</v>
      </c>
      <c r="H2072" s="13" t="s">
        <v>2255</v>
      </c>
      <c r="I2072" s="13" t="s">
        <v>2477</v>
      </c>
      <c r="J2072" s="13" t="n">
        <v>4</v>
      </c>
      <c r="K2072" s="13" t="s">
        <v>2478</v>
      </c>
      <c r="L2072" s="13" t="s">
        <v>2263</v>
      </c>
      <c r="M2072" s="13" t="s">
        <v>2479</v>
      </c>
    </row>
    <row r="2073" customFormat="false" ht="15" hidden="false" customHeight="false" outlineLevel="0" collapsed="false">
      <c r="A2073" s="13" t="s">
        <v>628</v>
      </c>
      <c r="B2073" s="13" t="s">
        <v>627</v>
      </c>
      <c r="C2073" s="13" t="s">
        <v>2261</v>
      </c>
      <c r="D2073" s="13" t="s">
        <v>2270</v>
      </c>
      <c r="E2073" s="13" t="s">
        <v>2492</v>
      </c>
      <c r="F2073" s="13" t="s">
        <v>2434</v>
      </c>
      <c r="G2073" s="61" t="n">
        <v>134705604780</v>
      </c>
      <c r="H2073" s="13" t="s">
        <v>2255</v>
      </c>
      <c r="I2073" s="13" t="s">
        <v>2477</v>
      </c>
      <c r="J2073" s="13" t="n">
        <v>4</v>
      </c>
      <c r="K2073" s="13" t="s">
        <v>2478</v>
      </c>
      <c r="L2073" s="13" t="s">
        <v>2263</v>
      </c>
      <c r="M2073" s="13" t="s">
        <v>2479</v>
      </c>
    </row>
    <row r="2074" customFormat="false" ht="15" hidden="false" customHeight="false" outlineLevel="0" collapsed="false">
      <c r="A2074" s="13" t="s">
        <v>628</v>
      </c>
      <c r="B2074" s="13" t="s">
        <v>627</v>
      </c>
      <c r="C2074" s="13" t="s">
        <v>2261</v>
      </c>
      <c r="D2074" s="13" t="s">
        <v>2270</v>
      </c>
      <c r="E2074" s="13" t="s">
        <v>2493</v>
      </c>
      <c r="F2074" s="13" t="s">
        <v>2448</v>
      </c>
      <c r="G2074" s="61" t="n">
        <v>31257493086</v>
      </c>
      <c r="H2074" s="13" t="s">
        <v>2255</v>
      </c>
      <c r="I2074" s="13" t="s">
        <v>2477</v>
      </c>
      <c r="J2074" s="13" t="n">
        <v>51</v>
      </c>
      <c r="K2074" s="13" t="s">
        <v>2478</v>
      </c>
      <c r="L2074" s="13" t="s">
        <v>2263</v>
      </c>
      <c r="M2074" s="13" t="s">
        <v>2479</v>
      </c>
    </row>
    <row r="2075" customFormat="false" ht="15" hidden="false" customHeight="false" outlineLevel="0" collapsed="false">
      <c r="A2075" s="13" t="s">
        <v>628</v>
      </c>
      <c r="B2075" s="13" t="s">
        <v>627</v>
      </c>
      <c r="C2075" s="13" t="s">
        <v>2261</v>
      </c>
      <c r="D2075" s="13" t="s">
        <v>2270</v>
      </c>
      <c r="E2075" s="13" t="s">
        <v>2494</v>
      </c>
      <c r="F2075" s="13" t="s">
        <v>2448</v>
      </c>
      <c r="G2075" s="61" t="n">
        <v>32990381484</v>
      </c>
      <c r="H2075" s="13" t="s">
        <v>2255</v>
      </c>
      <c r="I2075" s="13" t="s">
        <v>2477</v>
      </c>
      <c r="J2075" s="13" t="n">
        <v>51</v>
      </c>
      <c r="K2075" s="13" t="s">
        <v>2478</v>
      </c>
      <c r="L2075" s="13" t="s">
        <v>2263</v>
      </c>
      <c r="M2075" s="13" t="s">
        <v>2479</v>
      </c>
    </row>
    <row r="2076" customFormat="false" ht="15" hidden="false" customHeight="false" outlineLevel="0" collapsed="false">
      <c r="A2076" s="13" t="s">
        <v>628</v>
      </c>
      <c r="B2076" s="13" t="s">
        <v>627</v>
      </c>
      <c r="C2076" s="13" t="s">
        <v>2261</v>
      </c>
      <c r="D2076" s="13" t="s">
        <v>2270</v>
      </c>
      <c r="E2076" s="13" t="s">
        <v>2495</v>
      </c>
      <c r="F2076" s="13" t="s">
        <v>2448</v>
      </c>
      <c r="G2076" s="61" t="n">
        <v>0</v>
      </c>
      <c r="H2076" s="13" t="s">
        <v>2255</v>
      </c>
      <c r="I2076" s="13" t="s">
        <v>2477</v>
      </c>
      <c r="J2076" s="13" t="n">
        <v>51</v>
      </c>
      <c r="K2076" s="13" t="s">
        <v>2478</v>
      </c>
      <c r="L2076" s="13" t="s">
        <v>2263</v>
      </c>
      <c r="M2076" s="13" t="s">
        <v>2479</v>
      </c>
    </row>
    <row r="2077" customFormat="false" ht="15" hidden="false" customHeight="false" outlineLevel="0" collapsed="false">
      <c r="A2077" s="13" t="s">
        <v>628</v>
      </c>
      <c r="B2077" s="13" t="s">
        <v>627</v>
      </c>
      <c r="C2077" s="13" t="s">
        <v>2261</v>
      </c>
      <c r="D2077" s="13" t="s">
        <v>2270</v>
      </c>
      <c r="E2077" s="13" t="s">
        <v>2496</v>
      </c>
      <c r="F2077" s="13" t="s">
        <v>2448</v>
      </c>
      <c r="G2077" s="61" t="n">
        <v>-6135521</v>
      </c>
      <c r="H2077" s="13" t="s">
        <v>2255</v>
      </c>
      <c r="I2077" s="13" t="s">
        <v>2477</v>
      </c>
      <c r="J2077" s="13" t="n">
        <v>51</v>
      </c>
      <c r="K2077" s="13" t="s">
        <v>2478</v>
      </c>
      <c r="L2077" s="13" t="s">
        <v>2263</v>
      </c>
      <c r="M2077" s="13" t="s">
        <v>2479</v>
      </c>
    </row>
    <row r="2078" customFormat="false" ht="15" hidden="false" customHeight="false" outlineLevel="0" collapsed="false">
      <c r="A2078" s="13" t="s">
        <v>628</v>
      </c>
      <c r="B2078" s="13" t="s">
        <v>627</v>
      </c>
      <c r="C2078" s="13" t="s">
        <v>2261</v>
      </c>
      <c r="D2078" s="13" t="s">
        <v>2270</v>
      </c>
      <c r="E2078" s="13" t="s">
        <v>2497</v>
      </c>
      <c r="F2078" s="13" t="s">
        <v>2448</v>
      </c>
      <c r="G2078" s="61" t="n">
        <v>14510242652</v>
      </c>
      <c r="H2078" s="13" t="s">
        <v>2255</v>
      </c>
      <c r="I2078" s="13" t="s">
        <v>2477</v>
      </c>
      <c r="J2078" s="13" t="n">
        <v>51</v>
      </c>
      <c r="K2078" s="13" t="s">
        <v>2478</v>
      </c>
      <c r="L2078" s="13" t="s">
        <v>2263</v>
      </c>
      <c r="M2078" s="13" t="s">
        <v>2479</v>
      </c>
    </row>
    <row r="2079" customFormat="false" ht="15" hidden="false" customHeight="false" outlineLevel="0" collapsed="false">
      <c r="A2079" s="13" t="s">
        <v>628</v>
      </c>
      <c r="B2079" s="13" t="s">
        <v>627</v>
      </c>
      <c r="C2079" s="13" t="s">
        <v>2261</v>
      </c>
      <c r="D2079" s="13" t="s">
        <v>2270</v>
      </c>
      <c r="E2079" s="13" t="s">
        <v>2498</v>
      </c>
      <c r="F2079" s="13" t="s">
        <v>2448</v>
      </c>
      <c r="G2079" s="61" t="n">
        <v>0</v>
      </c>
      <c r="H2079" s="13" t="s">
        <v>2255</v>
      </c>
      <c r="I2079" s="13" t="s">
        <v>2477</v>
      </c>
      <c r="J2079" s="13" t="n">
        <v>51</v>
      </c>
      <c r="K2079" s="13" t="s">
        <v>2478</v>
      </c>
      <c r="L2079" s="13" t="s">
        <v>2263</v>
      </c>
      <c r="M2079" s="13" t="s">
        <v>2479</v>
      </c>
    </row>
    <row r="2080" customFormat="false" ht="15" hidden="false" customHeight="false" outlineLevel="0" collapsed="false">
      <c r="A2080" s="13" t="s">
        <v>628</v>
      </c>
      <c r="B2080" s="13" t="s">
        <v>627</v>
      </c>
      <c r="C2080" s="13" t="s">
        <v>2261</v>
      </c>
      <c r="D2080" s="13" t="s">
        <v>2270</v>
      </c>
      <c r="E2080" s="13" t="s">
        <v>2499</v>
      </c>
      <c r="F2080" s="13" t="s">
        <v>2448</v>
      </c>
      <c r="G2080" s="61" t="n">
        <v>78751981701</v>
      </c>
      <c r="H2080" s="13" t="s">
        <v>2255</v>
      </c>
      <c r="I2080" s="13" t="s">
        <v>2477</v>
      </c>
      <c r="J2080" s="13" t="n">
        <v>51</v>
      </c>
      <c r="K2080" s="13" t="s">
        <v>2478</v>
      </c>
      <c r="L2080" s="13" t="s">
        <v>2263</v>
      </c>
      <c r="M2080" s="13" t="s">
        <v>2479</v>
      </c>
    </row>
    <row r="2081" customFormat="false" ht="15" hidden="false" customHeight="false" outlineLevel="0" collapsed="false">
      <c r="A2081" s="13" t="s">
        <v>628</v>
      </c>
      <c r="B2081" s="13" t="s">
        <v>627</v>
      </c>
      <c r="C2081" s="13" t="s">
        <v>2261</v>
      </c>
      <c r="D2081" s="13" t="s">
        <v>2270</v>
      </c>
      <c r="E2081" s="13" t="s">
        <v>2493</v>
      </c>
      <c r="F2081" s="13" t="s">
        <v>2500</v>
      </c>
      <c r="G2081" s="61" t="n">
        <v>207553923936</v>
      </c>
      <c r="H2081" s="13" t="s">
        <v>2255</v>
      </c>
      <c r="I2081" s="13" t="s">
        <v>2477</v>
      </c>
      <c r="J2081" s="13" t="n">
        <v>51</v>
      </c>
      <c r="K2081" s="13" t="s">
        <v>2478</v>
      </c>
      <c r="L2081" s="13" t="s">
        <v>2263</v>
      </c>
      <c r="M2081" s="13" t="s">
        <v>2479</v>
      </c>
    </row>
    <row r="2082" customFormat="false" ht="15" hidden="false" customHeight="false" outlineLevel="0" collapsed="false">
      <c r="A2082" s="13" t="s">
        <v>628</v>
      </c>
      <c r="B2082" s="13" t="s">
        <v>627</v>
      </c>
      <c r="C2082" s="13" t="s">
        <v>2261</v>
      </c>
      <c r="D2082" s="13" t="s">
        <v>2270</v>
      </c>
      <c r="E2082" s="13" t="s">
        <v>2494</v>
      </c>
      <c r="F2082" s="13" t="s">
        <v>2500</v>
      </c>
      <c r="G2082" s="61" t="n">
        <v>37010818145</v>
      </c>
      <c r="H2082" s="13" t="s">
        <v>2255</v>
      </c>
      <c r="I2082" s="13" t="s">
        <v>2477</v>
      </c>
      <c r="J2082" s="13" t="n">
        <v>51</v>
      </c>
      <c r="K2082" s="13" t="s">
        <v>2478</v>
      </c>
      <c r="L2082" s="13" t="s">
        <v>2263</v>
      </c>
      <c r="M2082" s="13" t="s">
        <v>2479</v>
      </c>
    </row>
    <row r="2083" customFormat="false" ht="15" hidden="false" customHeight="false" outlineLevel="0" collapsed="false">
      <c r="A2083" s="13" t="s">
        <v>628</v>
      </c>
      <c r="B2083" s="13" t="s">
        <v>627</v>
      </c>
      <c r="C2083" s="13" t="s">
        <v>2261</v>
      </c>
      <c r="D2083" s="13" t="s">
        <v>2270</v>
      </c>
      <c r="E2083" s="13" t="s">
        <v>2495</v>
      </c>
      <c r="F2083" s="13" t="s">
        <v>2500</v>
      </c>
      <c r="G2083" s="61" t="n">
        <v>-3316170108</v>
      </c>
      <c r="H2083" s="13" t="s">
        <v>2255</v>
      </c>
      <c r="I2083" s="13" t="s">
        <v>2477</v>
      </c>
      <c r="J2083" s="13" t="n">
        <v>51</v>
      </c>
      <c r="K2083" s="13" t="s">
        <v>2478</v>
      </c>
      <c r="L2083" s="13" t="s">
        <v>2263</v>
      </c>
      <c r="M2083" s="13" t="s">
        <v>2479</v>
      </c>
    </row>
    <row r="2084" customFormat="false" ht="15" hidden="false" customHeight="false" outlineLevel="0" collapsed="false">
      <c r="A2084" s="13" t="s">
        <v>628</v>
      </c>
      <c r="B2084" s="13" t="s">
        <v>627</v>
      </c>
      <c r="C2084" s="13" t="s">
        <v>2261</v>
      </c>
      <c r="D2084" s="13" t="s">
        <v>2270</v>
      </c>
      <c r="E2084" s="13" t="s">
        <v>2496</v>
      </c>
      <c r="F2084" s="13" t="s">
        <v>2500</v>
      </c>
      <c r="G2084" s="61" t="n">
        <v>-1669819</v>
      </c>
      <c r="H2084" s="13" t="s">
        <v>2255</v>
      </c>
      <c r="I2084" s="13" t="s">
        <v>2477</v>
      </c>
      <c r="J2084" s="13" t="n">
        <v>51</v>
      </c>
      <c r="K2084" s="13" t="s">
        <v>2478</v>
      </c>
      <c r="L2084" s="13" t="s">
        <v>2263</v>
      </c>
      <c r="M2084" s="13" t="s">
        <v>2479</v>
      </c>
    </row>
    <row r="2085" customFormat="false" ht="15" hidden="false" customHeight="false" outlineLevel="0" collapsed="false">
      <c r="A2085" s="13" t="s">
        <v>628</v>
      </c>
      <c r="B2085" s="13" t="s">
        <v>627</v>
      </c>
      <c r="C2085" s="13" t="s">
        <v>2261</v>
      </c>
      <c r="D2085" s="13" t="s">
        <v>2270</v>
      </c>
      <c r="E2085" s="13" t="s">
        <v>2497</v>
      </c>
      <c r="F2085" s="13" t="s">
        <v>2500</v>
      </c>
      <c r="G2085" s="61" t="n">
        <v>10647689204</v>
      </c>
      <c r="H2085" s="13" t="s">
        <v>2255</v>
      </c>
      <c r="I2085" s="13" t="s">
        <v>2477</v>
      </c>
      <c r="J2085" s="13" t="n">
        <v>51</v>
      </c>
      <c r="K2085" s="13" t="s">
        <v>2478</v>
      </c>
      <c r="L2085" s="13" t="s">
        <v>2263</v>
      </c>
      <c r="M2085" s="13" t="s">
        <v>2479</v>
      </c>
    </row>
    <row r="2086" customFormat="false" ht="15" hidden="false" customHeight="false" outlineLevel="0" collapsed="false">
      <c r="A2086" s="13" t="s">
        <v>628</v>
      </c>
      <c r="B2086" s="13" t="s">
        <v>627</v>
      </c>
      <c r="C2086" s="13" t="s">
        <v>2261</v>
      </c>
      <c r="D2086" s="13" t="s">
        <v>2270</v>
      </c>
      <c r="E2086" s="13" t="s">
        <v>2498</v>
      </c>
      <c r="F2086" s="13" t="s">
        <v>2500</v>
      </c>
      <c r="G2086" s="61" t="n">
        <v>0</v>
      </c>
      <c r="H2086" s="13" t="s">
        <v>2255</v>
      </c>
      <c r="I2086" s="13" t="s">
        <v>2477</v>
      </c>
      <c r="J2086" s="13" t="n">
        <v>51</v>
      </c>
      <c r="K2086" s="13" t="s">
        <v>2478</v>
      </c>
      <c r="L2086" s="13" t="s">
        <v>2263</v>
      </c>
      <c r="M2086" s="13" t="s">
        <v>2479</v>
      </c>
    </row>
    <row r="2087" customFormat="false" ht="15" hidden="false" customHeight="false" outlineLevel="0" collapsed="false">
      <c r="A2087" s="13" t="s">
        <v>628</v>
      </c>
      <c r="B2087" s="13" t="s">
        <v>627</v>
      </c>
      <c r="C2087" s="13" t="s">
        <v>2261</v>
      </c>
      <c r="D2087" s="13" t="s">
        <v>2270</v>
      </c>
      <c r="E2087" s="13" t="s">
        <v>2499</v>
      </c>
      <c r="F2087" s="13" t="s">
        <v>2500</v>
      </c>
      <c r="G2087" s="61" t="n">
        <v>251894591358</v>
      </c>
      <c r="H2087" s="13" t="s">
        <v>2255</v>
      </c>
      <c r="I2087" s="13" t="s">
        <v>2477</v>
      </c>
      <c r="J2087" s="13" t="n">
        <v>51</v>
      </c>
      <c r="K2087" s="13" t="s">
        <v>2478</v>
      </c>
      <c r="L2087" s="13" t="s">
        <v>2263</v>
      </c>
      <c r="M2087" s="13" t="s">
        <v>2479</v>
      </c>
    </row>
    <row r="2088" customFormat="false" ht="15" hidden="false" customHeight="false" outlineLevel="0" collapsed="false">
      <c r="A2088" s="13" t="s">
        <v>628</v>
      </c>
      <c r="B2088" s="13" t="s">
        <v>627</v>
      </c>
      <c r="C2088" s="13" t="s">
        <v>2261</v>
      </c>
      <c r="D2088" s="13" t="s">
        <v>2270</v>
      </c>
      <c r="E2088" s="13" t="s">
        <v>2493</v>
      </c>
      <c r="F2088" s="13" t="s">
        <v>2501</v>
      </c>
      <c r="G2088" s="61" t="n">
        <v>33261439088</v>
      </c>
      <c r="H2088" s="13" t="s">
        <v>2255</v>
      </c>
      <c r="I2088" s="13" t="s">
        <v>2477</v>
      </c>
      <c r="J2088" s="13" t="n">
        <v>51</v>
      </c>
      <c r="K2088" s="13" t="s">
        <v>2478</v>
      </c>
      <c r="L2088" s="13" t="s">
        <v>2263</v>
      </c>
      <c r="M2088" s="13" t="s">
        <v>2479</v>
      </c>
    </row>
    <row r="2089" customFormat="false" ht="15" hidden="false" customHeight="false" outlineLevel="0" collapsed="false">
      <c r="A2089" s="13" t="s">
        <v>628</v>
      </c>
      <c r="B2089" s="13" t="s">
        <v>627</v>
      </c>
      <c r="C2089" s="13" t="s">
        <v>2261</v>
      </c>
      <c r="D2089" s="13" t="s">
        <v>2270</v>
      </c>
      <c r="E2089" s="13" t="s">
        <v>2494</v>
      </c>
      <c r="F2089" s="13" t="s">
        <v>2501</v>
      </c>
      <c r="G2089" s="61" t="n">
        <v>12933797361</v>
      </c>
      <c r="H2089" s="13" t="s">
        <v>2255</v>
      </c>
      <c r="I2089" s="13" t="s">
        <v>2477</v>
      </c>
      <c r="J2089" s="13" t="n">
        <v>51</v>
      </c>
      <c r="K2089" s="13" t="s">
        <v>2478</v>
      </c>
      <c r="L2089" s="13" t="s">
        <v>2263</v>
      </c>
      <c r="M2089" s="13" t="s">
        <v>2479</v>
      </c>
    </row>
    <row r="2090" customFormat="false" ht="15" hidden="false" customHeight="false" outlineLevel="0" collapsed="false">
      <c r="A2090" s="13" t="s">
        <v>628</v>
      </c>
      <c r="B2090" s="13" t="s">
        <v>627</v>
      </c>
      <c r="C2090" s="13" t="s">
        <v>2261</v>
      </c>
      <c r="D2090" s="13" t="s">
        <v>2270</v>
      </c>
      <c r="E2090" s="13" t="s">
        <v>2495</v>
      </c>
      <c r="F2090" s="13" t="s">
        <v>2501</v>
      </c>
      <c r="G2090" s="61" t="n">
        <v>-518196054</v>
      </c>
      <c r="H2090" s="13" t="s">
        <v>2255</v>
      </c>
      <c r="I2090" s="13" t="s">
        <v>2477</v>
      </c>
      <c r="J2090" s="13" t="n">
        <v>51</v>
      </c>
      <c r="K2090" s="13" t="s">
        <v>2478</v>
      </c>
      <c r="L2090" s="13" t="s">
        <v>2263</v>
      </c>
      <c r="M2090" s="13" t="s">
        <v>2479</v>
      </c>
    </row>
    <row r="2091" customFormat="false" ht="15" hidden="false" customHeight="false" outlineLevel="0" collapsed="false">
      <c r="A2091" s="13" t="s">
        <v>628</v>
      </c>
      <c r="B2091" s="13" t="s">
        <v>627</v>
      </c>
      <c r="C2091" s="13" t="s">
        <v>2261</v>
      </c>
      <c r="D2091" s="13" t="s">
        <v>2270</v>
      </c>
      <c r="E2091" s="13" t="s">
        <v>2496</v>
      </c>
      <c r="F2091" s="13" t="s">
        <v>2501</v>
      </c>
      <c r="G2091" s="61" t="n">
        <v>2031940</v>
      </c>
      <c r="H2091" s="13" t="s">
        <v>2255</v>
      </c>
      <c r="I2091" s="13" t="s">
        <v>2477</v>
      </c>
      <c r="J2091" s="13" t="n">
        <v>51</v>
      </c>
      <c r="K2091" s="13" t="s">
        <v>2478</v>
      </c>
      <c r="L2091" s="13" t="s">
        <v>2263</v>
      </c>
      <c r="M2091" s="13" t="s">
        <v>2479</v>
      </c>
    </row>
    <row r="2092" customFormat="false" ht="15" hidden="false" customHeight="false" outlineLevel="0" collapsed="false">
      <c r="A2092" s="13" t="s">
        <v>628</v>
      </c>
      <c r="B2092" s="13" t="s">
        <v>627</v>
      </c>
      <c r="C2092" s="13" t="s">
        <v>2261</v>
      </c>
      <c r="D2092" s="13" t="s">
        <v>2270</v>
      </c>
      <c r="E2092" s="13" t="s">
        <v>2497</v>
      </c>
      <c r="F2092" s="13" t="s">
        <v>2501</v>
      </c>
      <c r="G2092" s="61" t="n">
        <v>8944456978</v>
      </c>
      <c r="H2092" s="13" t="s">
        <v>2255</v>
      </c>
      <c r="I2092" s="13" t="s">
        <v>2477</v>
      </c>
      <c r="J2092" s="13" t="n">
        <v>51</v>
      </c>
      <c r="K2092" s="13" t="s">
        <v>2478</v>
      </c>
      <c r="L2092" s="13" t="s">
        <v>2263</v>
      </c>
      <c r="M2092" s="13" t="s">
        <v>2479</v>
      </c>
    </row>
    <row r="2093" customFormat="false" ht="15" hidden="false" customHeight="false" outlineLevel="0" collapsed="false">
      <c r="A2093" s="13" t="s">
        <v>628</v>
      </c>
      <c r="B2093" s="13" t="s">
        <v>627</v>
      </c>
      <c r="C2093" s="13" t="s">
        <v>2261</v>
      </c>
      <c r="D2093" s="13" t="s">
        <v>2270</v>
      </c>
      <c r="E2093" s="13" t="s">
        <v>2498</v>
      </c>
      <c r="F2093" s="13" t="s">
        <v>2501</v>
      </c>
      <c r="G2093" s="61" t="n">
        <v>0</v>
      </c>
      <c r="H2093" s="13" t="s">
        <v>2255</v>
      </c>
      <c r="I2093" s="13" t="s">
        <v>2477</v>
      </c>
      <c r="J2093" s="13" t="n">
        <v>51</v>
      </c>
      <c r="K2093" s="13" t="s">
        <v>2478</v>
      </c>
      <c r="L2093" s="13" t="s">
        <v>2263</v>
      </c>
      <c r="M2093" s="13" t="s">
        <v>2479</v>
      </c>
    </row>
    <row r="2094" customFormat="false" ht="15" hidden="false" customHeight="false" outlineLevel="0" collapsed="false">
      <c r="A2094" s="13" t="s">
        <v>628</v>
      </c>
      <c r="B2094" s="13" t="s">
        <v>627</v>
      </c>
      <c r="C2094" s="13" t="s">
        <v>2261</v>
      </c>
      <c r="D2094" s="13" t="s">
        <v>2270</v>
      </c>
      <c r="E2094" s="13" t="s">
        <v>2499</v>
      </c>
      <c r="F2094" s="13" t="s">
        <v>2501</v>
      </c>
      <c r="G2094" s="61" t="n">
        <v>54623529313</v>
      </c>
      <c r="H2094" s="13" t="s">
        <v>2255</v>
      </c>
      <c r="I2094" s="13" t="s">
        <v>2477</v>
      </c>
      <c r="J2094" s="13" t="n">
        <v>51</v>
      </c>
      <c r="K2094" s="13" t="s">
        <v>2478</v>
      </c>
      <c r="L2094" s="13" t="s">
        <v>2263</v>
      </c>
      <c r="M2094" s="13" t="s">
        <v>2479</v>
      </c>
    </row>
    <row r="2095" customFormat="false" ht="15" hidden="false" customHeight="false" outlineLevel="0" collapsed="false">
      <c r="A2095" s="13" t="s">
        <v>628</v>
      </c>
      <c r="B2095" s="13" t="s">
        <v>627</v>
      </c>
      <c r="C2095" s="13" t="s">
        <v>2261</v>
      </c>
      <c r="D2095" s="13" t="s">
        <v>2270</v>
      </c>
      <c r="E2095" s="13" t="s">
        <v>2493</v>
      </c>
      <c r="F2095" s="13" t="s">
        <v>2502</v>
      </c>
      <c r="G2095" s="61" t="n">
        <v>33399188571</v>
      </c>
      <c r="H2095" s="13" t="s">
        <v>2255</v>
      </c>
      <c r="I2095" s="13" t="s">
        <v>2477</v>
      </c>
      <c r="J2095" s="13" t="n">
        <v>51</v>
      </c>
      <c r="K2095" s="13" t="s">
        <v>2478</v>
      </c>
      <c r="L2095" s="13" t="s">
        <v>2263</v>
      </c>
      <c r="M2095" s="13" t="s">
        <v>2479</v>
      </c>
    </row>
    <row r="2096" customFormat="false" ht="15" hidden="false" customHeight="false" outlineLevel="0" collapsed="false">
      <c r="A2096" s="13" t="s">
        <v>628</v>
      </c>
      <c r="B2096" s="13" t="s">
        <v>627</v>
      </c>
      <c r="C2096" s="13" t="s">
        <v>2261</v>
      </c>
      <c r="D2096" s="13" t="s">
        <v>2270</v>
      </c>
      <c r="E2096" s="13" t="s">
        <v>2494</v>
      </c>
      <c r="F2096" s="13" t="s">
        <v>2502</v>
      </c>
      <c r="G2096" s="61" t="n">
        <v>3384936434</v>
      </c>
      <c r="H2096" s="13" t="s">
        <v>2255</v>
      </c>
      <c r="I2096" s="13" t="s">
        <v>2477</v>
      </c>
      <c r="J2096" s="13" t="n">
        <v>51</v>
      </c>
      <c r="K2096" s="13" t="s">
        <v>2478</v>
      </c>
      <c r="L2096" s="13" t="s">
        <v>2263</v>
      </c>
      <c r="M2096" s="13" t="s">
        <v>2479</v>
      </c>
    </row>
    <row r="2097" customFormat="false" ht="15" hidden="false" customHeight="false" outlineLevel="0" collapsed="false">
      <c r="A2097" s="13" t="s">
        <v>628</v>
      </c>
      <c r="B2097" s="13" t="s">
        <v>627</v>
      </c>
      <c r="C2097" s="13" t="s">
        <v>2261</v>
      </c>
      <c r="D2097" s="13" t="s">
        <v>2270</v>
      </c>
      <c r="E2097" s="13" t="s">
        <v>2495</v>
      </c>
      <c r="F2097" s="13" t="s">
        <v>2502</v>
      </c>
      <c r="G2097" s="61" t="n">
        <v>0</v>
      </c>
      <c r="H2097" s="13" t="s">
        <v>2255</v>
      </c>
      <c r="I2097" s="13" t="s">
        <v>2477</v>
      </c>
      <c r="J2097" s="13" t="n">
        <v>51</v>
      </c>
      <c r="K2097" s="13" t="s">
        <v>2478</v>
      </c>
      <c r="L2097" s="13" t="s">
        <v>2263</v>
      </c>
      <c r="M2097" s="13" t="s">
        <v>2479</v>
      </c>
    </row>
    <row r="2098" customFormat="false" ht="15" hidden="false" customHeight="false" outlineLevel="0" collapsed="false">
      <c r="A2098" s="13" t="s">
        <v>628</v>
      </c>
      <c r="B2098" s="13" t="s">
        <v>627</v>
      </c>
      <c r="C2098" s="13" t="s">
        <v>2261</v>
      </c>
      <c r="D2098" s="13" t="s">
        <v>2270</v>
      </c>
      <c r="E2098" s="13" t="s">
        <v>2496</v>
      </c>
      <c r="F2098" s="13" t="s">
        <v>2502</v>
      </c>
      <c r="G2098" s="61" t="n">
        <v>0</v>
      </c>
      <c r="H2098" s="13" t="s">
        <v>2255</v>
      </c>
      <c r="I2098" s="13" t="s">
        <v>2477</v>
      </c>
      <c r="J2098" s="13" t="n">
        <v>51</v>
      </c>
      <c r="K2098" s="13" t="s">
        <v>2478</v>
      </c>
      <c r="L2098" s="13" t="s">
        <v>2263</v>
      </c>
      <c r="M2098" s="13" t="s">
        <v>2479</v>
      </c>
    </row>
    <row r="2099" customFormat="false" ht="15" hidden="false" customHeight="false" outlineLevel="0" collapsed="false">
      <c r="A2099" s="13" t="s">
        <v>628</v>
      </c>
      <c r="B2099" s="13" t="s">
        <v>627</v>
      </c>
      <c r="C2099" s="13" t="s">
        <v>2261</v>
      </c>
      <c r="D2099" s="13" t="s">
        <v>2270</v>
      </c>
      <c r="E2099" s="13" t="s">
        <v>2497</v>
      </c>
      <c r="F2099" s="13" t="s">
        <v>2502</v>
      </c>
      <c r="G2099" s="61" t="n">
        <v>0</v>
      </c>
      <c r="H2099" s="13" t="s">
        <v>2255</v>
      </c>
      <c r="I2099" s="13" t="s">
        <v>2477</v>
      </c>
      <c r="J2099" s="13" t="n">
        <v>51</v>
      </c>
      <c r="K2099" s="13" t="s">
        <v>2478</v>
      </c>
      <c r="L2099" s="13" t="s">
        <v>2263</v>
      </c>
      <c r="M2099" s="13" t="s">
        <v>2479</v>
      </c>
    </row>
    <row r="2100" customFormat="false" ht="15" hidden="false" customHeight="false" outlineLevel="0" collapsed="false">
      <c r="A2100" s="13" t="s">
        <v>628</v>
      </c>
      <c r="B2100" s="13" t="s">
        <v>627</v>
      </c>
      <c r="C2100" s="13" t="s">
        <v>2261</v>
      </c>
      <c r="D2100" s="13" t="s">
        <v>2270</v>
      </c>
      <c r="E2100" s="13" t="s">
        <v>2498</v>
      </c>
      <c r="F2100" s="13" t="s">
        <v>2502</v>
      </c>
      <c r="G2100" s="61" t="n">
        <v>0</v>
      </c>
      <c r="H2100" s="13" t="s">
        <v>2255</v>
      </c>
      <c r="I2100" s="13" t="s">
        <v>2477</v>
      </c>
      <c r="J2100" s="13" t="n">
        <v>51</v>
      </c>
      <c r="K2100" s="13" t="s">
        <v>2478</v>
      </c>
      <c r="L2100" s="13" t="s">
        <v>2263</v>
      </c>
      <c r="M2100" s="13" t="s">
        <v>2479</v>
      </c>
    </row>
    <row r="2101" customFormat="false" ht="15" hidden="false" customHeight="false" outlineLevel="0" collapsed="false">
      <c r="A2101" s="13" t="s">
        <v>628</v>
      </c>
      <c r="B2101" s="13" t="s">
        <v>627</v>
      </c>
      <c r="C2101" s="13" t="s">
        <v>2261</v>
      </c>
      <c r="D2101" s="13" t="s">
        <v>2270</v>
      </c>
      <c r="E2101" s="13" t="s">
        <v>2499</v>
      </c>
      <c r="F2101" s="13" t="s">
        <v>2502</v>
      </c>
      <c r="G2101" s="61" t="n">
        <v>36784125005</v>
      </c>
      <c r="H2101" s="13" t="s">
        <v>2255</v>
      </c>
      <c r="I2101" s="13" t="s">
        <v>2477</v>
      </c>
      <c r="J2101" s="13" t="n">
        <v>51</v>
      </c>
      <c r="K2101" s="13" t="s">
        <v>2478</v>
      </c>
      <c r="L2101" s="13" t="s">
        <v>2263</v>
      </c>
      <c r="M2101" s="13" t="s">
        <v>2479</v>
      </c>
    </row>
    <row r="2102" customFormat="false" ht="15" hidden="false" customHeight="false" outlineLevel="0" collapsed="false">
      <c r="A2102" s="13" t="s">
        <v>628</v>
      </c>
      <c r="B2102" s="13" t="s">
        <v>627</v>
      </c>
      <c r="C2102" s="13" t="s">
        <v>2261</v>
      </c>
      <c r="D2102" s="13" t="s">
        <v>2270</v>
      </c>
      <c r="E2102" s="13" t="s">
        <v>2493</v>
      </c>
      <c r="F2102" s="13" t="s">
        <v>2503</v>
      </c>
      <c r="G2102" s="61" t="n">
        <v>4814891277</v>
      </c>
      <c r="H2102" s="13" t="s">
        <v>2255</v>
      </c>
      <c r="I2102" s="13" t="s">
        <v>2477</v>
      </c>
      <c r="J2102" s="13" t="n">
        <v>51</v>
      </c>
      <c r="K2102" s="13" t="s">
        <v>2478</v>
      </c>
      <c r="L2102" s="13" t="s">
        <v>2263</v>
      </c>
      <c r="M2102" s="13" t="s">
        <v>2479</v>
      </c>
    </row>
    <row r="2103" customFormat="false" ht="15" hidden="false" customHeight="false" outlineLevel="0" collapsed="false">
      <c r="A2103" s="13" t="s">
        <v>628</v>
      </c>
      <c r="B2103" s="13" t="s">
        <v>627</v>
      </c>
      <c r="C2103" s="13" t="s">
        <v>2261</v>
      </c>
      <c r="D2103" s="13" t="s">
        <v>2270</v>
      </c>
      <c r="E2103" s="13" t="s">
        <v>2494</v>
      </c>
      <c r="F2103" s="13" t="s">
        <v>2503</v>
      </c>
      <c r="G2103" s="61" t="n">
        <v>1396639525</v>
      </c>
      <c r="H2103" s="13" t="s">
        <v>2255</v>
      </c>
      <c r="I2103" s="13" t="s">
        <v>2477</v>
      </c>
      <c r="J2103" s="13" t="n">
        <v>51</v>
      </c>
      <c r="K2103" s="13" t="s">
        <v>2478</v>
      </c>
      <c r="L2103" s="13" t="s">
        <v>2263</v>
      </c>
      <c r="M2103" s="13" t="s">
        <v>2479</v>
      </c>
    </row>
    <row r="2104" customFormat="false" ht="15" hidden="false" customHeight="false" outlineLevel="0" collapsed="false">
      <c r="A2104" s="13" t="s">
        <v>628</v>
      </c>
      <c r="B2104" s="13" t="s">
        <v>627</v>
      </c>
      <c r="C2104" s="13" t="s">
        <v>2261</v>
      </c>
      <c r="D2104" s="13" t="s">
        <v>2270</v>
      </c>
      <c r="E2104" s="13" t="s">
        <v>2495</v>
      </c>
      <c r="F2104" s="13" t="s">
        <v>2503</v>
      </c>
      <c r="G2104" s="61" t="n">
        <v>-54485000</v>
      </c>
      <c r="H2104" s="13" t="s">
        <v>2255</v>
      </c>
      <c r="I2104" s="13" t="s">
        <v>2477</v>
      </c>
      <c r="J2104" s="13" t="n">
        <v>51</v>
      </c>
      <c r="K2104" s="13" t="s">
        <v>2478</v>
      </c>
      <c r="L2104" s="13" t="s">
        <v>2263</v>
      </c>
      <c r="M2104" s="13" t="s">
        <v>2479</v>
      </c>
    </row>
    <row r="2105" customFormat="false" ht="15" hidden="false" customHeight="false" outlineLevel="0" collapsed="false">
      <c r="A2105" s="13" t="s">
        <v>628</v>
      </c>
      <c r="B2105" s="13" t="s">
        <v>627</v>
      </c>
      <c r="C2105" s="13" t="s">
        <v>2261</v>
      </c>
      <c r="D2105" s="13" t="s">
        <v>2270</v>
      </c>
      <c r="E2105" s="13" t="s">
        <v>2496</v>
      </c>
      <c r="F2105" s="13" t="s">
        <v>2503</v>
      </c>
      <c r="G2105" s="61" t="n">
        <v>5773400</v>
      </c>
      <c r="H2105" s="13" t="s">
        <v>2255</v>
      </c>
      <c r="I2105" s="13" t="s">
        <v>2477</v>
      </c>
      <c r="J2105" s="13" t="n">
        <v>51</v>
      </c>
      <c r="K2105" s="13" t="s">
        <v>2478</v>
      </c>
      <c r="L2105" s="13" t="s">
        <v>2263</v>
      </c>
      <c r="M2105" s="13" t="s">
        <v>2479</v>
      </c>
    </row>
    <row r="2106" customFormat="false" ht="15" hidden="false" customHeight="false" outlineLevel="0" collapsed="false">
      <c r="A2106" s="13" t="s">
        <v>628</v>
      </c>
      <c r="B2106" s="13" t="s">
        <v>627</v>
      </c>
      <c r="C2106" s="13" t="s">
        <v>2261</v>
      </c>
      <c r="D2106" s="13" t="s">
        <v>2270</v>
      </c>
      <c r="E2106" s="13" t="s">
        <v>2497</v>
      </c>
      <c r="F2106" s="13" t="s">
        <v>2503</v>
      </c>
      <c r="G2106" s="61" t="n">
        <v>0</v>
      </c>
      <c r="H2106" s="13" t="s">
        <v>2255</v>
      </c>
      <c r="I2106" s="13" t="s">
        <v>2477</v>
      </c>
      <c r="J2106" s="13" t="n">
        <v>51</v>
      </c>
      <c r="K2106" s="13" t="s">
        <v>2478</v>
      </c>
      <c r="L2106" s="13" t="s">
        <v>2263</v>
      </c>
      <c r="M2106" s="13" t="s">
        <v>2479</v>
      </c>
    </row>
    <row r="2107" customFormat="false" ht="15" hidden="false" customHeight="false" outlineLevel="0" collapsed="false">
      <c r="A2107" s="13" t="s">
        <v>628</v>
      </c>
      <c r="B2107" s="13" t="s">
        <v>627</v>
      </c>
      <c r="C2107" s="13" t="s">
        <v>2261</v>
      </c>
      <c r="D2107" s="13" t="s">
        <v>2270</v>
      </c>
      <c r="E2107" s="13" t="s">
        <v>2498</v>
      </c>
      <c r="F2107" s="13" t="s">
        <v>2503</v>
      </c>
      <c r="G2107" s="61" t="n">
        <v>0</v>
      </c>
      <c r="H2107" s="13" t="s">
        <v>2255</v>
      </c>
      <c r="I2107" s="13" t="s">
        <v>2477</v>
      </c>
      <c r="J2107" s="13" t="n">
        <v>51</v>
      </c>
      <c r="K2107" s="13" t="s">
        <v>2478</v>
      </c>
      <c r="L2107" s="13" t="s">
        <v>2263</v>
      </c>
      <c r="M2107" s="13" t="s">
        <v>2479</v>
      </c>
    </row>
    <row r="2108" customFormat="false" ht="15" hidden="false" customHeight="false" outlineLevel="0" collapsed="false">
      <c r="A2108" s="13" t="s">
        <v>628</v>
      </c>
      <c r="B2108" s="13" t="s">
        <v>627</v>
      </c>
      <c r="C2108" s="13" t="s">
        <v>2261</v>
      </c>
      <c r="D2108" s="13" t="s">
        <v>2270</v>
      </c>
      <c r="E2108" s="13" t="s">
        <v>2499</v>
      </c>
      <c r="F2108" s="13" t="s">
        <v>2503</v>
      </c>
      <c r="G2108" s="61" t="n">
        <v>6162819202</v>
      </c>
      <c r="H2108" s="13" t="s">
        <v>2255</v>
      </c>
      <c r="I2108" s="13" t="s">
        <v>2477</v>
      </c>
      <c r="J2108" s="13" t="n">
        <v>51</v>
      </c>
      <c r="K2108" s="13" t="s">
        <v>2478</v>
      </c>
      <c r="L2108" s="13" t="s">
        <v>2263</v>
      </c>
      <c r="M2108" s="13" t="s">
        <v>2479</v>
      </c>
    </row>
    <row r="2109" customFormat="false" ht="15" hidden="false" customHeight="false" outlineLevel="0" collapsed="false">
      <c r="A2109" s="13" t="s">
        <v>628</v>
      </c>
      <c r="B2109" s="13" t="s">
        <v>627</v>
      </c>
      <c r="C2109" s="13" t="s">
        <v>2261</v>
      </c>
      <c r="D2109" s="13" t="s">
        <v>2270</v>
      </c>
      <c r="E2109" s="13" t="s">
        <v>2493</v>
      </c>
      <c r="F2109" s="13" t="s">
        <v>2504</v>
      </c>
      <c r="G2109" s="61" t="n">
        <v>12514621223</v>
      </c>
      <c r="H2109" s="13" t="s">
        <v>2255</v>
      </c>
      <c r="I2109" s="13" t="s">
        <v>2477</v>
      </c>
      <c r="J2109" s="13" t="n">
        <v>51</v>
      </c>
      <c r="K2109" s="13" t="s">
        <v>2478</v>
      </c>
      <c r="L2109" s="13" t="s">
        <v>2263</v>
      </c>
      <c r="M2109" s="13" t="s">
        <v>2479</v>
      </c>
    </row>
    <row r="2110" customFormat="false" ht="15" hidden="false" customHeight="false" outlineLevel="0" collapsed="false">
      <c r="A2110" s="13" t="s">
        <v>628</v>
      </c>
      <c r="B2110" s="13" t="s">
        <v>627</v>
      </c>
      <c r="C2110" s="13" t="s">
        <v>2261</v>
      </c>
      <c r="D2110" s="13" t="s">
        <v>2270</v>
      </c>
      <c r="E2110" s="13" t="s">
        <v>2494</v>
      </c>
      <c r="F2110" s="13" t="s">
        <v>2504</v>
      </c>
      <c r="G2110" s="61" t="n">
        <v>1927817935</v>
      </c>
      <c r="H2110" s="13" t="s">
        <v>2255</v>
      </c>
      <c r="I2110" s="13" t="s">
        <v>2477</v>
      </c>
      <c r="J2110" s="13" t="n">
        <v>51</v>
      </c>
      <c r="K2110" s="13" t="s">
        <v>2478</v>
      </c>
      <c r="L2110" s="13" t="s">
        <v>2263</v>
      </c>
      <c r="M2110" s="13" t="s">
        <v>2479</v>
      </c>
    </row>
    <row r="2111" customFormat="false" ht="15" hidden="false" customHeight="false" outlineLevel="0" collapsed="false">
      <c r="A2111" s="13" t="s">
        <v>628</v>
      </c>
      <c r="B2111" s="13" t="s">
        <v>627</v>
      </c>
      <c r="C2111" s="13" t="s">
        <v>2261</v>
      </c>
      <c r="D2111" s="13" t="s">
        <v>2270</v>
      </c>
      <c r="E2111" s="13" t="s">
        <v>2495</v>
      </c>
      <c r="F2111" s="13" t="s">
        <v>2504</v>
      </c>
      <c r="G2111" s="61" t="n">
        <v>0</v>
      </c>
      <c r="H2111" s="13" t="s">
        <v>2255</v>
      </c>
      <c r="I2111" s="13" t="s">
        <v>2477</v>
      </c>
      <c r="J2111" s="13" t="n">
        <v>51</v>
      </c>
      <c r="K2111" s="13" t="s">
        <v>2478</v>
      </c>
      <c r="L2111" s="13" t="s">
        <v>2263</v>
      </c>
      <c r="M2111" s="13" t="s">
        <v>2479</v>
      </c>
    </row>
    <row r="2112" customFormat="false" ht="15" hidden="false" customHeight="false" outlineLevel="0" collapsed="false">
      <c r="A2112" s="13" t="s">
        <v>628</v>
      </c>
      <c r="B2112" s="13" t="s">
        <v>627</v>
      </c>
      <c r="C2112" s="13" t="s">
        <v>2261</v>
      </c>
      <c r="D2112" s="13" t="s">
        <v>2270</v>
      </c>
      <c r="E2112" s="13" t="s">
        <v>2496</v>
      </c>
      <c r="F2112" s="13" t="s">
        <v>2504</v>
      </c>
      <c r="G2112" s="61" t="n">
        <v>0</v>
      </c>
      <c r="H2112" s="13" t="s">
        <v>2255</v>
      </c>
      <c r="I2112" s="13" t="s">
        <v>2477</v>
      </c>
      <c r="J2112" s="13" t="n">
        <v>51</v>
      </c>
      <c r="K2112" s="13" t="s">
        <v>2478</v>
      </c>
      <c r="L2112" s="13" t="s">
        <v>2263</v>
      </c>
      <c r="M2112" s="13" t="s">
        <v>2479</v>
      </c>
    </row>
    <row r="2113" customFormat="false" ht="15" hidden="false" customHeight="false" outlineLevel="0" collapsed="false">
      <c r="A2113" s="13" t="s">
        <v>628</v>
      </c>
      <c r="B2113" s="13" t="s">
        <v>627</v>
      </c>
      <c r="C2113" s="13" t="s">
        <v>2261</v>
      </c>
      <c r="D2113" s="13" t="s">
        <v>2270</v>
      </c>
      <c r="E2113" s="13" t="s">
        <v>2497</v>
      </c>
      <c r="F2113" s="13" t="s">
        <v>2504</v>
      </c>
      <c r="G2113" s="61" t="n">
        <v>729325656</v>
      </c>
      <c r="H2113" s="13" t="s">
        <v>2255</v>
      </c>
      <c r="I2113" s="13" t="s">
        <v>2477</v>
      </c>
      <c r="J2113" s="13" t="n">
        <v>51</v>
      </c>
      <c r="K2113" s="13" t="s">
        <v>2478</v>
      </c>
      <c r="L2113" s="13" t="s">
        <v>2263</v>
      </c>
      <c r="M2113" s="13" t="s">
        <v>2479</v>
      </c>
    </row>
    <row r="2114" customFormat="false" ht="15" hidden="false" customHeight="false" outlineLevel="0" collapsed="false">
      <c r="A2114" s="13" t="s">
        <v>628</v>
      </c>
      <c r="B2114" s="13" t="s">
        <v>627</v>
      </c>
      <c r="C2114" s="13" t="s">
        <v>2261</v>
      </c>
      <c r="D2114" s="13" t="s">
        <v>2270</v>
      </c>
      <c r="E2114" s="13" t="s">
        <v>2498</v>
      </c>
      <c r="F2114" s="13" t="s">
        <v>2504</v>
      </c>
      <c r="G2114" s="61" t="n">
        <v>0</v>
      </c>
      <c r="H2114" s="13" t="s">
        <v>2255</v>
      </c>
      <c r="I2114" s="13" t="s">
        <v>2477</v>
      </c>
      <c r="J2114" s="13" t="n">
        <v>51</v>
      </c>
      <c r="K2114" s="13" t="s">
        <v>2478</v>
      </c>
      <c r="L2114" s="13" t="s">
        <v>2263</v>
      </c>
      <c r="M2114" s="13" t="s">
        <v>2479</v>
      </c>
    </row>
    <row r="2115" customFormat="false" ht="15" hidden="false" customHeight="false" outlineLevel="0" collapsed="false">
      <c r="A2115" s="13" t="s">
        <v>628</v>
      </c>
      <c r="B2115" s="13" t="s">
        <v>627</v>
      </c>
      <c r="C2115" s="13" t="s">
        <v>2261</v>
      </c>
      <c r="D2115" s="13" t="s">
        <v>2270</v>
      </c>
      <c r="E2115" s="13" t="s">
        <v>2499</v>
      </c>
      <c r="F2115" s="13" t="s">
        <v>2504</v>
      </c>
      <c r="G2115" s="61" t="n">
        <v>15171764814</v>
      </c>
      <c r="H2115" s="13" t="s">
        <v>2255</v>
      </c>
      <c r="I2115" s="13" t="s">
        <v>2477</v>
      </c>
      <c r="J2115" s="13" t="n">
        <v>51</v>
      </c>
      <c r="K2115" s="13" t="s">
        <v>2478</v>
      </c>
      <c r="L2115" s="13" t="s">
        <v>2263</v>
      </c>
      <c r="M2115" s="13" t="s">
        <v>2479</v>
      </c>
    </row>
    <row r="2116" customFormat="false" ht="15" hidden="false" customHeight="false" outlineLevel="0" collapsed="false">
      <c r="A2116" s="13" t="s">
        <v>628</v>
      </c>
      <c r="B2116" s="13" t="s">
        <v>627</v>
      </c>
      <c r="C2116" s="13" t="s">
        <v>2261</v>
      </c>
      <c r="D2116" s="13" t="s">
        <v>2270</v>
      </c>
      <c r="E2116" s="13" t="s">
        <v>2493</v>
      </c>
      <c r="F2116" s="13" t="s">
        <v>2290</v>
      </c>
      <c r="G2116" s="61" t="n">
        <v>322801557181</v>
      </c>
      <c r="H2116" s="13" t="s">
        <v>2255</v>
      </c>
      <c r="I2116" s="13" t="s">
        <v>2477</v>
      </c>
      <c r="J2116" s="13" t="n">
        <v>51</v>
      </c>
      <c r="K2116" s="13" t="s">
        <v>2478</v>
      </c>
      <c r="L2116" s="13" t="s">
        <v>2263</v>
      </c>
      <c r="M2116" s="13" t="s">
        <v>2479</v>
      </c>
    </row>
    <row r="2117" customFormat="false" ht="15" hidden="false" customHeight="false" outlineLevel="0" collapsed="false">
      <c r="A2117" s="13" t="s">
        <v>628</v>
      </c>
      <c r="B2117" s="13" t="s">
        <v>627</v>
      </c>
      <c r="C2117" s="13" t="s">
        <v>2261</v>
      </c>
      <c r="D2117" s="13" t="s">
        <v>2270</v>
      </c>
      <c r="E2117" s="13" t="s">
        <v>2494</v>
      </c>
      <c r="F2117" s="13" t="s">
        <v>2290</v>
      </c>
      <c r="G2117" s="61" t="n">
        <v>89644390884</v>
      </c>
      <c r="H2117" s="13" t="s">
        <v>2255</v>
      </c>
      <c r="I2117" s="13" t="s">
        <v>2477</v>
      </c>
      <c r="J2117" s="13" t="n">
        <v>51</v>
      </c>
      <c r="K2117" s="13" t="s">
        <v>2478</v>
      </c>
      <c r="L2117" s="13" t="s">
        <v>2263</v>
      </c>
      <c r="M2117" s="13" t="s">
        <v>2479</v>
      </c>
    </row>
    <row r="2118" customFormat="false" ht="15" hidden="false" customHeight="false" outlineLevel="0" collapsed="false">
      <c r="A2118" s="13" t="s">
        <v>628</v>
      </c>
      <c r="B2118" s="13" t="s">
        <v>627</v>
      </c>
      <c r="C2118" s="13" t="s">
        <v>2261</v>
      </c>
      <c r="D2118" s="13" t="s">
        <v>2270</v>
      </c>
      <c r="E2118" s="13" t="s">
        <v>2495</v>
      </c>
      <c r="F2118" s="13" t="s">
        <v>2290</v>
      </c>
      <c r="G2118" s="61" t="n">
        <v>-3888851162</v>
      </c>
      <c r="H2118" s="13" t="s">
        <v>2255</v>
      </c>
      <c r="I2118" s="13" t="s">
        <v>2477</v>
      </c>
      <c r="J2118" s="13" t="n">
        <v>51</v>
      </c>
      <c r="K2118" s="13" t="s">
        <v>2478</v>
      </c>
      <c r="L2118" s="13" t="s">
        <v>2263</v>
      </c>
      <c r="M2118" s="13" t="s">
        <v>2479</v>
      </c>
    </row>
    <row r="2119" customFormat="false" ht="15" hidden="false" customHeight="false" outlineLevel="0" collapsed="false">
      <c r="A2119" s="13" t="s">
        <v>628</v>
      </c>
      <c r="B2119" s="13" t="s">
        <v>627</v>
      </c>
      <c r="C2119" s="13" t="s">
        <v>2261</v>
      </c>
      <c r="D2119" s="13" t="s">
        <v>2270</v>
      </c>
      <c r="E2119" s="13" t="s">
        <v>2496</v>
      </c>
      <c r="F2119" s="13" t="s">
        <v>2290</v>
      </c>
      <c r="G2119" s="61" t="n">
        <v>0</v>
      </c>
      <c r="H2119" s="13" t="s">
        <v>2255</v>
      </c>
      <c r="I2119" s="13" t="s">
        <v>2477</v>
      </c>
      <c r="J2119" s="13" t="n">
        <v>51</v>
      </c>
      <c r="K2119" s="13" t="s">
        <v>2478</v>
      </c>
      <c r="L2119" s="13" t="s">
        <v>2263</v>
      </c>
      <c r="M2119" s="13" t="s">
        <v>2479</v>
      </c>
    </row>
    <row r="2120" customFormat="false" ht="15" hidden="false" customHeight="false" outlineLevel="0" collapsed="false">
      <c r="A2120" s="13" t="s">
        <v>628</v>
      </c>
      <c r="B2120" s="13" t="s">
        <v>627</v>
      </c>
      <c r="C2120" s="13" t="s">
        <v>2261</v>
      </c>
      <c r="D2120" s="13" t="s">
        <v>2270</v>
      </c>
      <c r="E2120" s="13" t="s">
        <v>2497</v>
      </c>
      <c r="F2120" s="13" t="s">
        <v>2290</v>
      </c>
      <c r="G2120" s="61" t="n">
        <v>34831714490</v>
      </c>
      <c r="H2120" s="13" t="s">
        <v>2255</v>
      </c>
      <c r="I2120" s="13" t="s">
        <v>2477</v>
      </c>
      <c r="J2120" s="13" t="n">
        <v>51</v>
      </c>
      <c r="K2120" s="13" t="s">
        <v>2478</v>
      </c>
      <c r="L2120" s="13" t="s">
        <v>2263</v>
      </c>
      <c r="M2120" s="13" t="s">
        <v>2479</v>
      </c>
    </row>
    <row r="2121" customFormat="false" ht="15" hidden="false" customHeight="false" outlineLevel="0" collapsed="false">
      <c r="A2121" s="13" t="s">
        <v>628</v>
      </c>
      <c r="B2121" s="13" t="s">
        <v>627</v>
      </c>
      <c r="C2121" s="13" t="s">
        <v>2261</v>
      </c>
      <c r="D2121" s="13" t="s">
        <v>2270</v>
      </c>
      <c r="E2121" s="13" t="s">
        <v>2498</v>
      </c>
      <c r="F2121" s="13" t="s">
        <v>2290</v>
      </c>
      <c r="G2121" s="61" t="n">
        <v>0</v>
      </c>
      <c r="H2121" s="13" t="s">
        <v>2255</v>
      </c>
      <c r="I2121" s="13" t="s">
        <v>2477</v>
      </c>
      <c r="J2121" s="13" t="n">
        <v>51</v>
      </c>
      <c r="K2121" s="13" t="s">
        <v>2478</v>
      </c>
      <c r="L2121" s="13" t="s">
        <v>2263</v>
      </c>
      <c r="M2121" s="13" t="s">
        <v>2479</v>
      </c>
    </row>
    <row r="2122" customFormat="false" ht="15" hidden="false" customHeight="false" outlineLevel="0" collapsed="false">
      <c r="A2122" s="13" t="s">
        <v>628</v>
      </c>
      <c r="B2122" s="13" t="s">
        <v>627</v>
      </c>
      <c r="C2122" s="13" t="s">
        <v>2261</v>
      </c>
      <c r="D2122" s="13" t="s">
        <v>2270</v>
      </c>
      <c r="E2122" s="13" t="s">
        <v>2499</v>
      </c>
      <c r="F2122" s="13" t="s">
        <v>2290</v>
      </c>
      <c r="G2122" s="61" t="n">
        <v>443388811393</v>
      </c>
      <c r="H2122" s="13" t="s">
        <v>2255</v>
      </c>
      <c r="I2122" s="13" t="s">
        <v>2477</v>
      </c>
      <c r="J2122" s="13" t="n">
        <v>51</v>
      </c>
      <c r="K2122" s="13" t="s">
        <v>2478</v>
      </c>
      <c r="L2122" s="13" t="s">
        <v>2263</v>
      </c>
      <c r="M2122" s="13" t="s">
        <v>2479</v>
      </c>
    </row>
    <row r="2123" customFormat="false" ht="15" hidden="false" customHeight="false" outlineLevel="0" collapsed="false">
      <c r="A2123" s="13" t="s">
        <v>628</v>
      </c>
      <c r="B2123" s="13" t="s">
        <v>627</v>
      </c>
      <c r="C2123" s="13" t="s">
        <v>2261</v>
      </c>
      <c r="D2123" s="13" t="s">
        <v>2270</v>
      </c>
      <c r="E2123" s="13" t="s">
        <v>2505</v>
      </c>
      <c r="F2123" s="13" t="s">
        <v>2447</v>
      </c>
      <c r="G2123" s="61" t="n">
        <v>961722736549</v>
      </c>
      <c r="H2123" s="13" t="s">
        <v>2255</v>
      </c>
      <c r="I2123" s="13" t="s">
        <v>2477</v>
      </c>
      <c r="J2123" s="13" t="n">
        <v>51</v>
      </c>
      <c r="K2123" s="13" t="s">
        <v>2478</v>
      </c>
      <c r="L2123" s="13" t="s">
        <v>2263</v>
      </c>
      <c r="M2123" s="13" t="s">
        <v>2479</v>
      </c>
    </row>
    <row r="2124" customFormat="false" ht="15" hidden="false" customHeight="false" outlineLevel="0" collapsed="false">
      <c r="A2124" s="13" t="s">
        <v>628</v>
      </c>
      <c r="B2124" s="13" t="s">
        <v>627</v>
      </c>
      <c r="C2124" s="13" t="s">
        <v>2261</v>
      </c>
      <c r="D2124" s="13" t="s">
        <v>2270</v>
      </c>
      <c r="E2124" s="13" t="s">
        <v>2506</v>
      </c>
      <c r="F2124" s="13" t="s">
        <v>2447</v>
      </c>
      <c r="G2124" s="61" t="n">
        <v>98034191125</v>
      </c>
      <c r="H2124" s="13" t="s">
        <v>2255</v>
      </c>
      <c r="I2124" s="13" t="s">
        <v>2477</v>
      </c>
      <c r="J2124" s="13" t="n">
        <v>51</v>
      </c>
      <c r="K2124" s="13" t="s">
        <v>2478</v>
      </c>
      <c r="L2124" s="13" t="s">
        <v>2263</v>
      </c>
      <c r="M2124" s="13" t="s">
        <v>2479</v>
      </c>
    </row>
    <row r="2125" customFormat="false" ht="15" hidden="false" customHeight="false" outlineLevel="0" collapsed="false">
      <c r="A2125" s="13" t="s">
        <v>628</v>
      </c>
      <c r="B2125" s="13" t="s">
        <v>627</v>
      </c>
      <c r="C2125" s="13" t="s">
        <v>2261</v>
      </c>
      <c r="D2125" s="13" t="s">
        <v>2270</v>
      </c>
      <c r="E2125" s="13" t="s">
        <v>2507</v>
      </c>
      <c r="F2125" s="13" t="s">
        <v>2447</v>
      </c>
      <c r="G2125" s="61" t="n">
        <v>0</v>
      </c>
      <c r="H2125" s="13" t="s">
        <v>2255</v>
      </c>
      <c r="I2125" s="13" t="s">
        <v>2477</v>
      </c>
      <c r="J2125" s="13" t="n">
        <v>51</v>
      </c>
      <c r="K2125" s="13" t="s">
        <v>2478</v>
      </c>
      <c r="L2125" s="13" t="s">
        <v>2263</v>
      </c>
      <c r="M2125" s="13" t="s">
        <v>2479</v>
      </c>
    </row>
    <row r="2126" customFormat="false" ht="15" hidden="false" customHeight="false" outlineLevel="0" collapsed="false">
      <c r="A2126" s="13" t="s">
        <v>628</v>
      </c>
      <c r="B2126" s="13" t="s">
        <v>627</v>
      </c>
      <c r="C2126" s="13" t="s">
        <v>2261</v>
      </c>
      <c r="D2126" s="13" t="s">
        <v>2270</v>
      </c>
      <c r="E2126" s="13" t="s">
        <v>2508</v>
      </c>
      <c r="F2126" s="13" t="s">
        <v>2447</v>
      </c>
      <c r="G2126" s="61" t="n">
        <v>0</v>
      </c>
      <c r="H2126" s="13" t="s">
        <v>2255</v>
      </c>
      <c r="I2126" s="13" t="s">
        <v>2477</v>
      </c>
      <c r="J2126" s="13" t="n">
        <v>51</v>
      </c>
      <c r="K2126" s="13" t="s">
        <v>2478</v>
      </c>
      <c r="L2126" s="13" t="s">
        <v>2263</v>
      </c>
      <c r="M2126" s="13" t="s">
        <v>2479</v>
      </c>
    </row>
    <row r="2127" customFormat="false" ht="15" hidden="false" customHeight="false" outlineLevel="0" collapsed="false">
      <c r="A2127" s="13" t="s">
        <v>628</v>
      </c>
      <c r="B2127" s="13" t="s">
        <v>627</v>
      </c>
      <c r="C2127" s="13" t="s">
        <v>2261</v>
      </c>
      <c r="D2127" s="13" t="s">
        <v>2270</v>
      </c>
      <c r="E2127" s="13" t="s">
        <v>2509</v>
      </c>
      <c r="F2127" s="13" t="s">
        <v>2447</v>
      </c>
      <c r="G2127" s="61" t="n">
        <v>8850000000</v>
      </c>
      <c r="H2127" s="13" t="s">
        <v>2255</v>
      </c>
      <c r="I2127" s="13" t="s">
        <v>2477</v>
      </c>
      <c r="J2127" s="13" t="n">
        <v>51</v>
      </c>
      <c r="K2127" s="13" t="s">
        <v>2478</v>
      </c>
      <c r="L2127" s="13" t="s">
        <v>2263</v>
      </c>
      <c r="M2127" s="13" t="s">
        <v>2479</v>
      </c>
    </row>
    <row r="2128" customFormat="false" ht="15" hidden="false" customHeight="false" outlineLevel="0" collapsed="false">
      <c r="A2128" s="13" t="s">
        <v>628</v>
      </c>
      <c r="B2128" s="13" t="s">
        <v>627</v>
      </c>
      <c r="C2128" s="13" t="s">
        <v>2261</v>
      </c>
      <c r="D2128" s="13" t="s">
        <v>2270</v>
      </c>
      <c r="E2128" s="13" t="s">
        <v>2510</v>
      </c>
      <c r="F2128" s="13" t="s">
        <v>2447</v>
      </c>
      <c r="G2128" s="61" t="n">
        <v>0</v>
      </c>
      <c r="H2128" s="13" t="s">
        <v>2255</v>
      </c>
      <c r="I2128" s="13" t="s">
        <v>2477</v>
      </c>
      <c r="J2128" s="13" t="n">
        <v>51</v>
      </c>
      <c r="K2128" s="13" t="s">
        <v>2478</v>
      </c>
      <c r="L2128" s="13" t="s">
        <v>2263</v>
      </c>
      <c r="M2128" s="13" t="s">
        <v>2479</v>
      </c>
    </row>
    <row r="2129" customFormat="false" ht="15" hidden="false" customHeight="false" outlineLevel="0" collapsed="false">
      <c r="A2129" s="13" t="s">
        <v>628</v>
      </c>
      <c r="B2129" s="13" t="s">
        <v>627</v>
      </c>
      <c r="C2129" s="13" t="s">
        <v>2261</v>
      </c>
      <c r="D2129" s="13" t="s">
        <v>2270</v>
      </c>
      <c r="E2129" s="13" t="s">
        <v>2511</v>
      </c>
      <c r="F2129" s="13" t="s">
        <v>2447</v>
      </c>
      <c r="G2129" s="61" t="n">
        <v>1068606927674</v>
      </c>
      <c r="H2129" s="13" t="s">
        <v>2255</v>
      </c>
      <c r="I2129" s="13" t="s">
        <v>2477</v>
      </c>
      <c r="J2129" s="13" t="n">
        <v>51</v>
      </c>
      <c r="K2129" s="13" t="s">
        <v>2478</v>
      </c>
      <c r="L2129" s="13" t="s">
        <v>2263</v>
      </c>
      <c r="M2129" s="13" t="s">
        <v>2479</v>
      </c>
    </row>
    <row r="2130" customFormat="false" ht="15" hidden="false" customHeight="false" outlineLevel="0" collapsed="false">
      <c r="A2130" s="13" t="s">
        <v>628</v>
      </c>
      <c r="B2130" s="13" t="s">
        <v>627</v>
      </c>
      <c r="C2130" s="13" t="s">
        <v>2261</v>
      </c>
      <c r="D2130" s="13" t="s">
        <v>2270</v>
      </c>
      <c r="E2130" s="13" t="s">
        <v>2505</v>
      </c>
      <c r="F2130" s="13" t="s">
        <v>2448</v>
      </c>
      <c r="G2130" s="61" t="n">
        <v>326438644343</v>
      </c>
      <c r="H2130" s="13" t="s">
        <v>2255</v>
      </c>
      <c r="I2130" s="13" t="s">
        <v>2477</v>
      </c>
      <c r="J2130" s="13" t="n">
        <v>51</v>
      </c>
      <c r="K2130" s="13" t="s">
        <v>2478</v>
      </c>
      <c r="L2130" s="13" t="s">
        <v>2263</v>
      </c>
      <c r="M2130" s="13" t="s">
        <v>2479</v>
      </c>
    </row>
    <row r="2131" customFormat="false" ht="15" hidden="false" customHeight="false" outlineLevel="0" collapsed="false">
      <c r="A2131" s="13" t="s">
        <v>628</v>
      </c>
      <c r="B2131" s="13" t="s">
        <v>627</v>
      </c>
      <c r="C2131" s="13" t="s">
        <v>2261</v>
      </c>
      <c r="D2131" s="13" t="s">
        <v>2270</v>
      </c>
      <c r="E2131" s="13" t="s">
        <v>2506</v>
      </c>
      <c r="F2131" s="13" t="s">
        <v>2448</v>
      </c>
      <c r="G2131" s="61" t="n">
        <v>49067967798</v>
      </c>
      <c r="H2131" s="13" t="s">
        <v>2255</v>
      </c>
      <c r="I2131" s="13" t="s">
        <v>2477</v>
      </c>
      <c r="J2131" s="13" t="n">
        <v>51</v>
      </c>
      <c r="K2131" s="13" t="s">
        <v>2478</v>
      </c>
      <c r="L2131" s="13" t="s">
        <v>2263</v>
      </c>
      <c r="M2131" s="13" t="s">
        <v>2479</v>
      </c>
    </row>
    <row r="2132" customFormat="false" ht="15" hidden="false" customHeight="false" outlineLevel="0" collapsed="false">
      <c r="A2132" s="13" t="s">
        <v>628</v>
      </c>
      <c r="B2132" s="13" t="s">
        <v>627</v>
      </c>
      <c r="C2132" s="13" t="s">
        <v>2261</v>
      </c>
      <c r="D2132" s="13" t="s">
        <v>2270</v>
      </c>
      <c r="E2132" s="13" t="s">
        <v>2507</v>
      </c>
      <c r="F2132" s="13" t="s">
        <v>2448</v>
      </c>
      <c r="G2132" s="61" t="n">
        <v>0</v>
      </c>
      <c r="H2132" s="13" t="s">
        <v>2255</v>
      </c>
      <c r="I2132" s="13" t="s">
        <v>2477</v>
      </c>
      <c r="J2132" s="13" t="n">
        <v>51</v>
      </c>
      <c r="K2132" s="13" t="s">
        <v>2478</v>
      </c>
      <c r="L2132" s="13" t="s">
        <v>2263</v>
      </c>
      <c r="M2132" s="13" t="s">
        <v>2479</v>
      </c>
    </row>
    <row r="2133" customFormat="false" ht="15" hidden="false" customHeight="false" outlineLevel="0" collapsed="false">
      <c r="A2133" s="13" t="s">
        <v>628</v>
      </c>
      <c r="B2133" s="13" t="s">
        <v>627</v>
      </c>
      <c r="C2133" s="13" t="s">
        <v>2261</v>
      </c>
      <c r="D2133" s="13" t="s">
        <v>2270</v>
      </c>
      <c r="E2133" s="13" t="s">
        <v>2508</v>
      </c>
      <c r="F2133" s="13" t="s">
        <v>2448</v>
      </c>
      <c r="G2133" s="61" t="n">
        <v>8450020644</v>
      </c>
      <c r="H2133" s="13" t="s">
        <v>2255</v>
      </c>
      <c r="I2133" s="13" t="s">
        <v>2477</v>
      </c>
      <c r="J2133" s="13" t="n">
        <v>51</v>
      </c>
      <c r="K2133" s="13" t="s">
        <v>2478</v>
      </c>
      <c r="L2133" s="13" t="s">
        <v>2263</v>
      </c>
      <c r="M2133" s="13" t="s">
        <v>2479</v>
      </c>
    </row>
    <row r="2134" customFormat="false" ht="15" hidden="false" customHeight="false" outlineLevel="0" collapsed="false">
      <c r="A2134" s="13" t="s">
        <v>628</v>
      </c>
      <c r="B2134" s="13" t="s">
        <v>627</v>
      </c>
      <c r="C2134" s="13" t="s">
        <v>2261</v>
      </c>
      <c r="D2134" s="13" t="s">
        <v>2270</v>
      </c>
      <c r="E2134" s="13" t="s">
        <v>2509</v>
      </c>
      <c r="F2134" s="13" t="s">
        <v>2448</v>
      </c>
      <c r="G2134" s="61" t="n">
        <v>46362277600</v>
      </c>
      <c r="H2134" s="13" t="s">
        <v>2255</v>
      </c>
      <c r="I2134" s="13" t="s">
        <v>2477</v>
      </c>
      <c r="J2134" s="13" t="n">
        <v>51</v>
      </c>
      <c r="K2134" s="13" t="s">
        <v>2478</v>
      </c>
      <c r="L2134" s="13" t="s">
        <v>2263</v>
      </c>
      <c r="M2134" s="13" t="s">
        <v>2479</v>
      </c>
    </row>
    <row r="2135" customFormat="false" ht="15" hidden="false" customHeight="false" outlineLevel="0" collapsed="false">
      <c r="A2135" s="13" t="s">
        <v>628</v>
      </c>
      <c r="B2135" s="13" t="s">
        <v>627</v>
      </c>
      <c r="C2135" s="13" t="s">
        <v>2261</v>
      </c>
      <c r="D2135" s="13" t="s">
        <v>2270</v>
      </c>
      <c r="E2135" s="13" t="s">
        <v>2510</v>
      </c>
      <c r="F2135" s="13" t="s">
        <v>2448</v>
      </c>
      <c r="G2135" s="61" t="n">
        <v>0</v>
      </c>
      <c r="H2135" s="13" t="s">
        <v>2255</v>
      </c>
      <c r="I2135" s="13" t="s">
        <v>2477</v>
      </c>
      <c r="J2135" s="13" t="n">
        <v>51</v>
      </c>
      <c r="K2135" s="13" t="s">
        <v>2478</v>
      </c>
      <c r="L2135" s="13" t="s">
        <v>2263</v>
      </c>
      <c r="M2135" s="13" t="s">
        <v>2479</v>
      </c>
    </row>
    <row r="2136" customFormat="false" ht="15" hidden="false" customHeight="false" outlineLevel="0" collapsed="false">
      <c r="A2136" s="13" t="s">
        <v>628</v>
      </c>
      <c r="B2136" s="13" t="s">
        <v>627</v>
      </c>
      <c r="C2136" s="13" t="s">
        <v>2261</v>
      </c>
      <c r="D2136" s="13" t="s">
        <v>2270</v>
      </c>
      <c r="E2136" s="13" t="s">
        <v>2511</v>
      </c>
      <c r="F2136" s="13" t="s">
        <v>2448</v>
      </c>
      <c r="G2136" s="61" t="n">
        <v>430318910385</v>
      </c>
      <c r="H2136" s="13" t="s">
        <v>2255</v>
      </c>
      <c r="I2136" s="13" t="s">
        <v>2477</v>
      </c>
      <c r="J2136" s="13" t="n">
        <v>51</v>
      </c>
      <c r="K2136" s="13" t="s">
        <v>2478</v>
      </c>
      <c r="L2136" s="13" t="s">
        <v>2263</v>
      </c>
      <c r="M2136" s="13" t="s">
        <v>2479</v>
      </c>
    </row>
    <row r="2137" customFormat="false" ht="15" hidden="false" customHeight="false" outlineLevel="0" collapsed="false">
      <c r="A2137" s="13" t="s">
        <v>628</v>
      </c>
      <c r="B2137" s="13" t="s">
        <v>627</v>
      </c>
      <c r="C2137" s="13" t="s">
        <v>2261</v>
      </c>
      <c r="D2137" s="13" t="s">
        <v>2270</v>
      </c>
      <c r="E2137" s="13" t="s">
        <v>2505</v>
      </c>
      <c r="F2137" s="13" t="s">
        <v>2500</v>
      </c>
      <c r="G2137" s="61" t="n">
        <v>349117735006</v>
      </c>
      <c r="H2137" s="13" t="s">
        <v>2255</v>
      </c>
      <c r="I2137" s="13" t="s">
        <v>2477</v>
      </c>
      <c r="J2137" s="13" t="n">
        <v>51</v>
      </c>
      <c r="K2137" s="13" t="s">
        <v>2478</v>
      </c>
      <c r="L2137" s="13" t="s">
        <v>2263</v>
      </c>
      <c r="M2137" s="13" t="s">
        <v>2479</v>
      </c>
    </row>
    <row r="2138" customFormat="false" ht="15" hidden="false" customHeight="false" outlineLevel="0" collapsed="false">
      <c r="A2138" s="13" t="s">
        <v>628</v>
      </c>
      <c r="B2138" s="13" t="s">
        <v>627</v>
      </c>
      <c r="C2138" s="13" t="s">
        <v>2261</v>
      </c>
      <c r="D2138" s="13" t="s">
        <v>2270</v>
      </c>
      <c r="E2138" s="13" t="s">
        <v>2506</v>
      </c>
      <c r="F2138" s="13" t="s">
        <v>2500</v>
      </c>
      <c r="G2138" s="61" t="n">
        <v>39125508153</v>
      </c>
      <c r="H2138" s="13" t="s">
        <v>2255</v>
      </c>
      <c r="I2138" s="13" t="s">
        <v>2477</v>
      </c>
      <c r="J2138" s="13" t="n">
        <v>51</v>
      </c>
      <c r="K2138" s="13" t="s">
        <v>2478</v>
      </c>
      <c r="L2138" s="13" t="s">
        <v>2263</v>
      </c>
      <c r="M2138" s="13" t="s">
        <v>2479</v>
      </c>
    </row>
    <row r="2139" customFormat="false" ht="15" hidden="false" customHeight="false" outlineLevel="0" collapsed="false">
      <c r="A2139" s="13" t="s">
        <v>628</v>
      </c>
      <c r="B2139" s="13" t="s">
        <v>627</v>
      </c>
      <c r="C2139" s="13" t="s">
        <v>2261</v>
      </c>
      <c r="D2139" s="13" t="s">
        <v>2270</v>
      </c>
      <c r="E2139" s="13" t="s">
        <v>2507</v>
      </c>
      <c r="F2139" s="13" t="s">
        <v>2500</v>
      </c>
      <c r="G2139" s="61" t="n">
        <v>-4228565705</v>
      </c>
      <c r="H2139" s="13" t="s">
        <v>2255</v>
      </c>
      <c r="I2139" s="13" t="s">
        <v>2477</v>
      </c>
      <c r="J2139" s="13" t="n">
        <v>51</v>
      </c>
      <c r="K2139" s="13" t="s">
        <v>2478</v>
      </c>
      <c r="L2139" s="13" t="s">
        <v>2263</v>
      </c>
      <c r="M2139" s="13" t="s">
        <v>2479</v>
      </c>
    </row>
    <row r="2140" customFormat="false" ht="15" hidden="false" customHeight="false" outlineLevel="0" collapsed="false">
      <c r="A2140" s="13" t="s">
        <v>628</v>
      </c>
      <c r="B2140" s="13" t="s">
        <v>627</v>
      </c>
      <c r="C2140" s="13" t="s">
        <v>2261</v>
      </c>
      <c r="D2140" s="13" t="s">
        <v>2270</v>
      </c>
      <c r="E2140" s="13" t="s">
        <v>2508</v>
      </c>
      <c r="F2140" s="13" t="s">
        <v>2500</v>
      </c>
      <c r="G2140" s="61" t="n">
        <v>729355751</v>
      </c>
      <c r="H2140" s="13" t="s">
        <v>2255</v>
      </c>
      <c r="I2140" s="13" t="s">
        <v>2477</v>
      </c>
      <c r="J2140" s="13" t="n">
        <v>51</v>
      </c>
      <c r="K2140" s="13" t="s">
        <v>2478</v>
      </c>
      <c r="L2140" s="13" t="s">
        <v>2263</v>
      </c>
      <c r="M2140" s="13" t="s">
        <v>2479</v>
      </c>
    </row>
    <row r="2141" customFormat="false" ht="15" hidden="false" customHeight="false" outlineLevel="0" collapsed="false">
      <c r="A2141" s="13" t="s">
        <v>628</v>
      </c>
      <c r="B2141" s="13" t="s">
        <v>627</v>
      </c>
      <c r="C2141" s="13" t="s">
        <v>2261</v>
      </c>
      <c r="D2141" s="13" t="s">
        <v>2270</v>
      </c>
      <c r="E2141" s="13" t="s">
        <v>2509</v>
      </c>
      <c r="F2141" s="13" t="s">
        <v>2500</v>
      </c>
      <c r="G2141" s="61" t="n">
        <v>15169318211</v>
      </c>
      <c r="H2141" s="13" t="s">
        <v>2255</v>
      </c>
      <c r="I2141" s="13" t="s">
        <v>2477</v>
      </c>
      <c r="J2141" s="13" t="n">
        <v>51</v>
      </c>
      <c r="K2141" s="13" t="s">
        <v>2478</v>
      </c>
      <c r="L2141" s="13" t="s">
        <v>2263</v>
      </c>
      <c r="M2141" s="13" t="s">
        <v>2479</v>
      </c>
    </row>
    <row r="2142" customFormat="false" ht="15" hidden="false" customHeight="false" outlineLevel="0" collapsed="false">
      <c r="A2142" s="13" t="s">
        <v>628</v>
      </c>
      <c r="B2142" s="13" t="s">
        <v>627</v>
      </c>
      <c r="C2142" s="13" t="s">
        <v>2261</v>
      </c>
      <c r="D2142" s="13" t="s">
        <v>2270</v>
      </c>
      <c r="E2142" s="13" t="s">
        <v>2510</v>
      </c>
      <c r="F2142" s="13" t="s">
        <v>2500</v>
      </c>
      <c r="G2142" s="61" t="n">
        <v>0</v>
      </c>
      <c r="H2142" s="13" t="s">
        <v>2255</v>
      </c>
      <c r="I2142" s="13" t="s">
        <v>2477</v>
      </c>
      <c r="J2142" s="13" t="n">
        <v>51</v>
      </c>
      <c r="K2142" s="13" t="s">
        <v>2478</v>
      </c>
      <c r="L2142" s="13" t="s">
        <v>2263</v>
      </c>
      <c r="M2142" s="13" t="s">
        <v>2479</v>
      </c>
    </row>
    <row r="2143" customFormat="false" ht="15" hidden="false" customHeight="false" outlineLevel="0" collapsed="false">
      <c r="A2143" s="13" t="s">
        <v>628</v>
      </c>
      <c r="B2143" s="13" t="s">
        <v>627</v>
      </c>
      <c r="C2143" s="13" t="s">
        <v>2261</v>
      </c>
      <c r="D2143" s="13" t="s">
        <v>2270</v>
      </c>
      <c r="E2143" s="13" t="s">
        <v>2511</v>
      </c>
      <c r="F2143" s="13" t="s">
        <v>2500</v>
      </c>
      <c r="G2143" s="61" t="n">
        <v>399913351416</v>
      </c>
      <c r="H2143" s="13" t="s">
        <v>2255</v>
      </c>
      <c r="I2143" s="13" t="s">
        <v>2477</v>
      </c>
      <c r="J2143" s="13" t="n">
        <v>51</v>
      </c>
      <c r="K2143" s="13" t="s">
        <v>2478</v>
      </c>
      <c r="L2143" s="13" t="s">
        <v>2263</v>
      </c>
      <c r="M2143" s="13" t="s">
        <v>2479</v>
      </c>
    </row>
    <row r="2144" customFormat="false" ht="15" hidden="false" customHeight="false" outlineLevel="0" collapsed="false">
      <c r="A2144" s="13" t="s">
        <v>628</v>
      </c>
      <c r="B2144" s="13" t="s">
        <v>627</v>
      </c>
      <c r="C2144" s="13" t="s">
        <v>2261</v>
      </c>
      <c r="D2144" s="13" t="s">
        <v>2270</v>
      </c>
      <c r="E2144" s="13" t="s">
        <v>2505</v>
      </c>
      <c r="F2144" s="13" t="s">
        <v>2512</v>
      </c>
      <c r="G2144" s="61" t="n">
        <v>66641545512</v>
      </c>
      <c r="H2144" s="13" t="s">
        <v>2255</v>
      </c>
      <c r="I2144" s="13" t="s">
        <v>2477</v>
      </c>
      <c r="J2144" s="13" t="n">
        <v>51</v>
      </c>
      <c r="K2144" s="13" t="s">
        <v>2478</v>
      </c>
      <c r="L2144" s="13" t="s">
        <v>2263</v>
      </c>
      <c r="M2144" s="13" t="s">
        <v>2479</v>
      </c>
    </row>
    <row r="2145" customFormat="false" ht="15" hidden="false" customHeight="false" outlineLevel="0" collapsed="false">
      <c r="A2145" s="13" t="s">
        <v>628</v>
      </c>
      <c r="B2145" s="13" t="s">
        <v>627</v>
      </c>
      <c r="C2145" s="13" t="s">
        <v>2261</v>
      </c>
      <c r="D2145" s="13" t="s">
        <v>2270</v>
      </c>
      <c r="E2145" s="13" t="s">
        <v>2506</v>
      </c>
      <c r="F2145" s="13" t="s">
        <v>2512</v>
      </c>
      <c r="G2145" s="61" t="n">
        <v>14823022128</v>
      </c>
      <c r="H2145" s="13" t="s">
        <v>2255</v>
      </c>
      <c r="I2145" s="13" t="s">
        <v>2477</v>
      </c>
      <c r="J2145" s="13" t="n">
        <v>51</v>
      </c>
      <c r="K2145" s="13" t="s">
        <v>2478</v>
      </c>
      <c r="L2145" s="13" t="s">
        <v>2263</v>
      </c>
      <c r="M2145" s="13" t="s">
        <v>2479</v>
      </c>
    </row>
    <row r="2146" customFormat="false" ht="15" hidden="false" customHeight="false" outlineLevel="0" collapsed="false">
      <c r="A2146" s="13" t="s">
        <v>628</v>
      </c>
      <c r="B2146" s="13" t="s">
        <v>627</v>
      </c>
      <c r="C2146" s="13" t="s">
        <v>2261</v>
      </c>
      <c r="D2146" s="13" t="s">
        <v>2270</v>
      </c>
      <c r="E2146" s="13" t="s">
        <v>2507</v>
      </c>
      <c r="F2146" s="13" t="s">
        <v>2512</v>
      </c>
      <c r="G2146" s="61" t="n">
        <v>-546784627</v>
      </c>
      <c r="H2146" s="13" t="s">
        <v>2255</v>
      </c>
      <c r="I2146" s="13" t="s">
        <v>2477</v>
      </c>
      <c r="J2146" s="13" t="n">
        <v>51</v>
      </c>
      <c r="K2146" s="13" t="s">
        <v>2478</v>
      </c>
      <c r="L2146" s="13" t="s">
        <v>2263</v>
      </c>
      <c r="M2146" s="13" t="s">
        <v>2479</v>
      </c>
    </row>
    <row r="2147" customFormat="false" ht="15" hidden="false" customHeight="false" outlineLevel="0" collapsed="false">
      <c r="A2147" s="13" t="s">
        <v>628</v>
      </c>
      <c r="B2147" s="13" t="s">
        <v>627</v>
      </c>
      <c r="C2147" s="13" t="s">
        <v>2261</v>
      </c>
      <c r="D2147" s="13" t="s">
        <v>2270</v>
      </c>
      <c r="E2147" s="13" t="s">
        <v>2508</v>
      </c>
      <c r="F2147" s="13" t="s">
        <v>2512</v>
      </c>
      <c r="G2147" s="61" t="n">
        <v>248965497</v>
      </c>
      <c r="H2147" s="13" t="s">
        <v>2255</v>
      </c>
      <c r="I2147" s="13" t="s">
        <v>2477</v>
      </c>
      <c r="J2147" s="13" t="n">
        <v>51</v>
      </c>
      <c r="K2147" s="13" t="s">
        <v>2478</v>
      </c>
      <c r="L2147" s="13" t="s">
        <v>2263</v>
      </c>
      <c r="M2147" s="13" t="s">
        <v>2479</v>
      </c>
    </row>
    <row r="2148" customFormat="false" ht="15" hidden="false" customHeight="false" outlineLevel="0" collapsed="false">
      <c r="A2148" s="13" t="s">
        <v>628</v>
      </c>
      <c r="B2148" s="13" t="s">
        <v>627</v>
      </c>
      <c r="C2148" s="13" t="s">
        <v>2261</v>
      </c>
      <c r="D2148" s="13" t="s">
        <v>2270</v>
      </c>
      <c r="E2148" s="13" t="s">
        <v>2509</v>
      </c>
      <c r="F2148" s="13" t="s">
        <v>2512</v>
      </c>
      <c r="G2148" s="61" t="n">
        <v>10675673884</v>
      </c>
      <c r="H2148" s="13" t="s">
        <v>2255</v>
      </c>
      <c r="I2148" s="13" t="s">
        <v>2477</v>
      </c>
      <c r="J2148" s="13" t="n">
        <v>51</v>
      </c>
      <c r="K2148" s="13" t="s">
        <v>2478</v>
      </c>
      <c r="L2148" s="13" t="s">
        <v>2263</v>
      </c>
      <c r="M2148" s="13" t="s">
        <v>2479</v>
      </c>
    </row>
    <row r="2149" customFormat="false" ht="15" hidden="false" customHeight="false" outlineLevel="0" collapsed="false">
      <c r="A2149" s="13" t="s">
        <v>628</v>
      </c>
      <c r="B2149" s="13" t="s">
        <v>627</v>
      </c>
      <c r="C2149" s="13" t="s">
        <v>2261</v>
      </c>
      <c r="D2149" s="13" t="s">
        <v>2270</v>
      </c>
      <c r="E2149" s="13" t="s">
        <v>2510</v>
      </c>
      <c r="F2149" s="13" t="s">
        <v>2512</v>
      </c>
      <c r="G2149" s="61" t="n">
        <v>0</v>
      </c>
      <c r="H2149" s="13" t="s">
        <v>2255</v>
      </c>
      <c r="I2149" s="13" t="s">
        <v>2477</v>
      </c>
      <c r="J2149" s="13" t="n">
        <v>51</v>
      </c>
      <c r="K2149" s="13" t="s">
        <v>2478</v>
      </c>
      <c r="L2149" s="13" t="s">
        <v>2263</v>
      </c>
      <c r="M2149" s="13" t="s">
        <v>2479</v>
      </c>
    </row>
    <row r="2150" customFormat="false" ht="15" hidden="false" customHeight="false" outlineLevel="0" collapsed="false">
      <c r="A2150" s="13" t="s">
        <v>628</v>
      </c>
      <c r="B2150" s="13" t="s">
        <v>627</v>
      </c>
      <c r="C2150" s="13" t="s">
        <v>2261</v>
      </c>
      <c r="D2150" s="13" t="s">
        <v>2270</v>
      </c>
      <c r="E2150" s="13" t="s">
        <v>2511</v>
      </c>
      <c r="F2150" s="13" t="s">
        <v>2512</v>
      </c>
      <c r="G2150" s="61" t="n">
        <v>91842422394</v>
      </c>
      <c r="H2150" s="13" t="s">
        <v>2255</v>
      </c>
      <c r="I2150" s="13" t="s">
        <v>2477</v>
      </c>
      <c r="J2150" s="13" t="n">
        <v>51</v>
      </c>
      <c r="K2150" s="13" t="s">
        <v>2478</v>
      </c>
      <c r="L2150" s="13" t="s">
        <v>2263</v>
      </c>
      <c r="M2150" s="13" t="s">
        <v>2479</v>
      </c>
    </row>
    <row r="2151" customFormat="false" ht="15" hidden="false" customHeight="false" outlineLevel="0" collapsed="false">
      <c r="A2151" s="13" t="s">
        <v>628</v>
      </c>
      <c r="B2151" s="13" t="s">
        <v>627</v>
      </c>
      <c r="C2151" s="13" t="s">
        <v>2261</v>
      </c>
      <c r="D2151" s="13" t="s">
        <v>2270</v>
      </c>
      <c r="E2151" s="13" t="s">
        <v>2505</v>
      </c>
      <c r="F2151" s="13" t="s">
        <v>2502</v>
      </c>
      <c r="G2151" s="61" t="n">
        <v>46034195781</v>
      </c>
      <c r="H2151" s="13" t="s">
        <v>2255</v>
      </c>
      <c r="I2151" s="13" t="s">
        <v>2477</v>
      </c>
      <c r="J2151" s="13" t="n">
        <v>51</v>
      </c>
      <c r="K2151" s="13" t="s">
        <v>2478</v>
      </c>
      <c r="L2151" s="13" t="s">
        <v>2263</v>
      </c>
      <c r="M2151" s="13" t="s">
        <v>2479</v>
      </c>
    </row>
    <row r="2152" customFormat="false" ht="15" hidden="false" customHeight="false" outlineLevel="0" collapsed="false">
      <c r="A2152" s="13" t="s">
        <v>628</v>
      </c>
      <c r="B2152" s="13" t="s">
        <v>627</v>
      </c>
      <c r="C2152" s="13" t="s">
        <v>2261</v>
      </c>
      <c r="D2152" s="13" t="s">
        <v>2270</v>
      </c>
      <c r="E2152" s="13" t="s">
        <v>2506</v>
      </c>
      <c r="F2152" s="13" t="s">
        <v>2502</v>
      </c>
      <c r="G2152" s="61" t="n">
        <v>6614522281</v>
      </c>
      <c r="H2152" s="13" t="s">
        <v>2255</v>
      </c>
      <c r="I2152" s="13" t="s">
        <v>2477</v>
      </c>
      <c r="J2152" s="13" t="n">
        <v>51</v>
      </c>
      <c r="K2152" s="13" t="s">
        <v>2478</v>
      </c>
      <c r="L2152" s="13" t="s">
        <v>2263</v>
      </c>
      <c r="M2152" s="13" t="s">
        <v>2479</v>
      </c>
    </row>
    <row r="2153" customFormat="false" ht="15" hidden="false" customHeight="false" outlineLevel="0" collapsed="false">
      <c r="A2153" s="13" t="s">
        <v>628</v>
      </c>
      <c r="B2153" s="13" t="s">
        <v>627</v>
      </c>
      <c r="C2153" s="13" t="s">
        <v>2261</v>
      </c>
      <c r="D2153" s="13" t="s">
        <v>2270</v>
      </c>
      <c r="E2153" s="13" t="s">
        <v>2507</v>
      </c>
      <c r="F2153" s="13" t="s">
        <v>2502</v>
      </c>
      <c r="G2153" s="61" t="n">
        <v>0</v>
      </c>
      <c r="H2153" s="13" t="s">
        <v>2255</v>
      </c>
      <c r="I2153" s="13" t="s">
        <v>2477</v>
      </c>
      <c r="J2153" s="13" t="n">
        <v>51</v>
      </c>
      <c r="K2153" s="13" t="s">
        <v>2478</v>
      </c>
      <c r="L2153" s="13" t="s">
        <v>2263</v>
      </c>
      <c r="M2153" s="13" t="s">
        <v>2479</v>
      </c>
    </row>
    <row r="2154" customFormat="false" ht="15" hidden="false" customHeight="false" outlineLevel="0" collapsed="false">
      <c r="A2154" s="13" t="s">
        <v>628</v>
      </c>
      <c r="B2154" s="13" t="s">
        <v>627</v>
      </c>
      <c r="C2154" s="13" t="s">
        <v>2261</v>
      </c>
      <c r="D2154" s="13" t="s">
        <v>2270</v>
      </c>
      <c r="E2154" s="13" t="s">
        <v>2508</v>
      </c>
      <c r="F2154" s="13" t="s">
        <v>2502</v>
      </c>
      <c r="G2154" s="61" t="n">
        <v>0</v>
      </c>
      <c r="H2154" s="13" t="s">
        <v>2255</v>
      </c>
      <c r="I2154" s="13" t="s">
        <v>2477</v>
      </c>
      <c r="J2154" s="13" t="n">
        <v>51</v>
      </c>
      <c r="K2154" s="13" t="s">
        <v>2478</v>
      </c>
      <c r="L2154" s="13" t="s">
        <v>2263</v>
      </c>
      <c r="M2154" s="13" t="s">
        <v>2479</v>
      </c>
    </row>
    <row r="2155" customFormat="false" ht="15" hidden="false" customHeight="false" outlineLevel="0" collapsed="false">
      <c r="A2155" s="13" t="s">
        <v>628</v>
      </c>
      <c r="B2155" s="13" t="s">
        <v>627</v>
      </c>
      <c r="C2155" s="13" t="s">
        <v>2261</v>
      </c>
      <c r="D2155" s="13" t="s">
        <v>2270</v>
      </c>
      <c r="E2155" s="13" t="s">
        <v>2509</v>
      </c>
      <c r="F2155" s="13" t="s">
        <v>2502</v>
      </c>
      <c r="G2155" s="61" t="n">
        <v>0</v>
      </c>
      <c r="H2155" s="13" t="s">
        <v>2255</v>
      </c>
      <c r="I2155" s="13" t="s">
        <v>2477</v>
      </c>
      <c r="J2155" s="13" t="n">
        <v>51</v>
      </c>
      <c r="K2155" s="13" t="s">
        <v>2478</v>
      </c>
      <c r="L2155" s="13" t="s">
        <v>2263</v>
      </c>
      <c r="M2155" s="13" t="s">
        <v>2479</v>
      </c>
    </row>
    <row r="2156" customFormat="false" ht="15" hidden="false" customHeight="false" outlineLevel="0" collapsed="false">
      <c r="A2156" s="13" t="s">
        <v>628</v>
      </c>
      <c r="B2156" s="13" t="s">
        <v>627</v>
      </c>
      <c r="C2156" s="13" t="s">
        <v>2261</v>
      </c>
      <c r="D2156" s="13" t="s">
        <v>2270</v>
      </c>
      <c r="E2156" s="13" t="s">
        <v>2510</v>
      </c>
      <c r="F2156" s="13" t="s">
        <v>2502</v>
      </c>
      <c r="G2156" s="61" t="n">
        <v>0</v>
      </c>
      <c r="H2156" s="13" t="s">
        <v>2255</v>
      </c>
      <c r="I2156" s="13" t="s">
        <v>2477</v>
      </c>
      <c r="J2156" s="13" t="n">
        <v>51</v>
      </c>
      <c r="K2156" s="13" t="s">
        <v>2478</v>
      </c>
      <c r="L2156" s="13" t="s">
        <v>2263</v>
      </c>
      <c r="M2156" s="13" t="s">
        <v>2479</v>
      </c>
    </row>
    <row r="2157" customFormat="false" ht="15" hidden="false" customHeight="false" outlineLevel="0" collapsed="false">
      <c r="A2157" s="13" t="s">
        <v>628</v>
      </c>
      <c r="B2157" s="13" t="s">
        <v>627</v>
      </c>
      <c r="C2157" s="13" t="s">
        <v>2261</v>
      </c>
      <c r="D2157" s="13" t="s">
        <v>2270</v>
      </c>
      <c r="E2157" s="13" t="s">
        <v>2511</v>
      </c>
      <c r="F2157" s="13" t="s">
        <v>2502</v>
      </c>
      <c r="G2157" s="61" t="n">
        <v>52648718062</v>
      </c>
      <c r="H2157" s="13" t="s">
        <v>2255</v>
      </c>
      <c r="I2157" s="13" t="s">
        <v>2477</v>
      </c>
      <c r="J2157" s="13" t="n">
        <v>51</v>
      </c>
      <c r="K2157" s="13" t="s">
        <v>2478</v>
      </c>
      <c r="L2157" s="13" t="s">
        <v>2263</v>
      </c>
      <c r="M2157" s="13" t="s">
        <v>2479</v>
      </c>
    </row>
    <row r="2158" customFormat="false" ht="15" hidden="false" customHeight="false" outlineLevel="0" collapsed="false">
      <c r="A2158" s="13" t="s">
        <v>628</v>
      </c>
      <c r="B2158" s="13" t="s">
        <v>627</v>
      </c>
      <c r="C2158" s="13" t="s">
        <v>2261</v>
      </c>
      <c r="D2158" s="13" t="s">
        <v>2270</v>
      </c>
      <c r="E2158" s="13" t="s">
        <v>2505</v>
      </c>
      <c r="F2158" s="13" t="s">
        <v>2503</v>
      </c>
      <c r="G2158" s="61" t="n">
        <v>8644274312</v>
      </c>
      <c r="H2158" s="13" t="s">
        <v>2255</v>
      </c>
      <c r="I2158" s="13" t="s">
        <v>2477</v>
      </c>
      <c r="J2158" s="13" t="n">
        <v>51</v>
      </c>
      <c r="K2158" s="13" t="s">
        <v>2478</v>
      </c>
      <c r="L2158" s="13" t="s">
        <v>2263</v>
      </c>
      <c r="M2158" s="13" t="s">
        <v>2479</v>
      </c>
    </row>
    <row r="2159" customFormat="false" ht="15" hidden="false" customHeight="false" outlineLevel="0" collapsed="false">
      <c r="A2159" s="13" t="s">
        <v>628</v>
      </c>
      <c r="B2159" s="13" t="s">
        <v>627</v>
      </c>
      <c r="C2159" s="13" t="s">
        <v>2261</v>
      </c>
      <c r="D2159" s="13" t="s">
        <v>2270</v>
      </c>
      <c r="E2159" s="13" t="s">
        <v>2506</v>
      </c>
      <c r="F2159" s="13" t="s">
        <v>2503</v>
      </c>
      <c r="G2159" s="61" t="n">
        <v>1953659495</v>
      </c>
      <c r="H2159" s="13" t="s">
        <v>2255</v>
      </c>
      <c r="I2159" s="13" t="s">
        <v>2477</v>
      </c>
      <c r="J2159" s="13" t="n">
        <v>51</v>
      </c>
      <c r="K2159" s="13" t="s">
        <v>2478</v>
      </c>
      <c r="L2159" s="13" t="s">
        <v>2263</v>
      </c>
      <c r="M2159" s="13" t="s">
        <v>2479</v>
      </c>
    </row>
    <row r="2160" customFormat="false" ht="15" hidden="false" customHeight="false" outlineLevel="0" collapsed="false">
      <c r="A2160" s="13" t="s">
        <v>628</v>
      </c>
      <c r="B2160" s="13" t="s">
        <v>627</v>
      </c>
      <c r="C2160" s="13" t="s">
        <v>2261</v>
      </c>
      <c r="D2160" s="13" t="s">
        <v>2270</v>
      </c>
      <c r="E2160" s="13" t="s">
        <v>2507</v>
      </c>
      <c r="F2160" s="13" t="s">
        <v>2503</v>
      </c>
      <c r="G2160" s="61" t="n">
        <v>-54485000</v>
      </c>
      <c r="H2160" s="13" t="s">
        <v>2255</v>
      </c>
      <c r="I2160" s="13" t="s">
        <v>2477</v>
      </c>
      <c r="J2160" s="13" t="n">
        <v>51</v>
      </c>
      <c r="K2160" s="13" t="s">
        <v>2478</v>
      </c>
      <c r="L2160" s="13" t="s">
        <v>2263</v>
      </c>
      <c r="M2160" s="13" t="s">
        <v>2479</v>
      </c>
    </row>
    <row r="2161" customFormat="false" ht="15" hidden="false" customHeight="false" outlineLevel="0" collapsed="false">
      <c r="A2161" s="13" t="s">
        <v>628</v>
      </c>
      <c r="B2161" s="13" t="s">
        <v>627</v>
      </c>
      <c r="C2161" s="13" t="s">
        <v>2261</v>
      </c>
      <c r="D2161" s="13" t="s">
        <v>2270</v>
      </c>
      <c r="E2161" s="13" t="s">
        <v>2508</v>
      </c>
      <c r="F2161" s="13" t="s">
        <v>2503</v>
      </c>
      <c r="G2161" s="61" t="n">
        <v>18777500</v>
      </c>
      <c r="H2161" s="13" t="s">
        <v>2255</v>
      </c>
      <c r="I2161" s="13" t="s">
        <v>2477</v>
      </c>
      <c r="J2161" s="13" t="n">
        <v>51</v>
      </c>
      <c r="K2161" s="13" t="s">
        <v>2478</v>
      </c>
      <c r="L2161" s="13" t="s">
        <v>2263</v>
      </c>
      <c r="M2161" s="13" t="s">
        <v>2479</v>
      </c>
    </row>
    <row r="2162" customFormat="false" ht="15" hidden="false" customHeight="false" outlineLevel="0" collapsed="false">
      <c r="A2162" s="13" t="s">
        <v>628</v>
      </c>
      <c r="B2162" s="13" t="s">
        <v>627</v>
      </c>
      <c r="C2162" s="13" t="s">
        <v>2261</v>
      </c>
      <c r="D2162" s="13" t="s">
        <v>2270</v>
      </c>
      <c r="E2162" s="13" t="s">
        <v>2509</v>
      </c>
      <c r="F2162" s="13" t="s">
        <v>2503</v>
      </c>
      <c r="G2162" s="61" t="n">
        <v>0</v>
      </c>
      <c r="H2162" s="13" t="s">
        <v>2255</v>
      </c>
      <c r="I2162" s="13" t="s">
        <v>2477</v>
      </c>
      <c r="J2162" s="13" t="n">
        <v>51</v>
      </c>
      <c r="K2162" s="13" t="s">
        <v>2478</v>
      </c>
      <c r="L2162" s="13" t="s">
        <v>2263</v>
      </c>
      <c r="M2162" s="13" t="s">
        <v>2479</v>
      </c>
    </row>
    <row r="2163" customFormat="false" ht="15" hidden="false" customHeight="false" outlineLevel="0" collapsed="false">
      <c r="A2163" s="13" t="s">
        <v>628</v>
      </c>
      <c r="B2163" s="13" t="s">
        <v>627</v>
      </c>
      <c r="C2163" s="13" t="s">
        <v>2261</v>
      </c>
      <c r="D2163" s="13" t="s">
        <v>2270</v>
      </c>
      <c r="E2163" s="13" t="s">
        <v>2510</v>
      </c>
      <c r="F2163" s="13" t="s">
        <v>2503</v>
      </c>
      <c r="G2163" s="61" t="n">
        <v>0</v>
      </c>
      <c r="H2163" s="13" t="s">
        <v>2255</v>
      </c>
      <c r="I2163" s="13" t="s">
        <v>2477</v>
      </c>
      <c r="J2163" s="13" t="n">
        <v>51</v>
      </c>
      <c r="K2163" s="13" t="s">
        <v>2478</v>
      </c>
      <c r="L2163" s="13" t="s">
        <v>2263</v>
      </c>
      <c r="M2163" s="13" t="s">
        <v>2479</v>
      </c>
    </row>
    <row r="2164" customFormat="false" ht="15" hidden="false" customHeight="false" outlineLevel="0" collapsed="false">
      <c r="A2164" s="13" t="s">
        <v>628</v>
      </c>
      <c r="B2164" s="13" t="s">
        <v>627</v>
      </c>
      <c r="C2164" s="13" t="s">
        <v>2261</v>
      </c>
      <c r="D2164" s="13" t="s">
        <v>2270</v>
      </c>
      <c r="E2164" s="13" t="s">
        <v>2511</v>
      </c>
      <c r="F2164" s="13" t="s">
        <v>2503</v>
      </c>
      <c r="G2164" s="61" t="n">
        <v>10562226307</v>
      </c>
      <c r="H2164" s="13" t="s">
        <v>2255</v>
      </c>
      <c r="I2164" s="13" t="s">
        <v>2477</v>
      </c>
      <c r="J2164" s="13" t="n">
        <v>51</v>
      </c>
      <c r="K2164" s="13" t="s">
        <v>2478</v>
      </c>
      <c r="L2164" s="13" t="s">
        <v>2263</v>
      </c>
      <c r="M2164" s="13" t="s">
        <v>2479</v>
      </c>
    </row>
    <row r="2165" customFormat="false" ht="15" hidden="false" customHeight="false" outlineLevel="0" collapsed="false">
      <c r="A2165" s="13" t="s">
        <v>628</v>
      </c>
      <c r="B2165" s="13" t="s">
        <v>627</v>
      </c>
      <c r="C2165" s="13" t="s">
        <v>2261</v>
      </c>
      <c r="D2165" s="13" t="s">
        <v>2270</v>
      </c>
      <c r="E2165" s="13" t="s">
        <v>2505</v>
      </c>
      <c r="F2165" s="13" t="s">
        <v>2504</v>
      </c>
      <c r="G2165" s="61" t="n">
        <v>20384249189</v>
      </c>
      <c r="H2165" s="13" t="s">
        <v>2255</v>
      </c>
      <c r="I2165" s="13" t="s">
        <v>2477</v>
      </c>
      <c r="J2165" s="13" t="n">
        <v>51</v>
      </c>
      <c r="K2165" s="13" t="s">
        <v>2478</v>
      </c>
      <c r="L2165" s="13" t="s">
        <v>2263</v>
      </c>
      <c r="M2165" s="13" t="s">
        <v>2479</v>
      </c>
    </row>
    <row r="2166" customFormat="false" ht="15" hidden="false" customHeight="false" outlineLevel="0" collapsed="false">
      <c r="A2166" s="13" t="s">
        <v>628</v>
      </c>
      <c r="B2166" s="13" t="s">
        <v>627</v>
      </c>
      <c r="C2166" s="13" t="s">
        <v>2261</v>
      </c>
      <c r="D2166" s="13" t="s">
        <v>2270</v>
      </c>
      <c r="E2166" s="13" t="s">
        <v>2506</v>
      </c>
      <c r="F2166" s="13" t="s">
        <v>2504</v>
      </c>
      <c r="G2166" s="61" t="n">
        <v>1967692029</v>
      </c>
      <c r="H2166" s="13" t="s">
        <v>2255</v>
      </c>
      <c r="I2166" s="13" t="s">
        <v>2477</v>
      </c>
      <c r="J2166" s="13" t="n">
        <v>51</v>
      </c>
      <c r="K2166" s="13" t="s">
        <v>2478</v>
      </c>
      <c r="L2166" s="13" t="s">
        <v>2263</v>
      </c>
      <c r="M2166" s="13" t="s">
        <v>2479</v>
      </c>
    </row>
    <row r="2167" customFormat="false" ht="15" hidden="false" customHeight="false" outlineLevel="0" collapsed="false">
      <c r="A2167" s="13" t="s">
        <v>628</v>
      </c>
      <c r="B2167" s="13" t="s">
        <v>627</v>
      </c>
      <c r="C2167" s="13" t="s">
        <v>2261</v>
      </c>
      <c r="D2167" s="13" t="s">
        <v>2270</v>
      </c>
      <c r="E2167" s="13" t="s">
        <v>2507</v>
      </c>
      <c r="F2167" s="13" t="s">
        <v>2504</v>
      </c>
      <c r="G2167" s="61" t="n">
        <v>-62000000</v>
      </c>
      <c r="H2167" s="13" t="s">
        <v>2255</v>
      </c>
      <c r="I2167" s="13" t="s">
        <v>2477</v>
      </c>
      <c r="J2167" s="13" t="n">
        <v>51</v>
      </c>
      <c r="K2167" s="13" t="s">
        <v>2478</v>
      </c>
      <c r="L2167" s="13" t="s">
        <v>2263</v>
      </c>
      <c r="M2167" s="13" t="s">
        <v>2479</v>
      </c>
    </row>
    <row r="2168" customFormat="false" ht="15" hidden="false" customHeight="false" outlineLevel="0" collapsed="false">
      <c r="A2168" s="13" t="s">
        <v>628</v>
      </c>
      <c r="B2168" s="13" t="s">
        <v>627</v>
      </c>
      <c r="C2168" s="13" t="s">
        <v>2261</v>
      </c>
      <c r="D2168" s="13" t="s">
        <v>2270</v>
      </c>
      <c r="E2168" s="13" t="s">
        <v>2508</v>
      </c>
      <c r="F2168" s="13" t="s">
        <v>2504</v>
      </c>
      <c r="G2168" s="61" t="n">
        <v>0</v>
      </c>
      <c r="H2168" s="13" t="s">
        <v>2255</v>
      </c>
      <c r="I2168" s="13" t="s">
        <v>2477</v>
      </c>
      <c r="J2168" s="13" t="n">
        <v>51</v>
      </c>
      <c r="K2168" s="13" t="s">
        <v>2478</v>
      </c>
      <c r="L2168" s="13" t="s">
        <v>2263</v>
      </c>
      <c r="M2168" s="13" t="s">
        <v>2479</v>
      </c>
    </row>
    <row r="2169" customFormat="false" ht="15" hidden="false" customHeight="false" outlineLevel="0" collapsed="false">
      <c r="A2169" s="13" t="s">
        <v>628</v>
      </c>
      <c r="B2169" s="13" t="s">
        <v>627</v>
      </c>
      <c r="C2169" s="13" t="s">
        <v>2261</v>
      </c>
      <c r="D2169" s="13" t="s">
        <v>2270</v>
      </c>
      <c r="E2169" s="13" t="s">
        <v>2509</v>
      </c>
      <c r="F2169" s="13" t="s">
        <v>2504</v>
      </c>
      <c r="G2169" s="61" t="n">
        <v>1033495312</v>
      </c>
      <c r="H2169" s="13" t="s">
        <v>2255</v>
      </c>
      <c r="I2169" s="13" t="s">
        <v>2477</v>
      </c>
      <c r="J2169" s="13" t="n">
        <v>51</v>
      </c>
      <c r="K2169" s="13" t="s">
        <v>2478</v>
      </c>
      <c r="L2169" s="13" t="s">
        <v>2263</v>
      </c>
      <c r="M2169" s="13" t="s">
        <v>2479</v>
      </c>
    </row>
    <row r="2170" customFormat="false" ht="15" hidden="false" customHeight="false" outlineLevel="0" collapsed="false">
      <c r="A2170" s="13" t="s">
        <v>628</v>
      </c>
      <c r="B2170" s="13" t="s">
        <v>627</v>
      </c>
      <c r="C2170" s="13" t="s">
        <v>2261</v>
      </c>
      <c r="D2170" s="13" t="s">
        <v>2270</v>
      </c>
      <c r="E2170" s="13" t="s">
        <v>2510</v>
      </c>
      <c r="F2170" s="13" t="s">
        <v>2504</v>
      </c>
      <c r="G2170" s="61" t="n">
        <v>0</v>
      </c>
      <c r="H2170" s="13" t="s">
        <v>2255</v>
      </c>
      <c r="I2170" s="13" t="s">
        <v>2477</v>
      </c>
      <c r="J2170" s="13" t="n">
        <v>51</v>
      </c>
      <c r="K2170" s="13" t="s">
        <v>2478</v>
      </c>
      <c r="L2170" s="13" t="s">
        <v>2263</v>
      </c>
      <c r="M2170" s="13" t="s">
        <v>2479</v>
      </c>
    </row>
    <row r="2171" customFormat="false" ht="15" hidden="false" customHeight="false" outlineLevel="0" collapsed="false">
      <c r="A2171" s="13" t="s">
        <v>628</v>
      </c>
      <c r="B2171" s="13" t="s">
        <v>627</v>
      </c>
      <c r="C2171" s="13" t="s">
        <v>2261</v>
      </c>
      <c r="D2171" s="13" t="s">
        <v>2270</v>
      </c>
      <c r="E2171" s="13" t="s">
        <v>2511</v>
      </c>
      <c r="F2171" s="13" t="s">
        <v>2504</v>
      </c>
      <c r="G2171" s="61" t="n">
        <v>23323436530</v>
      </c>
      <c r="H2171" s="13" t="s">
        <v>2255</v>
      </c>
      <c r="I2171" s="13" t="s">
        <v>2477</v>
      </c>
      <c r="J2171" s="13" t="n">
        <v>51</v>
      </c>
      <c r="K2171" s="13" t="s">
        <v>2478</v>
      </c>
      <c r="L2171" s="13" t="s">
        <v>2263</v>
      </c>
      <c r="M2171" s="13" t="s">
        <v>2479</v>
      </c>
    </row>
    <row r="2172" customFormat="false" ht="15" hidden="false" customHeight="false" outlineLevel="0" collapsed="false">
      <c r="A2172" s="13" t="s">
        <v>628</v>
      </c>
      <c r="B2172" s="13" t="s">
        <v>627</v>
      </c>
      <c r="C2172" s="13" t="s">
        <v>2261</v>
      </c>
      <c r="D2172" s="13" t="s">
        <v>2270</v>
      </c>
      <c r="E2172" s="13" t="s">
        <v>2505</v>
      </c>
      <c r="F2172" s="13" t="s">
        <v>2513</v>
      </c>
      <c r="G2172" s="61" t="n">
        <v>43016483527</v>
      </c>
      <c r="H2172" s="13" t="s">
        <v>2255</v>
      </c>
      <c r="I2172" s="13" t="s">
        <v>2477</v>
      </c>
      <c r="J2172" s="13" t="n">
        <v>51</v>
      </c>
      <c r="K2172" s="13" t="s">
        <v>2478</v>
      </c>
      <c r="L2172" s="13" t="s">
        <v>2263</v>
      </c>
      <c r="M2172" s="13" t="s">
        <v>2479</v>
      </c>
    </row>
    <row r="2173" customFormat="false" ht="15" hidden="false" customHeight="false" outlineLevel="0" collapsed="false">
      <c r="A2173" s="13" t="s">
        <v>628</v>
      </c>
      <c r="B2173" s="13" t="s">
        <v>627</v>
      </c>
      <c r="C2173" s="13" t="s">
        <v>2261</v>
      </c>
      <c r="D2173" s="13" t="s">
        <v>2270</v>
      </c>
      <c r="E2173" s="13" t="s">
        <v>2506</v>
      </c>
      <c r="F2173" s="13" t="s">
        <v>2513</v>
      </c>
      <c r="G2173" s="61" t="n">
        <v>90143487955</v>
      </c>
      <c r="H2173" s="13" t="s">
        <v>2255</v>
      </c>
      <c r="I2173" s="13" t="s">
        <v>2477</v>
      </c>
      <c r="J2173" s="13" t="n">
        <v>51</v>
      </c>
      <c r="K2173" s="13" t="s">
        <v>2478</v>
      </c>
      <c r="L2173" s="13" t="s">
        <v>2263</v>
      </c>
      <c r="M2173" s="13" t="s">
        <v>2479</v>
      </c>
    </row>
    <row r="2174" customFormat="false" ht="15" hidden="false" customHeight="false" outlineLevel="0" collapsed="false">
      <c r="A2174" s="13" t="s">
        <v>628</v>
      </c>
      <c r="B2174" s="13" t="s">
        <v>627</v>
      </c>
      <c r="C2174" s="13" t="s">
        <v>2261</v>
      </c>
      <c r="D2174" s="13" t="s">
        <v>2270</v>
      </c>
      <c r="E2174" s="13" t="s">
        <v>2507</v>
      </c>
      <c r="F2174" s="13" t="s">
        <v>2513</v>
      </c>
      <c r="G2174" s="61" t="n">
        <v>0</v>
      </c>
      <c r="H2174" s="13" t="s">
        <v>2255</v>
      </c>
      <c r="I2174" s="13" t="s">
        <v>2477</v>
      </c>
      <c r="J2174" s="13" t="n">
        <v>51</v>
      </c>
      <c r="K2174" s="13" t="s">
        <v>2478</v>
      </c>
      <c r="L2174" s="13" t="s">
        <v>2263</v>
      </c>
      <c r="M2174" s="13" t="s">
        <v>2479</v>
      </c>
    </row>
    <row r="2175" customFormat="false" ht="15" hidden="false" customHeight="false" outlineLevel="0" collapsed="false">
      <c r="A2175" s="13" t="s">
        <v>628</v>
      </c>
      <c r="B2175" s="13" t="s">
        <v>627</v>
      </c>
      <c r="C2175" s="13" t="s">
        <v>2261</v>
      </c>
      <c r="D2175" s="13" t="s">
        <v>2270</v>
      </c>
      <c r="E2175" s="13" t="s">
        <v>2508</v>
      </c>
      <c r="F2175" s="13" t="s">
        <v>2513</v>
      </c>
      <c r="G2175" s="61" t="n">
        <v>-9447119392</v>
      </c>
      <c r="H2175" s="13" t="s">
        <v>2255</v>
      </c>
      <c r="I2175" s="13" t="s">
        <v>2477</v>
      </c>
      <c r="J2175" s="13" t="n">
        <v>51</v>
      </c>
      <c r="K2175" s="13" t="s">
        <v>2478</v>
      </c>
      <c r="L2175" s="13" t="s">
        <v>2263</v>
      </c>
      <c r="M2175" s="13" t="s">
        <v>2479</v>
      </c>
    </row>
    <row r="2176" customFormat="false" ht="15" hidden="false" customHeight="false" outlineLevel="0" collapsed="false">
      <c r="A2176" s="13" t="s">
        <v>628</v>
      </c>
      <c r="B2176" s="13" t="s">
        <v>627</v>
      </c>
      <c r="C2176" s="13" t="s">
        <v>2261</v>
      </c>
      <c r="D2176" s="13" t="s">
        <v>2270</v>
      </c>
      <c r="E2176" s="13" t="s">
        <v>2509</v>
      </c>
      <c r="F2176" s="13" t="s">
        <v>2513</v>
      </c>
      <c r="G2176" s="61" t="n">
        <v>0</v>
      </c>
      <c r="H2176" s="13" t="s">
        <v>2255</v>
      </c>
      <c r="I2176" s="13" t="s">
        <v>2477</v>
      </c>
      <c r="J2176" s="13" t="n">
        <v>51</v>
      </c>
      <c r="K2176" s="13" t="s">
        <v>2478</v>
      </c>
      <c r="L2176" s="13" t="s">
        <v>2263</v>
      </c>
      <c r="M2176" s="13" t="s">
        <v>2479</v>
      </c>
    </row>
    <row r="2177" customFormat="false" ht="15" hidden="false" customHeight="false" outlineLevel="0" collapsed="false">
      <c r="A2177" s="13" t="s">
        <v>628</v>
      </c>
      <c r="B2177" s="13" t="s">
        <v>627</v>
      </c>
      <c r="C2177" s="13" t="s">
        <v>2261</v>
      </c>
      <c r="D2177" s="13" t="s">
        <v>2270</v>
      </c>
      <c r="E2177" s="13" t="s">
        <v>2510</v>
      </c>
      <c r="F2177" s="13" t="s">
        <v>2513</v>
      </c>
      <c r="G2177" s="61" t="n">
        <v>0</v>
      </c>
      <c r="H2177" s="13" t="s">
        <v>2255</v>
      </c>
      <c r="I2177" s="13" t="s">
        <v>2477</v>
      </c>
      <c r="J2177" s="13" t="n">
        <v>51</v>
      </c>
      <c r="K2177" s="13" t="s">
        <v>2478</v>
      </c>
      <c r="L2177" s="13" t="s">
        <v>2263</v>
      </c>
      <c r="M2177" s="13" t="s">
        <v>2479</v>
      </c>
    </row>
    <row r="2178" customFormat="false" ht="15" hidden="false" customHeight="false" outlineLevel="0" collapsed="false">
      <c r="A2178" s="13" t="s">
        <v>628</v>
      </c>
      <c r="B2178" s="13" t="s">
        <v>627</v>
      </c>
      <c r="C2178" s="13" t="s">
        <v>2261</v>
      </c>
      <c r="D2178" s="13" t="s">
        <v>2270</v>
      </c>
      <c r="E2178" s="13" t="s">
        <v>2511</v>
      </c>
      <c r="F2178" s="13" t="s">
        <v>2513</v>
      </c>
      <c r="G2178" s="61" t="n">
        <v>123712852090</v>
      </c>
      <c r="H2178" s="13" t="s">
        <v>2255</v>
      </c>
      <c r="I2178" s="13" t="s">
        <v>2477</v>
      </c>
      <c r="J2178" s="13" t="n">
        <v>51</v>
      </c>
      <c r="K2178" s="13" t="s">
        <v>2478</v>
      </c>
      <c r="L2178" s="13" t="s">
        <v>2263</v>
      </c>
      <c r="M2178" s="13" t="s">
        <v>2479</v>
      </c>
    </row>
    <row r="2179" customFormat="false" ht="15" hidden="false" customHeight="false" outlineLevel="0" collapsed="false">
      <c r="A2179" s="13" t="s">
        <v>628</v>
      </c>
      <c r="B2179" s="13" t="s">
        <v>627</v>
      </c>
      <c r="C2179" s="13" t="s">
        <v>2261</v>
      </c>
      <c r="D2179" s="13" t="s">
        <v>2270</v>
      </c>
      <c r="E2179" s="13" t="s">
        <v>2505</v>
      </c>
      <c r="F2179" s="13" t="s">
        <v>2290</v>
      </c>
      <c r="G2179" s="61" t="n">
        <v>1821999864219</v>
      </c>
      <c r="H2179" s="13" t="s">
        <v>2255</v>
      </c>
      <c r="I2179" s="13" t="s">
        <v>2477</v>
      </c>
      <c r="J2179" s="13" t="n">
        <v>51</v>
      </c>
      <c r="K2179" s="13" t="s">
        <v>2478</v>
      </c>
      <c r="L2179" s="13" t="s">
        <v>2263</v>
      </c>
      <c r="M2179" s="13" t="s">
        <v>2479</v>
      </c>
    </row>
    <row r="2180" customFormat="false" ht="15" hidden="false" customHeight="false" outlineLevel="0" collapsed="false">
      <c r="A2180" s="13" t="s">
        <v>628</v>
      </c>
      <c r="B2180" s="13" t="s">
        <v>627</v>
      </c>
      <c r="C2180" s="13" t="s">
        <v>2261</v>
      </c>
      <c r="D2180" s="13" t="s">
        <v>2270</v>
      </c>
      <c r="E2180" s="13" t="s">
        <v>2506</v>
      </c>
      <c r="F2180" s="13" t="s">
        <v>2290</v>
      </c>
      <c r="G2180" s="61" t="n">
        <v>301730050964</v>
      </c>
      <c r="H2180" s="13" t="s">
        <v>2255</v>
      </c>
      <c r="I2180" s="13" t="s">
        <v>2477</v>
      </c>
      <c r="J2180" s="13" t="n">
        <v>51</v>
      </c>
      <c r="K2180" s="13" t="s">
        <v>2478</v>
      </c>
      <c r="L2180" s="13" t="s">
        <v>2263</v>
      </c>
      <c r="M2180" s="13" t="s">
        <v>2479</v>
      </c>
    </row>
    <row r="2181" customFormat="false" ht="15" hidden="false" customHeight="false" outlineLevel="0" collapsed="false">
      <c r="A2181" s="13" t="s">
        <v>628</v>
      </c>
      <c r="B2181" s="13" t="s">
        <v>627</v>
      </c>
      <c r="C2181" s="13" t="s">
        <v>2261</v>
      </c>
      <c r="D2181" s="13" t="s">
        <v>2270</v>
      </c>
      <c r="E2181" s="13" t="s">
        <v>2507</v>
      </c>
      <c r="F2181" s="13" t="s">
        <v>2290</v>
      </c>
      <c r="G2181" s="61" t="n">
        <v>-4891835332</v>
      </c>
      <c r="H2181" s="13" t="s">
        <v>2255</v>
      </c>
      <c r="I2181" s="13" t="s">
        <v>2477</v>
      </c>
      <c r="J2181" s="13" t="n">
        <v>51</v>
      </c>
      <c r="K2181" s="13" t="s">
        <v>2478</v>
      </c>
      <c r="L2181" s="13" t="s">
        <v>2263</v>
      </c>
      <c r="M2181" s="13" t="s">
        <v>2479</v>
      </c>
    </row>
    <row r="2182" customFormat="false" ht="15" hidden="false" customHeight="false" outlineLevel="0" collapsed="false">
      <c r="A2182" s="13" t="s">
        <v>628</v>
      </c>
      <c r="B2182" s="13" t="s">
        <v>627</v>
      </c>
      <c r="C2182" s="13" t="s">
        <v>2261</v>
      </c>
      <c r="D2182" s="13" t="s">
        <v>2270</v>
      </c>
      <c r="E2182" s="13" t="s">
        <v>2508</v>
      </c>
      <c r="F2182" s="13" t="s">
        <v>2290</v>
      </c>
      <c r="G2182" s="61" t="n">
        <v>0</v>
      </c>
      <c r="H2182" s="13" t="s">
        <v>2255</v>
      </c>
      <c r="I2182" s="13" t="s">
        <v>2477</v>
      </c>
      <c r="J2182" s="13" t="n">
        <v>51</v>
      </c>
      <c r="K2182" s="13" t="s">
        <v>2478</v>
      </c>
      <c r="L2182" s="13" t="s">
        <v>2263</v>
      </c>
      <c r="M2182" s="13" t="s">
        <v>2479</v>
      </c>
    </row>
    <row r="2183" customFormat="false" ht="15" hidden="false" customHeight="false" outlineLevel="0" collapsed="false">
      <c r="A2183" s="13" t="s">
        <v>628</v>
      </c>
      <c r="B2183" s="13" t="s">
        <v>627</v>
      </c>
      <c r="C2183" s="13" t="s">
        <v>2261</v>
      </c>
      <c r="D2183" s="13" t="s">
        <v>2270</v>
      </c>
      <c r="E2183" s="13" t="s">
        <v>2509</v>
      </c>
      <c r="F2183" s="13" t="s">
        <v>2290</v>
      </c>
      <c r="G2183" s="61" t="n">
        <v>82090765007</v>
      </c>
      <c r="H2183" s="13" t="s">
        <v>2255</v>
      </c>
      <c r="I2183" s="13" t="s">
        <v>2477</v>
      </c>
      <c r="J2183" s="13" t="n">
        <v>51</v>
      </c>
      <c r="K2183" s="13" t="s">
        <v>2478</v>
      </c>
      <c r="L2183" s="13" t="s">
        <v>2263</v>
      </c>
      <c r="M2183" s="13" t="s">
        <v>2479</v>
      </c>
    </row>
    <row r="2184" customFormat="false" ht="15" hidden="false" customHeight="false" outlineLevel="0" collapsed="false">
      <c r="A2184" s="13" t="s">
        <v>628</v>
      </c>
      <c r="B2184" s="13" t="s">
        <v>627</v>
      </c>
      <c r="C2184" s="13" t="s">
        <v>2261</v>
      </c>
      <c r="D2184" s="13" t="s">
        <v>2270</v>
      </c>
      <c r="E2184" s="13" t="s">
        <v>2510</v>
      </c>
      <c r="F2184" s="13" t="s">
        <v>2290</v>
      </c>
      <c r="G2184" s="61" t="n">
        <v>0</v>
      </c>
      <c r="H2184" s="13" t="s">
        <v>2255</v>
      </c>
      <c r="I2184" s="13" t="s">
        <v>2477</v>
      </c>
      <c r="J2184" s="13" t="n">
        <v>51</v>
      </c>
      <c r="K2184" s="13" t="s">
        <v>2478</v>
      </c>
      <c r="L2184" s="13" t="s">
        <v>2263</v>
      </c>
      <c r="M2184" s="13" t="s">
        <v>2479</v>
      </c>
    </row>
    <row r="2185" customFormat="false" ht="15" hidden="false" customHeight="false" outlineLevel="0" collapsed="false">
      <c r="A2185" s="13" t="s">
        <v>628</v>
      </c>
      <c r="B2185" s="13" t="s">
        <v>627</v>
      </c>
      <c r="C2185" s="13" t="s">
        <v>2261</v>
      </c>
      <c r="D2185" s="13" t="s">
        <v>2270</v>
      </c>
      <c r="E2185" s="13" t="s">
        <v>2511</v>
      </c>
      <c r="F2185" s="13" t="s">
        <v>2290</v>
      </c>
      <c r="G2185" s="61" t="n">
        <v>2200928844858</v>
      </c>
      <c r="H2185" s="13" t="s">
        <v>2255</v>
      </c>
      <c r="I2185" s="13" t="s">
        <v>2477</v>
      </c>
      <c r="J2185" s="13" t="n">
        <v>51</v>
      </c>
      <c r="K2185" s="13" t="s">
        <v>2478</v>
      </c>
      <c r="L2185" s="13" t="s">
        <v>2263</v>
      </c>
      <c r="M2185" s="13" t="s">
        <v>2479</v>
      </c>
    </row>
    <row r="2186" customFormat="false" ht="15" hidden="false" customHeight="false" outlineLevel="0" collapsed="false">
      <c r="A2186" s="13" t="s">
        <v>628</v>
      </c>
      <c r="B2186" s="13" t="s">
        <v>627</v>
      </c>
      <c r="C2186" s="13" t="s">
        <v>2264</v>
      </c>
      <c r="D2186" s="13" t="s">
        <v>2270</v>
      </c>
      <c r="E2186" s="13" t="s">
        <v>2476</v>
      </c>
      <c r="F2186" s="13" t="s">
        <v>2434</v>
      </c>
      <c r="G2186" s="61" t="n">
        <v>48131526544</v>
      </c>
      <c r="H2186" s="13" t="s">
        <v>2255</v>
      </c>
      <c r="I2186" s="13" t="s">
        <v>2477</v>
      </c>
      <c r="J2186" s="13" t="n">
        <v>4</v>
      </c>
      <c r="K2186" s="13" t="s">
        <v>2478</v>
      </c>
      <c r="L2186" s="13" t="s">
        <v>2265</v>
      </c>
      <c r="M2186" s="13" t="s">
        <v>2479</v>
      </c>
    </row>
    <row r="2187" customFormat="false" ht="15" hidden="false" customHeight="false" outlineLevel="0" collapsed="false">
      <c r="A2187" s="13" t="s">
        <v>628</v>
      </c>
      <c r="B2187" s="13" t="s">
        <v>627</v>
      </c>
      <c r="C2187" s="13" t="s">
        <v>2264</v>
      </c>
      <c r="D2187" s="13" t="s">
        <v>2270</v>
      </c>
      <c r="E2187" s="13" t="s">
        <v>2480</v>
      </c>
      <c r="F2187" s="13" t="s">
        <v>2434</v>
      </c>
      <c r="G2187" s="61" t="n">
        <v>31061918084</v>
      </c>
      <c r="H2187" s="13" t="s">
        <v>2255</v>
      </c>
      <c r="I2187" s="13" t="s">
        <v>2477</v>
      </c>
      <c r="J2187" s="13" t="n">
        <v>4</v>
      </c>
      <c r="K2187" s="13" t="s">
        <v>2478</v>
      </c>
      <c r="L2187" s="13" t="s">
        <v>2265</v>
      </c>
      <c r="M2187" s="13" t="s">
        <v>2479</v>
      </c>
    </row>
    <row r="2188" customFormat="false" ht="15" hidden="false" customHeight="false" outlineLevel="0" collapsed="false">
      <c r="A2188" s="13" t="s">
        <v>628</v>
      </c>
      <c r="B2188" s="13" t="s">
        <v>627</v>
      </c>
      <c r="C2188" s="13" t="s">
        <v>2264</v>
      </c>
      <c r="D2188" s="13" t="s">
        <v>2270</v>
      </c>
      <c r="E2188" s="13" t="s">
        <v>2481</v>
      </c>
      <c r="F2188" s="13" t="s">
        <v>2434</v>
      </c>
      <c r="G2188" s="61" t="n">
        <v>-27629193140</v>
      </c>
      <c r="H2188" s="13" t="s">
        <v>2255</v>
      </c>
      <c r="I2188" s="13" t="s">
        <v>2477</v>
      </c>
      <c r="J2188" s="13" t="n">
        <v>4</v>
      </c>
      <c r="K2188" s="13" t="s">
        <v>2478</v>
      </c>
      <c r="L2188" s="13" t="s">
        <v>2265</v>
      </c>
      <c r="M2188" s="13" t="s">
        <v>2479</v>
      </c>
    </row>
    <row r="2189" customFormat="false" ht="15" hidden="false" customHeight="false" outlineLevel="0" collapsed="false">
      <c r="A2189" s="13" t="s">
        <v>628</v>
      </c>
      <c r="B2189" s="13" t="s">
        <v>627</v>
      </c>
      <c r="C2189" s="13" t="s">
        <v>2264</v>
      </c>
      <c r="D2189" s="13" t="s">
        <v>2270</v>
      </c>
      <c r="E2189" s="13" t="s">
        <v>2482</v>
      </c>
      <c r="F2189" s="13" t="s">
        <v>2434</v>
      </c>
      <c r="G2189" s="61" t="n">
        <v>-1087621312</v>
      </c>
      <c r="H2189" s="13" t="s">
        <v>2255</v>
      </c>
      <c r="I2189" s="13" t="s">
        <v>2477</v>
      </c>
      <c r="J2189" s="13" t="n">
        <v>4</v>
      </c>
      <c r="K2189" s="13" t="s">
        <v>2478</v>
      </c>
      <c r="L2189" s="13" t="s">
        <v>2265</v>
      </c>
      <c r="M2189" s="13" t="s">
        <v>2479</v>
      </c>
    </row>
    <row r="2190" customFormat="false" ht="15" hidden="false" customHeight="false" outlineLevel="0" collapsed="false">
      <c r="A2190" s="13" t="s">
        <v>628</v>
      </c>
      <c r="B2190" s="13" t="s">
        <v>627</v>
      </c>
      <c r="C2190" s="13" t="s">
        <v>2264</v>
      </c>
      <c r="D2190" s="13" t="s">
        <v>2270</v>
      </c>
      <c r="E2190" s="13" t="s">
        <v>2483</v>
      </c>
      <c r="F2190" s="13" t="s">
        <v>2434</v>
      </c>
      <c r="G2190" s="61" t="n">
        <v>0</v>
      </c>
      <c r="H2190" s="13" t="s">
        <v>2255</v>
      </c>
      <c r="I2190" s="13" t="s">
        <v>2477</v>
      </c>
      <c r="J2190" s="13" t="n">
        <v>4</v>
      </c>
      <c r="K2190" s="13" t="s">
        <v>2478</v>
      </c>
      <c r="L2190" s="13" t="s">
        <v>2265</v>
      </c>
      <c r="M2190" s="13" t="s">
        <v>2479</v>
      </c>
    </row>
    <row r="2191" customFormat="false" ht="15" hidden="false" customHeight="false" outlineLevel="0" collapsed="false">
      <c r="A2191" s="13" t="s">
        <v>628</v>
      </c>
      <c r="B2191" s="13" t="s">
        <v>627</v>
      </c>
      <c r="C2191" s="13" t="s">
        <v>2264</v>
      </c>
      <c r="D2191" s="13" t="s">
        <v>2270</v>
      </c>
      <c r="E2191" s="13" t="s">
        <v>2484</v>
      </c>
      <c r="F2191" s="13" t="s">
        <v>2434</v>
      </c>
      <c r="G2191" s="61" t="n">
        <v>0</v>
      </c>
      <c r="H2191" s="13" t="s">
        <v>2255</v>
      </c>
      <c r="I2191" s="13" t="s">
        <v>2477</v>
      </c>
      <c r="J2191" s="13" t="n">
        <v>4</v>
      </c>
      <c r="K2191" s="13" t="s">
        <v>2478</v>
      </c>
      <c r="L2191" s="13" t="s">
        <v>2265</v>
      </c>
      <c r="M2191" s="13" t="s">
        <v>2479</v>
      </c>
    </row>
    <row r="2192" customFormat="false" ht="15" hidden="false" customHeight="false" outlineLevel="0" collapsed="false">
      <c r="A2192" s="13" t="s">
        <v>628</v>
      </c>
      <c r="B2192" s="13" t="s">
        <v>627</v>
      </c>
      <c r="C2192" s="13" t="s">
        <v>2264</v>
      </c>
      <c r="D2192" s="13" t="s">
        <v>2270</v>
      </c>
      <c r="E2192" s="13" t="s">
        <v>2485</v>
      </c>
      <c r="F2192" s="13" t="s">
        <v>2434</v>
      </c>
      <c r="G2192" s="61" t="n">
        <v>50476630176</v>
      </c>
      <c r="H2192" s="13" t="s">
        <v>2255</v>
      </c>
      <c r="I2192" s="13" t="s">
        <v>2477</v>
      </c>
      <c r="J2192" s="13" t="n">
        <v>4</v>
      </c>
      <c r="K2192" s="13" t="s">
        <v>2478</v>
      </c>
      <c r="L2192" s="13" t="s">
        <v>2265</v>
      </c>
      <c r="M2192" s="13" t="s">
        <v>2479</v>
      </c>
    </row>
    <row r="2193" customFormat="false" ht="15" hidden="false" customHeight="false" outlineLevel="0" collapsed="false">
      <c r="A2193" s="13" t="s">
        <v>628</v>
      </c>
      <c r="B2193" s="13" t="s">
        <v>627</v>
      </c>
      <c r="C2193" s="13" t="s">
        <v>2264</v>
      </c>
      <c r="D2193" s="13" t="s">
        <v>2270</v>
      </c>
      <c r="E2193" s="13" t="s">
        <v>2486</v>
      </c>
      <c r="F2193" s="13" t="s">
        <v>2434</v>
      </c>
      <c r="G2193" s="61" t="n">
        <v>134705604780</v>
      </c>
      <c r="H2193" s="13" t="s">
        <v>2255</v>
      </c>
      <c r="I2193" s="13" t="s">
        <v>2477</v>
      </c>
      <c r="J2193" s="13" t="n">
        <v>4</v>
      </c>
      <c r="K2193" s="13" t="s">
        <v>2478</v>
      </c>
      <c r="L2193" s="13" t="s">
        <v>2265</v>
      </c>
      <c r="M2193" s="13" t="s">
        <v>2479</v>
      </c>
    </row>
    <row r="2194" customFormat="false" ht="15" hidden="false" customHeight="false" outlineLevel="0" collapsed="false">
      <c r="A2194" s="13" t="s">
        <v>628</v>
      </c>
      <c r="B2194" s="13" t="s">
        <v>627</v>
      </c>
      <c r="C2194" s="13" t="s">
        <v>2264</v>
      </c>
      <c r="D2194" s="13" t="s">
        <v>2270</v>
      </c>
      <c r="E2194" s="13" t="s">
        <v>2487</v>
      </c>
      <c r="F2194" s="13" t="s">
        <v>2434</v>
      </c>
      <c r="G2194" s="61" t="n">
        <v>49001854724</v>
      </c>
      <c r="H2194" s="13" t="s">
        <v>2255</v>
      </c>
      <c r="I2194" s="13" t="s">
        <v>2477</v>
      </c>
      <c r="J2194" s="13" t="n">
        <v>4</v>
      </c>
      <c r="K2194" s="13" t="s">
        <v>2478</v>
      </c>
      <c r="L2194" s="13" t="s">
        <v>2265</v>
      </c>
      <c r="M2194" s="13" t="s">
        <v>2479</v>
      </c>
    </row>
    <row r="2195" customFormat="false" ht="15" hidden="false" customHeight="false" outlineLevel="0" collapsed="false">
      <c r="A2195" s="13" t="s">
        <v>628</v>
      </c>
      <c r="B2195" s="13" t="s">
        <v>627</v>
      </c>
      <c r="C2195" s="13" t="s">
        <v>2264</v>
      </c>
      <c r="D2195" s="13" t="s">
        <v>2270</v>
      </c>
      <c r="E2195" s="13" t="s">
        <v>2488</v>
      </c>
      <c r="F2195" s="13" t="s">
        <v>2434</v>
      </c>
      <c r="G2195" s="61" t="n">
        <v>-27629193140</v>
      </c>
      <c r="H2195" s="13" t="s">
        <v>2255</v>
      </c>
      <c r="I2195" s="13" t="s">
        <v>2477</v>
      </c>
      <c r="J2195" s="13" t="n">
        <v>4</v>
      </c>
      <c r="K2195" s="13" t="s">
        <v>2478</v>
      </c>
      <c r="L2195" s="13" t="s">
        <v>2265</v>
      </c>
      <c r="M2195" s="13" t="s">
        <v>2479</v>
      </c>
    </row>
    <row r="2196" customFormat="false" ht="15" hidden="false" customHeight="false" outlineLevel="0" collapsed="false">
      <c r="A2196" s="13" t="s">
        <v>628</v>
      </c>
      <c r="B2196" s="13" t="s">
        <v>627</v>
      </c>
      <c r="C2196" s="13" t="s">
        <v>2264</v>
      </c>
      <c r="D2196" s="13" t="s">
        <v>2270</v>
      </c>
      <c r="E2196" s="13" t="s">
        <v>2489</v>
      </c>
      <c r="F2196" s="13" t="s">
        <v>2434</v>
      </c>
      <c r="G2196" s="61" t="n">
        <v>-2615306060</v>
      </c>
      <c r="H2196" s="13" t="s">
        <v>2255</v>
      </c>
      <c r="I2196" s="13" t="s">
        <v>2477</v>
      </c>
      <c r="J2196" s="13" t="n">
        <v>4</v>
      </c>
      <c r="K2196" s="13" t="s">
        <v>2478</v>
      </c>
      <c r="L2196" s="13" t="s">
        <v>2265</v>
      </c>
      <c r="M2196" s="13" t="s">
        <v>2479</v>
      </c>
    </row>
    <row r="2197" customFormat="false" ht="15" hidden="false" customHeight="false" outlineLevel="0" collapsed="false">
      <c r="A2197" s="13" t="s">
        <v>628</v>
      </c>
      <c r="B2197" s="13" t="s">
        <v>627</v>
      </c>
      <c r="C2197" s="13" t="s">
        <v>2264</v>
      </c>
      <c r="D2197" s="13" t="s">
        <v>2270</v>
      </c>
      <c r="E2197" s="13" t="s">
        <v>2490</v>
      </c>
      <c r="F2197" s="13" t="s">
        <v>2434</v>
      </c>
      <c r="G2197" s="61" t="n">
        <v>0</v>
      </c>
      <c r="H2197" s="13" t="s">
        <v>2255</v>
      </c>
      <c r="I2197" s="13" t="s">
        <v>2477</v>
      </c>
      <c r="J2197" s="13" t="n">
        <v>4</v>
      </c>
      <c r="K2197" s="13" t="s">
        <v>2478</v>
      </c>
      <c r="L2197" s="13" t="s">
        <v>2265</v>
      </c>
      <c r="M2197" s="13" t="s">
        <v>2479</v>
      </c>
    </row>
    <row r="2198" customFormat="false" ht="15" hidden="false" customHeight="false" outlineLevel="0" collapsed="false">
      <c r="A2198" s="13" t="s">
        <v>628</v>
      </c>
      <c r="B2198" s="13" t="s">
        <v>627</v>
      </c>
      <c r="C2198" s="13" t="s">
        <v>2264</v>
      </c>
      <c r="D2198" s="13" t="s">
        <v>2270</v>
      </c>
      <c r="E2198" s="13" t="s">
        <v>2491</v>
      </c>
      <c r="F2198" s="13" t="s">
        <v>2434</v>
      </c>
      <c r="G2198" s="61" t="n">
        <v>0</v>
      </c>
      <c r="H2198" s="13" t="s">
        <v>2255</v>
      </c>
      <c r="I2198" s="13" t="s">
        <v>2477</v>
      </c>
      <c r="J2198" s="13" t="n">
        <v>4</v>
      </c>
      <c r="K2198" s="13" t="s">
        <v>2478</v>
      </c>
      <c r="L2198" s="13" t="s">
        <v>2265</v>
      </c>
      <c r="M2198" s="13" t="s">
        <v>2479</v>
      </c>
    </row>
    <row r="2199" customFormat="false" ht="15" hidden="false" customHeight="false" outlineLevel="0" collapsed="false">
      <c r="A2199" s="13" t="s">
        <v>628</v>
      </c>
      <c r="B2199" s="13" t="s">
        <v>627</v>
      </c>
      <c r="C2199" s="13" t="s">
        <v>2264</v>
      </c>
      <c r="D2199" s="13" t="s">
        <v>2270</v>
      </c>
      <c r="E2199" s="13" t="s">
        <v>2492</v>
      </c>
      <c r="F2199" s="13" t="s">
        <v>2434</v>
      </c>
      <c r="G2199" s="61" t="n">
        <v>153462960304</v>
      </c>
      <c r="H2199" s="13" t="s">
        <v>2255</v>
      </c>
      <c r="I2199" s="13" t="s">
        <v>2477</v>
      </c>
      <c r="J2199" s="13" t="n">
        <v>4</v>
      </c>
      <c r="K2199" s="13" t="s">
        <v>2478</v>
      </c>
      <c r="L2199" s="13" t="s">
        <v>2265</v>
      </c>
      <c r="M2199" s="13" t="s">
        <v>2479</v>
      </c>
    </row>
    <row r="2200" customFormat="false" ht="15" hidden="false" customHeight="false" outlineLevel="0" collapsed="false">
      <c r="A2200" s="13" t="s">
        <v>628</v>
      </c>
      <c r="B2200" s="13" t="s">
        <v>627</v>
      </c>
      <c r="C2200" s="13" t="s">
        <v>2264</v>
      </c>
      <c r="D2200" s="13" t="s">
        <v>2270</v>
      </c>
      <c r="E2200" s="13" t="s">
        <v>2493</v>
      </c>
      <c r="F2200" s="13" t="s">
        <v>2448</v>
      </c>
      <c r="G2200" s="61" t="n">
        <v>78751981701</v>
      </c>
      <c r="H2200" s="13" t="s">
        <v>2255</v>
      </c>
      <c r="I2200" s="13" t="s">
        <v>2477</v>
      </c>
      <c r="J2200" s="13" t="n">
        <v>51</v>
      </c>
      <c r="K2200" s="13" t="s">
        <v>2478</v>
      </c>
      <c r="L2200" s="13" t="s">
        <v>2265</v>
      </c>
      <c r="M2200" s="13" t="s">
        <v>2479</v>
      </c>
    </row>
    <row r="2201" customFormat="false" ht="15" hidden="false" customHeight="false" outlineLevel="0" collapsed="false">
      <c r="A2201" s="13" t="s">
        <v>628</v>
      </c>
      <c r="B2201" s="13" t="s">
        <v>627</v>
      </c>
      <c r="C2201" s="13" t="s">
        <v>2264</v>
      </c>
      <c r="D2201" s="13" t="s">
        <v>2270</v>
      </c>
      <c r="E2201" s="13" t="s">
        <v>2494</v>
      </c>
      <c r="F2201" s="13" t="s">
        <v>2448</v>
      </c>
      <c r="G2201" s="61" t="n">
        <v>32963991118</v>
      </c>
      <c r="H2201" s="13" t="s">
        <v>2255</v>
      </c>
      <c r="I2201" s="13" t="s">
        <v>2477</v>
      </c>
      <c r="J2201" s="13" t="n">
        <v>51</v>
      </c>
      <c r="K2201" s="13" t="s">
        <v>2478</v>
      </c>
      <c r="L2201" s="13" t="s">
        <v>2265</v>
      </c>
      <c r="M2201" s="13" t="s">
        <v>2479</v>
      </c>
    </row>
    <row r="2202" customFormat="false" ht="15" hidden="false" customHeight="false" outlineLevel="0" collapsed="false">
      <c r="A2202" s="13" t="s">
        <v>628</v>
      </c>
      <c r="B2202" s="13" t="s">
        <v>627</v>
      </c>
      <c r="C2202" s="13" t="s">
        <v>2264</v>
      </c>
      <c r="D2202" s="13" t="s">
        <v>2270</v>
      </c>
      <c r="E2202" s="13" t="s">
        <v>2495</v>
      </c>
      <c r="F2202" s="13" t="s">
        <v>2448</v>
      </c>
      <c r="G2202" s="61" t="n">
        <v>0</v>
      </c>
      <c r="H2202" s="13" t="s">
        <v>2255</v>
      </c>
      <c r="I2202" s="13" t="s">
        <v>2477</v>
      </c>
      <c r="J2202" s="13" t="n">
        <v>51</v>
      </c>
      <c r="K2202" s="13" t="s">
        <v>2478</v>
      </c>
      <c r="L2202" s="13" t="s">
        <v>2265</v>
      </c>
      <c r="M2202" s="13" t="s">
        <v>2479</v>
      </c>
    </row>
    <row r="2203" customFormat="false" ht="15" hidden="false" customHeight="false" outlineLevel="0" collapsed="false">
      <c r="A2203" s="13" t="s">
        <v>628</v>
      </c>
      <c r="B2203" s="13" t="s">
        <v>627</v>
      </c>
      <c r="C2203" s="13" t="s">
        <v>2264</v>
      </c>
      <c r="D2203" s="13" t="s">
        <v>2270</v>
      </c>
      <c r="E2203" s="13" t="s">
        <v>2496</v>
      </c>
      <c r="F2203" s="13" t="s">
        <v>2448</v>
      </c>
      <c r="G2203" s="61" t="n">
        <v>-100350546</v>
      </c>
      <c r="H2203" s="13" t="s">
        <v>2255</v>
      </c>
      <c r="I2203" s="13" t="s">
        <v>2477</v>
      </c>
      <c r="J2203" s="13" t="n">
        <v>51</v>
      </c>
      <c r="K2203" s="13" t="s">
        <v>2478</v>
      </c>
      <c r="L2203" s="13" t="s">
        <v>2265</v>
      </c>
      <c r="M2203" s="13" t="s">
        <v>2479</v>
      </c>
    </row>
    <row r="2204" customFormat="false" ht="15" hidden="false" customHeight="false" outlineLevel="0" collapsed="false">
      <c r="A2204" s="13" t="s">
        <v>628</v>
      </c>
      <c r="B2204" s="13" t="s">
        <v>627</v>
      </c>
      <c r="C2204" s="13" t="s">
        <v>2264</v>
      </c>
      <c r="D2204" s="13" t="s">
        <v>2270</v>
      </c>
      <c r="E2204" s="13" t="s">
        <v>2497</v>
      </c>
      <c r="F2204" s="13" t="s">
        <v>2448</v>
      </c>
      <c r="G2204" s="61" t="n">
        <v>0</v>
      </c>
      <c r="H2204" s="13" t="s">
        <v>2255</v>
      </c>
      <c r="I2204" s="13" t="s">
        <v>2477</v>
      </c>
      <c r="J2204" s="13" t="n">
        <v>51</v>
      </c>
      <c r="K2204" s="13" t="s">
        <v>2478</v>
      </c>
      <c r="L2204" s="13" t="s">
        <v>2265</v>
      </c>
      <c r="M2204" s="13" t="s">
        <v>2479</v>
      </c>
    </row>
    <row r="2205" customFormat="false" ht="15" hidden="false" customHeight="false" outlineLevel="0" collapsed="false">
      <c r="A2205" s="13" t="s">
        <v>628</v>
      </c>
      <c r="B2205" s="13" t="s">
        <v>627</v>
      </c>
      <c r="C2205" s="13" t="s">
        <v>2264</v>
      </c>
      <c r="D2205" s="13" t="s">
        <v>2270</v>
      </c>
      <c r="E2205" s="13" t="s">
        <v>2498</v>
      </c>
      <c r="F2205" s="13" t="s">
        <v>2448</v>
      </c>
      <c r="G2205" s="61" t="n">
        <v>0</v>
      </c>
      <c r="H2205" s="13" t="s">
        <v>2255</v>
      </c>
      <c r="I2205" s="13" t="s">
        <v>2477</v>
      </c>
      <c r="J2205" s="13" t="n">
        <v>51</v>
      </c>
      <c r="K2205" s="13" t="s">
        <v>2478</v>
      </c>
      <c r="L2205" s="13" t="s">
        <v>2265</v>
      </c>
      <c r="M2205" s="13" t="s">
        <v>2479</v>
      </c>
    </row>
    <row r="2206" customFormat="false" ht="15" hidden="false" customHeight="false" outlineLevel="0" collapsed="false">
      <c r="A2206" s="13" t="s">
        <v>628</v>
      </c>
      <c r="B2206" s="13" t="s">
        <v>627</v>
      </c>
      <c r="C2206" s="13" t="s">
        <v>2264</v>
      </c>
      <c r="D2206" s="13" t="s">
        <v>2270</v>
      </c>
      <c r="E2206" s="13" t="s">
        <v>2499</v>
      </c>
      <c r="F2206" s="13" t="s">
        <v>2448</v>
      </c>
      <c r="G2206" s="61" t="n">
        <v>111615622273</v>
      </c>
      <c r="H2206" s="13" t="s">
        <v>2255</v>
      </c>
      <c r="I2206" s="13" t="s">
        <v>2477</v>
      </c>
      <c r="J2206" s="13" t="n">
        <v>51</v>
      </c>
      <c r="K2206" s="13" t="s">
        <v>2478</v>
      </c>
      <c r="L2206" s="13" t="s">
        <v>2265</v>
      </c>
      <c r="M2206" s="13" t="s">
        <v>2479</v>
      </c>
    </row>
    <row r="2207" customFormat="false" ht="15" hidden="false" customHeight="false" outlineLevel="0" collapsed="false">
      <c r="A2207" s="13" t="s">
        <v>628</v>
      </c>
      <c r="B2207" s="13" t="s">
        <v>627</v>
      </c>
      <c r="C2207" s="13" t="s">
        <v>2264</v>
      </c>
      <c r="D2207" s="13" t="s">
        <v>2270</v>
      </c>
      <c r="E2207" s="13" t="s">
        <v>2493</v>
      </c>
      <c r="F2207" s="13" t="s">
        <v>2500</v>
      </c>
      <c r="G2207" s="61" t="n">
        <v>251894591358</v>
      </c>
      <c r="H2207" s="13" t="s">
        <v>2255</v>
      </c>
      <c r="I2207" s="13" t="s">
        <v>2477</v>
      </c>
      <c r="J2207" s="13" t="n">
        <v>51</v>
      </c>
      <c r="K2207" s="13" t="s">
        <v>2478</v>
      </c>
      <c r="L2207" s="13" t="s">
        <v>2265</v>
      </c>
      <c r="M2207" s="13" t="s">
        <v>2479</v>
      </c>
    </row>
    <row r="2208" customFormat="false" ht="15" hidden="false" customHeight="false" outlineLevel="0" collapsed="false">
      <c r="A2208" s="13" t="s">
        <v>628</v>
      </c>
      <c r="B2208" s="13" t="s">
        <v>627</v>
      </c>
      <c r="C2208" s="13" t="s">
        <v>2264</v>
      </c>
      <c r="D2208" s="13" t="s">
        <v>2270</v>
      </c>
      <c r="E2208" s="13" t="s">
        <v>2494</v>
      </c>
      <c r="F2208" s="13" t="s">
        <v>2500</v>
      </c>
      <c r="G2208" s="61" t="n">
        <v>40305362453</v>
      </c>
      <c r="H2208" s="13" t="s">
        <v>2255</v>
      </c>
      <c r="I2208" s="13" t="s">
        <v>2477</v>
      </c>
      <c r="J2208" s="13" t="n">
        <v>51</v>
      </c>
      <c r="K2208" s="13" t="s">
        <v>2478</v>
      </c>
      <c r="L2208" s="13" t="s">
        <v>2265</v>
      </c>
      <c r="M2208" s="13" t="s">
        <v>2479</v>
      </c>
    </row>
    <row r="2209" customFormat="false" ht="15" hidden="false" customHeight="false" outlineLevel="0" collapsed="false">
      <c r="A2209" s="13" t="s">
        <v>628</v>
      </c>
      <c r="B2209" s="13" t="s">
        <v>627</v>
      </c>
      <c r="C2209" s="13" t="s">
        <v>2264</v>
      </c>
      <c r="D2209" s="13" t="s">
        <v>2270</v>
      </c>
      <c r="E2209" s="13" t="s">
        <v>2495</v>
      </c>
      <c r="F2209" s="13" t="s">
        <v>2500</v>
      </c>
      <c r="G2209" s="61" t="n">
        <v>-5346372066</v>
      </c>
      <c r="H2209" s="13" t="s">
        <v>2255</v>
      </c>
      <c r="I2209" s="13" t="s">
        <v>2477</v>
      </c>
      <c r="J2209" s="13" t="n">
        <v>51</v>
      </c>
      <c r="K2209" s="13" t="s">
        <v>2478</v>
      </c>
      <c r="L2209" s="13" t="s">
        <v>2265</v>
      </c>
      <c r="M2209" s="13" t="s">
        <v>2479</v>
      </c>
    </row>
    <row r="2210" customFormat="false" ht="15" hidden="false" customHeight="false" outlineLevel="0" collapsed="false">
      <c r="A2210" s="13" t="s">
        <v>628</v>
      </c>
      <c r="B2210" s="13" t="s">
        <v>627</v>
      </c>
      <c r="C2210" s="13" t="s">
        <v>2264</v>
      </c>
      <c r="D2210" s="13" t="s">
        <v>2270</v>
      </c>
      <c r="E2210" s="13" t="s">
        <v>2496</v>
      </c>
      <c r="F2210" s="13" t="s">
        <v>2500</v>
      </c>
      <c r="G2210" s="61" t="n">
        <v>50659850</v>
      </c>
      <c r="H2210" s="13" t="s">
        <v>2255</v>
      </c>
      <c r="I2210" s="13" t="s">
        <v>2477</v>
      </c>
      <c r="J2210" s="13" t="n">
        <v>51</v>
      </c>
      <c r="K2210" s="13" t="s">
        <v>2478</v>
      </c>
      <c r="L2210" s="13" t="s">
        <v>2265</v>
      </c>
      <c r="M2210" s="13" t="s">
        <v>2479</v>
      </c>
    </row>
    <row r="2211" customFormat="false" ht="15" hidden="false" customHeight="false" outlineLevel="0" collapsed="false">
      <c r="A2211" s="13" t="s">
        <v>628</v>
      </c>
      <c r="B2211" s="13" t="s">
        <v>627</v>
      </c>
      <c r="C2211" s="13" t="s">
        <v>2264</v>
      </c>
      <c r="D2211" s="13" t="s">
        <v>2270</v>
      </c>
      <c r="E2211" s="13" t="s">
        <v>2497</v>
      </c>
      <c r="F2211" s="13" t="s">
        <v>2500</v>
      </c>
      <c r="G2211" s="61" t="n">
        <v>0</v>
      </c>
      <c r="H2211" s="13" t="s">
        <v>2255</v>
      </c>
      <c r="I2211" s="13" t="s">
        <v>2477</v>
      </c>
      <c r="J2211" s="13" t="n">
        <v>51</v>
      </c>
      <c r="K2211" s="13" t="s">
        <v>2478</v>
      </c>
      <c r="L2211" s="13" t="s">
        <v>2265</v>
      </c>
      <c r="M2211" s="13" t="s">
        <v>2479</v>
      </c>
    </row>
    <row r="2212" customFormat="false" ht="15" hidden="false" customHeight="false" outlineLevel="0" collapsed="false">
      <c r="A2212" s="13" t="s">
        <v>628</v>
      </c>
      <c r="B2212" s="13" t="s">
        <v>627</v>
      </c>
      <c r="C2212" s="13" t="s">
        <v>2264</v>
      </c>
      <c r="D2212" s="13" t="s">
        <v>2270</v>
      </c>
      <c r="E2212" s="13" t="s">
        <v>2498</v>
      </c>
      <c r="F2212" s="13" t="s">
        <v>2500</v>
      </c>
      <c r="G2212" s="61" t="n">
        <v>0</v>
      </c>
      <c r="H2212" s="13" t="s">
        <v>2255</v>
      </c>
      <c r="I2212" s="13" t="s">
        <v>2477</v>
      </c>
      <c r="J2212" s="13" t="n">
        <v>51</v>
      </c>
      <c r="K2212" s="13" t="s">
        <v>2478</v>
      </c>
      <c r="L2212" s="13" t="s">
        <v>2265</v>
      </c>
      <c r="M2212" s="13" t="s">
        <v>2479</v>
      </c>
    </row>
    <row r="2213" customFormat="false" ht="15" hidden="false" customHeight="false" outlineLevel="0" collapsed="false">
      <c r="A2213" s="13" t="s">
        <v>628</v>
      </c>
      <c r="B2213" s="13" t="s">
        <v>627</v>
      </c>
      <c r="C2213" s="13" t="s">
        <v>2264</v>
      </c>
      <c r="D2213" s="13" t="s">
        <v>2270</v>
      </c>
      <c r="E2213" s="13" t="s">
        <v>2499</v>
      </c>
      <c r="F2213" s="13" t="s">
        <v>2500</v>
      </c>
      <c r="G2213" s="61" t="n">
        <v>286904241595</v>
      </c>
      <c r="H2213" s="13" t="s">
        <v>2255</v>
      </c>
      <c r="I2213" s="13" t="s">
        <v>2477</v>
      </c>
      <c r="J2213" s="13" t="n">
        <v>51</v>
      </c>
      <c r="K2213" s="13" t="s">
        <v>2478</v>
      </c>
      <c r="L2213" s="13" t="s">
        <v>2265</v>
      </c>
      <c r="M2213" s="13" t="s">
        <v>2479</v>
      </c>
    </row>
    <row r="2214" customFormat="false" ht="15" hidden="false" customHeight="false" outlineLevel="0" collapsed="false">
      <c r="A2214" s="13" t="s">
        <v>628</v>
      </c>
      <c r="B2214" s="13" t="s">
        <v>627</v>
      </c>
      <c r="C2214" s="13" t="s">
        <v>2264</v>
      </c>
      <c r="D2214" s="13" t="s">
        <v>2270</v>
      </c>
      <c r="E2214" s="13" t="s">
        <v>2493</v>
      </c>
      <c r="F2214" s="13" t="s">
        <v>2501</v>
      </c>
      <c r="G2214" s="61" t="n">
        <v>54623529313</v>
      </c>
      <c r="H2214" s="13" t="s">
        <v>2255</v>
      </c>
      <c r="I2214" s="13" t="s">
        <v>2477</v>
      </c>
      <c r="J2214" s="13" t="n">
        <v>51</v>
      </c>
      <c r="K2214" s="13" t="s">
        <v>2478</v>
      </c>
      <c r="L2214" s="13" t="s">
        <v>2265</v>
      </c>
      <c r="M2214" s="13" t="s">
        <v>2479</v>
      </c>
    </row>
    <row r="2215" customFormat="false" ht="15" hidden="false" customHeight="false" outlineLevel="0" collapsed="false">
      <c r="A2215" s="13" t="s">
        <v>628</v>
      </c>
      <c r="B2215" s="13" t="s">
        <v>627</v>
      </c>
      <c r="C2215" s="13" t="s">
        <v>2264</v>
      </c>
      <c r="D2215" s="13" t="s">
        <v>2270</v>
      </c>
      <c r="E2215" s="13" t="s">
        <v>2494</v>
      </c>
      <c r="F2215" s="13" t="s">
        <v>2501</v>
      </c>
      <c r="G2215" s="61" t="n">
        <v>13868619143</v>
      </c>
      <c r="H2215" s="13" t="s">
        <v>2255</v>
      </c>
      <c r="I2215" s="13" t="s">
        <v>2477</v>
      </c>
      <c r="J2215" s="13" t="n">
        <v>51</v>
      </c>
      <c r="K2215" s="13" t="s">
        <v>2478</v>
      </c>
      <c r="L2215" s="13" t="s">
        <v>2265</v>
      </c>
      <c r="M2215" s="13" t="s">
        <v>2479</v>
      </c>
    </row>
    <row r="2216" customFormat="false" ht="15" hidden="false" customHeight="false" outlineLevel="0" collapsed="false">
      <c r="A2216" s="13" t="s">
        <v>628</v>
      </c>
      <c r="B2216" s="13" t="s">
        <v>627</v>
      </c>
      <c r="C2216" s="13" t="s">
        <v>2264</v>
      </c>
      <c r="D2216" s="13" t="s">
        <v>2270</v>
      </c>
      <c r="E2216" s="13" t="s">
        <v>2495</v>
      </c>
      <c r="F2216" s="13" t="s">
        <v>2501</v>
      </c>
      <c r="G2216" s="61" t="n">
        <v>-457289744</v>
      </c>
      <c r="H2216" s="13" t="s">
        <v>2255</v>
      </c>
      <c r="I2216" s="13" t="s">
        <v>2477</v>
      </c>
      <c r="J2216" s="13" t="n">
        <v>51</v>
      </c>
      <c r="K2216" s="13" t="s">
        <v>2478</v>
      </c>
      <c r="L2216" s="13" t="s">
        <v>2265</v>
      </c>
      <c r="M2216" s="13" t="s">
        <v>2479</v>
      </c>
    </row>
    <row r="2217" customFormat="false" ht="15" hidden="false" customHeight="false" outlineLevel="0" collapsed="false">
      <c r="A2217" s="13" t="s">
        <v>628</v>
      </c>
      <c r="B2217" s="13" t="s">
        <v>627</v>
      </c>
      <c r="C2217" s="13" t="s">
        <v>2264</v>
      </c>
      <c r="D2217" s="13" t="s">
        <v>2270</v>
      </c>
      <c r="E2217" s="13" t="s">
        <v>2496</v>
      </c>
      <c r="F2217" s="13" t="s">
        <v>2501</v>
      </c>
      <c r="G2217" s="61" t="n">
        <v>-24759850</v>
      </c>
      <c r="H2217" s="13" t="s">
        <v>2255</v>
      </c>
      <c r="I2217" s="13" t="s">
        <v>2477</v>
      </c>
      <c r="J2217" s="13" t="n">
        <v>51</v>
      </c>
      <c r="K2217" s="13" t="s">
        <v>2478</v>
      </c>
      <c r="L2217" s="13" t="s">
        <v>2265</v>
      </c>
      <c r="M2217" s="13" t="s">
        <v>2479</v>
      </c>
    </row>
    <row r="2218" customFormat="false" ht="15" hidden="false" customHeight="false" outlineLevel="0" collapsed="false">
      <c r="A2218" s="13" t="s">
        <v>628</v>
      </c>
      <c r="B2218" s="13" t="s">
        <v>627</v>
      </c>
      <c r="C2218" s="13" t="s">
        <v>2264</v>
      </c>
      <c r="D2218" s="13" t="s">
        <v>2270</v>
      </c>
      <c r="E2218" s="13" t="s">
        <v>2497</v>
      </c>
      <c r="F2218" s="13" t="s">
        <v>2501</v>
      </c>
      <c r="G2218" s="61" t="n">
        <v>0</v>
      </c>
      <c r="H2218" s="13" t="s">
        <v>2255</v>
      </c>
      <c r="I2218" s="13" t="s">
        <v>2477</v>
      </c>
      <c r="J2218" s="13" t="n">
        <v>51</v>
      </c>
      <c r="K2218" s="13" t="s">
        <v>2478</v>
      </c>
      <c r="L2218" s="13" t="s">
        <v>2265</v>
      </c>
      <c r="M2218" s="13" t="s">
        <v>2479</v>
      </c>
    </row>
    <row r="2219" customFormat="false" ht="15" hidden="false" customHeight="false" outlineLevel="0" collapsed="false">
      <c r="A2219" s="13" t="s">
        <v>628</v>
      </c>
      <c r="B2219" s="13" t="s">
        <v>627</v>
      </c>
      <c r="C2219" s="13" t="s">
        <v>2264</v>
      </c>
      <c r="D2219" s="13" t="s">
        <v>2270</v>
      </c>
      <c r="E2219" s="13" t="s">
        <v>2498</v>
      </c>
      <c r="F2219" s="13" t="s">
        <v>2501</v>
      </c>
      <c r="G2219" s="61" t="n">
        <v>0</v>
      </c>
      <c r="H2219" s="13" t="s">
        <v>2255</v>
      </c>
      <c r="I2219" s="13" t="s">
        <v>2477</v>
      </c>
      <c r="J2219" s="13" t="n">
        <v>51</v>
      </c>
      <c r="K2219" s="13" t="s">
        <v>2478</v>
      </c>
      <c r="L2219" s="13" t="s">
        <v>2265</v>
      </c>
      <c r="M2219" s="13" t="s">
        <v>2479</v>
      </c>
    </row>
    <row r="2220" customFormat="false" ht="15" hidden="false" customHeight="false" outlineLevel="0" collapsed="false">
      <c r="A2220" s="13" t="s">
        <v>628</v>
      </c>
      <c r="B2220" s="13" t="s">
        <v>627</v>
      </c>
      <c r="C2220" s="13" t="s">
        <v>2264</v>
      </c>
      <c r="D2220" s="13" t="s">
        <v>2270</v>
      </c>
      <c r="E2220" s="13" t="s">
        <v>2499</v>
      </c>
      <c r="F2220" s="13" t="s">
        <v>2501</v>
      </c>
      <c r="G2220" s="61" t="n">
        <v>68010098862</v>
      </c>
      <c r="H2220" s="13" t="s">
        <v>2255</v>
      </c>
      <c r="I2220" s="13" t="s">
        <v>2477</v>
      </c>
      <c r="J2220" s="13" t="n">
        <v>51</v>
      </c>
      <c r="K2220" s="13" t="s">
        <v>2478</v>
      </c>
      <c r="L2220" s="13" t="s">
        <v>2265</v>
      </c>
      <c r="M2220" s="13" t="s">
        <v>2479</v>
      </c>
    </row>
    <row r="2221" customFormat="false" ht="15" hidden="false" customHeight="false" outlineLevel="0" collapsed="false">
      <c r="A2221" s="13" t="s">
        <v>628</v>
      </c>
      <c r="B2221" s="13" t="s">
        <v>627</v>
      </c>
      <c r="C2221" s="13" t="s">
        <v>2264</v>
      </c>
      <c r="D2221" s="13" t="s">
        <v>2270</v>
      </c>
      <c r="E2221" s="13" t="s">
        <v>2493</v>
      </c>
      <c r="F2221" s="13" t="s">
        <v>2502</v>
      </c>
      <c r="G2221" s="61" t="n">
        <v>36784125005</v>
      </c>
      <c r="H2221" s="13" t="s">
        <v>2255</v>
      </c>
      <c r="I2221" s="13" t="s">
        <v>2477</v>
      </c>
      <c r="J2221" s="13" t="n">
        <v>51</v>
      </c>
      <c r="K2221" s="13" t="s">
        <v>2478</v>
      </c>
      <c r="L2221" s="13" t="s">
        <v>2265</v>
      </c>
      <c r="M2221" s="13" t="s">
        <v>2479</v>
      </c>
    </row>
    <row r="2222" customFormat="false" ht="15" hidden="false" customHeight="false" outlineLevel="0" collapsed="false">
      <c r="A2222" s="13" t="s">
        <v>628</v>
      </c>
      <c r="B2222" s="13" t="s">
        <v>627</v>
      </c>
      <c r="C2222" s="13" t="s">
        <v>2264</v>
      </c>
      <c r="D2222" s="13" t="s">
        <v>2270</v>
      </c>
      <c r="E2222" s="13" t="s">
        <v>2494</v>
      </c>
      <c r="F2222" s="13" t="s">
        <v>2502</v>
      </c>
      <c r="G2222" s="61" t="n">
        <v>3617966540</v>
      </c>
      <c r="H2222" s="13" t="s">
        <v>2255</v>
      </c>
      <c r="I2222" s="13" t="s">
        <v>2477</v>
      </c>
      <c r="J2222" s="13" t="n">
        <v>51</v>
      </c>
      <c r="K2222" s="13" t="s">
        <v>2478</v>
      </c>
      <c r="L2222" s="13" t="s">
        <v>2265</v>
      </c>
      <c r="M2222" s="13" t="s">
        <v>2479</v>
      </c>
    </row>
    <row r="2223" customFormat="false" ht="15" hidden="false" customHeight="false" outlineLevel="0" collapsed="false">
      <c r="A2223" s="13" t="s">
        <v>628</v>
      </c>
      <c r="B2223" s="13" t="s">
        <v>627</v>
      </c>
      <c r="C2223" s="13" t="s">
        <v>2264</v>
      </c>
      <c r="D2223" s="13" t="s">
        <v>2270</v>
      </c>
      <c r="E2223" s="13" t="s">
        <v>2495</v>
      </c>
      <c r="F2223" s="13" t="s">
        <v>2502</v>
      </c>
      <c r="G2223" s="61" t="n">
        <v>0</v>
      </c>
      <c r="H2223" s="13" t="s">
        <v>2255</v>
      </c>
      <c r="I2223" s="13" t="s">
        <v>2477</v>
      </c>
      <c r="J2223" s="13" t="n">
        <v>51</v>
      </c>
      <c r="K2223" s="13" t="s">
        <v>2478</v>
      </c>
      <c r="L2223" s="13" t="s">
        <v>2265</v>
      </c>
      <c r="M2223" s="13" t="s">
        <v>2479</v>
      </c>
    </row>
    <row r="2224" customFormat="false" ht="15" hidden="false" customHeight="false" outlineLevel="0" collapsed="false">
      <c r="A2224" s="13" t="s">
        <v>628</v>
      </c>
      <c r="B2224" s="13" t="s">
        <v>627</v>
      </c>
      <c r="C2224" s="13" t="s">
        <v>2264</v>
      </c>
      <c r="D2224" s="13" t="s">
        <v>2270</v>
      </c>
      <c r="E2224" s="13" t="s">
        <v>2496</v>
      </c>
      <c r="F2224" s="13" t="s">
        <v>2502</v>
      </c>
      <c r="G2224" s="61" t="n">
        <v>0</v>
      </c>
      <c r="H2224" s="13" t="s">
        <v>2255</v>
      </c>
      <c r="I2224" s="13" t="s">
        <v>2477</v>
      </c>
      <c r="J2224" s="13" t="n">
        <v>51</v>
      </c>
      <c r="K2224" s="13" t="s">
        <v>2478</v>
      </c>
      <c r="L2224" s="13" t="s">
        <v>2265</v>
      </c>
      <c r="M2224" s="13" t="s">
        <v>2479</v>
      </c>
    </row>
    <row r="2225" customFormat="false" ht="15" hidden="false" customHeight="false" outlineLevel="0" collapsed="false">
      <c r="A2225" s="13" t="s">
        <v>628</v>
      </c>
      <c r="B2225" s="13" t="s">
        <v>627</v>
      </c>
      <c r="C2225" s="13" t="s">
        <v>2264</v>
      </c>
      <c r="D2225" s="13" t="s">
        <v>2270</v>
      </c>
      <c r="E2225" s="13" t="s">
        <v>2497</v>
      </c>
      <c r="F2225" s="13" t="s">
        <v>2502</v>
      </c>
      <c r="G2225" s="61" t="n">
        <v>0</v>
      </c>
      <c r="H2225" s="13" t="s">
        <v>2255</v>
      </c>
      <c r="I2225" s="13" t="s">
        <v>2477</v>
      </c>
      <c r="J2225" s="13" t="n">
        <v>51</v>
      </c>
      <c r="K2225" s="13" t="s">
        <v>2478</v>
      </c>
      <c r="L2225" s="13" t="s">
        <v>2265</v>
      </c>
      <c r="M2225" s="13" t="s">
        <v>2479</v>
      </c>
    </row>
    <row r="2226" customFormat="false" ht="15" hidden="false" customHeight="false" outlineLevel="0" collapsed="false">
      <c r="A2226" s="13" t="s">
        <v>628</v>
      </c>
      <c r="B2226" s="13" t="s">
        <v>627</v>
      </c>
      <c r="C2226" s="13" t="s">
        <v>2264</v>
      </c>
      <c r="D2226" s="13" t="s">
        <v>2270</v>
      </c>
      <c r="E2226" s="13" t="s">
        <v>2498</v>
      </c>
      <c r="F2226" s="13" t="s">
        <v>2502</v>
      </c>
      <c r="G2226" s="61" t="n">
        <v>0</v>
      </c>
      <c r="H2226" s="13" t="s">
        <v>2255</v>
      </c>
      <c r="I2226" s="13" t="s">
        <v>2477</v>
      </c>
      <c r="J2226" s="13" t="n">
        <v>51</v>
      </c>
      <c r="K2226" s="13" t="s">
        <v>2478</v>
      </c>
      <c r="L2226" s="13" t="s">
        <v>2265</v>
      </c>
      <c r="M2226" s="13" t="s">
        <v>2479</v>
      </c>
    </row>
    <row r="2227" customFormat="false" ht="15" hidden="false" customHeight="false" outlineLevel="0" collapsed="false">
      <c r="A2227" s="13" t="s">
        <v>628</v>
      </c>
      <c r="B2227" s="13" t="s">
        <v>627</v>
      </c>
      <c r="C2227" s="13" t="s">
        <v>2264</v>
      </c>
      <c r="D2227" s="13" t="s">
        <v>2270</v>
      </c>
      <c r="E2227" s="13" t="s">
        <v>2499</v>
      </c>
      <c r="F2227" s="13" t="s">
        <v>2502</v>
      </c>
      <c r="G2227" s="61" t="n">
        <v>40402091545</v>
      </c>
      <c r="H2227" s="13" t="s">
        <v>2255</v>
      </c>
      <c r="I2227" s="13" t="s">
        <v>2477</v>
      </c>
      <c r="J2227" s="13" t="n">
        <v>51</v>
      </c>
      <c r="K2227" s="13" t="s">
        <v>2478</v>
      </c>
      <c r="L2227" s="13" t="s">
        <v>2265</v>
      </c>
      <c r="M2227" s="13" t="s">
        <v>2479</v>
      </c>
    </row>
    <row r="2228" customFormat="false" ht="15" hidden="false" customHeight="false" outlineLevel="0" collapsed="false">
      <c r="A2228" s="13" t="s">
        <v>628</v>
      </c>
      <c r="B2228" s="13" t="s">
        <v>627</v>
      </c>
      <c r="C2228" s="13" t="s">
        <v>2264</v>
      </c>
      <c r="D2228" s="13" t="s">
        <v>2270</v>
      </c>
      <c r="E2228" s="13" t="s">
        <v>2493</v>
      </c>
      <c r="F2228" s="13" t="s">
        <v>2503</v>
      </c>
      <c r="G2228" s="61" t="n">
        <v>6162819202</v>
      </c>
      <c r="H2228" s="13" t="s">
        <v>2255</v>
      </c>
      <c r="I2228" s="13" t="s">
        <v>2477</v>
      </c>
      <c r="J2228" s="13" t="n">
        <v>51</v>
      </c>
      <c r="K2228" s="13" t="s">
        <v>2478</v>
      </c>
      <c r="L2228" s="13" t="s">
        <v>2265</v>
      </c>
      <c r="M2228" s="13" t="s">
        <v>2479</v>
      </c>
    </row>
    <row r="2229" customFormat="false" ht="15" hidden="false" customHeight="false" outlineLevel="0" collapsed="false">
      <c r="A2229" s="13" t="s">
        <v>628</v>
      </c>
      <c r="B2229" s="13" t="s">
        <v>627</v>
      </c>
      <c r="C2229" s="13" t="s">
        <v>2264</v>
      </c>
      <c r="D2229" s="13" t="s">
        <v>2270</v>
      </c>
      <c r="E2229" s="13" t="s">
        <v>2494</v>
      </c>
      <c r="F2229" s="13" t="s">
        <v>2503</v>
      </c>
      <c r="G2229" s="61" t="n">
        <v>2224383348</v>
      </c>
      <c r="H2229" s="13" t="s">
        <v>2255</v>
      </c>
      <c r="I2229" s="13" t="s">
        <v>2477</v>
      </c>
      <c r="J2229" s="13" t="n">
        <v>51</v>
      </c>
      <c r="K2229" s="13" t="s">
        <v>2478</v>
      </c>
      <c r="L2229" s="13" t="s">
        <v>2265</v>
      </c>
      <c r="M2229" s="13" t="s">
        <v>2479</v>
      </c>
    </row>
    <row r="2230" customFormat="false" ht="15" hidden="false" customHeight="false" outlineLevel="0" collapsed="false">
      <c r="A2230" s="13" t="s">
        <v>628</v>
      </c>
      <c r="B2230" s="13" t="s">
        <v>627</v>
      </c>
      <c r="C2230" s="13" t="s">
        <v>2264</v>
      </c>
      <c r="D2230" s="13" t="s">
        <v>2270</v>
      </c>
      <c r="E2230" s="13" t="s">
        <v>2495</v>
      </c>
      <c r="F2230" s="13" t="s">
        <v>2503</v>
      </c>
      <c r="G2230" s="61" t="n">
        <v>0</v>
      </c>
      <c r="H2230" s="13" t="s">
        <v>2255</v>
      </c>
      <c r="I2230" s="13" t="s">
        <v>2477</v>
      </c>
      <c r="J2230" s="13" t="n">
        <v>51</v>
      </c>
      <c r="K2230" s="13" t="s">
        <v>2478</v>
      </c>
      <c r="L2230" s="13" t="s">
        <v>2265</v>
      </c>
      <c r="M2230" s="13" t="s">
        <v>2479</v>
      </c>
    </row>
    <row r="2231" customFormat="false" ht="15" hidden="false" customHeight="false" outlineLevel="0" collapsed="false">
      <c r="A2231" s="13" t="s">
        <v>628</v>
      </c>
      <c r="B2231" s="13" t="s">
        <v>627</v>
      </c>
      <c r="C2231" s="13" t="s">
        <v>2264</v>
      </c>
      <c r="D2231" s="13" t="s">
        <v>2270</v>
      </c>
      <c r="E2231" s="13" t="s">
        <v>2496</v>
      </c>
      <c r="F2231" s="13" t="s">
        <v>2503</v>
      </c>
      <c r="G2231" s="61" t="n">
        <v>74450546</v>
      </c>
      <c r="H2231" s="13" t="s">
        <v>2255</v>
      </c>
      <c r="I2231" s="13" t="s">
        <v>2477</v>
      </c>
      <c r="J2231" s="13" t="n">
        <v>51</v>
      </c>
      <c r="K2231" s="13" t="s">
        <v>2478</v>
      </c>
      <c r="L2231" s="13" t="s">
        <v>2265</v>
      </c>
      <c r="M2231" s="13" t="s">
        <v>2479</v>
      </c>
    </row>
    <row r="2232" customFormat="false" ht="15" hidden="false" customHeight="false" outlineLevel="0" collapsed="false">
      <c r="A2232" s="13" t="s">
        <v>628</v>
      </c>
      <c r="B2232" s="13" t="s">
        <v>627</v>
      </c>
      <c r="C2232" s="13" t="s">
        <v>2264</v>
      </c>
      <c r="D2232" s="13" t="s">
        <v>2270</v>
      </c>
      <c r="E2232" s="13" t="s">
        <v>2497</v>
      </c>
      <c r="F2232" s="13" t="s">
        <v>2503</v>
      </c>
      <c r="G2232" s="61" t="n">
        <v>0</v>
      </c>
      <c r="H2232" s="13" t="s">
        <v>2255</v>
      </c>
      <c r="I2232" s="13" t="s">
        <v>2477</v>
      </c>
      <c r="J2232" s="13" t="n">
        <v>51</v>
      </c>
      <c r="K2232" s="13" t="s">
        <v>2478</v>
      </c>
      <c r="L2232" s="13" t="s">
        <v>2265</v>
      </c>
      <c r="M2232" s="13" t="s">
        <v>2479</v>
      </c>
    </row>
    <row r="2233" customFormat="false" ht="15" hidden="false" customHeight="false" outlineLevel="0" collapsed="false">
      <c r="A2233" s="13" t="s">
        <v>628</v>
      </c>
      <c r="B2233" s="13" t="s">
        <v>627</v>
      </c>
      <c r="C2233" s="13" t="s">
        <v>2264</v>
      </c>
      <c r="D2233" s="13" t="s">
        <v>2270</v>
      </c>
      <c r="E2233" s="13" t="s">
        <v>2498</v>
      </c>
      <c r="F2233" s="13" t="s">
        <v>2503</v>
      </c>
      <c r="G2233" s="61" t="n">
        <v>0</v>
      </c>
      <c r="H2233" s="13" t="s">
        <v>2255</v>
      </c>
      <c r="I2233" s="13" t="s">
        <v>2477</v>
      </c>
      <c r="J2233" s="13" t="n">
        <v>51</v>
      </c>
      <c r="K2233" s="13" t="s">
        <v>2478</v>
      </c>
      <c r="L2233" s="13" t="s">
        <v>2265</v>
      </c>
      <c r="M2233" s="13" t="s">
        <v>2479</v>
      </c>
    </row>
    <row r="2234" customFormat="false" ht="15" hidden="false" customHeight="false" outlineLevel="0" collapsed="false">
      <c r="A2234" s="13" t="s">
        <v>628</v>
      </c>
      <c r="B2234" s="13" t="s">
        <v>627</v>
      </c>
      <c r="C2234" s="13" t="s">
        <v>2264</v>
      </c>
      <c r="D2234" s="13" t="s">
        <v>2270</v>
      </c>
      <c r="E2234" s="13" t="s">
        <v>2499</v>
      </c>
      <c r="F2234" s="13" t="s">
        <v>2503</v>
      </c>
      <c r="G2234" s="61" t="n">
        <v>8461653096</v>
      </c>
      <c r="H2234" s="13" t="s">
        <v>2255</v>
      </c>
      <c r="I2234" s="13" t="s">
        <v>2477</v>
      </c>
      <c r="J2234" s="13" t="n">
        <v>51</v>
      </c>
      <c r="K2234" s="13" t="s">
        <v>2478</v>
      </c>
      <c r="L2234" s="13" t="s">
        <v>2265</v>
      </c>
      <c r="M2234" s="13" t="s">
        <v>2479</v>
      </c>
    </row>
    <row r="2235" customFormat="false" ht="15" hidden="false" customHeight="false" outlineLevel="0" collapsed="false">
      <c r="A2235" s="13" t="s">
        <v>628</v>
      </c>
      <c r="B2235" s="13" t="s">
        <v>627</v>
      </c>
      <c r="C2235" s="13" t="s">
        <v>2264</v>
      </c>
      <c r="D2235" s="13" t="s">
        <v>2270</v>
      </c>
      <c r="E2235" s="13" t="s">
        <v>2493</v>
      </c>
      <c r="F2235" s="13" t="s">
        <v>2504</v>
      </c>
      <c r="G2235" s="61" t="n">
        <v>15171764814</v>
      </c>
      <c r="H2235" s="13" t="s">
        <v>2255</v>
      </c>
      <c r="I2235" s="13" t="s">
        <v>2477</v>
      </c>
      <c r="J2235" s="13" t="n">
        <v>51</v>
      </c>
      <c r="K2235" s="13" t="s">
        <v>2478</v>
      </c>
      <c r="L2235" s="13" t="s">
        <v>2265</v>
      </c>
      <c r="M2235" s="13" t="s">
        <v>2479</v>
      </c>
    </row>
    <row r="2236" customFormat="false" ht="15" hidden="false" customHeight="false" outlineLevel="0" collapsed="false">
      <c r="A2236" s="13" t="s">
        <v>628</v>
      </c>
      <c r="B2236" s="13" t="s">
        <v>627</v>
      </c>
      <c r="C2236" s="13" t="s">
        <v>2264</v>
      </c>
      <c r="D2236" s="13" t="s">
        <v>2270</v>
      </c>
      <c r="E2236" s="13" t="s">
        <v>2494</v>
      </c>
      <c r="F2236" s="13" t="s">
        <v>2504</v>
      </c>
      <c r="G2236" s="61" t="n">
        <v>1778716356</v>
      </c>
      <c r="H2236" s="13" t="s">
        <v>2255</v>
      </c>
      <c r="I2236" s="13" t="s">
        <v>2477</v>
      </c>
      <c r="J2236" s="13" t="n">
        <v>51</v>
      </c>
      <c r="K2236" s="13" t="s">
        <v>2478</v>
      </c>
      <c r="L2236" s="13" t="s">
        <v>2265</v>
      </c>
      <c r="M2236" s="13" t="s">
        <v>2479</v>
      </c>
    </row>
    <row r="2237" customFormat="false" ht="15" hidden="false" customHeight="false" outlineLevel="0" collapsed="false">
      <c r="A2237" s="13" t="s">
        <v>628</v>
      </c>
      <c r="B2237" s="13" t="s">
        <v>627</v>
      </c>
      <c r="C2237" s="13" t="s">
        <v>2264</v>
      </c>
      <c r="D2237" s="13" t="s">
        <v>2270</v>
      </c>
      <c r="E2237" s="13" t="s">
        <v>2495</v>
      </c>
      <c r="F2237" s="13" t="s">
        <v>2504</v>
      </c>
      <c r="G2237" s="61" t="n">
        <v>-695799541</v>
      </c>
      <c r="H2237" s="13" t="s">
        <v>2255</v>
      </c>
      <c r="I2237" s="13" t="s">
        <v>2477</v>
      </c>
      <c r="J2237" s="13" t="n">
        <v>51</v>
      </c>
      <c r="K2237" s="13" t="s">
        <v>2478</v>
      </c>
      <c r="L2237" s="13" t="s">
        <v>2265</v>
      </c>
      <c r="M2237" s="13" t="s">
        <v>2479</v>
      </c>
    </row>
    <row r="2238" customFormat="false" ht="15" hidden="false" customHeight="false" outlineLevel="0" collapsed="false">
      <c r="A2238" s="13" t="s">
        <v>628</v>
      </c>
      <c r="B2238" s="13" t="s">
        <v>627</v>
      </c>
      <c r="C2238" s="13" t="s">
        <v>2264</v>
      </c>
      <c r="D2238" s="13" t="s">
        <v>2270</v>
      </c>
      <c r="E2238" s="13" t="s">
        <v>2496</v>
      </c>
      <c r="F2238" s="13" t="s">
        <v>2504</v>
      </c>
      <c r="G2238" s="61" t="n">
        <v>0</v>
      </c>
      <c r="H2238" s="13" t="s">
        <v>2255</v>
      </c>
      <c r="I2238" s="13" t="s">
        <v>2477</v>
      </c>
      <c r="J2238" s="13" t="n">
        <v>51</v>
      </c>
      <c r="K2238" s="13" t="s">
        <v>2478</v>
      </c>
      <c r="L2238" s="13" t="s">
        <v>2265</v>
      </c>
      <c r="M2238" s="13" t="s">
        <v>2479</v>
      </c>
    </row>
    <row r="2239" customFormat="false" ht="15" hidden="false" customHeight="false" outlineLevel="0" collapsed="false">
      <c r="A2239" s="13" t="s">
        <v>628</v>
      </c>
      <c r="B2239" s="13" t="s">
        <v>627</v>
      </c>
      <c r="C2239" s="13" t="s">
        <v>2264</v>
      </c>
      <c r="D2239" s="13" t="s">
        <v>2270</v>
      </c>
      <c r="E2239" s="13" t="s">
        <v>2497</v>
      </c>
      <c r="F2239" s="13" t="s">
        <v>2504</v>
      </c>
      <c r="G2239" s="61" t="n">
        <v>0</v>
      </c>
      <c r="H2239" s="13" t="s">
        <v>2255</v>
      </c>
      <c r="I2239" s="13" t="s">
        <v>2477</v>
      </c>
      <c r="J2239" s="13" t="n">
        <v>51</v>
      </c>
      <c r="K2239" s="13" t="s">
        <v>2478</v>
      </c>
      <c r="L2239" s="13" t="s">
        <v>2265</v>
      </c>
      <c r="M2239" s="13" t="s">
        <v>2479</v>
      </c>
    </row>
    <row r="2240" customFormat="false" ht="15" hidden="false" customHeight="false" outlineLevel="0" collapsed="false">
      <c r="A2240" s="13" t="s">
        <v>628</v>
      </c>
      <c r="B2240" s="13" t="s">
        <v>627</v>
      </c>
      <c r="C2240" s="13" t="s">
        <v>2264</v>
      </c>
      <c r="D2240" s="13" t="s">
        <v>2270</v>
      </c>
      <c r="E2240" s="13" t="s">
        <v>2498</v>
      </c>
      <c r="F2240" s="13" t="s">
        <v>2504</v>
      </c>
      <c r="G2240" s="61" t="n">
        <v>0</v>
      </c>
      <c r="H2240" s="13" t="s">
        <v>2255</v>
      </c>
      <c r="I2240" s="13" t="s">
        <v>2477</v>
      </c>
      <c r="J2240" s="13" t="n">
        <v>51</v>
      </c>
      <c r="K2240" s="13" t="s">
        <v>2478</v>
      </c>
      <c r="L2240" s="13" t="s">
        <v>2265</v>
      </c>
      <c r="M2240" s="13" t="s">
        <v>2479</v>
      </c>
    </row>
    <row r="2241" customFormat="false" ht="15" hidden="false" customHeight="false" outlineLevel="0" collapsed="false">
      <c r="A2241" s="13" t="s">
        <v>628</v>
      </c>
      <c r="B2241" s="13" t="s">
        <v>627</v>
      </c>
      <c r="C2241" s="13" t="s">
        <v>2264</v>
      </c>
      <c r="D2241" s="13" t="s">
        <v>2270</v>
      </c>
      <c r="E2241" s="13" t="s">
        <v>2499</v>
      </c>
      <c r="F2241" s="13" t="s">
        <v>2504</v>
      </c>
      <c r="G2241" s="61" t="n">
        <v>16254681629</v>
      </c>
      <c r="H2241" s="13" t="s">
        <v>2255</v>
      </c>
      <c r="I2241" s="13" t="s">
        <v>2477</v>
      </c>
      <c r="J2241" s="13" t="n">
        <v>51</v>
      </c>
      <c r="K2241" s="13" t="s">
        <v>2478</v>
      </c>
      <c r="L2241" s="13" t="s">
        <v>2265</v>
      </c>
      <c r="M2241" s="13" t="s">
        <v>2479</v>
      </c>
    </row>
    <row r="2242" customFormat="false" ht="15" hidden="false" customHeight="false" outlineLevel="0" collapsed="false">
      <c r="A2242" s="13" t="s">
        <v>628</v>
      </c>
      <c r="B2242" s="13" t="s">
        <v>627</v>
      </c>
      <c r="C2242" s="13" t="s">
        <v>2264</v>
      </c>
      <c r="D2242" s="13" t="s">
        <v>2270</v>
      </c>
      <c r="E2242" s="13" t="s">
        <v>2493</v>
      </c>
      <c r="F2242" s="13" t="s">
        <v>2290</v>
      </c>
      <c r="G2242" s="61" t="n">
        <v>443388811393</v>
      </c>
      <c r="H2242" s="13" t="s">
        <v>2255</v>
      </c>
      <c r="I2242" s="13" t="s">
        <v>2477</v>
      </c>
      <c r="J2242" s="13" t="n">
        <v>51</v>
      </c>
      <c r="K2242" s="13" t="s">
        <v>2478</v>
      </c>
      <c r="L2242" s="13" t="s">
        <v>2265</v>
      </c>
      <c r="M2242" s="13" t="s">
        <v>2479</v>
      </c>
    </row>
    <row r="2243" customFormat="false" ht="15" hidden="false" customHeight="false" outlineLevel="0" collapsed="false">
      <c r="A2243" s="13" t="s">
        <v>628</v>
      </c>
      <c r="B2243" s="13" t="s">
        <v>627</v>
      </c>
      <c r="C2243" s="13" t="s">
        <v>2264</v>
      </c>
      <c r="D2243" s="13" t="s">
        <v>2270</v>
      </c>
      <c r="E2243" s="13" t="s">
        <v>2494</v>
      </c>
      <c r="F2243" s="13" t="s">
        <v>2290</v>
      </c>
      <c r="G2243" s="61" t="n">
        <v>94759038958</v>
      </c>
      <c r="H2243" s="13" t="s">
        <v>2255</v>
      </c>
      <c r="I2243" s="13" t="s">
        <v>2477</v>
      </c>
      <c r="J2243" s="13" t="n">
        <v>51</v>
      </c>
      <c r="K2243" s="13" t="s">
        <v>2478</v>
      </c>
      <c r="L2243" s="13" t="s">
        <v>2265</v>
      </c>
      <c r="M2243" s="13" t="s">
        <v>2479</v>
      </c>
    </row>
    <row r="2244" customFormat="false" ht="15" hidden="false" customHeight="false" outlineLevel="0" collapsed="false">
      <c r="A2244" s="13" t="s">
        <v>628</v>
      </c>
      <c r="B2244" s="13" t="s">
        <v>627</v>
      </c>
      <c r="C2244" s="13" t="s">
        <v>2264</v>
      </c>
      <c r="D2244" s="13" t="s">
        <v>2270</v>
      </c>
      <c r="E2244" s="13" t="s">
        <v>2495</v>
      </c>
      <c r="F2244" s="13" t="s">
        <v>2290</v>
      </c>
      <c r="G2244" s="61" t="n">
        <v>-6499461351</v>
      </c>
      <c r="H2244" s="13" t="s">
        <v>2255</v>
      </c>
      <c r="I2244" s="13" t="s">
        <v>2477</v>
      </c>
      <c r="J2244" s="13" t="n">
        <v>51</v>
      </c>
      <c r="K2244" s="13" t="s">
        <v>2478</v>
      </c>
      <c r="L2244" s="13" t="s">
        <v>2265</v>
      </c>
      <c r="M2244" s="13" t="s">
        <v>2479</v>
      </c>
    </row>
    <row r="2245" customFormat="false" ht="15" hidden="false" customHeight="false" outlineLevel="0" collapsed="false">
      <c r="A2245" s="13" t="s">
        <v>628</v>
      </c>
      <c r="B2245" s="13" t="s">
        <v>627</v>
      </c>
      <c r="C2245" s="13" t="s">
        <v>2264</v>
      </c>
      <c r="D2245" s="13" t="s">
        <v>2270</v>
      </c>
      <c r="E2245" s="13" t="s">
        <v>2496</v>
      </c>
      <c r="F2245" s="13" t="s">
        <v>2290</v>
      </c>
      <c r="G2245" s="61" t="n">
        <v>0</v>
      </c>
      <c r="H2245" s="13" t="s">
        <v>2255</v>
      </c>
      <c r="I2245" s="13" t="s">
        <v>2477</v>
      </c>
      <c r="J2245" s="13" t="n">
        <v>51</v>
      </c>
      <c r="K2245" s="13" t="s">
        <v>2478</v>
      </c>
      <c r="L2245" s="13" t="s">
        <v>2265</v>
      </c>
      <c r="M2245" s="13" t="s">
        <v>2479</v>
      </c>
    </row>
    <row r="2246" customFormat="false" ht="15" hidden="false" customHeight="false" outlineLevel="0" collapsed="false">
      <c r="A2246" s="13" t="s">
        <v>628</v>
      </c>
      <c r="B2246" s="13" t="s">
        <v>627</v>
      </c>
      <c r="C2246" s="13" t="s">
        <v>2264</v>
      </c>
      <c r="D2246" s="13" t="s">
        <v>2270</v>
      </c>
      <c r="E2246" s="13" t="s">
        <v>2497</v>
      </c>
      <c r="F2246" s="13" t="s">
        <v>2290</v>
      </c>
      <c r="G2246" s="61" t="n">
        <v>0</v>
      </c>
      <c r="H2246" s="13" t="s">
        <v>2255</v>
      </c>
      <c r="I2246" s="13" t="s">
        <v>2477</v>
      </c>
      <c r="J2246" s="13" t="n">
        <v>51</v>
      </c>
      <c r="K2246" s="13" t="s">
        <v>2478</v>
      </c>
      <c r="L2246" s="13" t="s">
        <v>2265</v>
      </c>
      <c r="M2246" s="13" t="s">
        <v>2479</v>
      </c>
    </row>
    <row r="2247" customFormat="false" ht="15" hidden="false" customHeight="false" outlineLevel="0" collapsed="false">
      <c r="A2247" s="13" t="s">
        <v>628</v>
      </c>
      <c r="B2247" s="13" t="s">
        <v>627</v>
      </c>
      <c r="C2247" s="13" t="s">
        <v>2264</v>
      </c>
      <c r="D2247" s="13" t="s">
        <v>2270</v>
      </c>
      <c r="E2247" s="13" t="s">
        <v>2498</v>
      </c>
      <c r="F2247" s="13" t="s">
        <v>2290</v>
      </c>
      <c r="G2247" s="61" t="n">
        <v>0</v>
      </c>
      <c r="H2247" s="13" t="s">
        <v>2255</v>
      </c>
      <c r="I2247" s="13" t="s">
        <v>2477</v>
      </c>
      <c r="J2247" s="13" t="n">
        <v>51</v>
      </c>
      <c r="K2247" s="13" t="s">
        <v>2478</v>
      </c>
      <c r="L2247" s="13" t="s">
        <v>2265</v>
      </c>
      <c r="M2247" s="13" t="s">
        <v>2479</v>
      </c>
    </row>
    <row r="2248" customFormat="false" ht="15" hidden="false" customHeight="false" outlineLevel="0" collapsed="false">
      <c r="A2248" s="13" t="s">
        <v>628</v>
      </c>
      <c r="B2248" s="13" t="s">
        <v>627</v>
      </c>
      <c r="C2248" s="13" t="s">
        <v>2264</v>
      </c>
      <c r="D2248" s="13" t="s">
        <v>2270</v>
      </c>
      <c r="E2248" s="13" t="s">
        <v>2499</v>
      </c>
      <c r="F2248" s="13" t="s">
        <v>2290</v>
      </c>
      <c r="G2248" s="61" t="n">
        <v>531648389000</v>
      </c>
      <c r="H2248" s="13" t="s">
        <v>2255</v>
      </c>
      <c r="I2248" s="13" t="s">
        <v>2477</v>
      </c>
      <c r="J2248" s="13" t="n">
        <v>51</v>
      </c>
      <c r="K2248" s="13" t="s">
        <v>2478</v>
      </c>
      <c r="L2248" s="13" t="s">
        <v>2265</v>
      </c>
      <c r="M2248" s="13" t="s">
        <v>2479</v>
      </c>
    </row>
    <row r="2249" customFormat="false" ht="15" hidden="false" customHeight="false" outlineLevel="0" collapsed="false">
      <c r="A2249" s="13" t="s">
        <v>628</v>
      </c>
      <c r="B2249" s="13" t="s">
        <v>627</v>
      </c>
      <c r="C2249" s="13" t="s">
        <v>2264</v>
      </c>
      <c r="D2249" s="13" t="s">
        <v>2270</v>
      </c>
      <c r="E2249" s="13" t="s">
        <v>2505</v>
      </c>
      <c r="F2249" s="13" t="s">
        <v>2447</v>
      </c>
      <c r="G2249" s="61" t="n">
        <v>1068606927674</v>
      </c>
      <c r="H2249" s="13" t="s">
        <v>2255</v>
      </c>
      <c r="I2249" s="13" t="s">
        <v>2477</v>
      </c>
      <c r="J2249" s="13" t="n">
        <v>51</v>
      </c>
      <c r="K2249" s="13" t="s">
        <v>2478</v>
      </c>
      <c r="L2249" s="13" t="s">
        <v>2265</v>
      </c>
      <c r="M2249" s="13" t="s">
        <v>2479</v>
      </c>
    </row>
    <row r="2250" customFormat="false" ht="15" hidden="false" customHeight="false" outlineLevel="0" collapsed="false">
      <c r="A2250" s="13" t="s">
        <v>628</v>
      </c>
      <c r="B2250" s="13" t="s">
        <v>627</v>
      </c>
      <c r="C2250" s="13" t="s">
        <v>2264</v>
      </c>
      <c r="D2250" s="13" t="s">
        <v>2270</v>
      </c>
      <c r="E2250" s="13" t="s">
        <v>2506</v>
      </c>
      <c r="F2250" s="13" t="s">
        <v>2447</v>
      </c>
      <c r="G2250" s="61" t="n">
        <v>2210812865</v>
      </c>
      <c r="H2250" s="13" t="s">
        <v>2255</v>
      </c>
      <c r="I2250" s="13" t="s">
        <v>2477</v>
      </c>
      <c r="J2250" s="13" t="n">
        <v>51</v>
      </c>
      <c r="K2250" s="13" t="s">
        <v>2478</v>
      </c>
      <c r="L2250" s="13" t="s">
        <v>2265</v>
      </c>
      <c r="M2250" s="13" t="s">
        <v>2479</v>
      </c>
    </row>
    <row r="2251" customFormat="false" ht="15" hidden="false" customHeight="false" outlineLevel="0" collapsed="false">
      <c r="A2251" s="13" t="s">
        <v>628</v>
      </c>
      <c r="B2251" s="13" t="s">
        <v>627</v>
      </c>
      <c r="C2251" s="13" t="s">
        <v>2264</v>
      </c>
      <c r="D2251" s="13" t="s">
        <v>2270</v>
      </c>
      <c r="E2251" s="13" t="s">
        <v>2507</v>
      </c>
      <c r="F2251" s="13" t="s">
        <v>2447</v>
      </c>
      <c r="G2251" s="61" t="n">
        <v>0</v>
      </c>
      <c r="H2251" s="13" t="s">
        <v>2255</v>
      </c>
      <c r="I2251" s="13" t="s">
        <v>2477</v>
      </c>
      <c r="J2251" s="13" t="n">
        <v>51</v>
      </c>
      <c r="K2251" s="13" t="s">
        <v>2478</v>
      </c>
      <c r="L2251" s="13" t="s">
        <v>2265</v>
      </c>
      <c r="M2251" s="13" t="s">
        <v>2479</v>
      </c>
    </row>
    <row r="2252" customFormat="false" ht="15" hidden="false" customHeight="false" outlineLevel="0" collapsed="false">
      <c r="A2252" s="13" t="s">
        <v>628</v>
      </c>
      <c r="B2252" s="13" t="s">
        <v>627</v>
      </c>
      <c r="C2252" s="13" t="s">
        <v>2264</v>
      </c>
      <c r="D2252" s="13" t="s">
        <v>2270</v>
      </c>
      <c r="E2252" s="13" t="s">
        <v>2508</v>
      </c>
      <c r="F2252" s="13" t="s">
        <v>2447</v>
      </c>
      <c r="G2252" s="61" t="n">
        <v>2179185000</v>
      </c>
      <c r="H2252" s="13" t="s">
        <v>2255</v>
      </c>
      <c r="I2252" s="13" t="s">
        <v>2477</v>
      </c>
      <c r="J2252" s="13" t="n">
        <v>51</v>
      </c>
      <c r="K2252" s="13" t="s">
        <v>2478</v>
      </c>
      <c r="L2252" s="13" t="s">
        <v>2265</v>
      </c>
      <c r="M2252" s="13" t="s">
        <v>2479</v>
      </c>
    </row>
    <row r="2253" customFormat="false" ht="15" hidden="false" customHeight="false" outlineLevel="0" collapsed="false">
      <c r="A2253" s="13" t="s">
        <v>628</v>
      </c>
      <c r="B2253" s="13" t="s">
        <v>627</v>
      </c>
      <c r="C2253" s="13" t="s">
        <v>2264</v>
      </c>
      <c r="D2253" s="13" t="s">
        <v>2270</v>
      </c>
      <c r="E2253" s="13" t="s">
        <v>2509</v>
      </c>
      <c r="F2253" s="13" t="s">
        <v>2447</v>
      </c>
      <c r="G2253" s="61" t="n">
        <v>0</v>
      </c>
      <c r="H2253" s="13" t="s">
        <v>2255</v>
      </c>
      <c r="I2253" s="13" t="s">
        <v>2477</v>
      </c>
      <c r="J2253" s="13" t="n">
        <v>51</v>
      </c>
      <c r="K2253" s="13" t="s">
        <v>2478</v>
      </c>
      <c r="L2253" s="13" t="s">
        <v>2265</v>
      </c>
      <c r="M2253" s="13" t="s">
        <v>2479</v>
      </c>
    </row>
    <row r="2254" customFormat="false" ht="15" hidden="false" customHeight="false" outlineLevel="0" collapsed="false">
      <c r="A2254" s="13" t="s">
        <v>628</v>
      </c>
      <c r="B2254" s="13" t="s">
        <v>627</v>
      </c>
      <c r="C2254" s="13" t="s">
        <v>2264</v>
      </c>
      <c r="D2254" s="13" t="s">
        <v>2270</v>
      </c>
      <c r="E2254" s="13" t="s">
        <v>2510</v>
      </c>
      <c r="F2254" s="13" t="s">
        <v>2447</v>
      </c>
      <c r="G2254" s="61" t="n">
        <v>0</v>
      </c>
      <c r="H2254" s="13" t="s">
        <v>2255</v>
      </c>
      <c r="I2254" s="13" t="s">
        <v>2477</v>
      </c>
      <c r="J2254" s="13" t="n">
        <v>51</v>
      </c>
      <c r="K2254" s="13" t="s">
        <v>2478</v>
      </c>
      <c r="L2254" s="13" t="s">
        <v>2265</v>
      </c>
      <c r="M2254" s="13" t="s">
        <v>2479</v>
      </c>
    </row>
    <row r="2255" customFormat="false" ht="15" hidden="false" customHeight="false" outlineLevel="0" collapsed="false">
      <c r="A2255" s="13" t="s">
        <v>628</v>
      </c>
      <c r="B2255" s="13" t="s">
        <v>627</v>
      </c>
      <c r="C2255" s="13" t="s">
        <v>2264</v>
      </c>
      <c r="D2255" s="13" t="s">
        <v>2270</v>
      </c>
      <c r="E2255" s="13" t="s">
        <v>2511</v>
      </c>
      <c r="F2255" s="13" t="s">
        <v>2447</v>
      </c>
      <c r="G2255" s="61" t="n">
        <v>1072996925539</v>
      </c>
      <c r="H2255" s="13" t="s">
        <v>2255</v>
      </c>
      <c r="I2255" s="13" t="s">
        <v>2477</v>
      </c>
      <c r="J2255" s="13" t="n">
        <v>51</v>
      </c>
      <c r="K2255" s="13" t="s">
        <v>2478</v>
      </c>
      <c r="L2255" s="13" t="s">
        <v>2265</v>
      </c>
      <c r="M2255" s="13" t="s">
        <v>2479</v>
      </c>
    </row>
    <row r="2256" customFormat="false" ht="15" hidden="false" customHeight="false" outlineLevel="0" collapsed="false">
      <c r="A2256" s="13" t="s">
        <v>628</v>
      </c>
      <c r="B2256" s="13" t="s">
        <v>627</v>
      </c>
      <c r="C2256" s="13" t="s">
        <v>2264</v>
      </c>
      <c r="D2256" s="13" t="s">
        <v>2270</v>
      </c>
      <c r="E2256" s="13" t="s">
        <v>2505</v>
      </c>
      <c r="F2256" s="13" t="s">
        <v>2448</v>
      </c>
      <c r="G2256" s="61" t="n">
        <v>430318910385</v>
      </c>
      <c r="H2256" s="13" t="s">
        <v>2255</v>
      </c>
      <c r="I2256" s="13" t="s">
        <v>2477</v>
      </c>
      <c r="J2256" s="13" t="n">
        <v>51</v>
      </c>
      <c r="K2256" s="13" t="s">
        <v>2478</v>
      </c>
      <c r="L2256" s="13" t="s">
        <v>2265</v>
      </c>
      <c r="M2256" s="13" t="s">
        <v>2479</v>
      </c>
    </row>
    <row r="2257" customFormat="false" ht="15" hidden="false" customHeight="false" outlineLevel="0" collapsed="false">
      <c r="A2257" s="13" t="s">
        <v>628</v>
      </c>
      <c r="B2257" s="13" t="s">
        <v>627</v>
      </c>
      <c r="C2257" s="13" t="s">
        <v>2264</v>
      </c>
      <c r="D2257" s="13" t="s">
        <v>2270</v>
      </c>
      <c r="E2257" s="13" t="s">
        <v>2506</v>
      </c>
      <c r="F2257" s="13" t="s">
        <v>2448</v>
      </c>
      <c r="G2257" s="61" t="n">
        <v>47840045746</v>
      </c>
      <c r="H2257" s="13" t="s">
        <v>2255</v>
      </c>
      <c r="I2257" s="13" t="s">
        <v>2477</v>
      </c>
      <c r="J2257" s="13" t="n">
        <v>51</v>
      </c>
      <c r="K2257" s="13" t="s">
        <v>2478</v>
      </c>
      <c r="L2257" s="13" t="s">
        <v>2265</v>
      </c>
      <c r="M2257" s="13" t="s">
        <v>2479</v>
      </c>
    </row>
    <row r="2258" customFormat="false" ht="15" hidden="false" customHeight="false" outlineLevel="0" collapsed="false">
      <c r="A2258" s="13" t="s">
        <v>628</v>
      </c>
      <c r="B2258" s="13" t="s">
        <v>627</v>
      </c>
      <c r="C2258" s="13" t="s">
        <v>2264</v>
      </c>
      <c r="D2258" s="13" t="s">
        <v>2270</v>
      </c>
      <c r="E2258" s="13" t="s">
        <v>2507</v>
      </c>
      <c r="F2258" s="13" t="s">
        <v>2448</v>
      </c>
      <c r="G2258" s="61" t="n">
        <v>0</v>
      </c>
      <c r="H2258" s="13" t="s">
        <v>2255</v>
      </c>
      <c r="I2258" s="13" t="s">
        <v>2477</v>
      </c>
      <c r="J2258" s="13" t="n">
        <v>51</v>
      </c>
      <c r="K2258" s="13" t="s">
        <v>2478</v>
      </c>
      <c r="L2258" s="13" t="s">
        <v>2265</v>
      </c>
      <c r="M2258" s="13" t="s">
        <v>2479</v>
      </c>
    </row>
    <row r="2259" customFormat="false" ht="15" hidden="false" customHeight="false" outlineLevel="0" collapsed="false">
      <c r="A2259" s="13" t="s">
        <v>628</v>
      </c>
      <c r="B2259" s="13" t="s">
        <v>627</v>
      </c>
      <c r="C2259" s="13" t="s">
        <v>2264</v>
      </c>
      <c r="D2259" s="13" t="s">
        <v>2270</v>
      </c>
      <c r="E2259" s="13" t="s">
        <v>2508</v>
      </c>
      <c r="F2259" s="13" t="s">
        <v>2448</v>
      </c>
      <c r="G2259" s="61" t="n">
        <v>46187836688</v>
      </c>
      <c r="H2259" s="13" t="s">
        <v>2255</v>
      </c>
      <c r="I2259" s="13" t="s">
        <v>2477</v>
      </c>
      <c r="J2259" s="13" t="n">
        <v>51</v>
      </c>
      <c r="K2259" s="13" t="s">
        <v>2478</v>
      </c>
      <c r="L2259" s="13" t="s">
        <v>2265</v>
      </c>
      <c r="M2259" s="13" t="s">
        <v>2479</v>
      </c>
    </row>
    <row r="2260" customFormat="false" ht="15" hidden="false" customHeight="false" outlineLevel="0" collapsed="false">
      <c r="A2260" s="13" t="s">
        <v>628</v>
      </c>
      <c r="B2260" s="13" t="s">
        <v>627</v>
      </c>
      <c r="C2260" s="13" t="s">
        <v>2264</v>
      </c>
      <c r="D2260" s="13" t="s">
        <v>2270</v>
      </c>
      <c r="E2260" s="13" t="s">
        <v>2509</v>
      </c>
      <c r="F2260" s="13" t="s">
        <v>2448</v>
      </c>
      <c r="G2260" s="61" t="n">
        <v>0</v>
      </c>
      <c r="H2260" s="13" t="s">
        <v>2255</v>
      </c>
      <c r="I2260" s="13" t="s">
        <v>2477</v>
      </c>
      <c r="J2260" s="13" t="n">
        <v>51</v>
      </c>
      <c r="K2260" s="13" t="s">
        <v>2478</v>
      </c>
      <c r="L2260" s="13" t="s">
        <v>2265</v>
      </c>
      <c r="M2260" s="13" t="s">
        <v>2479</v>
      </c>
    </row>
    <row r="2261" customFormat="false" ht="15" hidden="false" customHeight="false" outlineLevel="0" collapsed="false">
      <c r="A2261" s="13" t="s">
        <v>628</v>
      </c>
      <c r="B2261" s="13" t="s">
        <v>627</v>
      </c>
      <c r="C2261" s="13" t="s">
        <v>2264</v>
      </c>
      <c r="D2261" s="13" t="s">
        <v>2270</v>
      </c>
      <c r="E2261" s="13" t="s">
        <v>2510</v>
      </c>
      <c r="F2261" s="13" t="s">
        <v>2448</v>
      </c>
      <c r="G2261" s="61" t="n">
        <v>0</v>
      </c>
      <c r="H2261" s="13" t="s">
        <v>2255</v>
      </c>
      <c r="I2261" s="13" t="s">
        <v>2477</v>
      </c>
      <c r="J2261" s="13" t="n">
        <v>51</v>
      </c>
      <c r="K2261" s="13" t="s">
        <v>2478</v>
      </c>
      <c r="L2261" s="13" t="s">
        <v>2265</v>
      </c>
      <c r="M2261" s="13" t="s">
        <v>2479</v>
      </c>
    </row>
    <row r="2262" customFormat="false" ht="15" hidden="false" customHeight="false" outlineLevel="0" collapsed="false">
      <c r="A2262" s="13" t="s">
        <v>628</v>
      </c>
      <c r="B2262" s="13" t="s">
        <v>627</v>
      </c>
      <c r="C2262" s="13" t="s">
        <v>2264</v>
      </c>
      <c r="D2262" s="13" t="s">
        <v>2270</v>
      </c>
      <c r="E2262" s="13" t="s">
        <v>2511</v>
      </c>
      <c r="F2262" s="13" t="s">
        <v>2448</v>
      </c>
      <c r="G2262" s="61" t="n">
        <v>524346792819</v>
      </c>
      <c r="H2262" s="13" t="s">
        <v>2255</v>
      </c>
      <c r="I2262" s="13" t="s">
        <v>2477</v>
      </c>
      <c r="J2262" s="13" t="n">
        <v>51</v>
      </c>
      <c r="K2262" s="13" t="s">
        <v>2478</v>
      </c>
      <c r="L2262" s="13" t="s">
        <v>2265</v>
      </c>
      <c r="M2262" s="13" t="s">
        <v>2479</v>
      </c>
    </row>
    <row r="2263" customFormat="false" ht="15" hidden="false" customHeight="false" outlineLevel="0" collapsed="false">
      <c r="A2263" s="13" t="s">
        <v>628</v>
      </c>
      <c r="B2263" s="13" t="s">
        <v>627</v>
      </c>
      <c r="C2263" s="13" t="s">
        <v>2264</v>
      </c>
      <c r="D2263" s="13" t="s">
        <v>2270</v>
      </c>
      <c r="E2263" s="13" t="s">
        <v>2505</v>
      </c>
      <c r="F2263" s="13" t="s">
        <v>2500</v>
      </c>
      <c r="G2263" s="61" t="n">
        <v>399913351416</v>
      </c>
      <c r="H2263" s="13" t="s">
        <v>2255</v>
      </c>
      <c r="I2263" s="13" t="s">
        <v>2477</v>
      </c>
      <c r="J2263" s="13" t="n">
        <v>51</v>
      </c>
      <c r="K2263" s="13" t="s">
        <v>2478</v>
      </c>
      <c r="L2263" s="13" t="s">
        <v>2265</v>
      </c>
      <c r="M2263" s="13" t="s">
        <v>2479</v>
      </c>
    </row>
    <row r="2264" customFormat="false" ht="15" hidden="false" customHeight="false" outlineLevel="0" collapsed="false">
      <c r="A2264" s="13" t="s">
        <v>628</v>
      </c>
      <c r="B2264" s="13" t="s">
        <v>627</v>
      </c>
      <c r="C2264" s="13" t="s">
        <v>2264</v>
      </c>
      <c r="D2264" s="13" t="s">
        <v>2270</v>
      </c>
      <c r="E2264" s="13" t="s">
        <v>2506</v>
      </c>
      <c r="F2264" s="13" t="s">
        <v>2500</v>
      </c>
      <c r="G2264" s="61" t="n">
        <v>58198193346</v>
      </c>
      <c r="H2264" s="13" t="s">
        <v>2255</v>
      </c>
      <c r="I2264" s="13" t="s">
        <v>2477</v>
      </c>
      <c r="J2264" s="13" t="n">
        <v>51</v>
      </c>
      <c r="K2264" s="13" t="s">
        <v>2478</v>
      </c>
      <c r="L2264" s="13" t="s">
        <v>2265</v>
      </c>
      <c r="M2264" s="13" t="s">
        <v>2479</v>
      </c>
    </row>
    <row r="2265" customFormat="false" ht="15" hidden="false" customHeight="false" outlineLevel="0" collapsed="false">
      <c r="A2265" s="13" t="s">
        <v>628</v>
      </c>
      <c r="B2265" s="13" t="s">
        <v>627</v>
      </c>
      <c r="C2265" s="13" t="s">
        <v>2264</v>
      </c>
      <c r="D2265" s="13" t="s">
        <v>2270</v>
      </c>
      <c r="E2265" s="13" t="s">
        <v>2507</v>
      </c>
      <c r="F2265" s="13" t="s">
        <v>2500</v>
      </c>
      <c r="G2265" s="61" t="n">
        <v>-8631109560</v>
      </c>
      <c r="H2265" s="13" t="s">
        <v>2255</v>
      </c>
      <c r="I2265" s="13" t="s">
        <v>2477</v>
      </c>
      <c r="J2265" s="13" t="n">
        <v>51</v>
      </c>
      <c r="K2265" s="13" t="s">
        <v>2478</v>
      </c>
      <c r="L2265" s="13" t="s">
        <v>2265</v>
      </c>
      <c r="M2265" s="13" t="s">
        <v>2479</v>
      </c>
    </row>
    <row r="2266" customFormat="false" ht="15" hidden="false" customHeight="false" outlineLevel="0" collapsed="false">
      <c r="A2266" s="13" t="s">
        <v>628</v>
      </c>
      <c r="B2266" s="13" t="s">
        <v>627</v>
      </c>
      <c r="C2266" s="13" t="s">
        <v>2264</v>
      </c>
      <c r="D2266" s="13" t="s">
        <v>2270</v>
      </c>
      <c r="E2266" s="13" t="s">
        <v>2508</v>
      </c>
      <c r="F2266" s="13" t="s">
        <v>2500</v>
      </c>
      <c r="G2266" s="61" t="n">
        <v>1694308040</v>
      </c>
      <c r="H2266" s="13" t="s">
        <v>2255</v>
      </c>
      <c r="I2266" s="13" t="s">
        <v>2477</v>
      </c>
      <c r="J2266" s="13" t="n">
        <v>51</v>
      </c>
      <c r="K2266" s="13" t="s">
        <v>2478</v>
      </c>
      <c r="L2266" s="13" t="s">
        <v>2265</v>
      </c>
      <c r="M2266" s="13" t="s">
        <v>2479</v>
      </c>
    </row>
    <row r="2267" customFormat="false" ht="15" hidden="false" customHeight="false" outlineLevel="0" collapsed="false">
      <c r="A2267" s="13" t="s">
        <v>628</v>
      </c>
      <c r="B2267" s="13" t="s">
        <v>627</v>
      </c>
      <c r="C2267" s="13" t="s">
        <v>2264</v>
      </c>
      <c r="D2267" s="13" t="s">
        <v>2270</v>
      </c>
      <c r="E2267" s="13" t="s">
        <v>2509</v>
      </c>
      <c r="F2267" s="13" t="s">
        <v>2500</v>
      </c>
      <c r="G2267" s="61" t="n">
        <v>0</v>
      </c>
      <c r="H2267" s="13" t="s">
        <v>2255</v>
      </c>
      <c r="I2267" s="13" t="s">
        <v>2477</v>
      </c>
      <c r="J2267" s="13" t="n">
        <v>51</v>
      </c>
      <c r="K2267" s="13" t="s">
        <v>2478</v>
      </c>
      <c r="L2267" s="13" t="s">
        <v>2265</v>
      </c>
      <c r="M2267" s="13" t="s">
        <v>2479</v>
      </c>
    </row>
    <row r="2268" customFormat="false" ht="15" hidden="false" customHeight="false" outlineLevel="0" collapsed="false">
      <c r="A2268" s="13" t="s">
        <v>628</v>
      </c>
      <c r="B2268" s="13" t="s">
        <v>627</v>
      </c>
      <c r="C2268" s="13" t="s">
        <v>2264</v>
      </c>
      <c r="D2268" s="13" t="s">
        <v>2270</v>
      </c>
      <c r="E2268" s="13" t="s">
        <v>2510</v>
      </c>
      <c r="F2268" s="13" t="s">
        <v>2500</v>
      </c>
      <c r="G2268" s="61" t="n">
        <v>0</v>
      </c>
      <c r="H2268" s="13" t="s">
        <v>2255</v>
      </c>
      <c r="I2268" s="13" t="s">
        <v>2477</v>
      </c>
      <c r="J2268" s="13" t="n">
        <v>51</v>
      </c>
      <c r="K2268" s="13" t="s">
        <v>2478</v>
      </c>
      <c r="L2268" s="13" t="s">
        <v>2265</v>
      </c>
      <c r="M2268" s="13" t="s">
        <v>2479</v>
      </c>
    </row>
    <row r="2269" customFormat="false" ht="15" hidden="false" customHeight="false" outlineLevel="0" collapsed="false">
      <c r="A2269" s="13" t="s">
        <v>628</v>
      </c>
      <c r="B2269" s="13" t="s">
        <v>627</v>
      </c>
      <c r="C2269" s="13" t="s">
        <v>2264</v>
      </c>
      <c r="D2269" s="13" t="s">
        <v>2270</v>
      </c>
      <c r="E2269" s="13" t="s">
        <v>2511</v>
      </c>
      <c r="F2269" s="13" t="s">
        <v>2500</v>
      </c>
      <c r="G2269" s="61" t="n">
        <v>451174743242</v>
      </c>
      <c r="H2269" s="13" t="s">
        <v>2255</v>
      </c>
      <c r="I2269" s="13" t="s">
        <v>2477</v>
      </c>
      <c r="J2269" s="13" t="n">
        <v>51</v>
      </c>
      <c r="K2269" s="13" t="s">
        <v>2478</v>
      </c>
      <c r="L2269" s="13" t="s">
        <v>2265</v>
      </c>
      <c r="M2269" s="13" t="s">
        <v>2479</v>
      </c>
    </row>
    <row r="2270" customFormat="false" ht="15" hidden="false" customHeight="false" outlineLevel="0" collapsed="false">
      <c r="A2270" s="13" t="s">
        <v>628</v>
      </c>
      <c r="B2270" s="13" t="s">
        <v>627</v>
      </c>
      <c r="C2270" s="13" t="s">
        <v>2264</v>
      </c>
      <c r="D2270" s="13" t="s">
        <v>2270</v>
      </c>
      <c r="E2270" s="13" t="s">
        <v>2505</v>
      </c>
      <c r="F2270" s="13" t="s">
        <v>2512</v>
      </c>
      <c r="G2270" s="61" t="n">
        <v>91842422394</v>
      </c>
      <c r="H2270" s="13" t="s">
        <v>2255</v>
      </c>
      <c r="I2270" s="13" t="s">
        <v>2477</v>
      </c>
      <c r="J2270" s="13" t="n">
        <v>51</v>
      </c>
      <c r="K2270" s="13" t="s">
        <v>2478</v>
      </c>
      <c r="L2270" s="13" t="s">
        <v>2265</v>
      </c>
      <c r="M2270" s="13" t="s">
        <v>2479</v>
      </c>
    </row>
    <row r="2271" customFormat="false" ht="15" hidden="false" customHeight="false" outlineLevel="0" collapsed="false">
      <c r="A2271" s="13" t="s">
        <v>628</v>
      </c>
      <c r="B2271" s="13" t="s">
        <v>627</v>
      </c>
      <c r="C2271" s="13" t="s">
        <v>2264</v>
      </c>
      <c r="D2271" s="13" t="s">
        <v>2270</v>
      </c>
      <c r="E2271" s="13" t="s">
        <v>2506</v>
      </c>
      <c r="F2271" s="13" t="s">
        <v>2512</v>
      </c>
      <c r="G2271" s="61" t="n">
        <v>14692717886</v>
      </c>
      <c r="H2271" s="13" t="s">
        <v>2255</v>
      </c>
      <c r="I2271" s="13" t="s">
        <v>2477</v>
      </c>
      <c r="J2271" s="13" t="n">
        <v>51</v>
      </c>
      <c r="K2271" s="13" t="s">
        <v>2478</v>
      </c>
      <c r="L2271" s="13" t="s">
        <v>2265</v>
      </c>
      <c r="M2271" s="13" t="s">
        <v>2479</v>
      </c>
    </row>
    <row r="2272" customFormat="false" ht="15" hidden="false" customHeight="false" outlineLevel="0" collapsed="false">
      <c r="A2272" s="13" t="s">
        <v>628</v>
      </c>
      <c r="B2272" s="13" t="s">
        <v>627</v>
      </c>
      <c r="C2272" s="13" t="s">
        <v>2264</v>
      </c>
      <c r="D2272" s="13" t="s">
        <v>2270</v>
      </c>
      <c r="E2272" s="13" t="s">
        <v>2507</v>
      </c>
      <c r="F2272" s="13" t="s">
        <v>2512</v>
      </c>
      <c r="G2272" s="61" t="n">
        <v>-540413322</v>
      </c>
      <c r="H2272" s="13" t="s">
        <v>2255</v>
      </c>
      <c r="I2272" s="13" t="s">
        <v>2477</v>
      </c>
      <c r="J2272" s="13" t="n">
        <v>51</v>
      </c>
      <c r="K2272" s="13" t="s">
        <v>2478</v>
      </c>
      <c r="L2272" s="13" t="s">
        <v>2265</v>
      </c>
      <c r="M2272" s="13" t="s">
        <v>2479</v>
      </c>
    </row>
    <row r="2273" customFormat="false" ht="15" hidden="false" customHeight="false" outlineLevel="0" collapsed="false">
      <c r="A2273" s="13" t="s">
        <v>628</v>
      </c>
      <c r="B2273" s="13" t="s">
        <v>627</v>
      </c>
      <c r="C2273" s="13" t="s">
        <v>2264</v>
      </c>
      <c r="D2273" s="13" t="s">
        <v>2270</v>
      </c>
      <c r="E2273" s="13" t="s">
        <v>2508</v>
      </c>
      <c r="F2273" s="13" t="s">
        <v>2512</v>
      </c>
      <c r="G2273" s="61" t="n">
        <v>743384290</v>
      </c>
      <c r="H2273" s="13" t="s">
        <v>2255</v>
      </c>
      <c r="I2273" s="13" t="s">
        <v>2477</v>
      </c>
      <c r="J2273" s="13" t="n">
        <v>51</v>
      </c>
      <c r="K2273" s="13" t="s">
        <v>2478</v>
      </c>
      <c r="L2273" s="13" t="s">
        <v>2265</v>
      </c>
      <c r="M2273" s="13" t="s">
        <v>2479</v>
      </c>
    </row>
    <row r="2274" customFormat="false" ht="15" hidden="false" customHeight="false" outlineLevel="0" collapsed="false">
      <c r="A2274" s="13" t="s">
        <v>628</v>
      </c>
      <c r="B2274" s="13" t="s">
        <v>627</v>
      </c>
      <c r="C2274" s="13" t="s">
        <v>2264</v>
      </c>
      <c r="D2274" s="13" t="s">
        <v>2270</v>
      </c>
      <c r="E2274" s="13" t="s">
        <v>2509</v>
      </c>
      <c r="F2274" s="13" t="s">
        <v>2512</v>
      </c>
      <c r="G2274" s="61" t="n">
        <v>0</v>
      </c>
      <c r="H2274" s="13" t="s">
        <v>2255</v>
      </c>
      <c r="I2274" s="13" t="s">
        <v>2477</v>
      </c>
      <c r="J2274" s="13" t="n">
        <v>51</v>
      </c>
      <c r="K2274" s="13" t="s">
        <v>2478</v>
      </c>
      <c r="L2274" s="13" t="s">
        <v>2265</v>
      </c>
      <c r="M2274" s="13" t="s">
        <v>2479</v>
      </c>
    </row>
    <row r="2275" customFormat="false" ht="15" hidden="false" customHeight="false" outlineLevel="0" collapsed="false">
      <c r="A2275" s="13" t="s">
        <v>628</v>
      </c>
      <c r="B2275" s="13" t="s">
        <v>627</v>
      </c>
      <c r="C2275" s="13" t="s">
        <v>2264</v>
      </c>
      <c r="D2275" s="13" t="s">
        <v>2270</v>
      </c>
      <c r="E2275" s="13" t="s">
        <v>2510</v>
      </c>
      <c r="F2275" s="13" t="s">
        <v>2512</v>
      </c>
      <c r="G2275" s="61" t="n">
        <v>0</v>
      </c>
      <c r="H2275" s="13" t="s">
        <v>2255</v>
      </c>
      <c r="I2275" s="13" t="s">
        <v>2477</v>
      </c>
      <c r="J2275" s="13" t="n">
        <v>51</v>
      </c>
      <c r="K2275" s="13" t="s">
        <v>2478</v>
      </c>
      <c r="L2275" s="13" t="s">
        <v>2265</v>
      </c>
      <c r="M2275" s="13" t="s">
        <v>2479</v>
      </c>
    </row>
    <row r="2276" customFormat="false" ht="15" hidden="false" customHeight="false" outlineLevel="0" collapsed="false">
      <c r="A2276" s="13" t="s">
        <v>628</v>
      </c>
      <c r="B2276" s="13" t="s">
        <v>627</v>
      </c>
      <c r="C2276" s="13" t="s">
        <v>2264</v>
      </c>
      <c r="D2276" s="13" t="s">
        <v>2270</v>
      </c>
      <c r="E2276" s="13" t="s">
        <v>2511</v>
      </c>
      <c r="F2276" s="13" t="s">
        <v>2512</v>
      </c>
      <c r="G2276" s="61" t="n">
        <v>106738111248</v>
      </c>
      <c r="H2276" s="13" t="s">
        <v>2255</v>
      </c>
      <c r="I2276" s="13" t="s">
        <v>2477</v>
      </c>
      <c r="J2276" s="13" t="n">
        <v>51</v>
      </c>
      <c r="K2276" s="13" t="s">
        <v>2478</v>
      </c>
      <c r="L2276" s="13" t="s">
        <v>2265</v>
      </c>
      <c r="M2276" s="13" t="s">
        <v>2479</v>
      </c>
    </row>
    <row r="2277" customFormat="false" ht="15" hidden="false" customHeight="false" outlineLevel="0" collapsed="false">
      <c r="A2277" s="13" t="s">
        <v>628</v>
      </c>
      <c r="B2277" s="13" t="s">
        <v>627</v>
      </c>
      <c r="C2277" s="13" t="s">
        <v>2264</v>
      </c>
      <c r="D2277" s="13" t="s">
        <v>2270</v>
      </c>
      <c r="E2277" s="13" t="s">
        <v>2505</v>
      </c>
      <c r="F2277" s="13" t="s">
        <v>2502</v>
      </c>
      <c r="G2277" s="61" t="n">
        <v>52648718062</v>
      </c>
      <c r="H2277" s="13" t="s">
        <v>2255</v>
      </c>
      <c r="I2277" s="13" t="s">
        <v>2477</v>
      </c>
      <c r="J2277" s="13" t="n">
        <v>51</v>
      </c>
      <c r="K2277" s="13" t="s">
        <v>2478</v>
      </c>
      <c r="L2277" s="13" t="s">
        <v>2265</v>
      </c>
      <c r="M2277" s="13" t="s">
        <v>2479</v>
      </c>
    </row>
    <row r="2278" customFormat="false" ht="15" hidden="false" customHeight="false" outlineLevel="0" collapsed="false">
      <c r="A2278" s="13" t="s">
        <v>628</v>
      </c>
      <c r="B2278" s="13" t="s">
        <v>627</v>
      </c>
      <c r="C2278" s="13" t="s">
        <v>2264</v>
      </c>
      <c r="D2278" s="13" t="s">
        <v>2270</v>
      </c>
      <c r="E2278" s="13" t="s">
        <v>2506</v>
      </c>
      <c r="F2278" s="13" t="s">
        <v>2502</v>
      </c>
      <c r="G2278" s="61" t="n">
        <v>1173812070</v>
      </c>
      <c r="H2278" s="13" t="s">
        <v>2255</v>
      </c>
      <c r="I2278" s="13" t="s">
        <v>2477</v>
      </c>
      <c r="J2278" s="13" t="n">
        <v>51</v>
      </c>
      <c r="K2278" s="13" t="s">
        <v>2478</v>
      </c>
      <c r="L2278" s="13" t="s">
        <v>2265</v>
      </c>
      <c r="M2278" s="13" t="s">
        <v>2479</v>
      </c>
    </row>
    <row r="2279" customFormat="false" ht="15" hidden="false" customHeight="false" outlineLevel="0" collapsed="false">
      <c r="A2279" s="13" t="s">
        <v>628</v>
      </c>
      <c r="B2279" s="13" t="s">
        <v>627</v>
      </c>
      <c r="C2279" s="13" t="s">
        <v>2264</v>
      </c>
      <c r="D2279" s="13" t="s">
        <v>2270</v>
      </c>
      <c r="E2279" s="13" t="s">
        <v>2507</v>
      </c>
      <c r="F2279" s="13" t="s">
        <v>2502</v>
      </c>
      <c r="G2279" s="61" t="n">
        <v>0</v>
      </c>
      <c r="H2279" s="13" t="s">
        <v>2255</v>
      </c>
      <c r="I2279" s="13" t="s">
        <v>2477</v>
      </c>
      <c r="J2279" s="13" t="n">
        <v>51</v>
      </c>
      <c r="K2279" s="13" t="s">
        <v>2478</v>
      </c>
      <c r="L2279" s="13" t="s">
        <v>2265</v>
      </c>
      <c r="M2279" s="13" t="s">
        <v>2479</v>
      </c>
    </row>
    <row r="2280" customFormat="false" ht="15" hidden="false" customHeight="false" outlineLevel="0" collapsed="false">
      <c r="A2280" s="13" t="s">
        <v>628</v>
      </c>
      <c r="B2280" s="13" t="s">
        <v>627</v>
      </c>
      <c r="C2280" s="13" t="s">
        <v>2264</v>
      </c>
      <c r="D2280" s="13" t="s">
        <v>2270</v>
      </c>
      <c r="E2280" s="13" t="s">
        <v>2508</v>
      </c>
      <c r="F2280" s="13" t="s">
        <v>2502</v>
      </c>
      <c r="G2280" s="61" t="n">
        <v>0</v>
      </c>
      <c r="H2280" s="13" t="s">
        <v>2255</v>
      </c>
      <c r="I2280" s="13" t="s">
        <v>2477</v>
      </c>
      <c r="J2280" s="13" t="n">
        <v>51</v>
      </c>
      <c r="K2280" s="13" t="s">
        <v>2478</v>
      </c>
      <c r="L2280" s="13" t="s">
        <v>2265</v>
      </c>
      <c r="M2280" s="13" t="s">
        <v>2479</v>
      </c>
    </row>
    <row r="2281" customFormat="false" ht="15" hidden="false" customHeight="false" outlineLevel="0" collapsed="false">
      <c r="A2281" s="13" t="s">
        <v>628</v>
      </c>
      <c r="B2281" s="13" t="s">
        <v>627</v>
      </c>
      <c r="C2281" s="13" t="s">
        <v>2264</v>
      </c>
      <c r="D2281" s="13" t="s">
        <v>2270</v>
      </c>
      <c r="E2281" s="13" t="s">
        <v>2509</v>
      </c>
      <c r="F2281" s="13" t="s">
        <v>2502</v>
      </c>
      <c r="G2281" s="61" t="n">
        <v>0</v>
      </c>
      <c r="H2281" s="13" t="s">
        <v>2255</v>
      </c>
      <c r="I2281" s="13" t="s">
        <v>2477</v>
      </c>
      <c r="J2281" s="13" t="n">
        <v>51</v>
      </c>
      <c r="K2281" s="13" t="s">
        <v>2478</v>
      </c>
      <c r="L2281" s="13" t="s">
        <v>2265</v>
      </c>
      <c r="M2281" s="13" t="s">
        <v>2479</v>
      </c>
    </row>
    <row r="2282" customFormat="false" ht="15" hidden="false" customHeight="false" outlineLevel="0" collapsed="false">
      <c r="A2282" s="13" t="s">
        <v>628</v>
      </c>
      <c r="B2282" s="13" t="s">
        <v>627</v>
      </c>
      <c r="C2282" s="13" t="s">
        <v>2264</v>
      </c>
      <c r="D2282" s="13" t="s">
        <v>2270</v>
      </c>
      <c r="E2282" s="13" t="s">
        <v>2510</v>
      </c>
      <c r="F2282" s="13" t="s">
        <v>2502</v>
      </c>
      <c r="G2282" s="61" t="n">
        <v>0</v>
      </c>
      <c r="H2282" s="13" t="s">
        <v>2255</v>
      </c>
      <c r="I2282" s="13" t="s">
        <v>2477</v>
      </c>
      <c r="J2282" s="13" t="n">
        <v>51</v>
      </c>
      <c r="K2282" s="13" t="s">
        <v>2478</v>
      </c>
      <c r="L2282" s="13" t="s">
        <v>2265</v>
      </c>
      <c r="M2282" s="13" t="s">
        <v>2479</v>
      </c>
    </row>
    <row r="2283" customFormat="false" ht="15" hidden="false" customHeight="false" outlineLevel="0" collapsed="false">
      <c r="A2283" s="13" t="s">
        <v>628</v>
      </c>
      <c r="B2283" s="13" t="s">
        <v>627</v>
      </c>
      <c r="C2283" s="13" t="s">
        <v>2264</v>
      </c>
      <c r="D2283" s="13" t="s">
        <v>2270</v>
      </c>
      <c r="E2283" s="13" t="s">
        <v>2511</v>
      </c>
      <c r="F2283" s="13" t="s">
        <v>2502</v>
      </c>
      <c r="G2283" s="61" t="n">
        <v>53822530132</v>
      </c>
      <c r="H2283" s="13" t="s">
        <v>2255</v>
      </c>
      <c r="I2283" s="13" t="s">
        <v>2477</v>
      </c>
      <c r="J2283" s="13" t="n">
        <v>51</v>
      </c>
      <c r="K2283" s="13" t="s">
        <v>2478</v>
      </c>
      <c r="L2283" s="13" t="s">
        <v>2265</v>
      </c>
      <c r="M2283" s="13" t="s">
        <v>2479</v>
      </c>
    </row>
    <row r="2284" customFormat="false" ht="15" hidden="false" customHeight="false" outlineLevel="0" collapsed="false">
      <c r="A2284" s="13" t="s">
        <v>628</v>
      </c>
      <c r="B2284" s="13" t="s">
        <v>627</v>
      </c>
      <c r="C2284" s="13" t="s">
        <v>2264</v>
      </c>
      <c r="D2284" s="13" t="s">
        <v>2270</v>
      </c>
      <c r="E2284" s="13" t="s">
        <v>2505</v>
      </c>
      <c r="F2284" s="13" t="s">
        <v>2503</v>
      </c>
      <c r="G2284" s="61" t="n">
        <v>10562226307</v>
      </c>
      <c r="H2284" s="13" t="s">
        <v>2255</v>
      </c>
      <c r="I2284" s="13" t="s">
        <v>2477</v>
      </c>
      <c r="J2284" s="13" t="n">
        <v>51</v>
      </c>
      <c r="K2284" s="13" t="s">
        <v>2478</v>
      </c>
      <c r="L2284" s="13" t="s">
        <v>2265</v>
      </c>
      <c r="M2284" s="13" t="s">
        <v>2479</v>
      </c>
    </row>
    <row r="2285" customFormat="false" ht="15" hidden="false" customHeight="false" outlineLevel="0" collapsed="false">
      <c r="A2285" s="13" t="s">
        <v>628</v>
      </c>
      <c r="B2285" s="13" t="s">
        <v>627</v>
      </c>
      <c r="C2285" s="13" t="s">
        <v>2264</v>
      </c>
      <c r="D2285" s="13" t="s">
        <v>2270</v>
      </c>
      <c r="E2285" s="13" t="s">
        <v>2506</v>
      </c>
      <c r="F2285" s="13" t="s">
        <v>2503</v>
      </c>
      <c r="G2285" s="61" t="n">
        <v>3763990170</v>
      </c>
      <c r="H2285" s="13" t="s">
        <v>2255</v>
      </c>
      <c r="I2285" s="13" t="s">
        <v>2477</v>
      </c>
      <c r="J2285" s="13" t="n">
        <v>51</v>
      </c>
      <c r="K2285" s="13" t="s">
        <v>2478</v>
      </c>
      <c r="L2285" s="13" t="s">
        <v>2265</v>
      </c>
      <c r="M2285" s="13" t="s">
        <v>2479</v>
      </c>
    </row>
    <row r="2286" customFormat="false" ht="15" hidden="false" customHeight="false" outlineLevel="0" collapsed="false">
      <c r="A2286" s="13" t="s">
        <v>628</v>
      </c>
      <c r="B2286" s="13" t="s">
        <v>627</v>
      </c>
      <c r="C2286" s="13" t="s">
        <v>2264</v>
      </c>
      <c r="D2286" s="13" t="s">
        <v>2270</v>
      </c>
      <c r="E2286" s="13" t="s">
        <v>2507</v>
      </c>
      <c r="F2286" s="13" t="s">
        <v>2503</v>
      </c>
      <c r="G2286" s="61" t="n">
        <v>-2583754</v>
      </c>
      <c r="H2286" s="13" t="s">
        <v>2255</v>
      </c>
      <c r="I2286" s="13" t="s">
        <v>2477</v>
      </c>
      <c r="J2286" s="13" t="n">
        <v>51</v>
      </c>
      <c r="K2286" s="13" t="s">
        <v>2478</v>
      </c>
      <c r="L2286" s="13" t="s">
        <v>2265</v>
      </c>
      <c r="M2286" s="13" t="s">
        <v>2479</v>
      </c>
    </row>
    <row r="2287" customFormat="false" ht="15" hidden="false" customHeight="false" outlineLevel="0" collapsed="false">
      <c r="A2287" s="13" t="s">
        <v>628</v>
      </c>
      <c r="B2287" s="13" t="s">
        <v>627</v>
      </c>
      <c r="C2287" s="13" t="s">
        <v>2264</v>
      </c>
      <c r="D2287" s="13" t="s">
        <v>2270</v>
      </c>
      <c r="E2287" s="13" t="s">
        <v>2508</v>
      </c>
      <c r="F2287" s="13" t="s">
        <v>2503</v>
      </c>
      <c r="G2287" s="61" t="n">
        <v>611163076</v>
      </c>
      <c r="H2287" s="13" t="s">
        <v>2255</v>
      </c>
      <c r="I2287" s="13" t="s">
        <v>2477</v>
      </c>
      <c r="J2287" s="13" t="n">
        <v>51</v>
      </c>
      <c r="K2287" s="13" t="s">
        <v>2478</v>
      </c>
      <c r="L2287" s="13" t="s">
        <v>2265</v>
      </c>
      <c r="M2287" s="13" t="s">
        <v>2479</v>
      </c>
    </row>
    <row r="2288" customFormat="false" ht="15" hidden="false" customHeight="false" outlineLevel="0" collapsed="false">
      <c r="A2288" s="13" t="s">
        <v>628</v>
      </c>
      <c r="B2288" s="13" t="s">
        <v>627</v>
      </c>
      <c r="C2288" s="13" t="s">
        <v>2264</v>
      </c>
      <c r="D2288" s="13" t="s">
        <v>2270</v>
      </c>
      <c r="E2288" s="13" t="s">
        <v>2509</v>
      </c>
      <c r="F2288" s="13" t="s">
        <v>2503</v>
      </c>
      <c r="G2288" s="61" t="n">
        <v>0</v>
      </c>
      <c r="H2288" s="13" t="s">
        <v>2255</v>
      </c>
      <c r="I2288" s="13" t="s">
        <v>2477</v>
      </c>
      <c r="J2288" s="13" t="n">
        <v>51</v>
      </c>
      <c r="K2288" s="13" t="s">
        <v>2478</v>
      </c>
      <c r="L2288" s="13" t="s">
        <v>2265</v>
      </c>
      <c r="M2288" s="13" t="s">
        <v>2479</v>
      </c>
    </row>
    <row r="2289" customFormat="false" ht="15" hidden="false" customHeight="false" outlineLevel="0" collapsed="false">
      <c r="A2289" s="13" t="s">
        <v>628</v>
      </c>
      <c r="B2289" s="13" t="s">
        <v>627</v>
      </c>
      <c r="C2289" s="13" t="s">
        <v>2264</v>
      </c>
      <c r="D2289" s="13" t="s">
        <v>2270</v>
      </c>
      <c r="E2289" s="13" t="s">
        <v>2510</v>
      </c>
      <c r="F2289" s="13" t="s">
        <v>2503</v>
      </c>
      <c r="G2289" s="61" t="n">
        <v>0</v>
      </c>
      <c r="H2289" s="13" t="s">
        <v>2255</v>
      </c>
      <c r="I2289" s="13" t="s">
        <v>2477</v>
      </c>
      <c r="J2289" s="13" t="n">
        <v>51</v>
      </c>
      <c r="K2289" s="13" t="s">
        <v>2478</v>
      </c>
      <c r="L2289" s="13" t="s">
        <v>2265</v>
      </c>
      <c r="M2289" s="13" t="s">
        <v>2479</v>
      </c>
    </row>
    <row r="2290" customFormat="false" ht="15" hidden="false" customHeight="false" outlineLevel="0" collapsed="false">
      <c r="A2290" s="13" t="s">
        <v>628</v>
      </c>
      <c r="B2290" s="13" t="s">
        <v>627</v>
      </c>
      <c r="C2290" s="13" t="s">
        <v>2264</v>
      </c>
      <c r="D2290" s="13" t="s">
        <v>2270</v>
      </c>
      <c r="E2290" s="13" t="s">
        <v>2511</v>
      </c>
      <c r="F2290" s="13" t="s">
        <v>2503</v>
      </c>
      <c r="G2290" s="61" t="n">
        <v>14934795799</v>
      </c>
      <c r="H2290" s="13" t="s">
        <v>2255</v>
      </c>
      <c r="I2290" s="13" t="s">
        <v>2477</v>
      </c>
      <c r="J2290" s="13" t="n">
        <v>51</v>
      </c>
      <c r="K2290" s="13" t="s">
        <v>2478</v>
      </c>
      <c r="L2290" s="13" t="s">
        <v>2265</v>
      </c>
      <c r="M2290" s="13" t="s">
        <v>2479</v>
      </c>
    </row>
    <row r="2291" customFormat="false" ht="15" hidden="false" customHeight="false" outlineLevel="0" collapsed="false">
      <c r="A2291" s="13" t="s">
        <v>628</v>
      </c>
      <c r="B2291" s="13" t="s">
        <v>627</v>
      </c>
      <c r="C2291" s="13" t="s">
        <v>2264</v>
      </c>
      <c r="D2291" s="13" t="s">
        <v>2270</v>
      </c>
      <c r="E2291" s="13" t="s">
        <v>2505</v>
      </c>
      <c r="F2291" s="13" t="s">
        <v>2504</v>
      </c>
      <c r="G2291" s="61" t="n">
        <v>23323436530</v>
      </c>
      <c r="H2291" s="13" t="s">
        <v>2255</v>
      </c>
      <c r="I2291" s="13" t="s">
        <v>2477</v>
      </c>
      <c r="J2291" s="13" t="n">
        <v>51</v>
      </c>
      <c r="K2291" s="13" t="s">
        <v>2478</v>
      </c>
      <c r="L2291" s="13" t="s">
        <v>2265</v>
      </c>
      <c r="M2291" s="13" t="s">
        <v>2479</v>
      </c>
    </row>
    <row r="2292" customFormat="false" ht="15" hidden="false" customHeight="false" outlineLevel="0" collapsed="false">
      <c r="A2292" s="13" t="s">
        <v>628</v>
      </c>
      <c r="B2292" s="13" t="s">
        <v>627</v>
      </c>
      <c r="C2292" s="13" t="s">
        <v>2264</v>
      </c>
      <c r="D2292" s="13" t="s">
        <v>2270</v>
      </c>
      <c r="E2292" s="13" t="s">
        <v>2506</v>
      </c>
      <c r="F2292" s="13" t="s">
        <v>2504</v>
      </c>
      <c r="G2292" s="61" t="n">
        <v>1958931322</v>
      </c>
      <c r="H2292" s="13" t="s">
        <v>2255</v>
      </c>
      <c r="I2292" s="13" t="s">
        <v>2477</v>
      </c>
      <c r="J2292" s="13" t="n">
        <v>51</v>
      </c>
      <c r="K2292" s="13" t="s">
        <v>2478</v>
      </c>
      <c r="L2292" s="13" t="s">
        <v>2265</v>
      </c>
      <c r="M2292" s="13" t="s">
        <v>2479</v>
      </c>
    </row>
    <row r="2293" customFormat="false" ht="15" hidden="false" customHeight="false" outlineLevel="0" collapsed="false">
      <c r="A2293" s="13" t="s">
        <v>628</v>
      </c>
      <c r="B2293" s="13" t="s">
        <v>627</v>
      </c>
      <c r="C2293" s="13" t="s">
        <v>2264</v>
      </c>
      <c r="D2293" s="13" t="s">
        <v>2270</v>
      </c>
      <c r="E2293" s="13" t="s">
        <v>2507</v>
      </c>
      <c r="F2293" s="13" t="s">
        <v>2504</v>
      </c>
      <c r="G2293" s="61" t="n">
        <v>-1364196827</v>
      </c>
      <c r="H2293" s="13" t="s">
        <v>2255</v>
      </c>
      <c r="I2293" s="13" t="s">
        <v>2477</v>
      </c>
      <c r="J2293" s="13" t="n">
        <v>51</v>
      </c>
      <c r="K2293" s="13" t="s">
        <v>2478</v>
      </c>
      <c r="L2293" s="13" t="s">
        <v>2265</v>
      </c>
      <c r="M2293" s="13" t="s">
        <v>2479</v>
      </c>
    </row>
    <row r="2294" customFormat="false" ht="15" hidden="false" customHeight="false" outlineLevel="0" collapsed="false">
      <c r="A2294" s="13" t="s">
        <v>628</v>
      </c>
      <c r="B2294" s="13" t="s">
        <v>627</v>
      </c>
      <c r="C2294" s="13" t="s">
        <v>2264</v>
      </c>
      <c r="D2294" s="13" t="s">
        <v>2270</v>
      </c>
      <c r="E2294" s="13" t="s">
        <v>2508</v>
      </c>
      <c r="F2294" s="13" t="s">
        <v>2504</v>
      </c>
      <c r="G2294" s="61" t="n">
        <v>0</v>
      </c>
      <c r="H2294" s="13" t="s">
        <v>2255</v>
      </c>
      <c r="I2294" s="13" t="s">
        <v>2477</v>
      </c>
      <c r="J2294" s="13" t="n">
        <v>51</v>
      </c>
      <c r="K2294" s="13" t="s">
        <v>2478</v>
      </c>
      <c r="L2294" s="13" t="s">
        <v>2265</v>
      </c>
      <c r="M2294" s="13" t="s">
        <v>2479</v>
      </c>
    </row>
    <row r="2295" customFormat="false" ht="15" hidden="false" customHeight="false" outlineLevel="0" collapsed="false">
      <c r="A2295" s="13" t="s">
        <v>628</v>
      </c>
      <c r="B2295" s="13" t="s">
        <v>627</v>
      </c>
      <c r="C2295" s="13" t="s">
        <v>2264</v>
      </c>
      <c r="D2295" s="13" t="s">
        <v>2270</v>
      </c>
      <c r="E2295" s="13" t="s">
        <v>2509</v>
      </c>
      <c r="F2295" s="13" t="s">
        <v>2504</v>
      </c>
      <c r="G2295" s="61" t="n">
        <v>0</v>
      </c>
      <c r="H2295" s="13" t="s">
        <v>2255</v>
      </c>
      <c r="I2295" s="13" t="s">
        <v>2477</v>
      </c>
      <c r="J2295" s="13" t="n">
        <v>51</v>
      </c>
      <c r="K2295" s="13" t="s">
        <v>2478</v>
      </c>
      <c r="L2295" s="13" t="s">
        <v>2265</v>
      </c>
      <c r="M2295" s="13" t="s">
        <v>2479</v>
      </c>
    </row>
    <row r="2296" customFormat="false" ht="15" hidden="false" customHeight="false" outlineLevel="0" collapsed="false">
      <c r="A2296" s="13" t="s">
        <v>628</v>
      </c>
      <c r="B2296" s="13" t="s">
        <v>627</v>
      </c>
      <c r="C2296" s="13" t="s">
        <v>2264</v>
      </c>
      <c r="D2296" s="13" t="s">
        <v>2270</v>
      </c>
      <c r="E2296" s="13" t="s">
        <v>2510</v>
      </c>
      <c r="F2296" s="13" t="s">
        <v>2504</v>
      </c>
      <c r="G2296" s="61" t="n">
        <v>0</v>
      </c>
      <c r="H2296" s="13" t="s">
        <v>2255</v>
      </c>
      <c r="I2296" s="13" t="s">
        <v>2477</v>
      </c>
      <c r="J2296" s="13" t="n">
        <v>51</v>
      </c>
      <c r="K2296" s="13" t="s">
        <v>2478</v>
      </c>
      <c r="L2296" s="13" t="s">
        <v>2265</v>
      </c>
      <c r="M2296" s="13" t="s">
        <v>2479</v>
      </c>
    </row>
    <row r="2297" customFormat="false" ht="15" hidden="false" customHeight="false" outlineLevel="0" collapsed="false">
      <c r="A2297" s="13" t="s">
        <v>628</v>
      </c>
      <c r="B2297" s="13" t="s">
        <v>627</v>
      </c>
      <c r="C2297" s="13" t="s">
        <v>2264</v>
      </c>
      <c r="D2297" s="13" t="s">
        <v>2270</v>
      </c>
      <c r="E2297" s="13" t="s">
        <v>2511</v>
      </c>
      <c r="F2297" s="13" t="s">
        <v>2504</v>
      </c>
      <c r="G2297" s="61" t="n">
        <v>23918171025</v>
      </c>
      <c r="H2297" s="13" t="s">
        <v>2255</v>
      </c>
      <c r="I2297" s="13" t="s">
        <v>2477</v>
      </c>
      <c r="J2297" s="13" t="n">
        <v>51</v>
      </c>
      <c r="K2297" s="13" t="s">
        <v>2478</v>
      </c>
      <c r="L2297" s="13" t="s">
        <v>2265</v>
      </c>
      <c r="M2297" s="13" t="s">
        <v>2479</v>
      </c>
    </row>
    <row r="2298" customFormat="false" ht="15" hidden="false" customHeight="false" outlineLevel="0" collapsed="false">
      <c r="A2298" s="13" t="s">
        <v>628</v>
      </c>
      <c r="B2298" s="13" t="s">
        <v>627</v>
      </c>
      <c r="C2298" s="13" t="s">
        <v>2264</v>
      </c>
      <c r="D2298" s="13" t="s">
        <v>2270</v>
      </c>
      <c r="E2298" s="13" t="s">
        <v>2505</v>
      </c>
      <c r="F2298" s="13" t="s">
        <v>2513</v>
      </c>
      <c r="G2298" s="61" t="n">
        <v>123712852090</v>
      </c>
      <c r="H2298" s="13" t="s">
        <v>2255</v>
      </c>
      <c r="I2298" s="13" t="s">
        <v>2477</v>
      </c>
      <c r="J2298" s="13" t="n">
        <v>51</v>
      </c>
      <c r="K2298" s="13" t="s">
        <v>2478</v>
      </c>
      <c r="L2298" s="13" t="s">
        <v>2265</v>
      </c>
      <c r="M2298" s="13" t="s">
        <v>2479</v>
      </c>
    </row>
    <row r="2299" customFormat="false" ht="15" hidden="false" customHeight="false" outlineLevel="0" collapsed="false">
      <c r="A2299" s="13" t="s">
        <v>628</v>
      </c>
      <c r="B2299" s="13" t="s">
        <v>627</v>
      </c>
      <c r="C2299" s="13" t="s">
        <v>2264</v>
      </c>
      <c r="D2299" s="13" t="s">
        <v>2270</v>
      </c>
      <c r="E2299" s="13" t="s">
        <v>2506</v>
      </c>
      <c r="F2299" s="13" t="s">
        <v>2513</v>
      </c>
      <c r="G2299" s="61" t="n">
        <v>79514887170</v>
      </c>
      <c r="H2299" s="13" t="s">
        <v>2255</v>
      </c>
      <c r="I2299" s="13" t="s">
        <v>2477</v>
      </c>
      <c r="J2299" s="13" t="n">
        <v>51</v>
      </c>
      <c r="K2299" s="13" t="s">
        <v>2478</v>
      </c>
      <c r="L2299" s="13" t="s">
        <v>2265</v>
      </c>
      <c r="M2299" s="13" t="s">
        <v>2479</v>
      </c>
    </row>
    <row r="2300" customFormat="false" ht="15" hidden="false" customHeight="false" outlineLevel="0" collapsed="false">
      <c r="A2300" s="13" t="s">
        <v>628</v>
      </c>
      <c r="B2300" s="13" t="s">
        <v>627</v>
      </c>
      <c r="C2300" s="13" t="s">
        <v>2264</v>
      </c>
      <c r="D2300" s="13" t="s">
        <v>2270</v>
      </c>
      <c r="E2300" s="13" t="s">
        <v>2507</v>
      </c>
      <c r="F2300" s="13" t="s">
        <v>2513</v>
      </c>
      <c r="G2300" s="61" t="n">
        <v>-4841664481</v>
      </c>
      <c r="H2300" s="13" t="s">
        <v>2255</v>
      </c>
      <c r="I2300" s="13" t="s">
        <v>2477</v>
      </c>
      <c r="J2300" s="13" t="n">
        <v>51</v>
      </c>
      <c r="K2300" s="13" t="s">
        <v>2478</v>
      </c>
      <c r="L2300" s="13" t="s">
        <v>2265</v>
      </c>
      <c r="M2300" s="13" t="s">
        <v>2479</v>
      </c>
    </row>
    <row r="2301" customFormat="false" ht="15" hidden="false" customHeight="false" outlineLevel="0" collapsed="false">
      <c r="A2301" s="13" t="s">
        <v>628</v>
      </c>
      <c r="B2301" s="13" t="s">
        <v>627</v>
      </c>
      <c r="C2301" s="13" t="s">
        <v>2264</v>
      </c>
      <c r="D2301" s="13" t="s">
        <v>2270</v>
      </c>
      <c r="E2301" s="13" t="s">
        <v>2508</v>
      </c>
      <c r="F2301" s="13" t="s">
        <v>2513</v>
      </c>
      <c r="G2301" s="61" t="n">
        <v>-51415877094</v>
      </c>
      <c r="H2301" s="13" t="s">
        <v>2255</v>
      </c>
      <c r="I2301" s="13" t="s">
        <v>2477</v>
      </c>
      <c r="J2301" s="13" t="n">
        <v>51</v>
      </c>
      <c r="K2301" s="13" t="s">
        <v>2478</v>
      </c>
      <c r="L2301" s="13" t="s">
        <v>2265</v>
      </c>
      <c r="M2301" s="13" t="s">
        <v>2479</v>
      </c>
    </row>
    <row r="2302" customFormat="false" ht="15" hidden="false" customHeight="false" outlineLevel="0" collapsed="false">
      <c r="A2302" s="13" t="s">
        <v>628</v>
      </c>
      <c r="B2302" s="13" t="s">
        <v>627</v>
      </c>
      <c r="C2302" s="13" t="s">
        <v>2264</v>
      </c>
      <c r="D2302" s="13" t="s">
        <v>2270</v>
      </c>
      <c r="E2302" s="13" t="s">
        <v>2509</v>
      </c>
      <c r="F2302" s="13" t="s">
        <v>2513</v>
      </c>
      <c r="G2302" s="61" t="n">
        <v>0</v>
      </c>
      <c r="H2302" s="13" t="s">
        <v>2255</v>
      </c>
      <c r="I2302" s="13" t="s">
        <v>2477</v>
      </c>
      <c r="J2302" s="13" t="n">
        <v>51</v>
      </c>
      <c r="K2302" s="13" t="s">
        <v>2478</v>
      </c>
      <c r="L2302" s="13" t="s">
        <v>2265</v>
      </c>
      <c r="M2302" s="13" t="s">
        <v>2479</v>
      </c>
    </row>
    <row r="2303" customFormat="false" ht="15" hidden="false" customHeight="false" outlineLevel="0" collapsed="false">
      <c r="A2303" s="13" t="s">
        <v>628</v>
      </c>
      <c r="B2303" s="13" t="s">
        <v>627</v>
      </c>
      <c r="C2303" s="13" t="s">
        <v>2264</v>
      </c>
      <c r="D2303" s="13" t="s">
        <v>2270</v>
      </c>
      <c r="E2303" s="13" t="s">
        <v>2510</v>
      </c>
      <c r="F2303" s="13" t="s">
        <v>2513</v>
      </c>
      <c r="G2303" s="61" t="n">
        <v>0</v>
      </c>
      <c r="H2303" s="13" t="s">
        <v>2255</v>
      </c>
      <c r="I2303" s="13" t="s">
        <v>2477</v>
      </c>
      <c r="J2303" s="13" t="n">
        <v>51</v>
      </c>
      <c r="K2303" s="13" t="s">
        <v>2478</v>
      </c>
      <c r="L2303" s="13" t="s">
        <v>2265</v>
      </c>
      <c r="M2303" s="13" t="s">
        <v>2479</v>
      </c>
    </row>
    <row r="2304" customFormat="false" ht="15" hidden="false" customHeight="false" outlineLevel="0" collapsed="false">
      <c r="A2304" s="13" t="s">
        <v>628</v>
      </c>
      <c r="B2304" s="13" t="s">
        <v>627</v>
      </c>
      <c r="C2304" s="13" t="s">
        <v>2264</v>
      </c>
      <c r="D2304" s="13" t="s">
        <v>2270</v>
      </c>
      <c r="E2304" s="13" t="s">
        <v>2511</v>
      </c>
      <c r="F2304" s="13" t="s">
        <v>2513</v>
      </c>
      <c r="G2304" s="61" t="n">
        <v>146970197685</v>
      </c>
      <c r="H2304" s="13" t="s">
        <v>2255</v>
      </c>
      <c r="I2304" s="13" t="s">
        <v>2477</v>
      </c>
      <c r="J2304" s="13" t="n">
        <v>51</v>
      </c>
      <c r="K2304" s="13" t="s">
        <v>2478</v>
      </c>
      <c r="L2304" s="13" t="s">
        <v>2265</v>
      </c>
      <c r="M2304" s="13" t="s">
        <v>2479</v>
      </c>
    </row>
    <row r="2305" customFormat="false" ht="15" hidden="false" customHeight="false" outlineLevel="0" collapsed="false">
      <c r="A2305" s="13" t="s">
        <v>628</v>
      </c>
      <c r="B2305" s="13" t="s">
        <v>627</v>
      </c>
      <c r="C2305" s="13" t="s">
        <v>2264</v>
      </c>
      <c r="D2305" s="13" t="s">
        <v>2270</v>
      </c>
      <c r="E2305" s="13" t="s">
        <v>2505</v>
      </c>
      <c r="F2305" s="13" t="s">
        <v>2290</v>
      </c>
      <c r="G2305" s="61" t="n">
        <v>2200928844858</v>
      </c>
      <c r="H2305" s="13" t="s">
        <v>2255</v>
      </c>
      <c r="I2305" s="13" t="s">
        <v>2477</v>
      </c>
      <c r="J2305" s="13" t="n">
        <v>51</v>
      </c>
      <c r="K2305" s="13" t="s">
        <v>2478</v>
      </c>
      <c r="L2305" s="13" t="s">
        <v>2265</v>
      </c>
      <c r="M2305" s="13" t="s">
        <v>2479</v>
      </c>
    </row>
    <row r="2306" customFormat="false" ht="15" hidden="false" customHeight="false" outlineLevel="0" collapsed="false">
      <c r="A2306" s="13" t="s">
        <v>628</v>
      </c>
      <c r="B2306" s="13" t="s">
        <v>627</v>
      </c>
      <c r="C2306" s="13" t="s">
        <v>2264</v>
      </c>
      <c r="D2306" s="13" t="s">
        <v>2270</v>
      </c>
      <c r="E2306" s="13" t="s">
        <v>2506</v>
      </c>
      <c r="F2306" s="13" t="s">
        <v>2290</v>
      </c>
      <c r="G2306" s="61" t="n">
        <v>209353390575</v>
      </c>
      <c r="H2306" s="13" t="s">
        <v>2255</v>
      </c>
      <c r="I2306" s="13" t="s">
        <v>2477</v>
      </c>
      <c r="J2306" s="13" t="n">
        <v>51</v>
      </c>
      <c r="K2306" s="13" t="s">
        <v>2478</v>
      </c>
      <c r="L2306" s="13" t="s">
        <v>2265</v>
      </c>
      <c r="M2306" s="13" t="s">
        <v>2479</v>
      </c>
    </row>
    <row r="2307" customFormat="false" ht="15" hidden="false" customHeight="false" outlineLevel="0" collapsed="false">
      <c r="A2307" s="13" t="s">
        <v>628</v>
      </c>
      <c r="B2307" s="13" t="s">
        <v>627</v>
      </c>
      <c r="C2307" s="13" t="s">
        <v>2264</v>
      </c>
      <c r="D2307" s="13" t="s">
        <v>2270</v>
      </c>
      <c r="E2307" s="13" t="s">
        <v>2507</v>
      </c>
      <c r="F2307" s="13" t="s">
        <v>2290</v>
      </c>
      <c r="G2307" s="61" t="n">
        <v>-15379967944</v>
      </c>
      <c r="H2307" s="13" t="s">
        <v>2255</v>
      </c>
      <c r="I2307" s="13" t="s">
        <v>2477</v>
      </c>
      <c r="J2307" s="13" t="n">
        <v>51</v>
      </c>
      <c r="K2307" s="13" t="s">
        <v>2478</v>
      </c>
      <c r="L2307" s="13" t="s">
        <v>2265</v>
      </c>
      <c r="M2307" s="13" t="s">
        <v>2479</v>
      </c>
    </row>
    <row r="2308" customFormat="false" ht="15" hidden="false" customHeight="false" outlineLevel="0" collapsed="false">
      <c r="A2308" s="13" t="s">
        <v>628</v>
      </c>
      <c r="B2308" s="13" t="s">
        <v>627</v>
      </c>
      <c r="C2308" s="13" t="s">
        <v>2264</v>
      </c>
      <c r="D2308" s="13" t="s">
        <v>2270</v>
      </c>
      <c r="E2308" s="13" t="s">
        <v>2508</v>
      </c>
      <c r="F2308" s="13" t="s">
        <v>2290</v>
      </c>
      <c r="G2308" s="61" t="n">
        <v>0</v>
      </c>
      <c r="H2308" s="13" t="s">
        <v>2255</v>
      </c>
      <c r="I2308" s="13" t="s">
        <v>2477</v>
      </c>
      <c r="J2308" s="13" t="n">
        <v>51</v>
      </c>
      <c r="K2308" s="13" t="s">
        <v>2478</v>
      </c>
      <c r="L2308" s="13" t="s">
        <v>2265</v>
      </c>
      <c r="M2308" s="13" t="s">
        <v>2479</v>
      </c>
    </row>
    <row r="2309" customFormat="false" ht="15" hidden="false" customHeight="false" outlineLevel="0" collapsed="false">
      <c r="A2309" s="13" t="s">
        <v>628</v>
      </c>
      <c r="B2309" s="13" t="s">
        <v>627</v>
      </c>
      <c r="C2309" s="13" t="s">
        <v>2264</v>
      </c>
      <c r="D2309" s="13" t="s">
        <v>2270</v>
      </c>
      <c r="E2309" s="13" t="s">
        <v>2509</v>
      </c>
      <c r="F2309" s="13" t="s">
        <v>2290</v>
      </c>
      <c r="G2309" s="61" t="n">
        <v>0</v>
      </c>
      <c r="H2309" s="13" t="s">
        <v>2255</v>
      </c>
      <c r="I2309" s="13" t="s">
        <v>2477</v>
      </c>
      <c r="J2309" s="13" t="n">
        <v>51</v>
      </c>
      <c r="K2309" s="13" t="s">
        <v>2478</v>
      </c>
      <c r="L2309" s="13" t="s">
        <v>2265</v>
      </c>
      <c r="M2309" s="13" t="s">
        <v>2479</v>
      </c>
    </row>
    <row r="2310" customFormat="false" ht="15" hidden="false" customHeight="false" outlineLevel="0" collapsed="false">
      <c r="A2310" s="13" t="s">
        <v>628</v>
      </c>
      <c r="B2310" s="13" t="s">
        <v>627</v>
      </c>
      <c r="C2310" s="13" t="s">
        <v>2264</v>
      </c>
      <c r="D2310" s="13" t="s">
        <v>2270</v>
      </c>
      <c r="E2310" s="13" t="s">
        <v>2510</v>
      </c>
      <c r="F2310" s="13" t="s">
        <v>2290</v>
      </c>
      <c r="G2310" s="61" t="n">
        <v>0</v>
      </c>
      <c r="H2310" s="13" t="s">
        <v>2255</v>
      </c>
      <c r="I2310" s="13" t="s">
        <v>2477</v>
      </c>
      <c r="J2310" s="13" t="n">
        <v>51</v>
      </c>
      <c r="K2310" s="13" t="s">
        <v>2478</v>
      </c>
      <c r="L2310" s="13" t="s">
        <v>2265</v>
      </c>
      <c r="M2310" s="13" t="s">
        <v>2479</v>
      </c>
    </row>
    <row r="2311" customFormat="false" ht="15" hidden="false" customHeight="false" outlineLevel="0" collapsed="false">
      <c r="A2311" s="13" t="s">
        <v>628</v>
      </c>
      <c r="B2311" s="13" t="s">
        <v>627</v>
      </c>
      <c r="C2311" s="13" t="s">
        <v>2264</v>
      </c>
      <c r="D2311" s="13" t="s">
        <v>2270</v>
      </c>
      <c r="E2311" s="13" t="s">
        <v>2511</v>
      </c>
      <c r="F2311" s="13" t="s">
        <v>2290</v>
      </c>
      <c r="G2311" s="61" t="n">
        <v>2394902267489</v>
      </c>
      <c r="H2311" s="13" t="s">
        <v>2255</v>
      </c>
      <c r="I2311" s="13" t="s">
        <v>2477</v>
      </c>
      <c r="J2311" s="13" t="n">
        <v>51</v>
      </c>
      <c r="K2311" s="13" t="s">
        <v>2478</v>
      </c>
      <c r="L2311" s="13" t="s">
        <v>2265</v>
      </c>
      <c r="M2311" s="13" t="s">
        <v>2479</v>
      </c>
    </row>
    <row r="2312" customFormat="false" ht="15" hidden="false" customHeight="false" outlineLevel="0" collapsed="false">
      <c r="A2312" s="13" t="s">
        <v>628</v>
      </c>
      <c r="B2312" s="13" t="s">
        <v>627</v>
      </c>
      <c r="C2312" s="13" t="s">
        <v>2266</v>
      </c>
      <c r="D2312" s="13" t="s">
        <v>2270</v>
      </c>
      <c r="E2312" s="13" t="s">
        <v>2476</v>
      </c>
      <c r="F2312" s="13" t="s">
        <v>2434</v>
      </c>
      <c r="G2312" s="61" t="n">
        <v>50476630176</v>
      </c>
      <c r="H2312" s="13" t="s">
        <v>2255</v>
      </c>
      <c r="I2312" s="13" t="s">
        <v>2477</v>
      </c>
      <c r="J2312" s="13" t="n">
        <v>57</v>
      </c>
      <c r="K2312" s="13" t="s">
        <v>2478</v>
      </c>
      <c r="L2312" s="13" t="s">
        <v>2265</v>
      </c>
      <c r="M2312" s="13" t="s">
        <v>2479</v>
      </c>
    </row>
    <row r="2313" customFormat="false" ht="15" hidden="false" customHeight="false" outlineLevel="0" collapsed="false">
      <c r="A2313" s="13" t="s">
        <v>628</v>
      </c>
      <c r="B2313" s="13" t="s">
        <v>627</v>
      </c>
      <c r="C2313" s="13" t="s">
        <v>2266</v>
      </c>
      <c r="D2313" s="13" t="s">
        <v>2270</v>
      </c>
      <c r="E2313" s="13" t="s">
        <v>2480</v>
      </c>
      <c r="F2313" s="13" t="s">
        <v>2434</v>
      </c>
      <c r="G2313" s="61" t="n">
        <v>24643746342</v>
      </c>
      <c r="H2313" s="13" t="s">
        <v>2255</v>
      </c>
      <c r="I2313" s="13" t="s">
        <v>2477</v>
      </c>
      <c r="J2313" s="13" t="n">
        <v>57</v>
      </c>
      <c r="K2313" s="13" t="s">
        <v>2478</v>
      </c>
      <c r="L2313" s="13" t="s">
        <v>2265</v>
      </c>
      <c r="M2313" s="13" t="s">
        <v>2479</v>
      </c>
    </row>
    <row r="2314" customFormat="false" ht="15" hidden="false" customHeight="false" outlineLevel="0" collapsed="false">
      <c r="A2314" s="13" t="s">
        <v>628</v>
      </c>
      <c r="B2314" s="13" t="s">
        <v>627</v>
      </c>
      <c r="C2314" s="13" t="s">
        <v>2266</v>
      </c>
      <c r="D2314" s="13" t="s">
        <v>2270</v>
      </c>
      <c r="E2314" s="13" t="s">
        <v>2481</v>
      </c>
      <c r="F2314" s="13" t="s">
        <v>2434</v>
      </c>
      <c r="G2314" s="61" t="n">
        <v>-15541819622</v>
      </c>
      <c r="H2314" s="13" t="s">
        <v>2255</v>
      </c>
      <c r="I2314" s="13" t="s">
        <v>2477</v>
      </c>
      <c r="J2314" s="13" t="n">
        <v>57</v>
      </c>
      <c r="K2314" s="13" t="s">
        <v>2478</v>
      </c>
      <c r="L2314" s="13" t="s">
        <v>2265</v>
      </c>
      <c r="M2314" s="13" t="s">
        <v>2479</v>
      </c>
    </row>
    <row r="2315" customFormat="false" ht="15" hidden="false" customHeight="false" outlineLevel="0" collapsed="false">
      <c r="A2315" s="13" t="s">
        <v>628</v>
      </c>
      <c r="B2315" s="13" t="s">
        <v>627</v>
      </c>
      <c r="C2315" s="13" t="s">
        <v>2266</v>
      </c>
      <c r="D2315" s="13" t="s">
        <v>2270</v>
      </c>
      <c r="E2315" s="13" t="s">
        <v>2482</v>
      </c>
      <c r="F2315" s="13" t="s">
        <v>2434</v>
      </c>
      <c r="G2315" s="61" t="n">
        <v>0</v>
      </c>
      <c r="H2315" s="13" t="s">
        <v>2255</v>
      </c>
      <c r="I2315" s="13" t="s">
        <v>2477</v>
      </c>
      <c r="J2315" s="13" t="n">
        <v>57</v>
      </c>
      <c r="K2315" s="13" t="s">
        <v>2478</v>
      </c>
      <c r="L2315" s="13" t="s">
        <v>2265</v>
      </c>
      <c r="M2315" s="13" t="s">
        <v>2479</v>
      </c>
    </row>
    <row r="2316" customFormat="false" ht="15" hidden="false" customHeight="false" outlineLevel="0" collapsed="false">
      <c r="A2316" s="13" t="s">
        <v>628</v>
      </c>
      <c r="B2316" s="13" t="s">
        <v>627</v>
      </c>
      <c r="C2316" s="13" t="s">
        <v>2266</v>
      </c>
      <c r="D2316" s="13" t="s">
        <v>2270</v>
      </c>
      <c r="E2316" s="13" t="s">
        <v>2484</v>
      </c>
      <c r="F2316" s="13" t="s">
        <v>2434</v>
      </c>
      <c r="G2316" s="61" t="n">
        <v>0</v>
      </c>
      <c r="H2316" s="13" t="s">
        <v>2255</v>
      </c>
      <c r="I2316" s="13" t="s">
        <v>2477</v>
      </c>
      <c r="J2316" s="13" t="n">
        <v>57</v>
      </c>
      <c r="K2316" s="13" t="s">
        <v>2478</v>
      </c>
      <c r="L2316" s="13" t="s">
        <v>2265</v>
      </c>
      <c r="M2316" s="13" t="s">
        <v>2479</v>
      </c>
    </row>
    <row r="2317" customFormat="false" ht="15" hidden="false" customHeight="false" outlineLevel="0" collapsed="false">
      <c r="A2317" s="13" t="s">
        <v>628</v>
      </c>
      <c r="B2317" s="13" t="s">
        <v>627</v>
      </c>
      <c r="C2317" s="13" t="s">
        <v>2266</v>
      </c>
      <c r="D2317" s="13" t="s">
        <v>2270</v>
      </c>
      <c r="E2317" s="13" t="s">
        <v>2485</v>
      </c>
      <c r="F2317" s="13" t="s">
        <v>2434</v>
      </c>
      <c r="G2317" s="61" t="n">
        <v>59578556896</v>
      </c>
      <c r="H2317" s="13" t="s">
        <v>2255</v>
      </c>
      <c r="I2317" s="13" t="s">
        <v>2477</v>
      </c>
      <c r="J2317" s="13" t="n">
        <v>57</v>
      </c>
      <c r="K2317" s="13" t="s">
        <v>2478</v>
      </c>
      <c r="L2317" s="13" t="s">
        <v>2265</v>
      </c>
      <c r="M2317" s="13" t="s">
        <v>2479</v>
      </c>
    </row>
    <row r="2318" customFormat="false" ht="15" hidden="false" customHeight="false" outlineLevel="0" collapsed="false">
      <c r="A2318" s="13" t="s">
        <v>628</v>
      </c>
      <c r="B2318" s="13" t="s">
        <v>627</v>
      </c>
      <c r="C2318" s="13" t="s">
        <v>2266</v>
      </c>
      <c r="D2318" s="13" t="s">
        <v>2270</v>
      </c>
      <c r="E2318" s="13" t="s">
        <v>2486</v>
      </c>
      <c r="F2318" s="13" t="s">
        <v>2434</v>
      </c>
      <c r="G2318" s="61" t="n">
        <v>153462960304</v>
      </c>
      <c r="H2318" s="13" t="s">
        <v>2255</v>
      </c>
      <c r="I2318" s="13" t="s">
        <v>2477</v>
      </c>
      <c r="J2318" s="13" t="n">
        <v>57</v>
      </c>
      <c r="K2318" s="13" t="s">
        <v>2478</v>
      </c>
      <c r="L2318" s="13" t="s">
        <v>2265</v>
      </c>
      <c r="M2318" s="13" t="s">
        <v>2479</v>
      </c>
    </row>
    <row r="2319" customFormat="false" ht="15" hidden="false" customHeight="false" outlineLevel="0" collapsed="false">
      <c r="A2319" s="13" t="s">
        <v>628</v>
      </c>
      <c r="B2319" s="13" t="s">
        <v>627</v>
      </c>
      <c r="C2319" s="13" t="s">
        <v>2266</v>
      </c>
      <c r="D2319" s="13" t="s">
        <v>2270</v>
      </c>
      <c r="E2319" s="13" t="s">
        <v>2487</v>
      </c>
      <c r="F2319" s="13" t="s">
        <v>2434</v>
      </c>
      <c r="G2319" s="61" t="n">
        <v>16163775651</v>
      </c>
      <c r="H2319" s="13" t="s">
        <v>2255</v>
      </c>
      <c r="I2319" s="13" t="s">
        <v>2477</v>
      </c>
      <c r="J2319" s="13" t="n">
        <v>57</v>
      </c>
      <c r="K2319" s="13" t="s">
        <v>2478</v>
      </c>
      <c r="L2319" s="13" t="s">
        <v>2265</v>
      </c>
      <c r="M2319" s="13" t="s">
        <v>2479</v>
      </c>
    </row>
    <row r="2320" customFormat="false" ht="15" hidden="false" customHeight="false" outlineLevel="0" collapsed="false">
      <c r="A2320" s="13" t="s">
        <v>628</v>
      </c>
      <c r="B2320" s="13" t="s">
        <v>627</v>
      </c>
      <c r="C2320" s="13" t="s">
        <v>2266</v>
      </c>
      <c r="D2320" s="13" t="s">
        <v>2270</v>
      </c>
      <c r="E2320" s="13" t="s">
        <v>2488</v>
      </c>
      <c r="F2320" s="13" t="s">
        <v>2434</v>
      </c>
      <c r="G2320" s="61" t="n">
        <v>-15541819622</v>
      </c>
      <c r="H2320" s="13" t="s">
        <v>2255</v>
      </c>
      <c r="I2320" s="13" t="s">
        <v>2477</v>
      </c>
      <c r="J2320" s="13" t="n">
        <v>57</v>
      </c>
      <c r="K2320" s="13" t="s">
        <v>2478</v>
      </c>
      <c r="L2320" s="13" t="s">
        <v>2265</v>
      </c>
      <c r="M2320" s="13" t="s">
        <v>2479</v>
      </c>
    </row>
    <row r="2321" customFormat="false" ht="15" hidden="false" customHeight="false" outlineLevel="0" collapsed="false">
      <c r="A2321" s="13" t="s">
        <v>628</v>
      </c>
      <c r="B2321" s="13" t="s">
        <v>627</v>
      </c>
      <c r="C2321" s="13" t="s">
        <v>2266</v>
      </c>
      <c r="D2321" s="13" t="s">
        <v>2270</v>
      </c>
      <c r="E2321" s="13" t="s">
        <v>2489</v>
      </c>
      <c r="F2321" s="13" t="s">
        <v>2434</v>
      </c>
      <c r="G2321" s="61" t="n">
        <v>0</v>
      </c>
      <c r="H2321" s="13" t="s">
        <v>2255</v>
      </c>
      <c r="I2321" s="13" t="s">
        <v>2477</v>
      </c>
      <c r="J2321" s="13" t="n">
        <v>57</v>
      </c>
      <c r="K2321" s="13" t="s">
        <v>2478</v>
      </c>
      <c r="L2321" s="13" t="s">
        <v>2265</v>
      </c>
      <c r="M2321" s="13" t="s">
        <v>2479</v>
      </c>
    </row>
    <row r="2322" customFormat="false" ht="15" hidden="false" customHeight="false" outlineLevel="0" collapsed="false">
      <c r="A2322" s="13" t="s">
        <v>628</v>
      </c>
      <c r="B2322" s="13" t="s">
        <v>627</v>
      </c>
      <c r="C2322" s="13" t="s">
        <v>2266</v>
      </c>
      <c r="D2322" s="13" t="s">
        <v>2270</v>
      </c>
      <c r="E2322" s="13" t="s">
        <v>2491</v>
      </c>
      <c r="F2322" s="13" t="s">
        <v>2434</v>
      </c>
      <c r="G2322" s="61" t="n">
        <v>0</v>
      </c>
      <c r="H2322" s="13" t="s">
        <v>2255</v>
      </c>
      <c r="I2322" s="13" t="s">
        <v>2477</v>
      </c>
      <c r="J2322" s="13" t="n">
        <v>57</v>
      </c>
      <c r="K2322" s="13" t="s">
        <v>2478</v>
      </c>
      <c r="L2322" s="13" t="s">
        <v>2265</v>
      </c>
      <c r="M2322" s="13" t="s">
        <v>2479</v>
      </c>
    </row>
    <row r="2323" customFormat="false" ht="15" hidden="false" customHeight="false" outlineLevel="0" collapsed="false">
      <c r="A2323" s="13" t="s">
        <v>628</v>
      </c>
      <c r="B2323" s="13" t="s">
        <v>627</v>
      </c>
      <c r="C2323" s="13" t="s">
        <v>2266</v>
      </c>
      <c r="D2323" s="13" t="s">
        <v>2270</v>
      </c>
      <c r="E2323" s="13" t="s">
        <v>2492</v>
      </c>
      <c r="F2323" s="13" t="s">
        <v>2434</v>
      </c>
      <c r="G2323" s="61" t="n">
        <v>154084916333</v>
      </c>
      <c r="H2323" s="13" t="s">
        <v>2255</v>
      </c>
      <c r="I2323" s="13" t="s">
        <v>2477</v>
      </c>
      <c r="J2323" s="13" t="n">
        <v>57</v>
      </c>
      <c r="K2323" s="13" t="s">
        <v>2478</v>
      </c>
      <c r="L2323" s="13" t="s">
        <v>2265</v>
      </c>
      <c r="M2323" s="13" t="s">
        <v>2479</v>
      </c>
    </row>
    <row r="2324" customFormat="false" ht="15" hidden="false" customHeight="false" outlineLevel="0" collapsed="false">
      <c r="A2324" s="13" t="s">
        <v>628</v>
      </c>
      <c r="B2324" s="13" t="s">
        <v>627</v>
      </c>
      <c r="C2324" s="13" t="s">
        <v>2266</v>
      </c>
      <c r="D2324" s="13" t="s">
        <v>2270</v>
      </c>
      <c r="E2324" s="13" t="s">
        <v>2493</v>
      </c>
      <c r="F2324" s="13" t="s">
        <v>2448</v>
      </c>
      <c r="G2324" s="61" t="n">
        <v>111615622273</v>
      </c>
      <c r="H2324" s="13" t="s">
        <v>2255</v>
      </c>
      <c r="I2324" s="13" t="s">
        <v>2477</v>
      </c>
      <c r="J2324" s="13" t="n">
        <v>54</v>
      </c>
      <c r="K2324" s="13" t="s">
        <v>2514</v>
      </c>
      <c r="L2324" s="13" t="s">
        <v>2265</v>
      </c>
      <c r="M2324" s="13" t="s">
        <v>2479</v>
      </c>
    </row>
    <row r="2325" customFormat="false" ht="15" hidden="false" customHeight="false" outlineLevel="0" collapsed="false">
      <c r="A2325" s="13" t="s">
        <v>628</v>
      </c>
      <c r="B2325" s="13" t="s">
        <v>627</v>
      </c>
      <c r="C2325" s="13" t="s">
        <v>2266</v>
      </c>
      <c r="D2325" s="13" t="s">
        <v>2270</v>
      </c>
      <c r="E2325" s="13" t="s">
        <v>2494</v>
      </c>
      <c r="F2325" s="13" t="s">
        <v>2448</v>
      </c>
      <c r="G2325" s="61" t="n">
        <v>36863317956</v>
      </c>
      <c r="H2325" s="13" t="s">
        <v>2255</v>
      </c>
      <c r="I2325" s="13" t="s">
        <v>2477</v>
      </c>
      <c r="J2325" s="13" t="n">
        <v>54</v>
      </c>
      <c r="K2325" s="13" t="s">
        <v>2514</v>
      </c>
      <c r="L2325" s="13" t="s">
        <v>2265</v>
      </c>
      <c r="M2325" s="13" t="s">
        <v>2479</v>
      </c>
    </row>
    <row r="2326" customFormat="false" ht="15" hidden="false" customHeight="false" outlineLevel="0" collapsed="false">
      <c r="A2326" s="13" t="s">
        <v>628</v>
      </c>
      <c r="B2326" s="13" t="s">
        <v>627</v>
      </c>
      <c r="C2326" s="13" t="s">
        <v>2266</v>
      </c>
      <c r="D2326" s="13" t="s">
        <v>2270</v>
      </c>
      <c r="E2326" s="13" t="s">
        <v>2495</v>
      </c>
      <c r="F2326" s="13" t="s">
        <v>2448</v>
      </c>
      <c r="G2326" s="61" t="n">
        <v>-11100000</v>
      </c>
      <c r="H2326" s="13" t="s">
        <v>2255</v>
      </c>
      <c r="I2326" s="13" t="s">
        <v>2477</v>
      </c>
      <c r="J2326" s="13" t="n">
        <v>54</v>
      </c>
      <c r="K2326" s="13" t="s">
        <v>2514</v>
      </c>
      <c r="L2326" s="13" t="s">
        <v>2265</v>
      </c>
      <c r="M2326" s="13" t="s">
        <v>2479</v>
      </c>
    </row>
    <row r="2327" customFormat="false" ht="15" hidden="false" customHeight="false" outlineLevel="0" collapsed="false">
      <c r="A2327" s="13" t="s">
        <v>628</v>
      </c>
      <c r="B2327" s="13" t="s">
        <v>627</v>
      </c>
      <c r="C2327" s="13" t="s">
        <v>2266</v>
      </c>
      <c r="D2327" s="13" t="s">
        <v>2270</v>
      </c>
      <c r="E2327" s="13" t="s">
        <v>2496</v>
      </c>
      <c r="F2327" s="13" t="s">
        <v>2448</v>
      </c>
      <c r="G2327" s="61" t="n">
        <v>-186918731</v>
      </c>
      <c r="H2327" s="13" t="s">
        <v>2255</v>
      </c>
      <c r="I2327" s="13" t="s">
        <v>2477</v>
      </c>
      <c r="J2327" s="13" t="n">
        <v>54</v>
      </c>
      <c r="K2327" s="13" t="s">
        <v>2514</v>
      </c>
      <c r="L2327" s="13" t="s">
        <v>2265</v>
      </c>
      <c r="M2327" s="13" t="s">
        <v>2479</v>
      </c>
    </row>
    <row r="2328" customFormat="false" ht="15" hidden="false" customHeight="false" outlineLevel="0" collapsed="false">
      <c r="A2328" s="13" t="s">
        <v>628</v>
      </c>
      <c r="B2328" s="13" t="s">
        <v>627</v>
      </c>
      <c r="C2328" s="13" t="s">
        <v>2266</v>
      </c>
      <c r="D2328" s="13" t="s">
        <v>2270</v>
      </c>
      <c r="E2328" s="13" t="s">
        <v>2498</v>
      </c>
      <c r="F2328" s="13" t="s">
        <v>2448</v>
      </c>
      <c r="G2328" s="61" t="n">
        <v>0</v>
      </c>
      <c r="H2328" s="13" t="s">
        <v>2255</v>
      </c>
      <c r="I2328" s="13" t="s">
        <v>2477</v>
      </c>
      <c r="J2328" s="13" t="n">
        <v>54</v>
      </c>
      <c r="K2328" s="13" t="s">
        <v>2514</v>
      </c>
      <c r="L2328" s="13" t="s">
        <v>2265</v>
      </c>
      <c r="M2328" s="13" t="s">
        <v>2479</v>
      </c>
    </row>
    <row r="2329" customFormat="false" ht="15" hidden="false" customHeight="false" outlineLevel="0" collapsed="false">
      <c r="A2329" s="13" t="s">
        <v>628</v>
      </c>
      <c r="B2329" s="13" t="s">
        <v>627</v>
      </c>
      <c r="C2329" s="13" t="s">
        <v>2266</v>
      </c>
      <c r="D2329" s="13" t="s">
        <v>2270</v>
      </c>
      <c r="E2329" s="13" t="s">
        <v>2499</v>
      </c>
      <c r="F2329" s="13" t="s">
        <v>2448</v>
      </c>
      <c r="G2329" s="61" t="n">
        <v>148280921498</v>
      </c>
      <c r="H2329" s="13" t="s">
        <v>2255</v>
      </c>
      <c r="I2329" s="13" t="s">
        <v>2477</v>
      </c>
      <c r="J2329" s="13" t="n">
        <v>54</v>
      </c>
      <c r="K2329" s="13" t="s">
        <v>2514</v>
      </c>
      <c r="L2329" s="13" t="s">
        <v>2265</v>
      </c>
      <c r="M2329" s="13" t="s">
        <v>2479</v>
      </c>
    </row>
    <row r="2330" customFormat="false" ht="15" hidden="false" customHeight="false" outlineLevel="0" collapsed="false">
      <c r="A2330" s="13" t="s">
        <v>628</v>
      </c>
      <c r="B2330" s="13" t="s">
        <v>627</v>
      </c>
      <c r="C2330" s="13" t="s">
        <v>2266</v>
      </c>
      <c r="D2330" s="13" t="s">
        <v>2270</v>
      </c>
      <c r="E2330" s="13" t="s">
        <v>2493</v>
      </c>
      <c r="F2330" s="13" t="s">
        <v>2500</v>
      </c>
      <c r="G2330" s="61" t="n">
        <v>286904241595</v>
      </c>
      <c r="H2330" s="13" t="s">
        <v>2255</v>
      </c>
      <c r="I2330" s="13" t="s">
        <v>2477</v>
      </c>
      <c r="J2330" s="13" t="n">
        <v>54</v>
      </c>
      <c r="K2330" s="13" t="s">
        <v>2514</v>
      </c>
      <c r="L2330" s="13" t="s">
        <v>2265</v>
      </c>
      <c r="M2330" s="13" t="s">
        <v>2479</v>
      </c>
    </row>
    <row r="2331" customFormat="false" ht="15" hidden="false" customHeight="false" outlineLevel="0" collapsed="false">
      <c r="A2331" s="13" t="s">
        <v>628</v>
      </c>
      <c r="B2331" s="13" t="s">
        <v>627</v>
      </c>
      <c r="C2331" s="13" t="s">
        <v>2266</v>
      </c>
      <c r="D2331" s="13" t="s">
        <v>2270</v>
      </c>
      <c r="E2331" s="13" t="s">
        <v>2494</v>
      </c>
      <c r="F2331" s="13" t="s">
        <v>2500</v>
      </c>
      <c r="G2331" s="61" t="n">
        <v>35211142343</v>
      </c>
      <c r="H2331" s="13" t="s">
        <v>2255</v>
      </c>
      <c r="I2331" s="13" t="s">
        <v>2477</v>
      </c>
      <c r="J2331" s="13" t="n">
        <v>54</v>
      </c>
      <c r="K2331" s="13" t="s">
        <v>2514</v>
      </c>
      <c r="L2331" s="13" t="s">
        <v>2265</v>
      </c>
      <c r="M2331" s="13" t="s">
        <v>2479</v>
      </c>
    </row>
    <row r="2332" customFormat="false" ht="15" hidden="false" customHeight="false" outlineLevel="0" collapsed="false">
      <c r="A2332" s="13" t="s">
        <v>628</v>
      </c>
      <c r="B2332" s="13" t="s">
        <v>627</v>
      </c>
      <c r="C2332" s="13" t="s">
        <v>2266</v>
      </c>
      <c r="D2332" s="13" t="s">
        <v>2270</v>
      </c>
      <c r="E2332" s="13" t="s">
        <v>2495</v>
      </c>
      <c r="F2332" s="13" t="s">
        <v>2500</v>
      </c>
      <c r="G2332" s="61" t="n">
        <v>-1800731871</v>
      </c>
      <c r="H2332" s="13" t="s">
        <v>2255</v>
      </c>
      <c r="I2332" s="13" t="s">
        <v>2477</v>
      </c>
      <c r="J2332" s="13" t="n">
        <v>54</v>
      </c>
      <c r="K2332" s="13" t="s">
        <v>2514</v>
      </c>
      <c r="L2332" s="13" t="s">
        <v>2265</v>
      </c>
      <c r="M2332" s="13" t="s">
        <v>2479</v>
      </c>
    </row>
    <row r="2333" customFormat="false" ht="15" hidden="false" customHeight="false" outlineLevel="0" collapsed="false">
      <c r="A2333" s="13" t="s">
        <v>628</v>
      </c>
      <c r="B2333" s="13" t="s">
        <v>627</v>
      </c>
      <c r="C2333" s="13" t="s">
        <v>2266</v>
      </c>
      <c r="D2333" s="13" t="s">
        <v>2270</v>
      </c>
      <c r="E2333" s="13" t="s">
        <v>2496</v>
      </c>
      <c r="F2333" s="13" t="s">
        <v>2500</v>
      </c>
      <c r="G2333" s="61" t="n">
        <v>0</v>
      </c>
      <c r="H2333" s="13" t="s">
        <v>2255</v>
      </c>
      <c r="I2333" s="13" t="s">
        <v>2477</v>
      </c>
      <c r="J2333" s="13" t="n">
        <v>54</v>
      </c>
      <c r="K2333" s="13" t="s">
        <v>2514</v>
      </c>
      <c r="L2333" s="13" t="s">
        <v>2265</v>
      </c>
      <c r="M2333" s="13" t="s">
        <v>2479</v>
      </c>
    </row>
    <row r="2334" customFormat="false" ht="15" hidden="false" customHeight="false" outlineLevel="0" collapsed="false">
      <c r="A2334" s="13" t="s">
        <v>628</v>
      </c>
      <c r="B2334" s="13" t="s">
        <v>627</v>
      </c>
      <c r="C2334" s="13" t="s">
        <v>2266</v>
      </c>
      <c r="D2334" s="13" t="s">
        <v>2270</v>
      </c>
      <c r="E2334" s="13" t="s">
        <v>2498</v>
      </c>
      <c r="F2334" s="13" t="s">
        <v>2500</v>
      </c>
      <c r="G2334" s="61" t="n">
        <v>0</v>
      </c>
      <c r="H2334" s="13" t="s">
        <v>2255</v>
      </c>
      <c r="I2334" s="13" t="s">
        <v>2477</v>
      </c>
      <c r="J2334" s="13" t="n">
        <v>54</v>
      </c>
      <c r="K2334" s="13" t="s">
        <v>2514</v>
      </c>
      <c r="L2334" s="13" t="s">
        <v>2265</v>
      </c>
      <c r="M2334" s="13" t="s">
        <v>2479</v>
      </c>
    </row>
    <row r="2335" customFormat="false" ht="15" hidden="false" customHeight="false" outlineLevel="0" collapsed="false">
      <c r="A2335" s="13" t="s">
        <v>628</v>
      </c>
      <c r="B2335" s="13" t="s">
        <v>627</v>
      </c>
      <c r="C2335" s="13" t="s">
        <v>2266</v>
      </c>
      <c r="D2335" s="13" t="s">
        <v>2270</v>
      </c>
      <c r="E2335" s="13" t="s">
        <v>2499</v>
      </c>
      <c r="F2335" s="13" t="s">
        <v>2500</v>
      </c>
      <c r="G2335" s="61" t="n">
        <v>320314652067</v>
      </c>
      <c r="H2335" s="13" t="s">
        <v>2255</v>
      </c>
      <c r="I2335" s="13" t="s">
        <v>2477</v>
      </c>
      <c r="J2335" s="13" t="n">
        <v>54</v>
      </c>
      <c r="K2335" s="13" t="s">
        <v>2514</v>
      </c>
      <c r="L2335" s="13" t="s">
        <v>2265</v>
      </c>
      <c r="M2335" s="13" t="s">
        <v>2479</v>
      </c>
    </row>
    <row r="2336" customFormat="false" ht="15" hidden="false" customHeight="false" outlineLevel="0" collapsed="false">
      <c r="A2336" s="13" t="s">
        <v>628</v>
      </c>
      <c r="B2336" s="13" t="s">
        <v>627</v>
      </c>
      <c r="C2336" s="13" t="s">
        <v>2266</v>
      </c>
      <c r="D2336" s="13" t="s">
        <v>2270</v>
      </c>
      <c r="E2336" s="13" t="s">
        <v>2493</v>
      </c>
      <c r="F2336" s="13" t="s">
        <v>2501</v>
      </c>
      <c r="G2336" s="61" t="n">
        <v>68010098862</v>
      </c>
      <c r="H2336" s="13" t="s">
        <v>2255</v>
      </c>
      <c r="I2336" s="13" t="s">
        <v>2477</v>
      </c>
      <c r="J2336" s="13" t="n">
        <v>54</v>
      </c>
      <c r="K2336" s="13" t="s">
        <v>2514</v>
      </c>
      <c r="L2336" s="13" t="s">
        <v>2265</v>
      </c>
      <c r="M2336" s="13" t="s">
        <v>2479</v>
      </c>
    </row>
    <row r="2337" customFormat="false" ht="15" hidden="false" customHeight="false" outlineLevel="0" collapsed="false">
      <c r="A2337" s="13" t="s">
        <v>628</v>
      </c>
      <c r="B2337" s="13" t="s">
        <v>627</v>
      </c>
      <c r="C2337" s="13" t="s">
        <v>2266</v>
      </c>
      <c r="D2337" s="13" t="s">
        <v>2270</v>
      </c>
      <c r="E2337" s="13" t="s">
        <v>2494</v>
      </c>
      <c r="F2337" s="13" t="s">
        <v>2501</v>
      </c>
      <c r="G2337" s="61" t="n">
        <v>14590700120</v>
      </c>
      <c r="H2337" s="13" t="s">
        <v>2255</v>
      </c>
      <c r="I2337" s="13" t="s">
        <v>2477</v>
      </c>
      <c r="J2337" s="13" t="n">
        <v>54</v>
      </c>
      <c r="K2337" s="13" t="s">
        <v>2514</v>
      </c>
      <c r="L2337" s="13" t="s">
        <v>2265</v>
      </c>
      <c r="M2337" s="13" t="s">
        <v>2479</v>
      </c>
    </row>
    <row r="2338" customFormat="false" ht="15" hidden="false" customHeight="false" outlineLevel="0" collapsed="false">
      <c r="A2338" s="13" t="s">
        <v>628</v>
      </c>
      <c r="B2338" s="13" t="s">
        <v>627</v>
      </c>
      <c r="C2338" s="13" t="s">
        <v>2266</v>
      </c>
      <c r="D2338" s="13" t="s">
        <v>2270</v>
      </c>
      <c r="E2338" s="13" t="s">
        <v>2495</v>
      </c>
      <c r="F2338" s="13" t="s">
        <v>2501</v>
      </c>
      <c r="G2338" s="61" t="n">
        <v>-633433011</v>
      </c>
      <c r="H2338" s="13" t="s">
        <v>2255</v>
      </c>
      <c r="I2338" s="13" t="s">
        <v>2477</v>
      </c>
      <c r="J2338" s="13" t="n">
        <v>54</v>
      </c>
      <c r="K2338" s="13" t="s">
        <v>2514</v>
      </c>
      <c r="L2338" s="13" t="s">
        <v>2265</v>
      </c>
      <c r="M2338" s="13" t="s">
        <v>2479</v>
      </c>
    </row>
    <row r="2339" customFormat="false" ht="15" hidden="false" customHeight="false" outlineLevel="0" collapsed="false">
      <c r="A2339" s="13" t="s">
        <v>628</v>
      </c>
      <c r="B2339" s="13" t="s">
        <v>627</v>
      </c>
      <c r="C2339" s="13" t="s">
        <v>2266</v>
      </c>
      <c r="D2339" s="13" t="s">
        <v>2270</v>
      </c>
      <c r="E2339" s="13" t="s">
        <v>2496</v>
      </c>
      <c r="F2339" s="13" t="s">
        <v>2501</v>
      </c>
      <c r="G2339" s="61" t="n">
        <v>9134375</v>
      </c>
      <c r="H2339" s="13" t="s">
        <v>2255</v>
      </c>
      <c r="I2339" s="13" t="s">
        <v>2477</v>
      </c>
      <c r="J2339" s="13" t="n">
        <v>54</v>
      </c>
      <c r="K2339" s="13" t="s">
        <v>2514</v>
      </c>
      <c r="L2339" s="13" t="s">
        <v>2265</v>
      </c>
      <c r="M2339" s="13" t="s">
        <v>2479</v>
      </c>
    </row>
    <row r="2340" customFormat="false" ht="15" hidden="false" customHeight="false" outlineLevel="0" collapsed="false">
      <c r="A2340" s="13" t="s">
        <v>628</v>
      </c>
      <c r="B2340" s="13" t="s">
        <v>627</v>
      </c>
      <c r="C2340" s="13" t="s">
        <v>2266</v>
      </c>
      <c r="D2340" s="13" t="s">
        <v>2270</v>
      </c>
      <c r="E2340" s="13" t="s">
        <v>2498</v>
      </c>
      <c r="F2340" s="13" t="s">
        <v>2501</v>
      </c>
      <c r="G2340" s="61" t="n">
        <v>0</v>
      </c>
      <c r="H2340" s="13" t="s">
        <v>2255</v>
      </c>
      <c r="I2340" s="13" t="s">
        <v>2477</v>
      </c>
      <c r="J2340" s="13" t="n">
        <v>54</v>
      </c>
      <c r="K2340" s="13" t="s">
        <v>2514</v>
      </c>
      <c r="L2340" s="13" t="s">
        <v>2265</v>
      </c>
      <c r="M2340" s="13" t="s">
        <v>2479</v>
      </c>
    </row>
    <row r="2341" customFormat="false" ht="15" hidden="false" customHeight="false" outlineLevel="0" collapsed="false">
      <c r="A2341" s="13" t="s">
        <v>628</v>
      </c>
      <c r="B2341" s="13" t="s">
        <v>627</v>
      </c>
      <c r="C2341" s="13" t="s">
        <v>2266</v>
      </c>
      <c r="D2341" s="13" t="s">
        <v>2270</v>
      </c>
      <c r="E2341" s="13" t="s">
        <v>2499</v>
      </c>
      <c r="F2341" s="13" t="s">
        <v>2501</v>
      </c>
      <c r="G2341" s="61" t="n">
        <v>81976500346</v>
      </c>
      <c r="H2341" s="13" t="s">
        <v>2255</v>
      </c>
      <c r="I2341" s="13" t="s">
        <v>2477</v>
      </c>
      <c r="J2341" s="13" t="n">
        <v>54</v>
      </c>
      <c r="K2341" s="13" t="s">
        <v>2514</v>
      </c>
      <c r="L2341" s="13" t="s">
        <v>2265</v>
      </c>
      <c r="M2341" s="13" t="s">
        <v>2479</v>
      </c>
    </row>
    <row r="2342" customFormat="false" ht="15" hidden="false" customHeight="false" outlineLevel="0" collapsed="false">
      <c r="A2342" s="13" t="s">
        <v>628</v>
      </c>
      <c r="B2342" s="13" t="s">
        <v>627</v>
      </c>
      <c r="C2342" s="13" t="s">
        <v>2266</v>
      </c>
      <c r="D2342" s="13" t="s">
        <v>2270</v>
      </c>
      <c r="E2342" s="13" t="s">
        <v>2493</v>
      </c>
      <c r="F2342" s="13" t="s">
        <v>2502</v>
      </c>
      <c r="G2342" s="61" t="n">
        <v>40402091545</v>
      </c>
      <c r="H2342" s="13" t="s">
        <v>2255</v>
      </c>
      <c r="I2342" s="13" t="s">
        <v>2477</v>
      </c>
      <c r="J2342" s="13" t="n">
        <v>54</v>
      </c>
      <c r="K2342" s="13" t="s">
        <v>2514</v>
      </c>
      <c r="L2342" s="13" t="s">
        <v>2265</v>
      </c>
      <c r="M2342" s="13" t="s">
        <v>2479</v>
      </c>
    </row>
    <row r="2343" customFormat="false" ht="15" hidden="false" customHeight="false" outlineLevel="0" collapsed="false">
      <c r="A2343" s="13" t="s">
        <v>628</v>
      </c>
      <c r="B2343" s="13" t="s">
        <v>627</v>
      </c>
      <c r="C2343" s="13" t="s">
        <v>2266</v>
      </c>
      <c r="D2343" s="13" t="s">
        <v>2270</v>
      </c>
      <c r="E2343" s="13" t="s">
        <v>2494</v>
      </c>
      <c r="F2343" s="13" t="s">
        <v>2502</v>
      </c>
      <c r="G2343" s="61" t="n">
        <v>4666413052</v>
      </c>
      <c r="H2343" s="13" t="s">
        <v>2255</v>
      </c>
      <c r="I2343" s="13" t="s">
        <v>2477</v>
      </c>
      <c r="J2343" s="13" t="n">
        <v>54</v>
      </c>
      <c r="K2343" s="13" t="s">
        <v>2514</v>
      </c>
      <c r="L2343" s="13" t="s">
        <v>2265</v>
      </c>
      <c r="M2343" s="13" t="s">
        <v>2479</v>
      </c>
    </row>
    <row r="2344" customFormat="false" ht="15" hidden="false" customHeight="false" outlineLevel="0" collapsed="false">
      <c r="A2344" s="13" t="s">
        <v>628</v>
      </c>
      <c r="B2344" s="13" t="s">
        <v>627</v>
      </c>
      <c r="C2344" s="13" t="s">
        <v>2266</v>
      </c>
      <c r="D2344" s="13" t="s">
        <v>2270</v>
      </c>
      <c r="E2344" s="13" t="s">
        <v>2495</v>
      </c>
      <c r="F2344" s="13" t="s">
        <v>2502</v>
      </c>
      <c r="G2344" s="61" t="n">
        <v>-21950000</v>
      </c>
      <c r="H2344" s="13" t="s">
        <v>2255</v>
      </c>
      <c r="I2344" s="13" t="s">
        <v>2477</v>
      </c>
      <c r="J2344" s="13" t="n">
        <v>54</v>
      </c>
      <c r="K2344" s="13" t="s">
        <v>2514</v>
      </c>
      <c r="L2344" s="13" t="s">
        <v>2265</v>
      </c>
      <c r="M2344" s="13" t="s">
        <v>2479</v>
      </c>
    </row>
    <row r="2345" customFormat="false" ht="15" hidden="false" customHeight="false" outlineLevel="0" collapsed="false">
      <c r="A2345" s="13" t="s">
        <v>628</v>
      </c>
      <c r="B2345" s="13" t="s">
        <v>627</v>
      </c>
      <c r="C2345" s="13" t="s">
        <v>2266</v>
      </c>
      <c r="D2345" s="13" t="s">
        <v>2270</v>
      </c>
      <c r="E2345" s="13" t="s">
        <v>2496</v>
      </c>
      <c r="F2345" s="13" t="s">
        <v>2502</v>
      </c>
      <c r="G2345" s="61" t="n">
        <v>93833558</v>
      </c>
      <c r="H2345" s="13" t="s">
        <v>2255</v>
      </c>
      <c r="I2345" s="13" t="s">
        <v>2477</v>
      </c>
      <c r="J2345" s="13" t="n">
        <v>54</v>
      </c>
      <c r="K2345" s="13" t="s">
        <v>2514</v>
      </c>
      <c r="L2345" s="13" t="s">
        <v>2265</v>
      </c>
      <c r="M2345" s="13" t="s">
        <v>2479</v>
      </c>
    </row>
    <row r="2346" customFormat="false" ht="15" hidden="false" customHeight="false" outlineLevel="0" collapsed="false">
      <c r="A2346" s="13" t="s">
        <v>628</v>
      </c>
      <c r="B2346" s="13" t="s">
        <v>627</v>
      </c>
      <c r="C2346" s="13" t="s">
        <v>2266</v>
      </c>
      <c r="D2346" s="13" t="s">
        <v>2270</v>
      </c>
      <c r="E2346" s="13" t="s">
        <v>2498</v>
      </c>
      <c r="F2346" s="13" t="s">
        <v>2502</v>
      </c>
      <c r="G2346" s="61" t="n">
        <v>0</v>
      </c>
      <c r="H2346" s="13" t="s">
        <v>2255</v>
      </c>
      <c r="I2346" s="13" t="s">
        <v>2477</v>
      </c>
      <c r="J2346" s="13" t="n">
        <v>54</v>
      </c>
      <c r="K2346" s="13" t="s">
        <v>2514</v>
      </c>
      <c r="L2346" s="13" t="s">
        <v>2265</v>
      </c>
      <c r="M2346" s="13" t="s">
        <v>2479</v>
      </c>
    </row>
    <row r="2347" customFormat="false" ht="15" hidden="false" customHeight="false" outlineLevel="0" collapsed="false">
      <c r="A2347" s="13" t="s">
        <v>628</v>
      </c>
      <c r="B2347" s="13" t="s">
        <v>627</v>
      </c>
      <c r="C2347" s="13" t="s">
        <v>2266</v>
      </c>
      <c r="D2347" s="13" t="s">
        <v>2270</v>
      </c>
      <c r="E2347" s="13" t="s">
        <v>2499</v>
      </c>
      <c r="F2347" s="13" t="s">
        <v>2502</v>
      </c>
      <c r="G2347" s="61" t="n">
        <v>45140388155</v>
      </c>
      <c r="H2347" s="13" t="s">
        <v>2255</v>
      </c>
      <c r="I2347" s="13" t="s">
        <v>2477</v>
      </c>
      <c r="J2347" s="13" t="n">
        <v>54</v>
      </c>
      <c r="K2347" s="13" t="s">
        <v>2514</v>
      </c>
      <c r="L2347" s="13" t="s">
        <v>2265</v>
      </c>
      <c r="M2347" s="13" t="s">
        <v>2479</v>
      </c>
    </row>
    <row r="2348" customFormat="false" ht="15" hidden="false" customHeight="false" outlineLevel="0" collapsed="false">
      <c r="A2348" s="13" t="s">
        <v>628</v>
      </c>
      <c r="B2348" s="13" t="s">
        <v>627</v>
      </c>
      <c r="C2348" s="13" t="s">
        <v>2266</v>
      </c>
      <c r="D2348" s="13" t="s">
        <v>2270</v>
      </c>
      <c r="E2348" s="13" t="s">
        <v>2493</v>
      </c>
      <c r="F2348" s="13" t="s">
        <v>2503</v>
      </c>
      <c r="G2348" s="61" t="n">
        <v>8461653096</v>
      </c>
      <c r="H2348" s="13" t="s">
        <v>2255</v>
      </c>
      <c r="I2348" s="13" t="s">
        <v>2477</v>
      </c>
      <c r="J2348" s="13" t="n">
        <v>54</v>
      </c>
      <c r="K2348" s="13" t="s">
        <v>2514</v>
      </c>
      <c r="L2348" s="13" t="s">
        <v>2265</v>
      </c>
      <c r="M2348" s="13" t="s">
        <v>2479</v>
      </c>
    </row>
    <row r="2349" customFormat="false" ht="15" hidden="false" customHeight="false" outlineLevel="0" collapsed="false">
      <c r="A2349" s="13" t="s">
        <v>628</v>
      </c>
      <c r="B2349" s="13" t="s">
        <v>627</v>
      </c>
      <c r="C2349" s="13" t="s">
        <v>2266</v>
      </c>
      <c r="D2349" s="13" t="s">
        <v>2270</v>
      </c>
      <c r="E2349" s="13" t="s">
        <v>2494</v>
      </c>
      <c r="F2349" s="13" t="s">
        <v>2503</v>
      </c>
      <c r="G2349" s="61" t="n">
        <v>2098473806</v>
      </c>
      <c r="H2349" s="13" t="s">
        <v>2255</v>
      </c>
      <c r="I2349" s="13" t="s">
        <v>2477</v>
      </c>
      <c r="J2349" s="13" t="n">
        <v>54</v>
      </c>
      <c r="K2349" s="13" t="s">
        <v>2514</v>
      </c>
      <c r="L2349" s="13" t="s">
        <v>2265</v>
      </c>
      <c r="M2349" s="13" t="s">
        <v>2479</v>
      </c>
    </row>
    <row r="2350" customFormat="false" ht="15" hidden="false" customHeight="false" outlineLevel="0" collapsed="false">
      <c r="A2350" s="13" t="s">
        <v>628</v>
      </c>
      <c r="B2350" s="13" t="s">
        <v>627</v>
      </c>
      <c r="C2350" s="13" t="s">
        <v>2266</v>
      </c>
      <c r="D2350" s="13" t="s">
        <v>2270</v>
      </c>
      <c r="E2350" s="13" t="s">
        <v>2495</v>
      </c>
      <c r="F2350" s="13" t="s">
        <v>2503</v>
      </c>
      <c r="G2350" s="61" t="n">
        <v>-92725000</v>
      </c>
      <c r="H2350" s="13" t="s">
        <v>2255</v>
      </c>
      <c r="I2350" s="13" t="s">
        <v>2477</v>
      </c>
      <c r="J2350" s="13" t="n">
        <v>54</v>
      </c>
      <c r="K2350" s="13" t="s">
        <v>2514</v>
      </c>
      <c r="L2350" s="13" t="s">
        <v>2265</v>
      </c>
      <c r="M2350" s="13" t="s">
        <v>2479</v>
      </c>
    </row>
    <row r="2351" customFormat="false" ht="15" hidden="false" customHeight="false" outlineLevel="0" collapsed="false">
      <c r="A2351" s="13" t="s">
        <v>628</v>
      </c>
      <c r="B2351" s="13" t="s">
        <v>627</v>
      </c>
      <c r="C2351" s="13" t="s">
        <v>2266</v>
      </c>
      <c r="D2351" s="13" t="s">
        <v>2270</v>
      </c>
      <c r="E2351" s="13" t="s">
        <v>2496</v>
      </c>
      <c r="F2351" s="13" t="s">
        <v>2503</v>
      </c>
      <c r="G2351" s="61" t="n">
        <v>83950798</v>
      </c>
      <c r="H2351" s="13" t="s">
        <v>2255</v>
      </c>
      <c r="I2351" s="13" t="s">
        <v>2477</v>
      </c>
      <c r="J2351" s="13" t="n">
        <v>54</v>
      </c>
      <c r="K2351" s="13" t="s">
        <v>2514</v>
      </c>
      <c r="L2351" s="13" t="s">
        <v>2265</v>
      </c>
      <c r="M2351" s="13" t="s">
        <v>2479</v>
      </c>
    </row>
    <row r="2352" customFormat="false" ht="15" hidden="false" customHeight="false" outlineLevel="0" collapsed="false">
      <c r="A2352" s="13" t="s">
        <v>628</v>
      </c>
      <c r="B2352" s="13" t="s">
        <v>627</v>
      </c>
      <c r="C2352" s="13" t="s">
        <v>2266</v>
      </c>
      <c r="D2352" s="13" t="s">
        <v>2270</v>
      </c>
      <c r="E2352" s="13" t="s">
        <v>2498</v>
      </c>
      <c r="F2352" s="13" t="s">
        <v>2503</v>
      </c>
      <c r="G2352" s="61" t="n">
        <v>0</v>
      </c>
      <c r="H2352" s="13" t="s">
        <v>2255</v>
      </c>
      <c r="I2352" s="13" t="s">
        <v>2477</v>
      </c>
      <c r="J2352" s="13" t="n">
        <v>54</v>
      </c>
      <c r="K2352" s="13" t="s">
        <v>2514</v>
      </c>
      <c r="L2352" s="13" t="s">
        <v>2265</v>
      </c>
      <c r="M2352" s="13" t="s">
        <v>2479</v>
      </c>
    </row>
    <row r="2353" customFormat="false" ht="15" hidden="false" customHeight="false" outlineLevel="0" collapsed="false">
      <c r="A2353" s="13" t="s">
        <v>628</v>
      </c>
      <c r="B2353" s="13" t="s">
        <v>627</v>
      </c>
      <c r="C2353" s="13" t="s">
        <v>2266</v>
      </c>
      <c r="D2353" s="13" t="s">
        <v>2270</v>
      </c>
      <c r="E2353" s="13" t="s">
        <v>2499</v>
      </c>
      <c r="F2353" s="13" t="s">
        <v>2503</v>
      </c>
      <c r="G2353" s="61" t="n">
        <v>10551352700</v>
      </c>
      <c r="H2353" s="13" t="s">
        <v>2255</v>
      </c>
      <c r="I2353" s="13" t="s">
        <v>2477</v>
      </c>
      <c r="J2353" s="13" t="n">
        <v>54</v>
      </c>
      <c r="K2353" s="13" t="s">
        <v>2514</v>
      </c>
      <c r="L2353" s="13" t="s">
        <v>2265</v>
      </c>
      <c r="M2353" s="13" t="s">
        <v>2479</v>
      </c>
    </row>
    <row r="2354" customFormat="false" ht="15" hidden="false" customHeight="false" outlineLevel="0" collapsed="false">
      <c r="A2354" s="13" t="s">
        <v>628</v>
      </c>
      <c r="B2354" s="13" t="s">
        <v>627</v>
      </c>
      <c r="C2354" s="13" t="s">
        <v>2266</v>
      </c>
      <c r="D2354" s="13" t="s">
        <v>2270</v>
      </c>
      <c r="E2354" s="13" t="s">
        <v>2493</v>
      </c>
      <c r="F2354" s="13" t="s">
        <v>2504</v>
      </c>
      <c r="G2354" s="61" t="n">
        <v>16254681629</v>
      </c>
      <c r="H2354" s="13" t="s">
        <v>2255</v>
      </c>
      <c r="I2354" s="13" t="s">
        <v>2477</v>
      </c>
      <c r="J2354" s="13" t="n">
        <v>54</v>
      </c>
      <c r="K2354" s="13" t="s">
        <v>2514</v>
      </c>
      <c r="L2354" s="13" t="s">
        <v>2265</v>
      </c>
      <c r="M2354" s="13" t="s">
        <v>2479</v>
      </c>
    </row>
    <row r="2355" customFormat="false" ht="15" hidden="false" customHeight="false" outlineLevel="0" collapsed="false">
      <c r="A2355" s="13" t="s">
        <v>628</v>
      </c>
      <c r="B2355" s="13" t="s">
        <v>627</v>
      </c>
      <c r="C2355" s="13" t="s">
        <v>2266</v>
      </c>
      <c r="D2355" s="13" t="s">
        <v>2270</v>
      </c>
      <c r="E2355" s="13" t="s">
        <v>2494</v>
      </c>
      <c r="F2355" s="13" t="s">
        <v>2504</v>
      </c>
      <c r="G2355" s="61" t="n">
        <v>1655184285</v>
      </c>
      <c r="H2355" s="13" t="s">
        <v>2255</v>
      </c>
      <c r="I2355" s="13" t="s">
        <v>2477</v>
      </c>
      <c r="J2355" s="13" t="n">
        <v>54</v>
      </c>
      <c r="K2355" s="13" t="s">
        <v>2514</v>
      </c>
      <c r="L2355" s="13" t="s">
        <v>2265</v>
      </c>
      <c r="M2355" s="13" t="s">
        <v>2479</v>
      </c>
    </row>
    <row r="2356" customFormat="false" ht="15" hidden="false" customHeight="false" outlineLevel="0" collapsed="false">
      <c r="A2356" s="13" t="s">
        <v>628</v>
      </c>
      <c r="B2356" s="13" t="s">
        <v>627</v>
      </c>
      <c r="C2356" s="13" t="s">
        <v>2266</v>
      </c>
      <c r="D2356" s="13" t="s">
        <v>2270</v>
      </c>
      <c r="E2356" s="13" t="s">
        <v>2495</v>
      </c>
      <c r="F2356" s="13" t="s">
        <v>2504</v>
      </c>
      <c r="G2356" s="61" t="n">
        <v>-593801688</v>
      </c>
      <c r="H2356" s="13" t="s">
        <v>2255</v>
      </c>
      <c r="I2356" s="13" t="s">
        <v>2477</v>
      </c>
      <c r="J2356" s="13" t="n">
        <v>54</v>
      </c>
      <c r="K2356" s="13" t="s">
        <v>2514</v>
      </c>
      <c r="L2356" s="13" t="s">
        <v>2265</v>
      </c>
      <c r="M2356" s="13" t="s">
        <v>2479</v>
      </c>
    </row>
    <row r="2357" customFormat="false" ht="15" hidden="false" customHeight="false" outlineLevel="0" collapsed="false">
      <c r="A2357" s="13" t="s">
        <v>628</v>
      </c>
      <c r="B2357" s="13" t="s">
        <v>627</v>
      </c>
      <c r="C2357" s="13" t="s">
        <v>2266</v>
      </c>
      <c r="D2357" s="13" t="s">
        <v>2270</v>
      </c>
      <c r="E2357" s="13" t="s">
        <v>2496</v>
      </c>
      <c r="F2357" s="13" t="s">
        <v>2504</v>
      </c>
      <c r="G2357" s="61" t="n">
        <v>0</v>
      </c>
      <c r="H2357" s="13" t="s">
        <v>2255</v>
      </c>
      <c r="I2357" s="13" t="s">
        <v>2477</v>
      </c>
      <c r="J2357" s="13" t="n">
        <v>54</v>
      </c>
      <c r="K2357" s="13" t="s">
        <v>2514</v>
      </c>
      <c r="L2357" s="13" t="s">
        <v>2265</v>
      </c>
      <c r="M2357" s="13" t="s">
        <v>2479</v>
      </c>
    </row>
    <row r="2358" customFormat="false" ht="15" hidden="false" customHeight="false" outlineLevel="0" collapsed="false">
      <c r="A2358" s="13" t="s">
        <v>628</v>
      </c>
      <c r="B2358" s="13" t="s">
        <v>627</v>
      </c>
      <c r="C2358" s="13" t="s">
        <v>2266</v>
      </c>
      <c r="D2358" s="13" t="s">
        <v>2270</v>
      </c>
      <c r="E2358" s="13" t="s">
        <v>2498</v>
      </c>
      <c r="F2358" s="13" t="s">
        <v>2504</v>
      </c>
      <c r="G2358" s="61" t="n">
        <v>0</v>
      </c>
      <c r="H2358" s="13" t="s">
        <v>2255</v>
      </c>
      <c r="I2358" s="13" t="s">
        <v>2477</v>
      </c>
      <c r="J2358" s="13" t="n">
        <v>54</v>
      </c>
      <c r="K2358" s="13" t="s">
        <v>2514</v>
      </c>
      <c r="L2358" s="13" t="s">
        <v>2265</v>
      </c>
      <c r="M2358" s="13" t="s">
        <v>2479</v>
      </c>
    </row>
    <row r="2359" customFormat="false" ht="15" hidden="false" customHeight="false" outlineLevel="0" collapsed="false">
      <c r="A2359" s="13" t="s">
        <v>628</v>
      </c>
      <c r="B2359" s="13" t="s">
        <v>627</v>
      </c>
      <c r="C2359" s="13" t="s">
        <v>2266</v>
      </c>
      <c r="D2359" s="13" t="s">
        <v>2270</v>
      </c>
      <c r="E2359" s="13" t="s">
        <v>2499</v>
      </c>
      <c r="F2359" s="13" t="s">
        <v>2504</v>
      </c>
      <c r="G2359" s="61" t="n">
        <v>17316064226</v>
      </c>
      <c r="H2359" s="13" t="s">
        <v>2255</v>
      </c>
      <c r="I2359" s="13" t="s">
        <v>2477</v>
      </c>
      <c r="J2359" s="13" t="n">
        <v>54</v>
      </c>
      <c r="K2359" s="13" t="s">
        <v>2514</v>
      </c>
      <c r="L2359" s="13" t="s">
        <v>2265</v>
      </c>
      <c r="M2359" s="13" t="s">
        <v>2479</v>
      </c>
    </row>
    <row r="2360" customFormat="false" ht="15" hidden="false" customHeight="false" outlineLevel="0" collapsed="false">
      <c r="A2360" s="13" t="s">
        <v>628</v>
      </c>
      <c r="B2360" s="13" t="s">
        <v>627</v>
      </c>
      <c r="C2360" s="13" t="s">
        <v>2266</v>
      </c>
      <c r="D2360" s="13" t="s">
        <v>2270</v>
      </c>
      <c r="E2360" s="13" t="s">
        <v>2493</v>
      </c>
      <c r="F2360" s="13" t="s">
        <v>2290</v>
      </c>
      <c r="G2360" s="61" t="n">
        <v>531648389000</v>
      </c>
      <c r="H2360" s="13" t="s">
        <v>2255</v>
      </c>
      <c r="I2360" s="13" t="s">
        <v>2477</v>
      </c>
      <c r="J2360" s="13" t="n">
        <v>54</v>
      </c>
      <c r="K2360" s="13" t="s">
        <v>2514</v>
      </c>
      <c r="L2360" s="13" t="s">
        <v>2265</v>
      </c>
      <c r="M2360" s="13" t="s">
        <v>2479</v>
      </c>
    </row>
    <row r="2361" customFormat="false" ht="15" hidden="false" customHeight="false" outlineLevel="0" collapsed="false">
      <c r="A2361" s="13" t="s">
        <v>628</v>
      </c>
      <c r="B2361" s="13" t="s">
        <v>627</v>
      </c>
      <c r="C2361" s="13" t="s">
        <v>2266</v>
      </c>
      <c r="D2361" s="13" t="s">
        <v>2270</v>
      </c>
      <c r="E2361" s="13" t="s">
        <v>2494</v>
      </c>
      <c r="F2361" s="13" t="s">
        <v>2290</v>
      </c>
      <c r="G2361" s="61" t="n">
        <v>95085231562</v>
      </c>
      <c r="H2361" s="13" t="s">
        <v>2255</v>
      </c>
      <c r="I2361" s="13" t="s">
        <v>2477</v>
      </c>
      <c r="J2361" s="13" t="n">
        <v>54</v>
      </c>
      <c r="K2361" s="13" t="s">
        <v>2514</v>
      </c>
      <c r="L2361" s="13" t="s">
        <v>2265</v>
      </c>
      <c r="M2361" s="13" t="s">
        <v>2479</v>
      </c>
    </row>
    <row r="2362" customFormat="false" ht="15" hidden="false" customHeight="false" outlineLevel="0" collapsed="false">
      <c r="A2362" s="13" t="s">
        <v>628</v>
      </c>
      <c r="B2362" s="13" t="s">
        <v>627</v>
      </c>
      <c r="C2362" s="13" t="s">
        <v>2266</v>
      </c>
      <c r="D2362" s="13" t="s">
        <v>2270</v>
      </c>
      <c r="E2362" s="13" t="s">
        <v>2495</v>
      </c>
      <c r="F2362" s="13" t="s">
        <v>2290</v>
      </c>
      <c r="G2362" s="61" t="n">
        <v>-3153741570</v>
      </c>
      <c r="H2362" s="13" t="s">
        <v>2255</v>
      </c>
      <c r="I2362" s="13" t="s">
        <v>2477</v>
      </c>
      <c r="J2362" s="13" t="n">
        <v>54</v>
      </c>
      <c r="K2362" s="13" t="s">
        <v>2514</v>
      </c>
      <c r="L2362" s="13" t="s">
        <v>2265</v>
      </c>
      <c r="M2362" s="13" t="s">
        <v>2479</v>
      </c>
    </row>
    <row r="2363" customFormat="false" ht="15" hidden="false" customHeight="false" outlineLevel="0" collapsed="false">
      <c r="A2363" s="13" t="s">
        <v>628</v>
      </c>
      <c r="B2363" s="13" t="s">
        <v>627</v>
      </c>
      <c r="C2363" s="13" t="s">
        <v>2266</v>
      </c>
      <c r="D2363" s="13" t="s">
        <v>2270</v>
      </c>
      <c r="E2363" s="13" t="s">
        <v>2496</v>
      </c>
      <c r="F2363" s="13" t="s">
        <v>2290</v>
      </c>
      <c r="G2363" s="61" t="n">
        <v>0</v>
      </c>
      <c r="H2363" s="13" t="s">
        <v>2255</v>
      </c>
      <c r="I2363" s="13" t="s">
        <v>2477</v>
      </c>
      <c r="J2363" s="13" t="n">
        <v>54</v>
      </c>
      <c r="K2363" s="13" t="s">
        <v>2514</v>
      </c>
      <c r="L2363" s="13" t="s">
        <v>2265</v>
      </c>
      <c r="M2363" s="13" t="s">
        <v>2479</v>
      </c>
    </row>
    <row r="2364" customFormat="false" ht="15" hidden="false" customHeight="false" outlineLevel="0" collapsed="false">
      <c r="A2364" s="13" t="s">
        <v>628</v>
      </c>
      <c r="B2364" s="13" t="s">
        <v>627</v>
      </c>
      <c r="C2364" s="13" t="s">
        <v>2266</v>
      </c>
      <c r="D2364" s="13" t="s">
        <v>2270</v>
      </c>
      <c r="E2364" s="13" t="s">
        <v>2498</v>
      </c>
      <c r="F2364" s="13" t="s">
        <v>2290</v>
      </c>
      <c r="G2364" s="61" t="n">
        <v>0</v>
      </c>
      <c r="H2364" s="13" t="s">
        <v>2255</v>
      </c>
      <c r="I2364" s="13" t="s">
        <v>2477</v>
      </c>
      <c r="J2364" s="13" t="n">
        <v>54</v>
      </c>
      <c r="K2364" s="13" t="s">
        <v>2514</v>
      </c>
      <c r="L2364" s="13" t="s">
        <v>2265</v>
      </c>
      <c r="M2364" s="13" t="s">
        <v>2479</v>
      </c>
    </row>
    <row r="2365" customFormat="false" ht="15" hidden="false" customHeight="false" outlineLevel="0" collapsed="false">
      <c r="A2365" s="13" t="s">
        <v>628</v>
      </c>
      <c r="B2365" s="13" t="s">
        <v>627</v>
      </c>
      <c r="C2365" s="13" t="s">
        <v>2266</v>
      </c>
      <c r="D2365" s="13" t="s">
        <v>2270</v>
      </c>
      <c r="E2365" s="13" t="s">
        <v>2499</v>
      </c>
      <c r="F2365" s="13" t="s">
        <v>2290</v>
      </c>
      <c r="G2365" s="61" t="n">
        <v>623579878992</v>
      </c>
      <c r="H2365" s="13" t="s">
        <v>2255</v>
      </c>
      <c r="I2365" s="13" t="s">
        <v>2477</v>
      </c>
      <c r="J2365" s="13" t="n">
        <v>54</v>
      </c>
      <c r="K2365" s="13" t="s">
        <v>2514</v>
      </c>
      <c r="L2365" s="13" t="s">
        <v>2265</v>
      </c>
      <c r="M2365" s="13" t="s">
        <v>2479</v>
      </c>
    </row>
    <row r="2366" customFormat="false" ht="15" hidden="false" customHeight="false" outlineLevel="0" collapsed="false">
      <c r="A2366" s="13" t="s">
        <v>628</v>
      </c>
      <c r="B2366" s="13" t="s">
        <v>627</v>
      </c>
      <c r="C2366" s="13" t="s">
        <v>2266</v>
      </c>
      <c r="D2366" s="13" t="s">
        <v>2270</v>
      </c>
      <c r="E2366" s="13" t="s">
        <v>2505</v>
      </c>
      <c r="F2366" s="13" t="s">
        <v>2447</v>
      </c>
      <c r="G2366" s="61" t="n">
        <v>1072996925539</v>
      </c>
      <c r="H2366" s="13" t="s">
        <v>2255</v>
      </c>
      <c r="I2366" s="13" t="s">
        <v>2477</v>
      </c>
      <c r="J2366" s="13" t="n">
        <v>54</v>
      </c>
      <c r="K2366" s="13" t="s">
        <v>2514</v>
      </c>
      <c r="L2366" s="13" t="s">
        <v>2265</v>
      </c>
      <c r="M2366" s="13" t="s">
        <v>2479</v>
      </c>
    </row>
    <row r="2367" customFormat="false" ht="15" hidden="false" customHeight="false" outlineLevel="0" collapsed="false">
      <c r="A2367" s="13" t="s">
        <v>628</v>
      </c>
      <c r="B2367" s="13" t="s">
        <v>627</v>
      </c>
      <c r="C2367" s="13" t="s">
        <v>2266</v>
      </c>
      <c r="D2367" s="13" t="s">
        <v>2270</v>
      </c>
      <c r="E2367" s="13" t="s">
        <v>2506</v>
      </c>
      <c r="F2367" s="13" t="s">
        <v>2447</v>
      </c>
      <c r="G2367" s="61" t="n">
        <v>10987500000</v>
      </c>
      <c r="H2367" s="13" t="s">
        <v>2255</v>
      </c>
      <c r="I2367" s="13" t="s">
        <v>2477</v>
      </c>
      <c r="J2367" s="13" t="n">
        <v>54</v>
      </c>
      <c r="K2367" s="13" t="s">
        <v>2514</v>
      </c>
      <c r="L2367" s="13" t="s">
        <v>2265</v>
      </c>
      <c r="M2367" s="13" t="s">
        <v>2479</v>
      </c>
    </row>
    <row r="2368" customFormat="false" ht="15" hidden="false" customHeight="false" outlineLevel="0" collapsed="false">
      <c r="A2368" s="13" t="s">
        <v>628</v>
      </c>
      <c r="B2368" s="13" t="s">
        <v>627</v>
      </c>
      <c r="C2368" s="13" t="s">
        <v>2266</v>
      </c>
      <c r="D2368" s="13" t="s">
        <v>2270</v>
      </c>
      <c r="E2368" s="13" t="s">
        <v>2507</v>
      </c>
      <c r="F2368" s="13" t="s">
        <v>2447</v>
      </c>
      <c r="G2368" s="61" t="n">
        <v>0</v>
      </c>
      <c r="H2368" s="13" t="s">
        <v>2255</v>
      </c>
      <c r="I2368" s="13" t="s">
        <v>2477</v>
      </c>
      <c r="J2368" s="13" t="n">
        <v>54</v>
      </c>
      <c r="K2368" s="13" t="s">
        <v>2514</v>
      </c>
      <c r="L2368" s="13" t="s">
        <v>2265</v>
      </c>
      <c r="M2368" s="13" t="s">
        <v>2479</v>
      </c>
    </row>
    <row r="2369" customFormat="false" ht="15" hidden="false" customHeight="false" outlineLevel="0" collapsed="false">
      <c r="A2369" s="13" t="s">
        <v>628</v>
      </c>
      <c r="B2369" s="13" t="s">
        <v>627</v>
      </c>
      <c r="C2369" s="13" t="s">
        <v>2266</v>
      </c>
      <c r="D2369" s="13" t="s">
        <v>2270</v>
      </c>
      <c r="E2369" s="13" t="s">
        <v>2508</v>
      </c>
      <c r="F2369" s="13" t="s">
        <v>2447</v>
      </c>
      <c r="G2369" s="61" t="n">
        <v>0</v>
      </c>
      <c r="H2369" s="13" t="s">
        <v>2255</v>
      </c>
      <c r="I2369" s="13" t="s">
        <v>2477</v>
      </c>
      <c r="J2369" s="13" t="n">
        <v>54</v>
      </c>
      <c r="K2369" s="13" t="s">
        <v>2514</v>
      </c>
      <c r="L2369" s="13" t="s">
        <v>2265</v>
      </c>
      <c r="M2369" s="13" t="s">
        <v>2479</v>
      </c>
    </row>
    <row r="2370" customFormat="false" ht="15" hidden="false" customHeight="false" outlineLevel="0" collapsed="false">
      <c r="A2370" s="13" t="s">
        <v>628</v>
      </c>
      <c r="B2370" s="13" t="s">
        <v>627</v>
      </c>
      <c r="C2370" s="13" t="s">
        <v>2266</v>
      </c>
      <c r="D2370" s="13" t="s">
        <v>2270</v>
      </c>
      <c r="E2370" s="13" t="s">
        <v>2510</v>
      </c>
      <c r="F2370" s="13" t="s">
        <v>2447</v>
      </c>
      <c r="G2370" s="61" t="n">
        <v>0</v>
      </c>
      <c r="H2370" s="13" t="s">
        <v>2255</v>
      </c>
      <c r="I2370" s="13" t="s">
        <v>2477</v>
      </c>
      <c r="J2370" s="13" t="n">
        <v>54</v>
      </c>
      <c r="K2370" s="13" t="s">
        <v>2514</v>
      </c>
      <c r="L2370" s="13" t="s">
        <v>2265</v>
      </c>
      <c r="M2370" s="13" t="s">
        <v>2479</v>
      </c>
    </row>
    <row r="2371" customFormat="false" ht="15" hidden="false" customHeight="false" outlineLevel="0" collapsed="false">
      <c r="A2371" s="13" t="s">
        <v>628</v>
      </c>
      <c r="B2371" s="13" t="s">
        <v>627</v>
      </c>
      <c r="C2371" s="13" t="s">
        <v>2266</v>
      </c>
      <c r="D2371" s="13" t="s">
        <v>2270</v>
      </c>
      <c r="E2371" s="13" t="s">
        <v>2511</v>
      </c>
      <c r="F2371" s="13" t="s">
        <v>2447</v>
      </c>
      <c r="G2371" s="61" t="n">
        <v>1083984425539</v>
      </c>
      <c r="H2371" s="13" t="s">
        <v>2255</v>
      </c>
      <c r="I2371" s="13" t="s">
        <v>2477</v>
      </c>
      <c r="J2371" s="13" t="n">
        <v>54</v>
      </c>
      <c r="K2371" s="13" t="s">
        <v>2514</v>
      </c>
      <c r="L2371" s="13" t="s">
        <v>2265</v>
      </c>
      <c r="M2371" s="13" t="s">
        <v>2479</v>
      </c>
    </row>
    <row r="2372" customFormat="false" ht="15" hidden="false" customHeight="false" outlineLevel="0" collapsed="false">
      <c r="A2372" s="13" t="s">
        <v>628</v>
      </c>
      <c r="B2372" s="13" t="s">
        <v>627</v>
      </c>
      <c r="C2372" s="13" t="s">
        <v>2266</v>
      </c>
      <c r="D2372" s="13" t="s">
        <v>2270</v>
      </c>
      <c r="E2372" s="13" t="s">
        <v>2505</v>
      </c>
      <c r="F2372" s="13" t="s">
        <v>2448</v>
      </c>
      <c r="G2372" s="61" t="n">
        <v>524346792819</v>
      </c>
      <c r="H2372" s="13" t="s">
        <v>2255</v>
      </c>
      <c r="I2372" s="13" t="s">
        <v>2477</v>
      </c>
      <c r="J2372" s="13" t="n">
        <v>54</v>
      </c>
      <c r="K2372" s="13" t="s">
        <v>2514</v>
      </c>
      <c r="L2372" s="13" t="s">
        <v>2265</v>
      </c>
      <c r="M2372" s="13" t="s">
        <v>2479</v>
      </c>
    </row>
    <row r="2373" customFormat="false" ht="15" hidden="false" customHeight="false" outlineLevel="0" collapsed="false">
      <c r="A2373" s="13" t="s">
        <v>628</v>
      </c>
      <c r="B2373" s="13" t="s">
        <v>627</v>
      </c>
      <c r="C2373" s="13" t="s">
        <v>2266</v>
      </c>
      <c r="D2373" s="13" t="s">
        <v>2270</v>
      </c>
      <c r="E2373" s="13" t="s">
        <v>2506</v>
      </c>
      <c r="F2373" s="13" t="s">
        <v>2448</v>
      </c>
      <c r="G2373" s="61" t="n">
        <v>19976674498</v>
      </c>
      <c r="H2373" s="13" t="s">
        <v>2255</v>
      </c>
      <c r="I2373" s="13" t="s">
        <v>2477</v>
      </c>
      <c r="J2373" s="13" t="n">
        <v>54</v>
      </c>
      <c r="K2373" s="13" t="s">
        <v>2514</v>
      </c>
      <c r="L2373" s="13" t="s">
        <v>2265</v>
      </c>
      <c r="M2373" s="13" t="s">
        <v>2479</v>
      </c>
    </row>
    <row r="2374" customFormat="false" ht="15" hidden="false" customHeight="false" outlineLevel="0" collapsed="false">
      <c r="A2374" s="13" t="s">
        <v>628</v>
      </c>
      <c r="B2374" s="13" t="s">
        <v>627</v>
      </c>
      <c r="C2374" s="13" t="s">
        <v>2266</v>
      </c>
      <c r="D2374" s="13" t="s">
        <v>2270</v>
      </c>
      <c r="E2374" s="13" t="s">
        <v>2507</v>
      </c>
      <c r="F2374" s="13" t="s">
        <v>2448</v>
      </c>
      <c r="G2374" s="61" t="n">
        <v>-83250000</v>
      </c>
      <c r="H2374" s="13" t="s">
        <v>2255</v>
      </c>
      <c r="I2374" s="13" t="s">
        <v>2477</v>
      </c>
      <c r="J2374" s="13" t="n">
        <v>54</v>
      </c>
      <c r="K2374" s="13" t="s">
        <v>2514</v>
      </c>
      <c r="L2374" s="13" t="s">
        <v>2265</v>
      </c>
      <c r="M2374" s="13" t="s">
        <v>2479</v>
      </c>
    </row>
    <row r="2375" customFormat="false" ht="15" hidden="false" customHeight="false" outlineLevel="0" collapsed="false">
      <c r="A2375" s="13" t="s">
        <v>628</v>
      </c>
      <c r="B2375" s="13" t="s">
        <v>627</v>
      </c>
      <c r="C2375" s="13" t="s">
        <v>2266</v>
      </c>
      <c r="D2375" s="13" t="s">
        <v>2270</v>
      </c>
      <c r="E2375" s="13" t="s">
        <v>2508</v>
      </c>
      <c r="F2375" s="13" t="s">
        <v>2448</v>
      </c>
      <c r="G2375" s="61" t="n">
        <v>21611037715</v>
      </c>
      <c r="H2375" s="13" t="s">
        <v>2255</v>
      </c>
      <c r="I2375" s="13" t="s">
        <v>2477</v>
      </c>
      <c r="J2375" s="13" t="n">
        <v>54</v>
      </c>
      <c r="K2375" s="13" t="s">
        <v>2514</v>
      </c>
      <c r="L2375" s="13" t="s">
        <v>2265</v>
      </c>
      <c r="M2375" s="13" t="s">
        <v>2479</v>
      </c>
    </row>
    <row r="2376" customFormat="false" ht="15" hidden="false" customHeight="false" outlineLevel="0" collapsed="false">
      <c r="A2376" s="13" t="s">
        <v>628</v>
      </c>
      <c r="B2376" s="13" t="s">
        <v>627</v>
      </c>
      <c r="C2376" s="13" t="s">
        <v>2266</v>
      </c>
      <c r="D2376" s="13" t="s">
        <v>2270</v>
      </c>
      <c r="E2376" s="13" t="s">
        <v>2510</v>
      </c>
      <c r="F2376" s="13" t="s">
        <v>2448</v>
      </c>
      <c r="G2376" s="61" t="n">
        <v>0</v>
      </c>
      <c r="H2376" s="13" t="s">
        <v>2255</v>
      </c>
      <c r="I2376" s="13" t="s">
        <v>2477</v>
      </c>
      <c r="J2376" s="13" t="n">
        <v>54</v>
      </c>
      <c r="K2376" s="13" t="s">
        <v>2514</v>
      </c>
      <c r="L2376" s="13" t="s">
        <v>2265</v>
      </c>
      <c r="M2376" s="13" t="s">
        <v>2479</v>
      </c>
    </row>
    <row r="2377" customFormat="false" ht="15" hidden="false" customHeight="false" outlineLevel="0" collapsed="false">
      <c r="A2377" s="13" t="s">
        <v>628</v>
      </c>
      <c r="B2377" s="13" t="s">
        <v>627</v>
      </c>
      <c r="C2377" s="13" t="s">
        <v>2266</v>
      </c>
      <c r="D2377" s="13" t="s">
        <v>2270</v>
      </c>
      <c r="E2377" s="13" t="s">
        <v>2511</v>
      </c>
      <c r="F2377" s="13" t="s">
        <v>2448</v>
      </c>
      <c r="G2377" s="61" t="n">
        <v>565851255032</v>
      </c>
      <c r="H2377" s="13" t="s">
        <v>2255</v>
      </c>
      <c r="I2377" s="13" t="s">
        <v>2477</v>
      </c>
      <c r="J2377" s="13" t="n">
        <v>54</v>
      </c>
      <c r="K2377" s="13" t="s">
        <v>2514</v>
      </c>
      <c r="L2377" s="13" t="s">
        <v>2265</v>
      </c>
      <c r="M2377" s="13" t="s">
        <v>2479</v>
      </c>
    </row>
    <row r="2378" customFormat="false" ht="15" hidden="false" customHeight="false" outlineLevel="0" collapsed="false">
      <c r="A2378" s="13" t="s">
        <v>628</v>
      </c>
      <c r="B2378" s="13" t="s">
        <v>627</v>
      </c>
      <c r="C2378" s="13" t="s">
        <v>2266</v>
      </c>
      <c r="D2378" s="13" t="s">
        <v>2270</v>
      </c>
      <c r="E2378" s="13" t="s">
        <v>2505</v>
      </c>
      <c r="F2378" s="13" t="s">
        <v>2500</v>
      </c>
      <c r="G2378" s="61" t="n">
        <v>451174743242</v>
      </c>
      <c r="H2378" s="13" t="s">
        <v>2255</v>
      </c>
      <c r="I2378" s="13" t="s">
        <v>2477</v>
      </c>
      <c r="J2378" s="13" t="n">
        <v>54</v>
      </c>
      <c r="K2378" s="13" t="s">
        <v>2514</v>
      </c>
      <c r="L2378" s="13" t="s">
        <v>2265</v>
      </c>
      <c r="M2378" s="13" t="s">
        <v>2479</v>
      </c>
    </row>
    <row r="2379" customFormat="false" ht="15" hidden="false" customHeight="false" outlineLevel="0" collapsed="false">
      <c r="A2379" s="13" t="s">
        <v>628</v>
      </c>
      <c r="B2379" s="13" t="s">
        <v>627</v>
      </c>
      <c r="C2379" s="13" t="s">
        <v>2266</v>
      </c>
      <c r="D2379" s="13" t="s">
        <v>2270</v>
      </c>
      <c r="E2379" s="13" t="s">
        <v>2506</v>
      </c>
      <c r="F2379" s="13" t="s">
        <v>2500</v>
      </c>
      <c r="G2379" s="61" t="n">
        <v>39226897244</v>
      </c>
      <c r="H2379" s="13" t="s">
        <v>2255</v>
      </c>
      <c r="I2379" s="13" t="s">
        <v>2477</v>
      </c>
      <c r="J2379" s="13" t="n">
        <v>54</v>
      </c>
      <c r="K2379" s="13" t="s">
        <v>2514</v>
      </c>
      <c r="L2379" s="13" t="s">
        <v>2265</v>
      </c>
      <c r="M2379" s="13" t="s">
        <v>2479</v>
      </c>
    </row>
    <row r="2380" customFormat="false" ht="15" hidden="false" customHeight="false" outlineLevel="0" collapsed="false">
      <c r="A2380" s="13" t="s">
        <v>628</v>
      </c>
      <c r="B2380" s="13" t="s">
        <v>627</v>
      </c>
      <c r="C2380" s="13" t="s">
        <v>2266</v>
      </c>
      <c r="D2380" s="13" t="s">
        <v>2270</v>
      </c>
      <c r="E2380" s="13" t="s">
        <v>2507</v>
      </c>
      <c r="F2380" s="13" t="s">
        <v>2500</v>
      </c>
      <c r="G2380" s="61" t="n">
        <v>-2329031681</v>
      </c>
      <c r="H2380" s="13" t="s">
        <v>2255</v>
      </c>
      <c r="I2380" s="13" t="s">
        <v>2477</v>
      </c>
      <c r="J2380" s="13" t="n">
        <v>54</v>
      </c>
      <c r="K2380" s="13" t="s">
        <v>2514</v>
      </c>
      <c r="L2380" s="13" t="s">
        <v>2265</v>
      </c>
      <c r="M2380" s="13" t="s">
        <v>2479</v>
      </c>
    </row>
    <row r="2381" customFormat="false" ht="15" hidden="false" customHeight="false" outlineLevel="0" collapsed="false">
      <c r="A2381" s="13" t="s">
        <v>628</v>
      </c>
      <c r="B2381" s="13" t="s">
        <v>627</v>
      </c>
      <c r="C2381" s="13" t="s">
        <v>2266</v>
      </c>
      <c r="D2381" s="13" t="s">
        <v>2270</v>
      </c>
      <c r="E2381" s="13" t="s">
        <v>2508</v>
      </c>
      <c r="F2381" s="13" t="s">
        <v>2500</v>
      </c>
      <c r="G2381" s="61" t="n">
        <v>2086198895</v>
      </c>
      <c r="H2381" s="13" t="s">
        <v>2255</v>
      </c>
      <c r="I2381" s="13" t="s">
        <v>2477</v>
      </c>
      <c r="J2381" s="13" t="n">
        <v>54</v>
      </c>
      <c r="K2381" s="13" t="s">
        <v>2514</v>
      </c>
      <c r="L2381" s="13" t="s">
        <v>2265</v>
      </c>
      <c r="M2381" s="13" t="s">
        <v>2479</v>
      </c>
    </row>
    <row r="2382" customFormat="false" ht="15" hidden="false" customHeight="false" outlineLevel="0" collapsed="false">
      <c r="A2382" s="13" t="s">
        <v>628</v>
      </c>
      <c r="B2382" s="13" t="s">
        <v>627</v>
      </c>
      <c r="C2382" s="13" t="s">
        <v>2266</v>
      </c>
      <c r="D2382" s="13" t="s">
        <v>2270</v>
      </c>
      <c r="E2382" s="13" t="s">
        <v>2510</v>
      </c>
      <c r="F2382" s="13" t="s">
        <v>2500</v>
      </c>
      <c r="G2382" s="61" t="n">
        <v>0</v>
      </c>
      <c r="H2382" s="13" t="s">
        <v>2255</v>
      </c>
      <c r="I2382" s="13" t="s">
        <v>2477</v>
      </c>
      <c r="J2382" s="13" t="n">
        <v>54</v>
      </c>
      <c r="K2382" s="13" t="s">
        <v>2514</v>
      </c>
      <c r="L2382" s="13" t="s">
        <v>2265</v>
      </c>
      <c r="M2382" s="13" t="s">
        <v>2479</v>
      </c>
    </row>
    <row r="2383" customFormat="false" ht="15" hidden="false" customHeight="false" outlineLevel="0" collapsed="false">
      <c r="A2383" s="13" t="s">
        <v>628</v>
      </c>
      <c r="B2383" s="13" t="s">
        <v>627</v>
      </c>
      <c r="C2383" s="13" t="s">
        <v>2266</v>
      </c>
      <c r="D2383" s="13" t="s">
        <v>2270</v>
      </c>
      <c r="E2383" s="13" t="s">
        <v>2511</v>
      </c>
      <c r="F2383" s="13" t="s">
        <v>2500</v>
      </c>
      <c r="G2383" s="61" t="n">
        <v>490158807700</v>
      </c>
      <c r="H2383" s="13" t="s">
        <v>2255</v>
      </c>
      <c r="I2383" s="13" t="s">
        <v>2477</v>
      </c>
      <c r="J2383" s="13" t="n">
        <v>54</v>
      </c>
      <c r="K2383" s="13" t="s">
        <v>2514</v>
      </c>
      <c r="L2383" s="13" t="s">
        <v>2265</v>
      </c>
      <c r="M2383" s="13" t="s">
        <v>2479</v>
      </c>
    </row>
    <row r="2384" customFormat="false" ht="15" hidden="false" customHeight="false" outlineLevel="0" collapsed="false">
      <c r="A2384" s="13" t="s">
        <v>628</v>
      </c>
      <c r="B2384" s="13" t="s">
        <v>627</v>
      </c>
      <c r="C2384" s="13" t="s">
        <v>2266</v>
      </c>
      <c r="D2384" s="13" t="s">
        <v>2270</v>
      </c>
      <c r="E2384" s="13" t="s">
        <v>2505</v>
      </c>
      <c r="F2384" s="13" t="s">
        <v>2512</v>
      </c>
      <c r="G2384" s="61" t="n">
        <v>106738111248</v>
      </c>
      <c r="H2384" s="13" t="s">
        <v>2255</v>
      </c>
      <c r="I2384" s="13" t="s">
        <v>2477</v>
      </c>
      <c r="J2384" s="13" t="n">
        <v>54</v>
      </c>
      <c r="K2384" s="13" t="s">
        <v>2514</v>
      </c>
      <c r="L2384" s="13" t="s">
        <v>2265</v>
      </c>
      <c r="M2384" s="13" t="s">
        <v>2479</v>
      </c>
    </row>
    <row r="2385" customFormat="false" ht="15" hidden="false" customHeight="false" outlineLevel="0" collapsed="false">
      <c r="A2385" s="13" t="s">
        <v>628</v>
      </c>
      <c r="B2385" s="13" t="s">
        <v>627</v>
      </c>
      <c r="C2385" s="13" t="s">
        <v>2266</v>
      </c>
      <c r="D2385" s="13" t="s">
        <v>2270</v>
      </c>
      <c r="E2385" s="13" t="s">
        <v>2506</v>
      </c>
      <c r="F2385" s="13" t="s">
        <v>2512</v>
      </c>
      <c r="G2385" s="61" t="n">
        <v>11648445114</v>
      </c>
      <c r="H2385" s="13" t="s">
        <v>2255</v>
      </c>
      <c r="I2385" s="13" t="s">
        <v>2477</v>
      </c>
      <c r="J2385" s="13" t="n">
        <v>54</v>
      </c>
      <c r="K2385" s="13" t="s">
        <v>2514</v>
      </c>
      <c r="L2385" s="13" t="s">
        <v>2265</v>
      </c>
      <c r="M2385" s="13" t="s">
        <v>2479</v>
      </c>
    </row>
    <row r="2386" customFormat="false" ht="15" hidden="false" customHeight="false" outlineLevel="0" collapsed="false">
      <c r="A2386" s="13" t="s">
        <v>628</v>
      </c>
      <c r="B2386" s="13" t="s">
        <v>627</v>
      </c>
      <c r="C2386" s="13" t="s">
        <v>2266</v>
      </c>
      <c r="D2386" s="13" t="s">
        <v>2270</v>
      </c>
      <c r="E2386" s="13" t="s">
        <v>2507</v>
      </c>
      <c r="F2386" s="13" t="s">
        <v>2512</v>
      </c>
      <c r="G2386" s="61" t="n">
        <v>-681620876</v>
      </c>
      <c r="H2386" s="13" t="s">
        <v>2255</v>
      </c>
      <c r="I2386" s="13" t="s">
        <v>2477</v>
      </c>
      <c r="J2386" s="13" t="n">
        <v>54</v>
      </c>
      <c r="K2386" s="13" t="s">
        <v>2514</v>
      </c>
      <c r="L2386" s="13" t="s">
        <v>2265</v>
      </c>
      <c r="M2386" s="13" t="s">
        <v>2479</v>
      </c>
    </row>
    <row r="2387" customFormat="false" ht="15" hidden="false" customHeight="false" outlineLevel="0" collapsed="false">
      <c r="A2387" s="13" t="s">
        <v>628</v>
      </c>
      <c r="B2387" s="13" t="s">
        <v>627</v>
      </c>
      <c r="C2387" s="13" t="s">
        <v>2266</v>
      </c>
      <c r="D2387" s="13" t="s">
        <v>2270</v>
      </c>
      <c r="E2387" s="13" t="s">
        <v>2508</v>
      </c>
      <c r="F2387" s="13" t="s">
        <v>2512</v>
      </c>
      <c r="G2387" s="61" t="n">
        <v>1947188423</v>
      </c>
      <c r="H2387" s="13" t="s">
        <v>2255</v>
      </c>
      <c r="I2387" s="13" t="s">
        <v>2477</v>
      </c>
      <c r="J2387" s="13" t="n">
        <v>54</v>
      </c>
      <c r="K2387" s="13" t="s">
        <v>2514</v>
      </c>
      <c r="L2387" s="13" t="s">
        <v>2265</v>
      </c>
      <c r="M2387" s="13" t="s">
        <v>2479</v>
      </c>
    </row>
    <row r="2388" customFormat="false" ht="15" hidden="false" customHeight="false" outlineLevel="0" collapsed="false">
      <c r="A2388" s="13" t="s">
        <v>628</v>
      </c>
      <c r="B2388" s="13" t="s">
        <v>627</v>
      </c>
      <c r="C2388" s="13" t="s">
        <v>2266</v>
      </c>
      <c r="D2388" s="13" t="s">
        <v>2270</v>
      </c>
      <c r="E2388" s="13" t="s">
        <v>2510</v>
      </c>
      <c r="F2388" s="13" t="s">
        <v>2512</v>
      </c>
      <c r="G2388" s="61" t="n">
        <v>0</v>
      </c>
      <c r="H2388" s="13" t="s">
        <v>2255</v>
      </c>
      <c r="I2388" s="13" t="s">
        <v>2477</v>
      </c>
      <c r="J2388" s="13" t="n">
        <v>54</v>
      </c>
      <c r="K2388" s="13" t="s">
        <v>2514</v>
      </c>
      <c r="L2388" s="13" t="s">
        <v>2265</v>
      </c>
      <c r="M2388" s="13" t="s">
        <v>2479</v>
      </c>
    </row>
    <row r="2389" customFormat="false" ht="15" hidden="false" customHeight="false" outlineLevel="0" collapsed="false">
      <c r="A2389" s="13" t="s">
        <v>628</v>
      </c>
      <c r="B2389" s="13" t="s">
        <v>627</v>
      </c>
      <c r="C2389" s="13" t="s">
        <v>2266</v>
      </c>
      <c r="D2389" s="13" t="s">
        <v>2270</v>
      </c>
      <c r="E2389" s="13" t="s">
        <v>2511</v>
      </c>
      <c r="F2389" s="13" t="s">
        <v>2512</v>
      </c>
      <c r="G2389" s="61" t="n">
        <v>119652123909</v>
      </c>
      <c r="H2389" s="13" t="s">
        <v>2255</v>
      </c>
      <c r="I2389" s="13" t="s">
        <v>2477</v>
      </c>
      <c r="J2389" s="13" t="n">
        <v>54</v>
      </c>
      <c r="K2389" s="13" t="s">
        <v>2514</v>
      </c>
      <c r="L2389" s="13" t="s">
        <v>2265</v>
      </c>
      <c r="M2389" s="13" t="s">
        <v>2479</v>
      </c>
    </row>
    <row r="2390" customFormat="false" ht="15" hidden="false" customHeight="false" outlineLevel="0" collapsed="false">
      <c r="A2390" s="13" t="s">
        <v>628</v>
      </c>
      <c r="B2390" s="13" t="s">
        <v>627</v>
      </c>
      <c r="C2390" s="13" t="s">
        <v>2266</v>
      </c>
      <c r="D2390" s="13" t="s">
        <v>2270</v>
      </c>
      <c r="E2390" s="13" t="s">
        <v>2505</v>
      </c>
      <c r="F2390" s="13" t="s">
        <v>2502</v>
      </c>
      <c r="G2390" s="61" t="n">
        <v>53822530132</v>
      </c>
      <c r="H2390" s="13" t="s">
        <v>2255</v>
      </c>
      <c r="I2390" s="13" t="s">
        <v>2477</v>
      </c>
      <c r="J2390" s="13" t="n">
        <v>54</v>
      </c>
      <c r="K2390" s="13" t="s">
        <v>2514</v>
      </c>
      <c r="L2390" s="13" t="s">
        <v>2265</v>
      </c>
      <c r="M2390" s="13" t="s">
        <v>2479</v>
      </c>
    </row>
    <row r="2391" customFormat="false" ht="15" hidden="false" customHeight="false" outlineLevel="0" collapsed="false">
      <c r="A2391" s="13" t="s">
        <v>628</v>
      </c>
      <c r="B2391" s="13" t="s">
        <v>627</v>
      </c>
      <c r="C2391" s="13" t="s">
        <v>2266</v>
      </c>
      <c r="D2391" s="13" t="s">
        <v>2270</v>
      </c>
      <c r="E2391" s="13" t="s">
        <v>2506</v>
      </c>
      <c r="F2391" s="13" t="s">
        <v>2502</v>
      </c>
      <c r="G2391" s="61" t="n">
        <v>1039693187</v>
      </c>
      <c r="H2391" s="13" t="s">
        <v>2255</v>
      </c>
      <c r="I2391" s="13" t="s">
        <v>2477</v>
      </c>
      <c r="J2391" s="13" t="n">
        <v>54</v>
      </c>
      <c r="K2391" s="13" t="s">
        <v>2514</v>
      </c>
      <c r="L2391" s="13" t="s">
        <v>2265</v>
      </c>
      <c r="M2391" s="13" t="s">
        <v>2479</v>
      </c>
    </row>
    <row r="2392" customFormat="false" ht="15" hidden="false" customHeight="false" outlineLevel="0" collapsed="false">
      <c r="A2392" s="13" t="s">
        <v>628</v>
      </c>
      <c r="B2392" s="13" t="s">
        <v>627</v>
      </c>
      <c r="C2392" s="13" t="s">
        <v>2266</v>
      </c>
      <c r="D2392" s="13" t="s">
        <v>2270</v>
      </c>
      <c r="E2392" s="13" t="s">
        <v>2507</v>
      </c>
      <c r="F2392" s="13" t="s">
        <v>2502</v>
      </c>
      <c r="G2392" s="61" t="n">
        <v>-26700000</v>
      </c>
      <c r="H2392" s="13" t="s">
        <v>2255</v>
      </c>
      <c r="I2392" s="13" t="s">
        <v>2477</v>
      </c>
      <c r="J2392" s="13" t="n">
        <v>54</v>
      </c>
      <c r="K2392" s="13" t="s">
        <v>2514</v>
      </c>
      <c r="L2392" s="13" t="s">
        <v>2265</v>
      </c>
      <c r="M2392" s="13" t="s">
        <v>2479</v>
      </c>
    </row>
    <row r="2393" customFormat="false" ht="15" hidden="false" customHeight="false" outlineLevel="0" collapsed="false">
      <c r="A2393" s="13" t="s">
        <v>628</v>
      </c>
      <c r="B2393" s="13" t="s">
        <v>627</v>
      </c>
      <c r="C2393" s="13" t="s">
        <v>2266</v>
      </c>
      <c r="D2393" s="13" t="s">
        <v>2270</v>
      </c>
      <c r="E2393" s="13" t="s">
        <v>2508</v>
      </c>
      <c r="F2393" s="13" t="s">
        <v>2502</v>
      </c>
      <c r="G2393" s="61" t="n">
        <v>1957859450</v>
      </c>
      <c r="H2393" s="13" t="s">
        <v>2255</v>
      </c>
      <c r="I2393" s="13" t="s">
        <v>2477</v>
      </c>
      <c r="J2393" s="13" t="n">
        <v>54</v>
      </c>
      <c r="K2393" s="13" t="s">
        <v>2514</v>
      </c>
      <c r="L2393" s="13" t="s">
        <v>2265</v>
      </c>
      <c r="M2393" s="13" t="s">
        <v>2479</v>
      </c>
    </row>
    <row r="2394" customFormat="false" ht="15" hidden="false" customHeight="false" outlineLevel="0" collapsed="false">
      <c r="A2394" s="13" t="s">
        <v>628</v>
      </c>
      <c r="B2394" s="13" t="s">
        <v>627</v>
      </c>
      <c r="C2394" s="13" t="s">
        <v>2266</v>
      </c>
      <c r="D2394" s="13" t="s">
        <v>2270</v>
      </c>
      <c r="E2394" s="13" t="s">
        <v>2510</v>
      </c>
      <c r="F2394" s="13" t="s">
        <v>2502</v>
      </c>
      <c r="G2394" s="61" t="n">
        <v>0</v>
      </c>
      <c r="H2394" s="13" t="s">
        <v>2255</v>
      </c>
      <c r="I2394" s="13" t="s">
        <v>2477</v>
      </c>
      <c r="J2394" s="13" t="n">
        <v>54</v>
      </c>
      <c r="K2394" s="13" t="s">
        <v>2514</v>
      </c>
      <c r="L2394" s="13" t="s">
        <v>2265</v>
      </c>
      <c r="M2394" s="13" t="s">
        <v>2479</v>
      </c>
    </row>
    <row r="2395" customFormat="false" ht="15" hidden="false" customHeight="false" outlineLevel="0" collapsed="false">
      <c r="A2395" s="13" t="s">
        <v>628</v>
      </c>
      <c r="B2395" s="13" t="s">
        <v>627</v>
      </c>
      <c r="C2395" s="13" t="s">
        <v>2266</v>
      </c>
      <c r="D2395" s="13" t="s">
        <v>2270</v>
      </c>
      <c r="E2395" s="13" t="s">
        <v>2511</v>
      </c>
      <c r="F2395" s="13" t="s">
        <v>2502</v>
      </c>
      <c r="G2395" s="61" t="n">
        <v>56793382769</v>
      </c>
      <c r="H2395" s="13" t="s">
        <v>2255</v>
      </c>
      <c r="I2395" s="13" t="s">
        <v>2477</v>
      </c>
      <c r="J2395" s="13" t="n">
        <v>54</v>
      </c>
      <c r="K2395" s="13" t="s">
        <v>2514</v>
      </c>
      <c r="L2395" s="13" t="s">
        <v>2265</v>
      </c>
      <c r="M2395" s="13" t="s">
        <v>2479</v>
      </c>
    </row>
    <row r="2396" customFormat="false" ht="15" hidden="false" customHeight="false" outlineLevel="0" collapsed="false">
      <c r="A2396" s="13" t="s">
        <v>628</v>
      </c>
      <c r="B2396" s="13" t="s">
        <v>627</v>
      </c>
      <c r="C2396" s="13" t="s">
        <v>2266</v>
      </c>
      <c r="D2396" s="13" t="s">
        <v>2270</v>
      </c>
      <c r="E2396" s="13" t="s">
        <v>2505</v>
      </c>
      <c r="F2396" s="13" t="s">
        <v>2503</v>
      </c>
      <c r="G2396" s="61" t="n">
        <v>14934795799</v>
      </c>
      <c r="H2396" s="13" t="s">
        <v>2255</v>
      </c>
      <c r="I2396" s="13" t="s">
        <v>2477</v>
      </c>
      <c r="J2396" s="13" t="n">
        <v>54</v>
      </c>
      <c r="K2396" s="13" t="s">
        <v>2514</v>
      </c>
      <c r="L2396" s="13" t="s">
        <v>2265</v>
      </c>
      <c r="M2396" s="13" t="s">
        <v>2479</v>
      </c>
    </row>
    <row r="2397" customFormat="false" ht="15" hidden="false" customHeight="false" outlineLevel="0" collapsed="false">
      <c r="A2397" s="13" t="s">
        <v>628</v>
      </c>
      <c r="B2397" s="13" t="s">
        <v>627</v>
      </c>
      <c r="C2397" s="13" t="s">
        <v>2266</v>
      </c>
      <c r="D2397" s="13" t="s">
        <v>2270</v>
      </c>
      <c r="E2397" s="13" t="s">
        <v>2506</v>
      </c>
      <c r="F2397" s="13" t="s">
        <v>2503</v>
      </c>
      <c r="G2397" s="61" t="n">
        <v>1560034032</v>
      </c>
      <c r="H2397" s="13" t="s">
        <v>2255</v>
      </c>
      <c r="I2397" s="13" t="s">
        <v>2477</v>
      </c>
      <c r="J2397" s="13" t="n">
        <v>54</v>
      </c>
      <c r="K2397" s="13" t="s">
        <v>2514</v>
      </c>
      <c r="L2397" s="13" t="s">
        <v>2265</v>
      </c>
      <c r="M2397" s="13" t="s">
        <v>2479</v>
      </c>
    </row>
    <row r="2398" customFormat="false" ht="15" hidden="false" customHeight="false" outlineLevel="0" collapsed="false">
      <c r="A2398" s="13" t="s">
        <v>628</v>
      </c>
      <c r="B2398" s="13" t="s">
        <v>627</v>
      </c>
      <c r="C2398" s="13" t="s">
        <v>2266</v>
      </c>
      <c r="D2398" s="13" t="s">
        <v>2270</v>
      </c>
      <c r="E2398" s="13" t="s">
        <v>2507</v>
      </c>
      <c r="F2398" s="13" t="s">
        <v>2503</v>
      </c>
      <c r="G2398" s="61" t="n">
        <v>-92725000</v>
      </c>
      <c r="H2398" s="13" t="s">
        <v>2255</v>
      </c>
      <c r="I2398" s="13" t="s">
        <v>2477</v>
      </c>
      <c r="J2398" s="13" t="n">
        <v>54</v>
      </c>
      <c r="K2398" s="13" t="s">
        <v>2514</v>
      </c>
      <c r="L2398" s="13" t="s">
        <v>2265</v>
      </c>
      <c r="M2398" s="13" t="s">
        <v>2479</v>
      </c>
    </row>
    <row r="2399" customFormat="false" ht="15" hidden="false" customHeight="false" outlineLevel="0" collapsed="false">
      <c r="A2399" s="13" t="s">
        <v>628</v>
      </c>
      <c r="B2399" s="13" t="s">
        <v>627</v>
      </c>
      <c r="C2399" s="13" t="s">
        <v>2266</v>
      </c>
      <c r="D2399" s="13" t="s">
        <v>2270</v>
      </c>
      <c r="E2399" s="13" t="s">
        <v>2508</v>
      </c>
      <c r="F2399" s="13" t="s">
        <v>2503</v>
      </c>
      <c r="G2399" s="61" t="n">
        <v>546312298</v>
      </c>
      <c r="H2399" s="13" t="s">
        <v>2255</v>
      </c>
      <c r="I2399" s="13" t="s">
        <v>2477</v>
      </c>
      <c r="J2399" s="13" t="n">
        <v>54</v>
      </c>
      <c r="K2399" s="13" t="s">
        <v>2514</v>
      </c>
      <c r="L2399" s="13" t="s">
        <v>2265</v>
      </c>
      <c r="M2399" s="13" t="s">
        <v>2479</v>
      </c>
    </row>
    <row r="2400" customFormat="false" ht="15" hidden="false" customHeight="false" outlineLevel="0" collapsed="false">
      <c r="A2400" s="13" t="s">
        <v>628</v>
      </c>
      <c r="B2400" s="13" t="s">
        <v>627</v>
      </c>
      <c r="C2400" s="13" t="s">
        <v>2266</v>
      </c>
      <c r="D2400" s="13" t="s">
        <v>2270</v>
      </c>
      <c r="E2400" s="13" t="s">
        <v>2510</v>
      </c>
      <c r="F2400" s="13" t="s">
        <v>2503</v>
      </c>
      <c r="G2400" s="61" t="n">
        <v>0</v>
      </c>
      <c r="H2400" s="13" t="s">
        <v>2255</v>
      </c>
      <c r="I2400" s="13" t="s">
        <v>2477</v>
      </c>
      <c r="J2400" s="13" t="n">
        <v>54</v>
      </c>
      <c r="K2400" s="13" t="s">
        <v>2514</v>
      </c>
      <c r="L2400" s="13" t="s">
        <v>2265</v>
      </c>
      <c r="M2400" s="13" t="s">
        <v>2479</v>
      </c>
    </row>
    <row r="2401" customFormat="false" ht="15" hidden="false" customHeight="false" outlineLevel="0" collapsed="false">
      <c r="A2401" s="13" t="s">
        <v>628</v>
      </c>
      <c r="B2401" s="13" t="s">
        <v>627</v>
      </c>
      <c r="C2401" s="13" t="s">
        <v>2266</v>
      </c>
      <c r="D2401" s="13" t="s">
        <v>2270</v>
      </c>
      <c r="E2401" s="13" t="s">
        <v>2511</v>
      </c>
      <c r="F2401" s="13" t="s">
        <v>2503</v>
      </c>
      <c r="G2401" s="61" t="n">
        <v>16948417129</v>
      </c>
      <c r="H2401" s="13" t="s">
        <v>2255</v>
      </c>
      <c r="I2401" s="13" t="s">
        <v>2477</v>
      </c>
      <c r="J2401" s="13" t="n">
        <v>54</v>
      </c>
      <c r="K2401" s="13" t="s">
        <v>2514</v>
      </c>
      <c r="L2401" s="13" t="s">
        <v>2265</v>
      </c>
      <c r="M2401" s="13" t="s">
        <v>2479</v>
      </c>
    </row>
    <row r="2402" customFormat="false" ht="15" hidden="false" customHeight="false" outlineLevel="0" collapsed="false">
      <c r="A2402" s="13" t="s">
        <v>628</v>
      </c>
      <c r="B2402" s="13" t="s">
        <v>627</v>
      </c>
      <c r="C2402" s="13" t="s">
        <v>2266</v>
      </c>
      <c r="D2402" s="13" t="s">
        <v>2270</v>
      </c>
      <c r="E2402" s="13" t="s">
        <v>2505</v>
      </c>
      <c r="F2402" s="13" t="s">
        <v>2504</v>
      </c>
      <c r="G2402" s="61" t="n">
        <v>23918171025</v>
      </c>
      <c r="H2402" s="13" t="s">
        <v>2255</v>
      </c>
      <c r="I2402" s="13" t="s">
        <v>2477</v>
      </c>
      <c r="J2402" s="13" t="n">
        <v>54</v>
      </c>
      <c r="K2402" s="13" t="s">
        <v>2514</v>
      </c>
      <c r="L2402" s="13" t="s">
        <v>2265</v>
      </c>
      <c r="M2402" s="13" t="s">
        <v>2479</v>
      </c>
    </row>
    <row r="2403" customFormat="false" ht="15" hidden="false" customHeight="false" outlineLevel="0" collapsed="false">
      <c r="A2403" s="13" t="s">
        <v>628</v>
      </c>
      <c r="B2403" s="13" t="s">
        <v>627</v>
      </c>
      <c r="C2403" s="13" t="s">
        <v>2266</v>
      </c>
      <c r="D2403" s="13" t="s">
        <v>2270</v>
      </c>
      <c r="E2403" s="13" t="s">
        <v>2506</v>
      </c>
      <c r="F2403" s="13" t="s">
        <v>2504</v>
      </c>
      <c r="G2403" s="61" t="n">
        <v>2160025193</v>
      </c>
      <c r="H2403" s="13" t="s">
        <v>2255</v>
      </c>
      <c r="I2403" s="13" t="s">
        <v>2477</v>
      </c>
      <c r="J2403" s="13" t="n">
        <v>54</v>
      </c>
      <c r="K2403" s="13" t="s">
        <v>2514</v>
      </c>
      <c r="L2403" s="13" t="s">
        <v>2265</v>
      </c>
      <c r="M2403" s="13" t="s">
        <v>2479</v>
      </c>
    </row>
    <row r="2404" customFormat="false" ht="15" hidden="false" customHeight="false" outlineLevel="0" collapsed="false">
      <c r="A2404" s="13" t="s">
        <v>628</v>
      </c>
      <c r="B2404" s="13" t="s">
        <v>627</v>
      </c>
      <c r="C2404" s="13" t="s">
        <v>2266</v>
      </c>
      <c r="D2404" s="13" t="s">
        <v>2270</v>
      </c>
      <c r="E2404" s="13" t="s">
        <v>2507</v>
      </c>
      <c r="F2404" s="13" t="s">
        <v>2504</v>
      </c>
      <c r="G2404" s="61" t="n">
        <v>-1072571600</v>
      </c>
      <c r="H2404" s="13" t="s">
        <v>2255</v>
      </c>
      <c r="I2404" s="13" t="s">
        <v>2477</v>
      </c>
      <c r="J2404" s="13" t="n">
        <v>54</v>
      </c>
      <c r="K2404" s="13" t="s">
        <v>2514</v>
      </c>
      <c r="L2404" s="13" t="s">
        <v>2265</v>
      </c>
      <c r="M2404" s="13" t="s">
        <v>2479</v>
      </c>
    </row>
    <row r="2405" customFormat="false" ht="15" hidden="false" customHeight="false" outlineLevel="0" collapsed="false">
      <c r="A2405" s="13" t="s">
        <v>628</v>
      </c>
      <c r="B2405" s="13" t="s">
        <v>627</v>
      </c>
      <c r="C2405" s="13" t="s">
        <v>2266</v>
      </c>
      <c r="D2405" s="13" t="s">
        <v>2270</v>
      </c>
      <c r="E2405" s="13" t="s">
        <v>2508</v>
      </c>
      <c r="F2405" s="13" t="s">
        <v>2504</v>
      </c>
      <c r="G2405" s="61" t="n">
        <v>0</v>
      </c>
      <c r="H2405" s="13" t="s">
        <v>2255</v>
      </c>
      <c r="I2405" s="13" t="s">
        <v>2477</v>
      </c>
      <c r="J2405" s="13" t="n">
        <v>54</v>
      </c>
      <c r="K2405" s="13" t="s">
        <v>2514</v>
      </c>
      <c r="L2405" s="13" t="s">
        <v>2265</v>
      </c>
      <c r="M2405" s="13" t="s">
        <v>2479</v>
      </c>
    </row>
    <row r="2406" customFormat="false" ht="15" hidden="false" customHeight="false" outlineLevel="0" collapsed="false">
      <c r="A2406" s="13" t="s">
        <v>628</v>
      </c>
      <c r="B2406" s="13" t="s">
        <v>627</v>
      </c>
      <c r="C2406" s="13" t="s">
        <v>2266</v>
      </c>
      <c r="D2406" s="13" t="s">
        <v>2270</v>
      </c>
      <c r="E2406" s="13" t="s">
        <v>2510</v>
      </c>
      <c r="F2406" s="13" t="s">
        <v>2504</v>
      </c>
      <c r="G2406" s="61" t="n">
        <v>0</v>
      </c>
      <c r="H2406" s="13" t="s">
        <v>2255</v>
      </c>
      <c r="I2406" s="13" t="s">
        <v>2477</v>
      </c>
      <c r="J2406" s="13" t="n">
        <v>54</v>
      </c>
      <c r="K2406" s="13" t="s">
        <v>2514</v>
      </c>
      <c r="L2406" s="13" t="s">
        <v>2265</v>
      </c>
      <c r="M2406" s="13" t="s">
        <v>2479</v>
      </c>
    </row>
    <row r="2407" customFormat="false" ht="15" hidden="false" customHeight="false" outlineLevel="0" collapsed="false">
      <c r="A2407" s="13" t="s">
        <v>628</v>
      </c>
      <c r="B2407" s="13" t="s">
        <v>627</v>
      </c>
      <c r="C2407" s="13" t="s">
        <v>2266</v>
      </c>
      <c r="D2407" s="13" t="s">
        <v>2270</v>
      </c>
      <c r="E2407" s="13" t="s">
        <v>2511</v>
      </c>
      <c r="F2407" s="13" t="s">
        <v>2504</v>
      </c>
      <c r="G2407" s="61" t="n">
        <v>25005624618</v>
      </c>
      <c r="H2407" s="13" t="s">
        <v>2255</v>
      </c>
      <c r="I2407" s="13" t="s">
        <v>2477</v>
      </c>
      <c r="J2407" s="13" t="n">
        <v>54</v>
      </c>
      <c r="K2407" s="13" t="s">
        <v>2514</v>
      </c>
      <c r="L2407" s="13" t="s">
        <v>2265</v>
      </c>
      <c r="M2407" s="13" t="s">
        <v>2479</v>
      </c>
    </row>
    <row r="2408" customFormat="false" ht="15" hidden="false" customHeight="false" outlineLevel="0" collapsed="false">
      <c r="A2408" s="13" t="s">
        <v>628</v>
      </c>
      <c r="B2408" s="13" t="s">
        <v>627</v>
      </c>
      <c r="C2408" s="13" t="s">
        <v>2266</v>
      </c>
      <c r="D2408" s="13" t="s">
        <v>2270</v>
      </c>
      <c r="E2408" s="13" t="s">
        <v>2505</v>
      </c>
      <c r="F2408" s="13" t="s">
        <v>2513</v>
      </c>
      <c r="G2408" s="61" t="n">
        <v>146970197685</v>
      </c>
      <c r="H2408" s="13" t="s">
        <v>2255</v>
      </c>
      <c r="I2408" s="13" t="s">
        <v>2477</v>
      </c>
      <c r="J2408" s="13" t="n">
        <v>54</v>
      </c>
      <c r="K2408" s="13" t="s">
        <v>2514</v>
      </c>
      <c r="L2408" s="13" t="s">
        <v>2265</v>
      </c>
      <c r="M2408" s="13" t="s">
        <v>2479</v>
      </c>
    </row>
    <row r="2409" customFormat="false" ht="15" hidden="false" customHeight="false" outlineLevel="0" collapsed="false">
      <c r="A2409" s="13" t="s">
        <v>628</v>
      </c>
      <c r="B2409" s="13" t="s">
        <v>627</v>
      </c>
      <c r="C2409" s="13" t="s">
        <v>2266</v>
      </c>
      <c r="D2409" s="13" t="s">
        <v>2270</v>
      </c>
      <c r="E2409" s="13" t="s">
        <v>2506</v>
      </c>
      <c r="F2409" s="13" t="s">
        <v>2513</v>
      </c>
      <c r="G2409" s="61" t="n">
        <v>81288995540</v>
      </c>
      <c r="H2409" s="13" t="s">
        <v>2255</v>
      </c>
      <c r="I2409" s="13" t="s">
        <v>2477</v>
      </c>
      <c r="J2409" s="13" t="n">
        <v>54</v>
      </c>
      <c r="K2409" s="13" t="s">
        <v>2514</v>
      </c>
      <c r="L2409" s="13" t="s">
        <v>2265</v>
      </c>
      <c r="M2409" s="13" t="s">
        <v>2479</v>
      </c>
    </row>
    <row r="2410" customFormat="false" ht="15" hidden="false" customHeight="false" outlineLevel="0" collapsed="false">
      <c r="A2410" s="13" t="s">
        <v>628</v>
      </c>
      <c r="B2410" s="13" t="s">
        <v>627</v>
      </c>
      <c r="C2410" s="13" t="s">
        <v>2266</v>
      </c>
      <c r="D2410" s="13" t="s">
        <v>2270</v>
      </c>
      <c r="E2410" s="13" t="s">
        <v>2507</v>
      </c>
      <c r="F2410" s="13" t="s">
        <v>2513</v>
      </c>
      <c r="G2410" s="61" t="n">
        <v>0</v>
      </c>
      <c r="H2410" s="13" t="s">
        <v>2255</v>
      </c>
      <c r="I2410" s="13" t="s">
        <v>2477</v>
      </c>
      <c r="J2410" s="13" t="n">
        <v>54</v>
      </c>
      <c r="K2410" s="13" t="s">
        <v>2514</v>
      </c>
      <c r="L2410" s="13" t="s">
        <v>2265</v>
      </c>
      <c r="M2410" s="13" t="s">
        <v>2479</v>
      </c>
    </row>
    <row r="2411" customFormat="false" ht="15" hidden="false" customHeight="false" outlineLevel="0" collapsed="false">
      <c r="A2411" s="13" t="s">
        <v>628</v>
      </c>
      <c r="B2411" s="13" t="s">
        <v>627</v>
      </c>
      <c r="C2411" s="13" t="s">
        <v>2266</v>
      </c>
      <c r="D2411" s="13" t="s">
        <v>2270</v>
      </c>
      <c r="E2411" s="13" t="s">
        <v>2508</v>
      </c>
      <c r="F2411" s="13" t="s">
        <v>2513</v>
      </c>
      <c r="G2411" s="61" t="n">
        <v>-28148596781</v>
      </c>
      <c r="H2411" s="13" t="s">
        <v>2255</v>
      </c>
      <c r="I2411" s="13" t="s">
        <v>2477</v>
      </c>
      <c r="J2411" s="13" t="n">
        <v>54</v>
      </c>
      <c r="K2411" s="13" t="s">
        <v>2514</v>
      </c>
      <c r="L2411" s="13" t="s">
        <v>2265</v>
      </c>
      <c r="M2411" s="13" t="s">
        <v>2479</v>
      </c>
    </row>
    <row r="2412" customFormat="false" ht="15" hidden="false" customHeight="false" outlineLevel="0" collapsed="false">
      <c r="A2412" s="13" t="s">
        <v>628</v>
      </c>
      <c r="B2412" s="13" t="s">
        <v>627</v>
      </c>
      <c r="C2412" s="13" t="s">
        <v>2266</v>
      </c>
      <c r="D2412" s="13" t="s">
        <v>2270</v>
      </c>
      <c r="E2412" s="13" t="s">
        <v>2510</v>
      </c>
      <c r="F2412" s="13" t="s">
        <v>2513</v>
      </c>
      <c r="G2412" s="61" t="n">
        <v>0</v>
      </c>
      <c r="H2412" s="13" t="s">
        <v>2255</v>
      </c>
      <c r="I2412" s="13" t="s">
        <v>2477</v>
      </c>
      <c r="J2412" s="13" t="n">
        <v>54</v>
      </c>
      <c r="K2412" s="13" t="s">
        <v>2514</v>
      </c>
      <c r="L2412" s="13" t="s">
        <v>2265</v>
      </c>
      <c r="M2412" s="13" t="s">
        <v>2479</v>
      </c>
    </row>
    <row r="2413" customFormat="false" ht="15" hidden="false" customHeight="false" outlineLevel="0" collapsed="false">
      <c r="A2413" s="13" t="s">
        <v>628</v>
      </c>
      <c r="B2413" s="13" t="s">
        <v>627</v>
      </c>
      <c r="C2413" s="13" t="s">
        <v>2266</v>
      </c>
      <c r="D2413" s="13" t="s">
        <v>2270</v>
      </c>
      <c r="E2413" s="13" t="s">
        <v>2511</v>
      </c>
      <c r="F2413" s="13" t="s">
        <v>2513</v>
      </c>
      <c r="G2413" s="61" t="n">
        <v>200110596444</v>
      </c>
      <c r="H2413" s="13" t="s">
        <v>2255</v>
      </c>
      <c r="I2413" s="13" t="s">
        <v>2477</v>
      </c>
      <c r="J2413" s="13" t="n">
        <v>54</v>
      </c>
      <c r="K2413" s="13" t="s">
        <v>2514</v>
      </c>
      <c r="L2413" s="13" t="s">
        <v>2265</v>
      </c>
      <c r="M2413" s="13" t="s">
        <v>2479</v>
      </c>
    </row>
    <row r="2414" customFormat="false" ht="15" hidden="false" customHeight="false" outlineLevel="0" collapsed="false">
      <c r="A2414" s="13" t="s">
        <v>628</v>
      </c>
      <c r="B2414" s="13" t="s">
        <v>627</v>
      </c>
      <c r="C2414" s="13" t="s">
        <v>2266</v>
      </c>
      <c r="D2414" s="13" t="s">
        <v>2270</v>
      </c>
      <c r="E2414" s="13" t="s">
        <v>2505</v>
      </c>
      <c r="F2414" s="13" t="s">
        <v>2290</v>
      </c>
      <c r="G2414" s="61" t="n">
        <v>2394902267489</v>
      </c>
      <c r="H2414" s="13" t="s">
        <v>2255</v>
      </c>
      <c r="I2414" s="13" t="s">
        <v>2477</v>
      </c>
      <c r="J2414" s="13" t="n">
        <v>54</v>
      </c>
      <c r="K2414" s="13" t="s">
        <v>2514</v>
      </c>
      <c r="L2414" s="13" t="s">
        <v>2265</v>
      </c>
      <c r="M2414" s="13" t="s">
        <v>2479</v>
      </c>
    </row>
    <row r="2415" customFormat="false" ht="15" hidden="false" customHeight="false" outlineLevel="0" collapsed="false">
      <c r="A2415" s="13" t="s">
        <v>628</v>
      </c>
      <c r="B2415" s="13" t="s">
        <v>627</v>
      </c>
      <c r="C2415" s="13" t="s">
        <v>2266</v>
      </c>
      <c r="D2415" s="13" t="s">
        <v>2270</v>
      </c>
      <c r="E2415" s="13" t="s">
        <v>2506</v>
      </c>
      <c r="F2415" s="13" t="s">
        <v>2290</v>
      </c>
      <c r="G2415" s="61" t="n">
        <v>167888264808</v>
      </c>
      <c r="H2415" s="13" t="s">
        <v>2255</v>
      </c>
      <c r="I2415" s="13" t="s">
        <v>2477</v>
      </c>
      <c r="J2415" s="13" t="n">
        <v>54</v>
      </c>
      <c r="K2415" s="13" t="s">
        <v>2514</v>
      </c>
      <c r="L2415" s="13" t="s">
        <v>2265</v>
      </c>
      <c r="M2415" s="13" t="s">
        <v>2479</v>
      </c>
    </row>
    <row r="2416" customFormat="false" ht="15" hidden="false" customHeight="false" outlineLevel="0" collapsed="false">
      <c r="A2416" s="13" t="s">
        <v>628</v>
      </c>
      <c r="B2416" s="13" t="s">
        <v>627</v>
      </c>
      <c r="C2416" s="13" t="s">
        <v>2266</v>
      </c>
      <c r="D2416" s="13" t="s">
        <v>2270</v>
      </c>
      <c r="E2416" s="13" t="s">
        <v>2507</v>
      </c>
      <c r="F2416" s="13" t="s">
        <v>2290</v>
      </c>
      <c r="G2416" s="61" t="n">
        <v>-4285899157</v>
      </c>
      <c r="H2416" s="13" t="s">
        <v>2255</v>
      </c>
      <c r="I2416" s="13" t="s">
        <v>2477</v>
      </c>
      <c r="J2416" s="13" t="n">
        <v>54</v>
      </c>
      <c r="K2416" s="13" t="s">
        <v>2514</v>
      </c>
      <c r="L2416" s="13" t="s">
        <v>2265</v>
      </c>
      <c r="M2416" s="13" t="s">
        <v>2479</v>
      </c>
    </row>
    <row r="2417" customFormat="false" ht="15" hidden="false" customHeight="false" outlineLevel="0" collapsed="false">
      <c r="A2417" s="13" t="s">
        <v>628</v>
      </c>
      <c r="B2417" s="13" t="s">
        <v>627</v>
      </c>
      <c r="C2417" s="13" t="s">
        <v>2266</v>
      </c>
      <c r="D2417" s="13" t="s">
        <v>2270</v>
      </c>
      <c r="E2417" s="13" t="s">
        <v>2508</v>
      </c>
      <c r="F2417" s="13" t="s">
        <v>2290</v>
      </c>
      <c r="G2417" s="61" t="n">
        <v>0</v>
      </c>
      <c r="H2417" s="13" t="s">
        <v>2255</v>
      </c>
      <c r="I2417" s="13" t="s">
        <v>2477</v>
      </c>
      <c r="J2417" s="13" t="n">
        <v>54</v>
      </c>
      <c r="K2417" s="13" t="s">
        <v>2514</v>
      </c>
      <c r="L2417" s="13" t="s">
        <v>2265</v>
      </c>
      <c r="M2417" s="13" t="s">
        <v>2479</v>
      </c>
    </row>
    <row r="2418" customFormat="false" ht="15" hidden="false" customHeight="false" outlineLevel="0" collapsed="false">
      <c r="A2418" s="13" t="s">
        <v>628</v>
      </c>
      <c r="B2418" s="13" t="s">
        <v>627</v>
      </c>
      <c r="C2418" s="13" t="s">
        <v>2266</v>
      </c>
      <c r="D2418" s="13" t="s">
        <v>2270</v>
      </c>
      <c r="E2418" s="13" t="s">
        <v>2510</v>
      </c>
      <c r="F2418" s="13" t="s">
        <v>2290</v>
      </c>
      <c r="G2418" s="61" t="n">
        <v>0</v>
      </c>
      <c r="H2418" s="13" t="s">
        <v>2255</v>
      </c>
      <c r="I2418" s="13" t="s">
        <v>2477</v>
      </c>
      <c r="J2418" s="13" t="n">
        <v>54</v>
      </c>
      <c r="K2418" s="13" t="s">
        <v>2514</v>
      </c>
      <c r="L2418" s="13" t="s">
        <v>2265</v>
      </c>
      <c r="M2418" s="13" t="s">
        <v>2479</v>
      </c>
    </row>
    <row r="2419" customFormat="false" ht="15" hidden="false" customHeight="false" outlineLevel="0" collapsed="false">
      <c r="A2419" s="13" t="s">
        <v>628</v>
      </c>
      <c r="B2419" s="13" t="s">
        <v>627</v>
      </c>
      <c r="C2419" s="13" t="s">
        <v>2266</v>
      </c>
      <c r="D2419" s="13" t="s">
        <v>2270</v>
      </c>
      <c r="E2419" s="13" t="s">
        <v>2511</v>
      </c>
      <c r="F2419" s="13" t="s">
        <v>2290</v>
      </c>
      <c r="G2419" s="61" t="n">
        <v>2558504633140</v>
      </c>
      <c r="H2419" s="13" t="s">
        <v>2255</v>
      </c>
      <c r="I2419" s="13" t="s">
        <v>2477</v>
      </c>
      <c r="J2419" s="13" t="n">
        <v>54</v>
      </c>
      <c r="K2419" s="13" t="s">
        <v>2514</v>
      </c>
      <c r="L2419" s="13" t="s">
        <v>2265</v>
      </c>
      <c r="M2419" s="13" t="s">
        <v>2479</v>
      </c>
    </row>
    <row r="2420" customFormat="false" ht="15" hidden="false" customHeight="false" outlineLevel="0" collapsed="false">
      <c r="A2420" s="13" t="s">
        <v>628</v>
      </c>
      <c r="B2420" s="13" t="s">
        <v>627</v>
      </c>
      <c r="C2420" s="13" t="s">
        <v>2267</v>
      </c>
      <c r="D2420" s="13" t="s">
        <v>2270</v>
      </c>
      <c r="E2420" s="13" t="s">
        <v>2476</v>
      </c>
      <c r="F2420" s="13" t="s">
        <v>2434</v>
      </c>
      <c r="G2420" s="61" t="n">
        <v>59578556896</v>
      </c>
      <c r="H2420" s="13" t="s">
        <v>2255</v>
      </c>
      <c r="I2420" s="13" t="s">
        <v>2477</v>
      </c>
      <c r="J2420" s="13" t="n">
        <v>57</v>
      </c>
      <c r="K2420" s="13" t="s">
        <v>2478</v>
      </c>
      <c r="L2420" s="13" t="s">
        <v>2265</v>
      </c>
      <c r="M2420" s="13" t="s">
        <v>2479</v>
      </c>
    </row>
    <row r="2421" customFormat="false" ht="15" hidden="false" customHeight="false" outlineLevel="0" collapsed="false">
      <c r="A2421" s="13" t="s">
        <v>628</v>
      </c>
      <c r="B2421" s="13" t="s">
        <v>627</v>
      </c>
      <c r="C2421" s="13" t="s">
        <v>2267</v>
      </c>
      <c r="D2421" s="13" t="s">
        <v>2270</v>
      </c>
      <c r="E2421" s="13" t="s">
        <v>2480</v>
      </c>
      <c r="F2421" s="13" t="s">
        <v>2434</v>
      </c>
      <c r="G2421" s="61" t="n">
        <v>43384345751</v>
      </c>
      <c r="H2421" s="13" t="s">
        <v>2255</v>
      </c>
      <c r="I2421" s="13" t="s">
        <v>2477</v>
      </c>
      <c r="J2421" s="13" t="n">
        <v>57</v>
      </c>
      <c r="K2421" s="13" t="s">
        <v>2478</v>
      </c>
      <c r="L2421" s="13" t="s">
        <v>2265</v>
      </c>
      <c r="M2421" s="13" t="s">
        <v>2479</v>
      </c>
    </row>
    <row r="2422" customFormat="false" ht="15" hidden="false" customHeight="false" outlineLevel="0" collapsed="false">
      <c r="A2422" s="13" t="s">
        <v>628</v>
      </c>
      <c r="B2422" s="13" t="s">
        <v>627</v>
      </c>
      <c r="C2422" s="13" t="s">
        <v>2267</v>
      </c>
      <c r="D2422" s="13" t="s">
        <v>2270</v>
      </c>
      <c r="E2422" s="13" t="s">
        <v>2481</v>
      </c>
      <c r="F2422" s="13" t="s">
        <v>2434</v>
      </c>
      <c r="G2422" s="61" t="n">
        <v>-23688651596</v>
      </c>
      <c r="H2422" s="13" t="s">
        <v>2255</v>
      </c>
      <c r="I2422" s="13" t="s">
        <v>2477</v>
      </c>
      <c r="J2422" s="13" t="n">
        <v>57</v>
      </c>
      <c r="K2422" s="13" t="s">
        <v>2478</v>
      </c>
      <c r="L2422" s="13" t="s">
        <v>2265</v>
      </c>
      <c r="M2422" s="13" t="s">
        <v>2479</v>
      </c>
    </row>
    <row r="2423" customFormat="false" ht="15" hidden="false" customHeight="false" outlineLevel="0" collapsed="false">
      <c r="A2423" s="13" t="s">
        <v>628</v>
      </c>
      <c r="B2423" s="13" t="s">
        <v>627</v>
      </c>
      <c r="C2423" s="13" t="s">
        <v>2267</v>
      </c>
      <c r="D2423" s="13" t="s">
        <v>2270</v>
      </c>
      <c r="E2423" s="13" t="s">
        <v>2482</v>
      </c>
      <c r="F2423" s="13" t="s">
        <v>2434</v>
      </c>
      <c r="G2423" s="61" t="n">
        <v>389097566</v>
      </c>
      <c r="H2423" s="13" t="s">
        <v>2255</v>
      </c>
      <c r="I2423" s="13" t="s">
        <v>2477</v>
      </c>
      <c r="J2423" s="13" t="n">
        <v>57</v>
      </c>
      <c r="K2423" s="13" t="s">
        <v>2478</v>
      </c>
      <c r="L2423" s="13" t="s">
        <v>2265</v>
      </c>
      <c r="M2423" s="13" t="s">
        <v>2479</v>
      </c>
    </row>
    <row r="2424" customFormat="false" ht="15" hidden="false" customHeight="false" outlineLevel="0" collapsed="false">
      <c r="A2424" s="13" t="s">
        <v>628</v>
      </c>
      <c r="B2424" s="13" t="s">
        <v>627</v>
      </c>
      <c r="C2424" s="13" t="s">
        <v>2267</v>
      </c>
      <c r="D2424" s="13" t="s">
        <v>2270</v>
      </c>
      <c r="E2424" s="13" t="s">
        <v>2484</v>
      </c>
      <c r="F2424" s="13" t="s">
        <v>2434</v>
      </c>
      <c r="G2424" s="61" t="n">
        <v>0</v>
      </c>
      <c r="H2424" s="13" t="s">
        <v>2255</v>
      </c>
      <c r="I2424" s="13" t="s">
        <v>2477</v>
      </c>
      <c r="J2424" s="13" t="n">
        <v>57</v>
      </c>
      <c r="K2424" s="13" t="s">
        <v>2478</v>
      </c>
      <c r="L2424" s="13" t="s">
        <v>2265</v>
      </c>
      <c r="M2424" s="13" t="s">
        <v>2479</v>
      </c>
    </row>
    <row r="2425" customFormat="false" ht="15" hidden="false" customHeight="false" outlineLevel="0" collapsed="false">
      <c r="A2425" s="13" t="s">
        <v>628</v>
      </c>
      <c r="B2425" s="13" t="s">
        <v>627</v>
      </c>
      <c r="C2425" s="13" t="s">
        <v>2267</v>
      </c>
      <c r="D2425" s="13" t="s">
        <v>2270</v>
      </c>
      <c r="E2425" s="13" t="s">
        <v>2485</v>
      </c>
      <c r="F2425" s="13" t="s">
        <v>2434</v>
      </c>
      <c r="G2425" s="61" t="n">
        <v>79663348617</v>
      </c>
      <c r="H2425" s="13" t="s">
        <v>2255</v>
      </c>
      <c r="I2425" s="13" t="s">
        <v>2477</v>
      </c>
      <c r="J2425" s="13" t="n">
        <v>57</v>
      </c>
      <c r="K2425" s="13" t="s">
        <v>2478</v>
      </c>
      <c r="L2425" s="13" t="s">
        <v>2265</v>
      </c>
      <c r="M2425" s="13" t="s">
        <v>2479</v>
      </c>
    </row>
    <row r="2426" customFormat="false" ht="15" hidden="false" customHeight="false" outlineLevel="0" collapsed="false">
      <c r="A2426" s="13" t="s">
        <v>628</v>
      </c>
      <c r="B2426" s="13" t="s">
        <v>627</v>
      </c>
      <c r="C2426" s="13" t="s">
        <v>2267</v>
      </c>
      <c r="D2426" s="13" t="s">
        <v>2270</v>
      </c>
      <c r="E2426" s="13" t="s">
        <v>2486</v>
      </c>
      <c r="F2426" s="13" t="s">
        <v>2434</v>
      </c>
      <c r="G2426" s="61" t="n">
        <v>154084916333</v>
      </c>
      <c r="H2426" s="13" t="s">
        <v>2255</v>
      </c>
      <c r="I2426" s="13" t="s">
        <v>2477</v>
      </c>
      <c r="J2426" s="13" t="n">
        <v>57</v>
      </c>
      <c r="K2426" s="13" t="s">
        <v>2478</v>
      </c>
      <c r="L2426" s="13" t="s">
        <v>2265</v>
      </c>
      <c r="M2426" s="13" t="s">
        <v>2479</v>
      </c>
    </row>
    <row r="2427" customFormat="false" ht="15" hidden="false" customHeight="false" outlineLevel="0" collapsed="false">
      <c r="A2427" s="13" t="s">
        <v>628</v>
      </c>
      <c r="B2427" s="13" t="s">
        <v>627</v>
      </c>
      <c r="C2427" s="13" t="s">
        <v>2267</v>
      </c>
      <c r="D2427" s="13" t="s">
        <v>2270</v>
      </c>
      <c r="E2427" s="13" t="s">
        <v>2487</v>
      </c>
      <c r="F2427" s="13" t="s">
        <v>2434</v>
      </c>
      <c r="G2427" s="61" t="n">
        <v>103077646075</v>
      </c>
      <c r="H2427" s="13" t="s">
        <v>2255</v>
      </c>
      <c r="I2427" s="13" t="s">
        <v>2477</v>
      </c>
      <c r="J2427" s="13" t="n">
        <v>57</v>
      </c>
      <c r="K2427" s="13" t="s">
        <v>2478</v>
      </c>
      <c r="L2427" s="13" t="s">
        <v>2265</v>
      </c>
      <c r="M2427" s="13" t="s">
        <v>2479</v>
      </c>
    </row>
    <row r="2428" customFormat="false" ht="15" hidden="false" customHeight="false" outlineLevel="0" collapsed="false">
      <c r="A2428" s="13" t="s">
        <v>628</v>
      </c>
      <c r="B2428" s="13" t="s">
        <v>627</v>
      </c>
      <c r="C2428" s="13" t="s">
        <v>2267</v>
      </c>
      <c r="D2428" s="13" t="s">
        <v>2270</v>
      </c>
      <c r="E2428" s="13" t="s">
        <v>2488</v>
      </c>
      <c r="F2428" s="13" t="s">
        <v>2434</v>
      </c>
      <c r="G2428" s="61" t="n">
        <v>-29847306420</v>
      </c>
      <c r="H2428" s="13" t="s">
        <v>2255</v>
      </c>
      <c r="I2428" s="13" t="s">
        <v>2477</v>
      </c>
      <c r="J2428" s="13" t="n">
        <v>57</v>
      </c>
      <c r="K2428" s="13" t="s">
        <v>2478</v>
      </c>
      <c r="L2428" s="13" t="s">
        <v>2265</v>
      </c>
      <c r="M2428" s="13" t="s">
        <v>2479</v>
      </c>
    </row>
    <row r="2429" customFormat="false" ht="15" hidden="false" customHeight="false" outlineLevel="0" collapsed="false">
      <c r="A2429" s="13" t="s">
        <v>628</v>
      </c>
      <c r="B2429" s="13" t="s">
        <v>627</v>
      </c>
      <c r="C2429" s="13" t="s">
        <v>2267</v>
      </c>
      <c r="D2429" s="13" t="s">
        <v>2270</v>
      </c>
      <c r="E2429" s="13" t="s">
        <v>2489</v>
      </c>
      <c r="F2429" s="13" t="s">
        <v>2434</v>
      </c>
      <c r="G2429" s="61" t="n">
        <v>0</v>
      </c>
      <c r="H2429" s="13" t="s">
        <v>2255</v>
      </c>
      <c r="I2429" s="13" t="s">
        <v>2477</v>
      </c>
      <c r="J2429" s="13" t="n">
        <v>57</v>
      </c>
      <c r="K2429" s="13" t="s">
        <v>2478</v>
      </c>
      <c r="L2429" s="13" t="s">
        <v>2265</v>
      </c>
      <c r="M2429" s="13" t="s">
        <v>2479</v>
      </c>
    </row>
    <row r="2430" customFormat="false" ht="15" hidden="false" customHeight="false" outlineLevel="0" collapsed="false">
      <c r="A2430" s="13" t="s">
        <v>628</v>
      </c>
      <c r="B2430" s="13" t="s">
        <v>627</v>
      </c>
      <c r="C2430" s="13" t="s">
        <v>2267</v>
      </c>
      <c r="D2430" s="13" t="s">
        <v>2270</v>
      </c>
      <c r="E2430" s="13" t="s">
        <v>2491</v>
      </c>
      <c r="F2430" s="13" t="s">
        <v>2434</v>
      </c>
      <c r="G2430" s="61" t="n">
        <v>0</v>
      </c>
      <c r="H2430" s="13" t="s">
        <v>2255</v>
      </c>
      <c r="I2430" s="13" t="s">
        <v>2477</v>
      </c>
      <c r="J2430" s="13" t="n">
        <v>57</v>
      </c>
      <c r="K2430" s="13" t="s">
        <v>2478</v>
      </c>
      <c r="L2430" s="13" t="s">
        <v>2265</v>
      </c>
      <c r="M2430" s="13" t="s">
        <v>2479</v>
      </c>
    </row>
    <row r="2431" customFormat="false" ht="15" hidden="false" customHeight="false" outlineLevel="0" collapsed="false">
      <c r="A2431" s="13" t="s">
        <v>628</v>
      </c>
      <c r="B2431" s="13" t="s">
        <v>627</v>
      </c>
      <c r="C2431" s="13" t="s">
        <v>2267</v>
      </c>
      <c r="D2431" s="13" t="s">
        <v>2270</v>
      </c>
      <c r="E2431" s="13" t="s">
        <v>2492</v>
      </c>
      <c r="F2431" s="13" t="s">
        <v>2434</v>
      </c>
      <c r="G2431" s="61" t="n">
        <v>227315255988</v>
      </c>
      <c r="H2431" s="13" t="s">
        <v>2255</v>
      </c>
      <c r="I2431" s="13" t="s">
        <v>2477</v>
      </c>
      <c r="J2431" s="13" t="n">
        <v>57</v>
      </c>
      <c r="K2431" s="13" t="s">
        <v>2478</v>
      </c>
      <c r="L2431" s="13" t="s">
        <v>2265</v>
      </c>
      <c r="M2431" s="13" t="s">
        <v>2479</v>
      </c>
    </row>
    <row r="2432" customFormat="false" ht="15" hidden="false" customHeight="false" outlineLevel="0" collapsed="false">
      <c r="A2432" s="13" t="s">
        <v>628</v>
      </c>
      <c r="B2432" s="13" t="s">
        <v>627</v>
      </c>
      <c r="C2432" s="13" t="s">
        <v>2267</v>
      </c>
      <c r="D2432" s="13" t="s">
        <v>2270</v>
      </c>
      <c r="E2432" s="13" t="s">
        <v>2493</v>
      </c>
      <c r="F2432" s="13" t="s">
        <v>2448</v>
      </c>
      <c r="G2432" s="61" t="n">
        <v>148280921498</v>
      </c>
      <c r="H2432" s="13" t="s">
        <v>2255</v>
      </c>
      <c r="I2432" s="13" t="s">
        <v>2477</v>
      </c>
      <c r="J2432" s="13" t="n">
        <v>53</v>
      </c>
      <c r="K2432" s="13" t="s">
        <v>2514</v>
      </c>
      <c r="L2432" s="13" t="s">
        <v>2265</v>
      </c>
      <c r="M2432" s="13" t="s">
        <v>2479</v>
      </c>
    </row>
    <row r="2433" customFormat="false" ht="15" hidden="false" customHeight="false" outlineLevel="0" collapsed="false">
      <c r="A2433" s="13" t="s">
        <v>628</v>
      </c>
      <c r="B2433" s="13" t="s">
        <v>627</v>
      </c>
      <c r="C2433" s="13" t="s">
        <v>2267</v>
      </c>
      <c r="D2433" s="13" t="s">
        <v>2270</v>
      </c>
      <c r="E2433" s="13" t="s">
        <v>2494</v>
      </c>
      <c r="F2433" s="13" t="s">
        <v>2448</v>
      </c>
      <c r="G2433" s="61" t="n">
        <v>35948779081</v>
      </c>
      <c r="H2433" s="13" t="s">
        <v>2255</v>
      </c>
      <c r="I2433" s="13" t="s">
        <v>2477</v>
      </c>
      <c r="J2433" s="13" t="n">
        <v>53</v>
      </c>
      <c r="K2433" s="13" t="s">
        <v>2514</v>
      </c>
      <c r="L2433" s="13" t="s">
        <v>2265</v>
      </c>
      <c r="M2433" s="13" t="s">
        <v>2479</v>
      </c>
    </row>
    <row r="2434" customFormat="false" ht="15" hidden="false" customHeight="false" outlineLevel="0" collapsed="false">
      <c r="A2434" s="13" t="s">
        <v>628</v>
      </c>
      <c r="B2434" s="13" t="s">
        <v>627</v>
      </c>
      <c r="C2434" s="13" t="s">
        <v>2267</v>
      </c>
      <c r="D2434" s="13" t="s">
        <v>2270</v>
      </c>
      <c r="E2434" s="13" t="s">
        <v>2495</v>
      </c>
      <c r="F2434" s="13" t="s">
        <v>2448</v>
      </c>
      <c r="G2434" s="61" t="n">
        <v>-15975462035</v>
      </c>
      <c r="H2434" s="13" t="s">
        <v>2255</v>
      </c>
      <c r="I2434" s="13" t="s">
        <v>2477</v>
      </c>
      <c r="J2434" s="13" t="n">
        <v>53</v>
      </c>
      <c r="K2434" s="13" t="s">
        <v>2514</v>
      </c>
      <c r="L2434" s="13" t="s">
        <v>2265</v>
      </c>
      <c r="M2434" s="13" t="s">
        <v>2479</v>
      </c>
    </row>
    <row r="2435" customFormat="false" ht="15" hidden="false" customHeight="false" outlineLevel="0" collapsed="false">
      <c r="A2435" s="13" t="s">
        <v>628</v>
      </c>
      <c r="B2435" s="13" t="s">
        <v>627</v>
      </c>
      <c r="C2435" s="13" t="s">
        <v>2267</v>
      </c>
      <c r="D2435" s="13" t="s">
        <v>2270</v>
      </c>
      <c r="E2435" s="13" t="s">
        <v>2496</v>
      </c>
      <c r="F2435" s="13" t="s">
        <v>2448</v>
      </c>
      <c r="G2435" s="61" t="n">
        <v>0</v>
      </c>
      <c r="H2435" s="13" t="s">
        <v>2255</v>
      </c>
      <c r="I2435" s="13" t="s">
        <v>2477</v>
      </c>
      <c r="J2435" s="13" t="n">
        <v>53</v>
      </c>
      <c r="K2435" s="13" t="s">
        <v>2514</v>
      </c>
      <c r="L2435" s="13" t="s">
        <v>2265</v>
      </c>
      <c r="M2435" s="13" t="s">
        <v>2479</v>
      </c>
    </row>
    <row r="2436" customFormat="false" ht="15" hidden="false" customHeight="false" outlineLevel="0" collapsed="false">
      <c r="A2436" s="13" t="s">
        <v>628</v>
      </c>
      <c r="B2436" s="13" t="s">
        <v>627</v>
      </c>
      <c r="C2436" s="13" t="s">
        <v>2267</v>
      </c>
      <c r="D2436" s="13" t="s">
        <v>2270</v>
      </c>
      <c r="E2436" s="13" t="s">
        <v>2498</v>
      </c>
      <c r="F2436" s="13" t="s">
        <v>2448</v>
      </c>
      <c r="G2436" s="61" t="n">
        <v>0</v>
      </c>
      <c r="H2436" s="13" t="s">
        <v>2255</v>
      </c>
      <c r="I2436" s="13" t="s">
        <v>2477</v>
      </c>
      <c r="J2436" s="13" t="n">
        <v>53</v>
      </c>
      <c r="K2436" s="13" t="s">
        <v>2514</v>
      </c>
      <c r="L2436" s="13" t="s">
        <v>2265</v>
      </c>
      <c r="M2436" s="13" t="s">
        <v>2479</v>
      </c>
    </row>
    <row r="2437" customFormat="false" ht="15" hidden="false" customHeight="false" outlineLevel="0" collapsed="false">
      <c r="A2437" s="13" t="s">
        <v>628</v>
      </c>
      <c r="B2437" s="13" t="s">
        <v>627</v>
      </c>
      <c r="C2437" s="13" t="s">
        <v>2267</v>
      </c>
      <c r="D2437" s="13" t="s">
        <v>2270</v>
      </c>
      <c r="E2437" s="13" t="s">
        <v>2499</v>
      </c>
      <c r="F2437" s="13" t="s">
        <v>2448</v>
      </c>
      <c r="G2437" s="61" t="n">
        <v>168254238544</v>
      </c>
      <c r="H2437" s="13" t="s">
        <v>2255</v>
      </c>
      <c r="I2437" s="13" t="s">
        <v>2477</v>
      </c>
      <c r="J2437" s="13" t="n">
        <v>53</v>
      </c>
      <c r="K2437" s="13" t="s">
        <v>2514</v>
      </c>
      <c r="L2437" s="13" t="s">
        <v>2265</v>
      </c>
      <c r="M2437" s="13" t="s">
        <v>2479</v>
      </c>
    </row>
    <row r="2438" customFormat="false" ht="15" hidden="false" customHeight="false" outlineLevel="0" collapsed="false">
      <c r="A2438" s="13" t="s">
        <v>628</v>
      </c>
      <c r="B2438" s="13" t="s">
        <v>627</v>
      </c>
      <c r="C2438" s="13" t="s">
        <v>2267</v>
      </c>
      <c r="D2438" s="13" t="s">
        <v>2270</v>
      </c>
      <c r="E2438" s="13" t="s">
        <v>2493</v>
      </c>
      <c r="F2438" s="13" t="s">
        <v>2500</v>
      </c>
      <c r="G2438" s="61" t="n">
        <v>320314652067</v>
      </c>
      <c r="H2438" s="13" t="s">
        <v>2255</v>
      </c>
      <c r="I2438" s="13" t="s">
        <v>2477</v>
      </c>
      <c r="J2438" s="13" t="n">
        <v>53</v>
      </c>
      <c r="K2438" s="13" t="s">
        <v>2514</v>
      </c>
      <c r="L2438" s="13" t="s">
        <v>2265</v>
      </c>
      <c r="M2438" s="13" t="s">
        <v>2479</v>
      </c>
    </row>
    <row r="2439" customFormat="false" ht="15" hidden="false" customHeight="false" outlineLevel="0" collapsed="false">
      <c r="A2439" s="13" t="s">
        <v>628</v>
      </c>
      <c r="B2439" s="13" t="s">
        <v>627</v>
      </c>
      <c r="C2439" s="13" t="s">
        <v>2267</v>
      </c>
      <c r="D2439" s="13" t="s">
        <v>2270</v>
      </c>
      <c r="E2439" s="13" t="s">
        <v>2494</v>
      </c>
      <c r="F2439" s="13" t="s">
        <v>2500</v>
      </c>
      <c r="G2439" s="61" t="n">
        <v>23150057795</v>
      </c>
      <c r="H2439" s="13" t="s">
        <v>2255</v>
      </c>
      <c r="I2439" s="13" t="s">
        <v>2477</v>
      </c>
      <c r="J2439" s="13" t="n">
        <v>53</v>
      </c>
      <c r="K2439" s="13" t="s">
        <v>2514</v>
      </c>
      <c r="L2439" s="13" t="s">
        <v>2265</v>
      </c>
      <c r="M2439" s="13" t="s">
        <v>2479</v>
      </c>
    </row>
    <row r="2440" customFormat="false" ht="15" hidden="false" customHeight="false" outlineLevel="0" collapsed="false">
      <c r="A2440" s="13" t="s">
        <v>628</v>
      </c>
      <c r="B2440" s="13" t="s">
        <v>627</v>
      </c>
      <c r="C2440" s="13" t="s">
        <v>2267</v>
      </c>
      <c r="D2440" s="13" t="s">
        <v>2270</v>
      </c>
      <c r="E2440" s="13" t="s">
        <v>2495</v>
      </c>
      <c r="F2440" s="13" t="s">
        <v>2500</v>
      </c>
      <c r="G2440" s="61" t="n">
        <v>-2248254120</v>
      </c>
      <c r="H2440" s="13" t="s">
        <v>2255</v>
      </c>
      <c r="I2440" s="13" t="s">
        <v>2477</v>
      </c>
      <c r="J2440" s="13" t="n">
        <v>53</v>
      </c>
      <c r="K2440" s="13" t="s">
        <v>2514</v>
      </c>
      <c r="L2440" s="13" t="s">
        <v>2265</v>
      </c>
      <c r="M2440" s="13" t="s">
        <v>2479</v>
      </c>
    </row>
    <row r="2441" customFormat="false" ht="15" hidden="false" customHeight="false" outlineLevel="0" collapsed="false">
      <c r="A2441" s="13" t="s">
        <v>628</v>
      </c>
      <c r="B2441" s="13" t="s">
        <v>627</v>
      </c>
      <c r="C2441" s="13" t="s">
        <v>2267</v>
      </c>
      <c r="D2441" s="13" t="s">
        <v>2270</v>
      </c>
      <c r="E2441" s="13" t="s">
        <v>2496</v>
      </c>
      <c r="F2441" s="13" t="s">
        <v>2500</v>
      </c>
      <c r="G2441" s="61" t="n">
        <v>0</v>
      </c>
      <c r="H2441" s="13" t="s">
        <v>2255</v>
      </c>
      <c r="I2441" s="13" t="s">
        <v>2477</v>
      </c>
      <c r="J2441" s="13" t="n">
        <v>53</v>
      </c>
      <c r="K2441" s="13" t="s">
        <v>2514</v>
      </c>
      <c r="L2441" s="13" t="s">
        <v>2265</v>
      </c>
      <c r="M2441" s="13" t="s">
        <v>2479</v>
      </c>
    </row>
    <row r="2442" customFormat="false" ht="15" hidden="false" customHeight="false" outlineLevel="0" collapsed="false">
      <c r="A2442" s="13" t="s">
        <v>628</v>
      </c>
      <c r="B2442" s="13" t="s">
        <v>627</v>
      </c>
      <c r="C2442" s="13" t="s">
        <v>2267</v>
      </c>
      <c r="D2442" s="13" t="s">
        <v>2270</v>
      </c>
      <c r="E2442" s="13" t="s">
        <v>2498</v>
      </c>
      <c r="F2442" s="13" t="s">
        <v>2500</v>
      </c>
      <c r="G2442" s="61" t="n">
        <v>0</v>
      </c>
      <c r="H2442" s="13" t="s">
        <v>2255</v>
      </c>
      <c r="I2442" s="13" t="s">
        <v>2477</v>
      </c>
      <c r="J2442" s="13" t="n">
        <v>53</v>
      </c>
      <c r="K2442" s="13" t="s">
        <v>2514</v>
      </c>
      <c r="L2442" s="13" t="s">
        <v>2265</v>
      </c>
      <c r="M2442" s="13" t="s">
        <v>2479</v>
      </c>
    </row>
    <row r="2443" customFormat="false" ht="15" hidden="false" customHeight="false" outlineLevel="0" collapsed="false">
      <c r="A2443" s="13" t="s">
        <v>628</v>
      </c>
      <c r="B2443" s="13" t="s">
        <v>627</v>
      </c>
      <c r="C2443" s="13" t="s">
        <v>2267</v>
      </c>
      <c r="D2443" s="13" t="s">
        <v>2270</v>
      </c>
      <c r="E2443" s="13" t="s">
        <v>2499</v>
      </c>
      <c r="F2443" s="13" t="s">
        <v>2500</v>
      </c>
      <c r="G2443" s="61" t="n">
        <v>341216455742</v>
      </c>
      <c r="H2443" s="13" t="s">
        <v>2255</v>
      </c>
      <c r="I2443" s="13" t="s">
        <v>2477</v>
      </c>
      <c r="J2443" s="13" t="n">
        <v>53</v>
      </c>
      <c r="K2443" s="13" t="s">
        <v>2514</v>
      </c>
      <c r="L2443" s="13" t="s">
        <v>2265</v>
      </c>
      <c r="M2443" s="13" t="s">
        <v>2479</v>
      </c>
    </row>
    <row r="2444" customFormat="false" ht="15" hidden="false" customHeight="false" outlineLevel="0" collapsed="false">
      <c r="A2444" s="13" t="s">
        <v>628</v>
      </c>
      <c r="B2444" s="13" t="s">
        <v>627</v>
      </c>
      <c r="C2444" s="13" t="s">
        <v>2267</v>
      </c>
      <c r="D2444" s="13" t="s">
        <v>2270</v>
      </c>
      <c r="E2444" s="13" t="s">
        <v>2493</v>
      </c>
      <c r="F2444" s="13" t="s">
        <v>2501</v>
      </c>
      <c r="G2444" s="61" t="n">
        <v>81976500346</v>
      </c>
      <c r="H2444" s="13" t="s">
        <v>2255</v>
      </c>
      <c r="I2444" s="13" t="s">
        <v>2477</v>
      </c>
      <c r="J2444" s="13" t="n">
        <v>53</v>
      </c>
      <c r="K2444" s="13" t="s">
        <v>2514</v>
      </c>
      <c r="L2444" s="13" t="s">
        <v>2265</v>
      </c>
      <c r="M2444" s="13" t="s">
        <v>2479</v>
      </c>
    </row>
    <row r="2445" customFormat="false" ht="15" hidden="false" customHeight="false" outlineLevel="0" collapsed="false">
      <c r="A2445" s="13" t="s">
        <v>628</v>
      </c>
      <c r="B2445" s="13" t="s">
        <v>627</v>
      </c>
      <c r="C2445" s="13" t="s">
        <v>2267</v>
      </c>
      <c r="D2445" s="13" t="s">
        <v>2270</v>
      </c>
      <c r="E2445" s="13" t="s">
        <v>2494</v>
      </c>
      <c r="F2445" s="13" t="s">
        <v>2501</v>
      </c>
      <c r="G2445" s="61" t="n">
        <v>14003724659</v>
      </c>
      <c r="H2445" s="13" t="s">
        <v>2255</v>
      </c>
      <c r="I2445" s="13" t="s">
        <v>2477</v>
      </c>
      <c r="J2445" s="13" t="n">
        <v>53</v>
      </c>
      <c r="K2445" s="13" t="s">
        <v>2514</v>
      </c>
      <c r="L2445" s="13" t="s">
        <v>2265</v>
      </c>
      <c r="M2445" s="13" t="s">
        <v>2479</v>
      </c>
    </row>
    <row r="2446" customFormat="false" ht="15" hidden="false" customHeight="false" outlineLevel="0" collapsed="false">
      <c r="A2446" s="13" t="s">
        <v>628</v>
      </c>
      <c r="B2446" s="13" t="s">
        <v>627</v>
      </c>
      <c r="C2446" s="13" t="s">
        <v>2267</v>
      </c>
      <c r="D2446" s="13" t="s">
        <v>2270</v>
      </c>
      <c r="E2446" s="13" t="s">
        <v>2495</v>
      </c>
      <c r="F2446" s="13" t="s">
        <v>2501</v>
      </c>
      <c r="G2446" s="61" t="n">
        <v>-647525622</v>
      </c>
      <c r="H2446" s="13" t="s">
        <v>2255</v>
      </c>
      <c r="I2446" s="13" t="s">
        <v>2477</v>
      </c>
      <c r="J2446" s="13" t="n">
        <v>53</v>
      </c>
      <c r="K2446" s="13" t="s">
        <v>2514</v>
      </c>
      <c r="L2446" s="13" t="s">
        <v>2265</v>
      </c>
      <c r="M2446" s="13" t="s">
        <v>2479</v>
      </c>
    </row>
    <row r="2447" customFormat="false" ht="15" hidden="false" customHeight="false" outlineLevel="0" collapsed="false">
      <c r="A2447" s="13" t="s">
        <v>628</v>
      </c>
      <c r="B2447" s="13" t="s">
        <v>627</v>
      </c>
      <c r="C2447" s="13" t="s">
        <v>2267</v>
      </c>
      <c r="D2447" s="13" t="s">
        <v>2270</v>
      </c>
      <c r="E2447" s="13" t="s">
        <v>2496</v>
      </c>
      <c r="F2447" s="13" t="s">
        <v>2501</v>
      </c>
      <c r="G2447" s="61" t="n">
        <v>0</v>
      </c>
      <c r="H2447" s="13" t="s">
        <v>2255</v>
      </c>
      <c r="I2447" s="13" t="s">
        <v>2477</v>
      </c>
      <c r="J2447" s="13" t="n">
        <v>53</v>
      </c>
      <c r="K2447" s="13" t="s">
        <v>2514</v>
      </c>
      <c r="L2447" s="13" t="s">
        <v>2265</v>
      </c>
      <c r="M2447" s="13" t="s">
        <v>2479</v>
      </c>
    </row>
    <row r="2448" customFormat="false" ht="15" hidden="false" customHeight="false" outlineLevel="0" collapsed="false">
      <c r="A2448" s="13" t="s">
        <v>628</v>
      </c>
      <c r="B2448" s="13" t="s">
        <v>627</v>
      </c>
      <c r="C2448" s="13" t="s">
        <v>2267</v>
      </c>
      <c r="D2448" s="13" t="s">
        <v>2270</v>
      </c>
      <c r="E2448" s="13" t="s">
        <v>2498</v>
      </c>
      <c r="F2448" s="13" t="s">
        <v>2501</v>
      </c>
      <c r="G2448" s="61" t="n">
        <v>0</v>
      </c>
      <c r="H2448" s="13" t="s">
        <v>2255</v>
      </c>
      <c r="I2448" s="13" t="s">
        <v>2477</v>
      </c>
      <c r="J2448" s="13" t="n">
        <v>53</v>
      </c>
      <c r="K2448" s="13" t="s">
        <v>2514</v>
      </c>
      <c r="L2448" s="13" t="s">
        <v>2265</v>
      </c>
      <c r="M2448" s="13" t="s">
        <v>2479</v>
      </c>
    </row>
    <row r="2449" customFormat="false" ht="15" hidden="false" customHeight="false" outlineLevel="0" collapsed="false">
      <c r="A2449" s="13" t="s">
        <v>628</v>
      </c>
      <c r="B2449" s="13" t="s">
        <v>627</v>
      </c>
      <c r="C2449" s="13" t="s">
        <v>2267</v>
      </c>
      <c r="D2449" s="13" t="s">
        <v>2270</v>
      </c>
      <c r="E2449" s="13" t="s">
        <v>2499</v>
      </c>
      <c r="F2449" s="13" t="s">
        <v>2501</v>
      </c>
      <c r="G2449" s="61" t="n">
        <v>95348139383</v>
      </c>
      <c r="H2449" s="13" t="s">
        <v>2255</v>
      </c>
      <c r="I2449" s="13" t="s">
        <v>2477</v>
      </c>
      <c r="J2449" s="13" t="n">
        <v>53</v>
      </c>
      <c r="K2449" s="13" t="s">
        <v>2514</v>
      </c>
      <c r="L2449" s="13" t="s">
        <v>2265</v>
      </c>
      <c r="M2449" s="13" t="s">
        <v>2479</v>
      </c>
    </row>
    <row r="2450" customFormat="false" ht="15" hidden="false" customHeight="false" outlineLevel="0" collapsed="false">
      <c r="A2450" s="13" t="s">
        <v>628</v>
      </c>
      <c r="B2450" s="13" t="s">
        <v>627</v>
      </c>
      <c r="C2450" s="13" t="s">
        <v>2267</v>
      </c>
      <c r="D2450" s="13" t="s">
        <v>2270</v>
      </c>
      <c r="E2450" s="13" t="s">
        <v>2493</v>
      </c>
      <c r="F2450" s="13" t="s">
        <v>2502</v>
      </c>
      <c r="G2450" s="61" t="n">
        <v>45140388155</v>
      </c>
      <c r="H2450" s="13" t="s">
        <v>2255</v>
      </c>
      <c r="I2450" s="13" t="s">
        <v>2477</v>
      </c>
      <c r="J2450" s="13" t="n">
        <v>53</v>
      </c>
      <c r="K2450" s="13" t="s">
        <v>2514</v>
      </c>
      <c r="L2450" s="13" t="s">
        <v>2265</v>
      </c>
      <c r="M2450" s="13" t="s">
        <v>2479</v>
      </c>
    </row>
    <row r="2451" customFormat="false" ht="15" hidden="false" customHeight="false" outlineLevel="0" collapsed="false">
      <c r="A2451" s="13" t="s">
        <v>628</v>
      </c>
      <c r="B2451" s="13" t="s">
        <v>627</v>
      </c>
      <c r="C2451" s="13" t="s">
        <v>2267</v>
      </c>
      <c r="D2451" s="13" t="s">
        <v>2270</v>
      </c>
      <c r="E2451" s="13" t="s">
        <v>2494</v>
      </c>
      <c r="F2451" s="13" t="s">
        <v>2502</v>
      </c>
      <c r="G2451" s="61" t="n">
        <v>4287012851</v>
      </c>
      <c r="H2451" s="13" t="s">
        <v>2255</v>
      </c>
      <c r="I2451" s="13" t="s">
        <v>2477</v>
      </c>
      <c r="J2451" s="13" t="n">
        <v>53</v>
      </c>
      <c r="K2451" s="13" t="s">
        <v>2514</v>
      </c>
      <c r="L2451" s="13" t="s">
        <v>2265</v>
      </c>
      <c r="M2451" s="13" t="s">
        <v>2479</v>
      </c>
    </row>
    <row r="2452" customFormat="false" ht="15" hidden="false" customHeight="false" outlineLevel="0" collapsed="false">
      <c r="A2452" s="13" t="s">
        <v>628</v>
      </c>
      <c r="B2452" s="13" t="s">
        <v>627</v>
      </c>
      <c r="C2452" s="13" t="s">
        <v>2267</v>
      </c>
      <c r="D2452" s="13" t="s">
        <v>2270</v>
      </c>
      <c r="E2452" s="13" t="s">
        <v>2495</v>
      </c>
      <c r="F2452" s="13" t="s">
        <v>2502</v>
      </c>
      <c r="G2452" s="61" t="n">
        <v>-4319340</v>
      </c>
      <c r="H2452" s="13" t="s">
        <v>2255</v>
      </c>
      <c r="I2452" s="13" t="s">
        <v>2477</v>
      </c>
      <c r="J2452" s="13" t="n">
        <v>53</v>
      </c>
      <c r="K2452" s="13" t="s">
        <v>2514</v>
      </c>
      <c r="L2452" s="13" t="s">
        <v>2265</v>
      </c>
      <c r="M2452" s="13" t="s">
        <v>2479</v>
      </c>
    </row>
    <row r="2453" customFormat="false" ht="15" hidden="false" customHeight="false" outlineLevel="0" collapsed="false">
      <c r="A2453" s="13" t="s">
        <v>628</v>
      </c>
      <c r="B2453" s="13" t="s">
        <v>627</v>
      </c>
      <c r="C2453" s="13" t="s">
        <v>2267</v>
      </c>
      <c r="D2453" s="13" t="s">
        <v>2270</v>
      </c>
      <c r="E2453" s="13" t="s">
        <v>2496</v>
      </c>
      <c r="F2453" s="13" t="s">
        <v>2502</v>
      </c>
      <c r="G2453" s="61" t="n">
        <v>0</v>
      </c>
      <c r="H2453" s="13" t="s">
        <v>2255</v>
      </c>
      <c r="I2453" s="13" t="s">
        <v>2477</v>
      </c>
      <c r="J2453" s="13" t="n">
        <v>53</v>
      </c>
      <c r="K2453" s="13" t="s">
        <v>2514</v>
      </c>
      <c r="L2453" s="13" t="s">
        <v>2265</v>
      </c>
      <c r="M2453" s="13" t="s">
        <v>2479</v>
      </c>
    </row>
    <row r="2454" customFormat="false" ht="15" hidden="false" customHeight="false" outlineLevel="0" collapsed="false">
      <c r="A2454" s="13" t="s">
        <v>628</v>
      </c>
      <c r="B2454" s="13" t="s">
        <v>627</v>
      </c>
      <c r="C2454" s="13" t="s">
        <v>2267</v>
      </c>
      <c r="D2454" s="13" t="s">
        <v>2270</v>
      </c>
      <c r="E2454" s="13" t="s">
        <v>2498</v>
      </c>
      <c r="F2454" s="13" t="s">
        <v>2502</v>
      </c>
      <c r="G2454" s="61" t="n">
        <v>0</v>
      </c>
      <c r="H2454" s="13" t="s">
        <v>2255</v>
      </c>
      <c r="I2454" s="13" t="s">
        <v>2477</v>
      </c>
      <c r="J2454" s="13" t="n">
        <v>53</v>
      </c>
      <c r="K2454" s="13" t="s">
        <v>2514</v>
      </c>
      <c r="L2454" s="13" t="s">
        <v>2265</v>
      </c>
      <c r="M2454" s="13" t="s">
        <v>2479</v>
      </c>
    </row>
    <row r="2455" customFormat="false" ht="15" hidden="false" customHeight="false" outlineLevel="0" collapsed="false">
      <c r="A2455" s="13" t="s">
        <v>628</v>
      </c>
      <c r="B2455" s="13" t="s">
        <v>627</v>
      </c>
      <c r="C2455" s="13" t="s">
        <v>2267</v>
      </c>
      <c r="D2455" s="13" t="s">
        <v>2270</v>
      </c>
      <c r="E2455" s="13" t="s">
        <v>2499</v>
      </c>
      <c r="F2455" s="13" t="s">
        <v>2502</v>
      </c>
      <c r="G2455" s="61" t="n">
        <v>49423081666</v>
      </c>
      <c r="H2455" s="13" t="s">
        <v>2255</v>
      </c>
      <c r="I2455" s="13" t="s">
        <v>2477</v>
      </c>
      <c r="J2455" s="13" t="n">
        <v>53</v>
      </c>
      <c r="K2455" s="13" t="s">
        <v>2514</v>
      </c>
      <c r="L2455" s="13" t="s">
        <v>2265</v>
      </c>
      <c r="M2455" s="13" t="s">
        <v>2479</v>
      </c>
    </row>
    <row r="2456" customFormat="false" ht="15" hidden="false" customHeight="false" outlineLevel="0" collapsed="false">
      <c r="A2456" s="13" t="s">
        <v>628</v>
      </c>
      <c r="B2456" s="13" t="s">
        <v>627</v>
      </c>
      <c r="C2456" s="13" t="s">
        <v>2267</v>
      </c>
      <c r="D2456" s="13" t="s">
        <v>2270</v>
      </c>
      <c r="E2456" s="13" t="s">
        <v>2493</v>
      </c>
      <c r="F2456" s="13" t="s">
        <v>2503</v>
      </c>
      <c r="G2456" s="61" t="n">
        <v>10551352700</v>
      </c>
      <c r="H2456" s="13" t="s">
        <v>2255</v>
      </c>
      <c r="I2456" s="13" t="s">
        <v>2477</v>
      </c>
      <c r="J2456" s="13" t="n">
        <v>53</v>
      </c>
      <c r="K2456" s="13" t="s">
        <v>2514</v>
      </c>
      <c r="L2456" s="13" t="s">
        <v>2265</v>
      </c>
      <c r="M2456" s="13" t="s">
        <v>2479</v>
      </c>
    </row>
    <row r="2457" customFormat="false" ht="15" hidden="false" customHeight="false" outlineLevel="0" collapsed="false">
      <c r="A2457" s="13" t="s">
        <v>628</v>
      </c>
      <c r="B2457" s="13" t="s">
        <v>627</v>
      </c>
      <c r="C2457" s="13" t="s">
        <v>2267</v>
      </c>
      <c r="D2457" s="13" t="s">
        <v>2270</v>
      </c>
      <c r="E2457" s="13" t="s">
        <v>2494</v>
      </c>
      <c r="F2457" s="13" t="s">
        <v>2503</v>
      </c>
      <c r="G2457" s="61" t="n">
        <v>2454487941</v>
      </c>
      <c r="H2457" s="13" t="s">
        <v>2255</v>
      </c>
      <c r="I2457" s="13" t="s">
        <v>2477</v>
      </c>
      <c r="J2457" s="13" t="n">
        <v>53</v>
      </c>
      <c r="K2457" s="13" t="s">
        <v>2514</v>
      </c>
      <c r="L2457" s="13" t="s">
        <v>2265</v>
      </c>
      <c r="M2457" s="13" t="s">
        <v>2479</v>
      </c>
    </row>
    <row r="2458" customFormat="false" ht="15" hidden="false" customHeight="false" outlineLevel="0" collapsed="false">
      <c r="A2458" s="13" t="s">
        <v>628</v>
      </c>
      <c r="B2458" s="13" t="s">
        <v>627</v>
      </c>
      <c r="C2458" s="13" t="s">
        <v>2267</v>
      </c>
      <c r="D2458" s="13" t="s">
        <v>2270</v>
      </c>
      <c r="E2458" s="13" t="s">
        <v>2495</v>
      </c>
      <c r="F2458" s="13" t="s">
        <v>2503</v>
      </c>
      <c r="G2458" s="61" t="n">
        <v>-1500000</v>
      </c>
      <c r="H2458" s="13" t="s">
        <v>2255</v>
      </c>
      <c r="I2458" s="13" t="s">
        <v>2477</v>
      </c>
      <c r="J2458" s="13" t="n">
        <v>53</v>
      </c>
      <c r="K2458" s="13" t="s">
        <v>2514</v>
      </c>
      <c r="L2458" s="13" t="s">
        <v>2265</v>
      </c>
      <c r="M2458" s="13" t="s">
        <v>2479</v>
      </c>
    </row>
    <row r="2459" customFormat="false" ht="15" hidden="false" customHeight="false" outlineLevel="0" collapsed="false">
      <c r="A2459" s="13" t="s">
        <v>628</v>
      </c>
      <c r="B2459" s="13" t="s">
        <v>627</v>
      </c>
      <c r="C2459" s="13" t="s">
        <v>2267</v>
      </c>
      <c r="D2459" s="13" t="s">
        <v>2270</v>
      </c>
      <c r="E2459" s="13" t="s">
        <v>2496</v>
      </c>
      <c r="F2459" s="13" t="s">
        <v>2503</v>
      </c>
      <c r="G2459" s="61" t="n">
        <v>0</v>
      </c>
      <c r="H2459" s="13" t="s">
        <v>2255</v>
      </c>
      <c r="I2459" s="13" t="s">
        <v>2477</v>
      </c>
      <c r="J2459" s="13" t="n">
        <v>53</v>
      </c>
      <c r="K2459" s="13" t="s">
        <v>2514</v>
      </c>
      <c r="L2459" s="13" t="s">
        <v>2265</v>
      </c>
      <c r="M2459" s="13" t="s">
        <v>2479</v>
      </c>
    </row>
    <row r="2460" customFormat="false" ht="15" hidden="false" customHeight="false" outlineLevel="0" collapsed="false">
      <c r="A2460" s="13" t="s">
        <v>628</v>
      </c>
      <c r="B2460" s="13" t="s">
        <v>627</v>
      </c>
      <c r="C2460" s="13" t="s">
        <v>2267</v>
      </c>
      <c r="D2460" s="13" t="s">
        <v>2270</v>
      </c>
      <c r="E2460" s="13" t="s">
        <v>2498</v>
      </c>
      <c r="F2460" s="13" t="s">
        <v>2503</v>
      </c>
      <c r="G2460" s="61" t="n">
        <v>0</v>
      </c>
      <c r="H2460" s="13" t="s">
        <v>2255</v>
      </c>
      <c r="I2460" s="13" t="s">
        <v>2477</v>
      </c>
      <c r="J2460" s="13" t="n">
        <v>53</v>
      </c>
      <c r="K2460" s="13" t="s">
        <v>2514</v>
      </c>
      <c r="L2460" s="13" t="s">
        <v>2265</v>
      </c>
      <c r="M2460" s="13" t="s">
        <v>2479</v>
      </c>
    </row>
    <row r="2461" customFormat="false" ht="15" hidden="false" customHeight="false" outlineLevel="0" collapsed="false">
      <c r="A2461" s="13" t="s">
        <v>628</v>
      </c>
      <c r="B2461" s="13" t="s">
        <v>627</v>
      </c>
      <c r="C2461" s="13" t="s">
        <v>2267</v>
      </c>
      <c r="D2461" s="13" t="s">
        <v>2270</v>
      </c>
      <c r="E2461" s="13" t="s">
        <v>2499</v>
      </c>
      <c r="F2461" s="13" t="s">
        <v>2503</v>
      </c>
      <c r="G2461" s="61" t="n">
        <v>13004340641</v>
      </c>
      <c r="H2461" s="13" t="s">
        <v>2255</v>
      </c>
      <c r="I2461" s="13" t="s">
        <v>2477</v>
      </c>
      <c r="J2461" s="13" t="n">
        <v>53</v>
      </c>
      <c r="K2461" s="13" t="s">
        <v>2514</v>
      </c>
      <c r="L2461" s="13" t="s">
        <v>2265</v>
      </c>
      <c r="M2461" s="13" t="s">
        <v>2479</v>
      </c>
    </row>
    <row r="2462" customFormat="false" ht="15" hidden="false" customHeight="false" outlineLevel="0" collapsed="false">
      <c r="A2462" s="13" t="s">
        <v>628</v>
      </c>
      <c r="B2462" s="13" t="s">
        <v>627</v>
      </c>
      <c r="C2462" s="13" t="s">
        <v>2267</v>
      </c>
      <c r="D2462" s="13" t="s">
        <v>2270</v>
      </c>
      <c r="E2462" s="13" t="s">
        <v>2493</v>
      </c>
      <c r="F2462" s="13" t="s">
        <v>2504</v>
      </c>
      <c r="G2462" s="61" t="n">
        <v>17316064226</v>
      </c>
      <c r="H2462" s="13" t="s">
        <v>2255</v>
      </c>
      <c r="I2462" s="13" t="s">
        <v>2477</v>
      </c>
      <c r="J2462" s="13" t="n">
        <v>53</v>
      </c>
      <c r="K2462" s="13" t="s">
        <v>2514</v>
      </c>
      <c r="L2462" s="13" t="s">
        <v>2265</v>
      </c>
      <c r="M2462" s="13" t="s">
        <v>2479</v>
      </c>
    </row>
    <row r="2463" customFormat="false" ht="15" hidden="false" customHeight="false" outlineLevel="0" collapsed="false">
      <c r="A2463" s="13" t="s">
        <v>628</v>
      </c>
      <c r="B2463" s="13" t="s">
        <v>627</v>
      </c>
      <c r="C2463" s="13" t="s">
        <v>2267</v>
      </c>
      <c r="D2463" s="13" t="s">
        <v>2270</v>
      </c>
      <c r="E2463" s="13" t="s">
        <v>2494</v>
      </c>
      <c r="F2463" s="13" t="s">
        <v>2504</v>
      </c>
      <c r="G2463" s="61" t="n">
        <v>1380197013</v>
      </c>
      <c r="H2463" s="13" t="s">
        <v>2255</v>
      </c>
      <c r="I2463" s="13" t="s">
        <v>2477</v>
      </c>
      <c r="J2463" s="13" t="n">
        <v>53</v>
      </c>
      <c r="K2463" s="13" t="s">
        <v>2514</v>
      </c>
      <c r="L2463" s="13" t="s">
        <v>2265</v>
      </c>
      <c r="M2463" s="13" t="s">
        <v>2479</v>
      </c>
    </row>
    <row r="2464" customFormat="false" ht="15" hidden="false" customHeight="false" outlineLevel="0" collapsed="false">
      <c r="A2464" s="13" t="s">
        <v>628</v>
      </c>
      <c r="B2464" s="13" t="s">
        <v>627</v>
      </c>
      <c r="C2464" s="13" t="s">
        <v>2267</v>
      </c>
      <c r="D2464" s="13" t="s">
        <v>2270</v>
      </c>
      <c r="E2464" s="13" t="s">
        <v>2495</v>
      </c>
      <c r="F2464" s="13" t="s">
        <v>2504</v>
      </c>
      <c r="G2464" s="61" t="n">
        <v>-1084043378</v>
      </c>
      <c r="H2464" s="13" t="s">
        <v>2255</v>
      </c>
      <c r="I2464" s="13" t="s">
        <v>2477</v>
      </c>
      <c r="J2464" s="13" t="n">
        <v>53</v>
      </c>
      <c r="K2464" s="13" t="s">
        <v>2514</v>
      </c>
      <c r="L2464" s="13" t="s">
        <v>2265</v>
      </c>
      <c r="M2464" s="13" t="s">
        <v>2479</v>
      </c>
    </row>
    <row r="2465" customFormat="false" ht="15" hidden="false" customHeight="false" outlineLevel="0" collapsed="false">
      <c r="A2465" s="13" t="s">
        <v>628</v>
      </c>
      <c r="B2465" s="13" t="s">
        <v>627</v>
      </c>
      <c r="C2465" s="13" t="s">
        <v>2267</v>
      </c>
      <c r="D2465" s="13" t="s">
        <v>2270</v>
      </c>
      <c r="E2465" s="13" t="s">
        <v>2496</v>
      </c>
      <c r="F2465" s="13" t="s">
        <v>2504</v>
      </c>
      <c r="G2465" s="61" t="n">
        <v>0</v>
      </c>
      <c r="H2465" s="13" t="s">
        <v>2255</v>
      </c>
      <c r="I2465" s="13" t="s">
        <v>2477</v>
      </c>
      <c r="J2465" s="13" t="n">
        <v>53</v>
      </c>
      <c r="K2465" s="13" t="s">
        <v>2514</v>
      </c>
      <c r="L2465" s="13" t="s">
        <v>2265</v>
      </c>
      <c r="M2465" s="13" t="s">
        <v>2479</v>
      </c>
    </row>
    <row r="2466" customFormat="false" ht="15" hidden="false" customHeight="false" outlineLevel="0" collapsed="false">
      <c r="A2466" s="13" t="s">
        <v>628</v>
      </c>
      <c r="B2466" s="13" t="s">
        <v>627</v>
      </c>
      <c r="C2466" s="13" t="s">
        <v>2267</v>
      </c>
      <c r="D2466" s="13" t="s">
        <v>2270</v>
      </c>
      <c r="E2466" s="13" t="s">
        <v>2498</v>
      </c>
      <c r="F2466" s="13" t="s">
        <v>2504</v>
      </c>
      <c r="G2466" s="61" t="n">
        <v>0</v>
      </c>
      <c r="H2466" s="13" t="s">
        <v>2255</v>
      </c>
      <c r="I2466" s="13" t="s">
        <v>2477</v>
      </c>
      <c r="J2466" s="13" t="n">
        <v>53</v>
      </c>
      <c r="K2466" s="13" t="s">
        <v>2514</v>
      </c>
      <c r="L2466" s="13" t="s">
        <v>2265</v>
      </c>
      <c r="M2466" s="13" t="s">
        <v>2479</v>
      </c>
    </row>
    <row r="2467" customFormat="false" ht="15" hidden="false" customHeight="false" outlineLevel="0" collapsed="false">
      <c r="A2467" s="13" t="s">
        <v>628</v>
      </c>
      <c r="B2467" s="13" t="s">
        <v>627</v>
      </c>
      <c r="C2467" s="13" t="s">
        <v>2267</v>
      </c>
      <c r="D2467" s="13" t="s">
        <v>2270</v>
      </c>
      <c r="E2467" s="13" t="s">
        <v>2499</v>
      </c>
      <c r="F2467" s="13" t="s">
        <v>2504</v>
      </c>
      <c r="G2467" s="61" t="n">
        <v>17612217861</v>
      </c>
      <c r="H2467" s="13" t="s">
        <v>2255</v>
      </c>
      <c r="I2467" s="13" t="s">
        <v>2477</v>
      </c>
      <c r="J2467" s="13" t="n">
        <v>53</v>
      </c>
      <c r="K2467" s="13" t="s">
        <v>2514</v>
      </c>
      <c r="L2467" s="13" t="s">
        <v>2265</v>
      </c>
      <c r="M2467" s="13" t="s">
        <v>2479</v>
      </c>
    </row>
    <row r="2468" customFormat="false" ht="15" hidden="false" customHeight="false" outlineLevel="0" collapsed="false">
      <c r="A2468" s="13" t="s">
        <v>628</v>
      </c>
      <c r="B2468" s="13" t="s">
        <v>627</v>
      </c>
      <c r="C2468" s="13" t="s">
        <v>2267</v>
      </c>
      <c r="D2468" s="13" t="s">
        <v>2270</v>
      </c>
      <c r="E2468" s="13" t="s">
        <v>2493</v>
      </c>
      <c r="F2468" s="13" t="s">
        <v>2290</v>
      </c>
      <c r="G2468" s="61" t="n">
        <v>623579878992</v>
      </c>
      <c r="H2468" s="13" t="s">
        <v>2255</v>
      </c>
      <c r="I2468" s="13" t="s">
        <v>2477</v>
      </c>
      <c r="J2468" s="13" t="n">
        <v>53</v>
      </c>
      <c r="K2468" s="13" t="s">
        <v>2514</v>
      </c>
      <c r="L2468" s="13" t="s">
        <v>2265</v>
      </c>
      <c r="M2468" s="13" t="s">
        <v>2479</v>
      </c>
    </row>
    <row r="2469" customFormat="false" ht="15" hidden="false" customHeight="false" outlineLevel="0" collapsed="false">
      <c r="A2469" s="13" t="s">
        <v>628</v>
      </c>
      <c r="B2469" s="13" t="s">
        <v>627</v>
      </c>
      <c r="C2469" s="13" t="s">
        <v>2267</v>
      </c>
      <c r="D2469" s="13" t="s">
        <v>2270</v>
      </c>
      <c r="E2469" s="13" t="s">
        <v>2494</v>
      </c>
      <c r="F2469" s="13" t="s">
        <v>2290</v>
      </c>
      <c r="G2469" s="61" t="n">
        <v>81224259340</v>
      </c>
      <c r="H2469" s="13" t="s">
        <v>2255</v>
      </c>
      <c r="I2469" s="13" t="s">
        <v>2477</v>
      </c>
      <c r="J2469" s="13" t="n">
        <v>53</v>
      </c>
      <c r="K2469" s="13" t="s">
        <v>2514</v>
      </c>
      <c r="L2469" s="13" t="s">
        <v>2265</v>
      </c>
      <c r="M2469" s="13" t="s">
        <v>2479</v>
      </c>
    </row>
    <row r="2470" customFormat="false" ht="15" hidden="false" customHeight="false" outlineLevel="0" collapsed="false">
      <c r="A2470" s="13" t="s">
        <v>628</v>
      </c>
      <c r="B2470" s="13" t="s">
        <v>627</v>
      </c>
      <c r="C2470" s="13" t="s">
        <v>2267</v>
      </c>
      <c r="D2470" s="13" t="s">
        <v>2270</v>
      </c>
      <c r="E2470" s="13" t="s">
        <v>2495</v>
      </c>
      <c r="F2470" s="13" t="s">
        <v>2290</v>
      </c>
      <c r="G2470" s="61" t="n">
        <v>-19961104495</v>
      </c>
      <c r="H2470" s="13" t="s">
        <v>2255</v>
      </c>
      <c r="I2470" s="13" t="s">
        <v>2477</v>
      </c>
      <c r="J2470" s="13" t="n">
        <v>53</v>
      </c>
      <c r="K2470" s="13" t="s">
        <v>2514</v>
      </c>
      <c r="L2470" s="13" t="s">
        <v>2265</v>
      </c>
      <c r="M2470" s="13" t="s">
        <v>2479</v>
      </c>
    </row>
    <row r="2471" customFormat="false" ht="15" hidden="false" customHeight="false" outlineLevel="0" collapsed="false">
      <c r="A2471" s="13" t="s">
        <v>628</v>
      </c>
      <c r="B2471" s="13" t="s">
        <v>627</v>
      </c>
      <c r="C2471" s="13" t="s">
        <v>2267</v>
      </c>
      <c r="D2471" s="13" t="s">
        <v>2270</v>
      </c>
      <c r="E2471" s="13" t="s">
        <v>2496</v>
      </c>
      <c r="F2471" s="13" t="s">
        <v>2290</v>
      </c>
      <c r="G2471" s="61" t="n">
        <v>0</v>
      </c>
      <c r="H2471" s="13" t="s">
        <v>2255</v>
      </c>
      <c r="I2471" s="13" t="s">
        <v>2477</v>
      </c>
      <c r="J2471" s="13" t="n">
        <v>53</v>
      </c>
      <c r="K2471" s="13" t="s">
        <v>2514</v>
      </c>
      <c r="L2471" s="13" t="s">
        <v>2265</v>
      </c>
      <c r="M2471" s="13" t="s">
        <v>2479</v>
      </c>
    </row>
    <row r="2472" customFormat="false" ht="15" hidden="false" customHeight="false" outlineLevel="0" collapsed="false">
      <c r="A2472" s="13" t="s">
        <v>628</v>
      </c>
      <c r="B2472" s="13" t="s">
        <v>627</v>
      </c>
      <c r="C2472" s="13" t="s">
        <v>2267</v>
      </c>
      <c r="D2472" s="13" t="s">
        <v>2270</v>
      </c>
      <c r="E2472" s="13" t="s">
        <v>2498</v>
      </c>
      <c r="F2472" s="13" t="s">
        <v>2290</v>
      </c>
      <c r="G2472" s="61" t="n">
        <v>0</v>
      </c>
      <c r="H2472" s="13" t="s">
        <v>2255</v>
      </c>
      <c r="I2472" s="13" t="s">
        <v>2477</v>
      </c>
      <c r="J2472" s="13" t="n">
        <v>53</v>
      </c>
      <c r="K2472" s="13" t="s">
        <v>2514</v>
      </c>
      <c r="L2472" s="13" t="s">
        <v>2265</v>
      </c>
      <c r="M2472" s="13" t="s">
        <v>2479</v>
      </c>
    </row>
    <row r="2473" customFormat="false" ht="15" hidden="false" customHeight="false" outlineLevel="0" collapsed="false">
      <c r="A2473" s="13" t="s">
        <v>628</v>
      </c>
      <c r="B2473" s="13" t="s">
        <v>627</v>
      </c>
      <c r="C2473" s="13" t="s">
        <v>2267</v>
      </c>
      <c r="D2473" s="13" t="s">
        <v>2270</v>
      </c>
      <c r="E2473" s="13" t="s">
        <v>2499</v>
      </c>
      <c r="F2473" s="13" t="s">
        <v>2290</v>
      </c>
      <c r="G2473" s="61" t="n">
        <v>684843033837</v>
      </c>
      <c r="H2473" s="13" t="s">
        <v>2255</v>
      </c>
      <c r="I2473" s="13" t="s">
        <v>2477</v>
      </c>
      <c r="J2473" s="13" t="n">
        <v>53</v>
      </c>
      <c r="K2473" s="13" t="s">
        <v>2514</v>
      </c>
      <c r="L2473" s="13" t="s">
        <v>2265</v>
      </c>
      <c r="M2473" s="13" t="s">
        <v>2479</v>
      </c>
    </row>
    <row r="2474" customFormat="false" ht="15" hidden="false" customHeight="false" outlineLevel="0" collapsed="false">
      <c r="A2474" s="13" t="s">
        <v>628</v>
      </c>
      <c r="B2474" s="13" t="s">
        <v>627</v>
      </c>
      <c r="C2474" s="13" t="s">
        <v>2267</v>
      </c>
      <c r="D2474" s="13" t="s">
        <v>2270</v>
      </c>
      <c r="E2474" s="13" t="s">
        <v>2505</v>
      </c>
      <c r="F2474" s="13" t="s">
        <v>2447</v>
      </c>
      <c r="G2474" s="61" t="n">
        <v>1083984425539</v>
      </c>
      <c r="H2474" s="13" t="s">
        <v>2255</v>
      </c>
      <c r="I2474" s="13" t="s">
        <v>2477</v>
      </c>
      <c r="J2474" s="13" t="n">
        <v>53</v>
      </c>
      <c r="K2474" s="13" t="s">
        <v>2514</v>
      </c>
      <c r="L2474" s="13" t="s">
        <v>2265</v>
      </c>
      <c r="M2474" s="13" t="s">
        <v>2479</v>
      </c>
    </row>
    <row r="2475" customFormat="false" ht="15" hidden="false" customHeight="false" outlineLevel="0" collapsed="false">
      <c r="A2475" s="13" t="s">
        <v>628</v>
      </c>
      <c r="B2475" s="13" t="s">
        <v>627</v>
      </c>
      <c r="C2475" s="13" t="s">
        <v>2267</v>
      </c>
      <c r="D2475" s="13" t="s">
        <v>2270</v>
      </c>
      <c r="E2475" s="13" t="s">
        <v>2506</v>
      </c>
      <c r="F2475" s="13" t="s">
        <v>2447</v>
      </c>
      <c r="G2475" s="61" t="n">
        <v>141634160706</v>
      </c>
      <c r="H2475" s="13" t="s">
        <v>2255</v>
      </c>
      <c r="I2475" s="13" t="s">
        <v>2477</v>
      </c>
      <c r="J2475" s="13" t="n">
        <v>53</v>
      </c>
      <c r="K2475" s="13" t="s">
        <v>2514</v>
      </c>
      <c r="L2475" s="13" t="s">
        <v>2265</v>
      </c>
      <c r="M2475" s="13" t="s">
        <v>2479</v>
      </c>
    </row>
    <row r="2476" customFormat="false" ht="15" hidden="false" customHeight="false" outlineLevel="0" collapsed="false">
      <c r="A2476" s="13" t="s">
        <v>628</v>
      </c>
      <c r="B2476" s="13" t="s">
        <v>627</v>
      </c>
      <c r="C2476" s="13" t="s">
        <v>2267</v>
      </c>
      <c r="D2476" s="13" t="s">
        <v>2270</v>
      </c>
      <c r="E2476" s="13" t="s">
        <v>2507</v>
      </c>
      <c r="F2476" s="13" t="s">
        <v>2447</v>
      </c>
      <c r="G2476" s="61" t="n">
        <v>0</v>
      </c>
      <c r="H2476" s="13" t="s">
        <v>2255</v>
      </c>
      <c r="I2476" s="13" t="s">
        <v>2477</v>
      </c>
      <c r="J2476" s="13" t="n">
        <v>53</v>
      </c>
      <c r="K2476" s="13" t="s">
        <v>2514</v>
      </c>
      <c r="L2476" s="13" t="s">
        <v>2265</v>
      </c>
      <c r="M2476" s="13" t="s">
        <v>2479</v>
      </c>
    </row>
    <row r="2477" customFormat="false" ht="15" hidden="false" customHeight="false" outlineLevel="0" collapsed="false">
      <c r="A2477" s="13" t="s">
        <v>628</v>
      </c>
      <c r="B2477" s="13" t="s">
        <v>627</v>
      </c>
      <c r="C2477" s="13" t="s">
        <v>2267</v>
      </c>
      <c r="D2477" s="13" t="s">
        <v>2270</v>
      </c>
      <c r="E2477" s="13" t="s">
        <v>2508</v>
      </c>
      <c r="F2477" s="13" t="s">
        <v>2447</v>
      </c>
      <c r="G2477" s="61" t="n">
        <v>0</v>
      </c>
      <c r="H2477" s="13" t="s">
        <v>2255</v>
      </c>
      <c r="I2477" s="13" t="s">
        <v>2477</v>
      </c>
      <c r="J2477" s="13" t="n">
        <v>53</v>
      </c>
      <c r="K2477" s="13" t="s">
        <v>2514</v>
      </c>
      <c r="L2477" s="13" t="s">
        <v>2265</v>
      </c>
      <c r="M2477" s="13" t="s">
        <v>2479</v>
      </c>
    </row>
    <row r="2478" customFormat="false" ht="15" hidden="false" customHeight="false" outlineLevel="0" collapsed="false">
      <c r="A2478" s="13" t="s">
        <v>628</v>
      </c>
      <c r="B2478" s="13" t="s">
        <v>627</v>
      </c>
      <c r="C2478" s="13" t="s">
        <v>2267</v>
      </c>
      <c r="D2478" s="13" t="s">
        <v>2270</v>
      </c>
      <c r="E2478" s="13" t="s">
        <v>2510</v>
      </c>
      <c r="F2478" s="13" t="s">
        <v>2447</v>
      </c>
      <c r="G2478" s="61" t="n">
        <v>229391032360</v>
      </c>
      <c r="H2478" s="13" t="s">
        <v>2255</v>
      </c>
      <c r="I2478" s="13" t="s">
        <v>2477</v>
      </c>
      <c r="J2478" s="13" t="n">
        <v>53</v>
      </c>
      <c r="K2478" s="13" t="s">
        <v>2514</v>
      </c>
      <c r="L2478" s="13" t="s">
        <v>2265</v>
      </c>
      <c r="M2478" s="13" t="s">
        <v>2479</v>
      </c>
    </row>
    <row r="2479" customFormat="false" ht="15" hidden="false" customHeight="false" outlineLevel="0" collapsed="false">
      <c r="A2479" s="13" t="s">
        <v>628</v>
      </c>
      <c r="B2479" s="13" t="s">
        <v>627</v>
      </c>
      <c r="C2479" s="13" t="s">
        <v>2267</v>
      </c>
      <c r="D2479" s="13" t="s">
        <v>2270</v>
      </c>
      <c r="E2479" s="13" t="s">
        <v>2511</v>
      </c>
      <c r="F2479" s="13" t="s">
        <v>2447</v>
      </c>
      <c r="G2479" s="61" t="n">
        <v>1455009618605</v>
      </c>
      <c r="H2479" s="13" t="s">
        <v>2255</v>
      </c>
      <c r="I2479" s="13" t="s">
        <v>2477</v>
      </c>
      <c r="J2479" s="13" t="n">
        <v>53</v>
      </c>
      <c r="K2479" s="13" t="s">
        <v>2514</v>
      </c>
      <c r="L2479" s="13" t="s">
        <v>2265</v>
      </c>
      <c r="M2479" s="13" t="s">
        <v>2479</v>
      </c>
    </row>
    <row r="2480" customFormat="false" ht="15" hidden="false" customHeight="false" outlineLevel="0" collapsed="false">
      <c r="A2480" s="13" t="s">
        <v>628</v>
      </c>
      <c r="B2480" s="13" t="s">
        <v>627</v>
      </c>
      <c r="C2480" s="13" t="s">
        <v>2267</v>
      </c>
      <c r="D2480" s="13" t="s">
        <v>2270</v>
      </c>
      <c r="E2480" s="13" t="s">
        <v>2505</v>
      </c>
      <c r="F2480" s="13" t="s">
        <v>2448</v>
      </c>
      <c r="G2480" s="61" t="n">
        <v>565851255032</v>
      </c>
      <c r="H2480" s="13" t="s">
        <v>2255</v>
      </c>
      <c r="I2480" s="13" t="s">
        <v>2477</v>
      </c>
      <c r="J2480" s="13" t="n">
        <v>53</v>
      </c>
      <c r="K2480" s="13" t="s">
        <v>2514</v>
      </c>
      <c r="L2480" s="13" t="s">
        <v>2265</v>
      </c>
      <c r="M2480" s="13" t="s">
        <v>2479</v>
      </c>
    </row>
    <row r="2481" customFormat="false" ht="15" hidden="false" customHeight="false" outlineLevel="0" collapsed="false">
      <c r="A2481" s="13" t="s">
        <v>628</v>
      </c>
      <c r="B2481" s="13" t="s">
        <v>627</v>
      </c>
      <c r="C2481" s="13" t="s">
        <v>2267</v>
      </c>
      <c r="D2481" s="13" t="s">
        <v>2270</v>
      </c>
      <c r="E2481" s="13" t="s">
        <v>2506</v>
      </c>
      <c r="F2481" s="13" t="s">
        <v>2448</v>
      </c>
      <c r="G2481" s="61" t="n">
        <v>22587812532</v>
      </c>
      <c r="H2481" s="13" t="s">
        <v>2255</v>
      </c>
      <c r="I2481" s="13" t="s">
        <v>2477</v>
      </c>
      <c r="J2481" s="13" t="n">
        <v>53</v>
      </c>
      <c r="K2481" s="13" t="s">
        <v>2514</v>
      </c>
      <c r="L2481" s="13" t="s">
        <v>2265</v>
      </c>
      <c r="M2481" s="13" t="s">
        <v>2479</v>
      </c>
    </row>
    <row r="2482" customFormat="false" ht="15" hidden="false" customHeight="false" outlineLevel="0" collapsed="false">
      <c r="A2482" s="13" t="s">
        <v>628</v>
      </c>
      <c r="B2482" s="13" t="s">
        <v>627</v>
      </c>
      <c r="C2482" s="13" t="s">
        <v>2267</v>
      </c>
      <c r="D2482" s="13" t="s">
        <v>2270</v>
      </c>
      <c r="E2482" s="13" t="s">
        <v>2507</v>
      </c>
      <c r="F2482" s="13" t="s">
        <v>2448</v>
      </c>
      <c r="G2482" s="61" t="n">
        <v>-35398873873</v>
      </c>
      <c r="H2482" s="13" t="s">
        <v>2255</v>
      </c>
      <c r="I2482" s="13" t="s">
        <v>2477</v>
      </c>
      <c r="J2482" s="13" t="n">
        <v>53</v>
      </c>
      <c r="K2482" s="13" t="s">
        <v>2514</v>
      </c>
      <c r="L2482" s="13" t="s">
        <v>2265</v>
      </c>
      <c r="M2482" s="13" t="s">
        <v>2479</v>
      </c>
    </row>
    <row r="2483" customFormat="false" ht="15" hidden="false" customHeight="false" outlineLevel="0" collapsed="false">
      <c r="A2483" s="13" t="s">
        <v>628</v>
      </c>
      <c r="B2483" s="13" t="s">
        <v>627</v>
      </c>
      <c r="C2483" s="13" t="s">
        <v>2267</v>
      </c>
      <c r="D2483" s="13" t="s">
        <v>2270</v>
      </c>
      <c r="E2483" s="13" t="s">
        <v>2508</v>
      </c>
      <c r="F2483" s="13" t="s">
        <v>2448</v>
      </c>
      <c r="G2483" s="61" t="n">
        <v>116131557960</v>
      </c>
      <c r="H2483" s="13" t="s">
        <v>2255</v>
      </c>
      <c r="I2483" s="13" t="s">
        <v>2477</v>
      </c>
      <c r="J2483" s="13" t="n">
        <v>53</v>
      </c>
      <c r="K2483" s="13" t="s">
        <v>2514</v>
      </c>
      <c r="L2483" s="13" t="s">
        <v>2265</v>
      </c>
      <c r="M2483" s="13" t="s">
        <v>2479</v>
      </c>
    </row>
    <row r="2484" customFormat="false" ht="15" hidden="false" customHeight="false" outlineLevel="0" collapsed="false">
      <c r="A2484" s="13" t="s">
        <v>628</v>
      </c>
      <c r="B2484" s="13" t="s">
        <v>627</v>
      </c>
      <c r="C2484" s="13" t="s">
        <v>2267</v>
      </c>
      <c r="D2484" s="13" t="s">
        <v>2270</v>
      </c>
      <c r="E2484" s="13" t="s">
        <v>2510</v>
      </c>
      <c r="F2484" s="13" t="s">
        <v>2448</v>
      </c>
      <c r="G2484" s="61" t="n">
        <v>4713190362</v>
      </c>
      <c r="H2484" s="13" t="s">
        <v>2255</v>
      </c>
      <c r="I2484" s="13" t="s">
        <v>2477</v>
      </c>
      <c r="J2484" s="13" t="n">
        <v>53</v>
      </c>
      <c r="K2484" s="13" t="s">
        <v>2514</v>
      </c>
      <c r="L2484" s="13" t="s">
        <v>2265</v>
      </c>
      <c r="M2484" s="13" t="s">
        <v>2479</v>
      </c>
    </row>
    <row r="2485" customFormat="false" ht="15" hidden="false" customHeight="false" outlineLevel="0" collapsed="false">
      <c r="A2485" s="13" t="s">
        <v>628</v>
      </c>
      <c r="B2485" s="13" t="s">
        <v>627</v>
      </c>
      <c r="C2485" s="13" t="s">
        <v>2267</v>
      </c>
      <c r="D2485" s="13" t="s">
        <v>2270</v>
      </c>
      <c r="E2485" s="13" t="s">
        <v>2511</v>
      </c>
      <c r="F2485" s="13" t="s">
        <v>2448</v>
      </c>
      <c r="G2485" s="61" t="n">
        <v>673884942013</v>
      </c>
      <c r="H2485" s="13" t="s">
        <v>2255</v>
      </c>
      <c r="I2485" s="13" t="s">
        <v>2477</v>
      </c>
      <c r="J2485" s="13" t="n">
        <v>53</v>
      </c>
      <c r="K2485" s="13" t="s">
        <v>2514</v>
      </c>
      <c r="L2485" s="13" t="s">
        <v>2265</v>
      </c>
      <c r="M2485" s="13" t="s">
        <v>2479</v>
      </c>
    </row>
    <row r="2486" customFormat="false" ht="15" hidden="false" customHeight="false" outlineLevel="0" collapsed="false">
      <c r="A2486" s="13" t="s">
        <v>628</v>
      </c>
      <c r="B2486" s="13" t="s">
        <v>627</v>
      </c>
      <c r="C2486" s="13" t="s">
        <v>2267</v>
      </c>
      <c r="D2486" s="13" t="s">
        <v>2270</v>
      </c>
      <c r="E2486" s="13" t="s">
        <v>2505</v>
      </c>
      <c r="F2486" s="13" t="s">
        <v>2500</v>
      </c>
      <c r="G2486" s="61" t="n">
        <v>490158807700</v>
      </c>
      <c r="H2486" s="13" t="s">
        <v>2255</v>
      </c>
      <c r="I2486" s="13" t="s">
        <v>2477</v>
      </c>
      <c r="J2486" s="13" t="n">
        <v>53</v>
      </c>
      <c r="K2486" s="13" t="s">
        <v>2514</v>
      </c>
      <c r="L2486" s="13" t="s">
        <v>2265</v>
      </c>
      <c r="M2486" s="13" t="s">
        <v>2479</v>
      </c>
    </row>
    <row r="2487" customFormat="false" ht="15" hidden="false" customHeight="false" outlineLevel="0" collapsed="false">
      <c r="A2487" s="13" t="s">
        <v>628</v>
      </c>
      <c r="B2487" s="13" t="s">
        <v>627</v>
      </c>
      <c r="C2487" s="13" t="s">
        <v>2267</v>
      </c>
      <c r="D2487" s="13" t="s">
        <v>2270</v>
      </c>
      <c r="E2487" s="13" t="s">
        <v>2506</v>
      </c>
      <c r="F2487" s="13" t="s">
        <v>2500</v>
      </c>
      <c r="G2487" s="61" t="n">
        <v>25825051180</v>
      </c>
      <c r="H2487" s="13" t="s">
        <v>2255</v>
      </c>
      <c r="I2487" s="13" t="s">
        <v>2477</v>
      </c>
      <c r="J2487" s="13" t="n">
        <v>53</v>
      </c>
      <c r="K2487" s="13" t="s">
        <v>2514</v>
      </c>
      <c r="L2487" s="13" t="s">
        <v>2265</v>
      </c>
      <c r="M2487" s="13" t="s">
        <v>2479</v>
      </c>
    </row>
    <row r="2488" customFormat="false" ht="15" hidden="false" customHeight="false" outlineLevel="0" collapsed="false">
      <c r="A2488" s="13" t="s">
        <v>628</v>
      </c>
      <c r="B2488" s="13" t="s">
        <v>627</v>
      </c>
      <c r="C2488" s="13" t="s">
        <v>2267</v>
      </c>
      <c r="D2488" s="13" t="s">
        <v>2270</v>
      </c>
      <c r="E2488" s="13" t="s">
        <v>2507</v>
      </c>
      <c r="F2488" s="13" t="s">
        <v>2500</v>
      </c>
      <c r="G2488" s="61" t="n">
        <v>-278467248</v>
      </c>
      <c r="H2488" s="13" t="s">
        <v>2255</v>
      </c>
      <c r="I2488" s="13" t="s">
        <v>2477</v>
      </c>
      <c r="J2488" s="13" t="n">
        <v>53</v>
      </c>
      <c r="K2488" s="13" t="s">
        <v>2514</v>
      </c>
      <c r="L2488" s="13" t="s">
        <v>2265</v>
      </c>
      <c r="M2488" s="13" t="s">
        <v>2479</v>
      </c>
    </row>
    <row r="2489" customFormat="false" ht="15" hidden="false" customHeight="false" outlineLevel="0" collapsed="false">
      <c r="A2489" s="13" t="s">
        <v>628</v>
      </c>
      <c r="B2489" s="13" t="s">
        <v>627</v>
      </c>
      <c r="C2489" s="13" t="s">
        <v>2267</v>
      </c>
      <c r="D2489" s="13" t="s">
        <v>2270</v>
      </c>
      <c r="E2489" s="13" t="s">
        <v>2508</v>
      </c>
      <c r="F2489" s="13" t="s">
        <v>2500</v>
      </c>
      <c r="G2489" s="61" t="n">
        <v>0</v>
      </c>
      <c r="H2489" s="13" t="s">
        <v>2255</v>
      </c>
      <c r="I2489" s="13" t="s">
        <v>2477</v>
      </c>
      <c r="J2489" s="13" t="n">
        <v>53</v>
      </c>
      <c r="K2489" s="13" t="s">
        <v>2514</v>
      </c>
      <c r="L2489" s="13" t="s">
        <v>2265</v>
      </c>
      <c r="M2489" s="13" t="s">
        <v>2479</v>
      </c>
    </row>
    <row r="2490" customFormat="false" ht="15" hidden="false" customHeight="false" outlineLevel="0" collapsed="false">
      <c r="A2490" s="13" t="s">
        <v>628</v>
      </c>
      <c r="B2490" s="13" t="s">
        <v>627</v>
      </c>
      <c r="C2490" s="13" t="s">
        <v>2267</v>
      </c>
      <c r="D2490" s="13" t="s">
        <v>2270</v>
      </c>
      <c r="E2490" s="13" t="s">
        <v>2510</v>
      </c>
      <c r="F2490" s="13" t="s">
        <v>2500</v>
      </c>
      <c r="G2490" s="61" t="n">
        <v>0</v>
      </c>
      <c r="H2490" s="13" t="s">
        <v>2255</v>
      </c>
      <c r="I2490" s="13" t="s">
        <v>2477</v>
      </c>
      <c r="J2490" s="13" t="n">
        <v>53</v>
      </c>
      <c r="K2490" s="13" t="s">
        <v>2514</v>
      </c>
      <c r="L2490" s="13" t="s">
        <v>2265</v>
      </c>
      <c r="M2490" s="13" t="s">
        <v>2479</v>
      </c>
    </row>
    <row r="2491" customFormat="false" ht="15" hidden="false" customHeight="false" outlineLevel="0" collapsed="false">
      <c r="A2491" s="13" t="s">
        <v>628</v>
      </c>
      <c r="B2491" s="13" t="s">
        <v>627</v>
      </c>
      <c r="C2491" s="13" t="s">
        <v>2267</v>
      </c>
      <c r="D2491" s="13" t="s">
        <v>2270</v>
      </c>
      <c r="E2491" s="13" t="s">
        <v>2511</v>
      </c>
      <c r="F2491" s="13" t="s">
        <v>2500</v>
      </c>
      <c r="G2491" s="61" t="n">
        <v>515705391632</v>
      </c>
      <c r="H2491" s="13" t="s">
        <v>2255</v>
      </c>
      <c r="I2491" s="13" t="s">
        <v>2477</v>
      </c>
      <c r="J2491" s="13" t="n">
        <v>53</v>
      </c>
      <c r="K2491" s="13" t="s">
        <v>2514</v>
      </c>
      <c r="L2491" s="13" t="s">
        <v>2265</v>
      </c>
      <c r="M2491" s="13" t="s">
        <v>2479</v>
      </c>
    </row>
    <row r="2492" customFormat="false" ht="15" hidden="false" customHeight="false" outlineLevel="0" collapsed="false">
      <c r="A2492" s="13" t="s">
        <v>628</v>
      </c>
      <c r="B2492" s="13" t="s">
        <v>627</v>
      </c>
      <c r="C2492" s="13" t="s">
        <v>2267</v>
      </c>
      <c r="D2492" s="13" t="s">
        <v>2270</v>
      </c>
      <c r="E2492" s="13" t="s">
        <v>2505</v>
      </c>
      <c r="F2492" s="13" t="s">
        <v>2512</v>
      </c>
      <c r="G2492" s="61" t="n">
        <v>119652123909</v>
      </c>
      <c r="H2492" s="13" t="s">
        <v>2255</v>
      </c>
      <c r="I2492" s="13" t="s">
        <v>2477</v>
      </c>
      <c r="J2492" s="13" t="n">
        <v>53</v>
      </c>
      <c r="K2492" s="13" t="s">
        <v>2514</v>
      </c>
      <c r="L2492" s="13" t="s">
        <v>2265</v>
      </c>
      <c r="M2492" s="13" t="s">
        <v>2479</v>
      </c>
    </row>
    <row r="2493" customFormat="false" ht="15" hidden="false" customHeight="false" outlineLevel="0" collapsed="false">
      <c r="A2493" s="13" t="s">
        <v>628</v>
      </c>
      <c r="B2493" s="13" t="s">
        <v>627</v>
      </c>
      <c r="C2493" s="13" t="s">
        <v>2267</v>
      </c>
      <c r="D2493" s="13" t="s">
        <v>2270</v>
      </c>
      <c r="E2493" s="13" t="s">
        <v>2506</v>
      </c>
      <c r="F2493" s="13" t="s">
        <v>2512</v>
      </c>
      <c r="G2493" s="61" t="n">
        <v>7883100076</v>
      </c>
      <c r="H2493" s="13" t="s">
        <v>2255</v>
      </c>
      <c r="I2493" s="13" t="s">
        <v>2477</v>
      </c>
      <c r="J2493" s="13" t="n">
        <v>53</v>
      </c>
      <c r="K2493" s="13" t="s">
        <v>2514</v>
      </c>
      <c r="L2493" s="13" t="s">
        <v>2265</v>
      </c>
      <c r="M2493" s="13" t="s">
        <v>2479</v>
      </c>
    </row>
    <row r="2494" customFormat="false" ht="15" hidden="false" customHeight="false" outlineLevel="0" collapsed="false">
      <c r="A2494" s="13" t="s">
        <v>628</v>
      </c>
      <c r="B2494" s="13" t="s">
        <v>627</v>
      </c>
      <c r="C2494" s="13" t="s">
        <v>2267</v>
      </c>
      <c r="D2494" s="13" t="s">
        <v>2270</v>
      </c>
      <c r="E2494" s="13" t="s">
        <v>2507</v>
      </c>
      <c r="F2494" s="13" t="s">
        <v>2512</v>
      </c>
      <c r="G2494" s="61" t="n">
        <v>-863379174</v>
      </c>
      <c r="H2494" s="13" t="s">
        <v>2255</v>
      </c>
      <c r="I2494" s="13" t="s">
        <v>2477</v>
      </c>
      <c r="J2494" s="13" t="n">
        <v>53</v>
      </c>
      <c r="K2494" s="13" t="s">
        <v>2514</v>
      </c>
      <c r="L2494" s="13" t="s">
        <v>2265</v>
      </c>
      <c r="M2494" s="13" t="s">
        <v>2479</v>
      </c>
    </row>
    <row r="2495" customFormat="false" ht="15" hidden="false" customHeight="false" outlineLevel="0" collapsed="false">
      <c r="A2495" s="13" t="s">
        <v>628</v>
      </c>
      <c r="B2495" s="13" t="s">
        <v>627</v>
      </c>
      <c r="C2495" s="13" t="s">
        <v>2267</v>
      </c>
      <c r="D2495" s="13" t="s">
        <v>2270</v>
      </c>
      <c r="E2495" s="13" t="s">
        <v>2508</v>
      </c>
      <c r="F2495" s="13" t="s">
        <v>2512</v>
      </c>
      <c r="G2495" s="61" t="n">
        <v>0</v>
      </c>
      <c r="H2495" s="13" t="s">
        <v>2255</v>
      </c>
      <c r="I2495" s="13" t="s">
        <v>2477</v>
      </c>
      <c r="J2495" s="13" t="n">
        <v>53</v>
      </c>
      <c r="K2495" s="13" t="s">
        <v>2514</v>
      </c>
      <c r="L2495" s="13" t="s">
        <v>2265</v>
      </c>
      <c r="M2495" s="13" t="s">
        <v>2479</v>
      </c>
    </row>
    <row r="2496" customFormat="false" ht="15" hidden="false" customHeight="false" outlineLevel="0" collapsed="false">
      <c r="A2496" s="13" t="s">
        <v>628</v>
      </c>
      <c r="B2496" s="13" t="s">
        <v>627</v>
      </c>
      <c r="C2496" s="13" t="s">
        <v>2267</v>
      </c>
      <c r="D2496" s="13" t="s">
        <v>2270</v>
      </c>
      <c r="E2496" s="13" t="s">
        <v>2510</v>
      </c>
      <c r="F2496" s="13" t="s">
        <v>2512</v>
      </c>
      <c r="G2496" s="61" t="n">
        <v>0</v>
      </c>
      <c r="H2496" s="13" t="s">
        <v>2255</v>
      </c>
      <c r="I2496" s="13" t="s">
        <v>2477</v>
      </c>
      <c r="J2496" s="13" t="n">
        <v>53</v>
      </c>
      <c r="K2496" s="13" t="s">
        <v>2514</v>
      </c>
      <c r="L2496" s="13" t="s">
        <v>2265</v>
      </c>
      <c r="M2496" s="13" t="s">
        <v>2479</v>
      </c>
    </row>
    <row r="2497" customFormat="false" ht="15" hidden="false" customHeight="false" outlineLevel="0" collapsed="false">
      <c r="A2497" s="13" t="s">
        <v>628</v>
      </c>
      <c r="B2497" s="13" t="s">
        <v>627</v>
      </c>
      <c r="C2497" s="13" t="s">
        <v>2267</v>
      </c>
      <c r="D2497" s="13" t="s">
        <v>2270</v>
      </c>
      <c r="E2497" s="13" t="s">
        <v>2511</v>
      </c>
      <c r="F2497" s="13" t="s">
        <v>2512</v>
      </c>
      <c r="G2497" s="61" t="n">
        <v>126671844811</v>
      </c>
      <c r="H2497" s="13" t="s">
        <v>2255</v>
      </c>
      <c r="I2497" s="13" t="s">
        <v>2477</v>
      </c>
      <c r="J2497" s="13" t="n">
        <v>53</v>
      </c>
      <c r="K2497" s="13" t="s">
        <v>2514</v>
      </c>
      <c r="L2497" s="13" t="s">
        <v>2265</v>
      </c>
      <c r="M2497" s="13" t="s">
        <v>2479</v>
      </c>
    </row>
    <row r="2498" customFormat="false" ht="15" hidden="false" customHeight="false" outlineLevel="0" collapsed="false">
      <c r="A2498" s="13" t="s">
        <v>628</v>
      </c>
      <c r="B2498" s="13" t="s">
        <v>627</v>
      </c>
      <c r="C2498" s="13" t="s">
        <v>2267</v>
      </c>
      <c r="D2498" s="13" t="s">
        <v>2270</v>
      </c>
      <c r="E2498" s="13" t="s">
        <v>2505</v>
      </c>
      <c r="F2498" s="13" t="s">
        <v>2502</v>
      </c>
      <c r="G2498" s="61" t="n">
        <v>56793382769</v>
      </c>
      <c r="H2498" s="13" t="s">
        <v>2255</v>
      </c>
      <c r="I2498" s="13" t="s">
        <v>2477</v>
      </c>
      <c r="J2498" s="13" t="n">
        <v>53</v>
      </c>
      <c r="K2498" s="13" t="s">
        <v>2514</v>
      </c>
      <c r="L2498" s="13" t="s">
        <v>2265</v>
      </c>
      <c r="M2498" s="13" t="s">
        <v>2479</v>
      </c>
    </row>
    <row r="2499" customFormat="false" ht="15" hidden="false" customHeight="false" outlineLevel="0" collapsed="false">
      <c r="A2499" s="13" t="s">
        <v>628</v>
      </c>
      <c r="B2499" s="13" t="s">
        <v>627</v>
      </c>
      <c r="C2499" s="13" t="s">
        <v>2267</v>
      </c>
      <c r="D2499" s="13" t="s">
        <v>2270</v>
      </c>
      <c r="E2499" s="13" t="s">
        <v>2506</v>
      </c>
      <c r="F2499" s="13" t="s">
        <v>2502</v>
      </c>
      <c r="G2499" s="61" t="n">
        <v>903445384</v>
      </c>
      <c r="H2499" s="13" t="s">
        <v>2255</v>
      </c>
      <c r="I2499" s="13" t="s">
        <v>2477</v>
      </c>
      <c r="J2499" s="13" t="n">
        <v>53</v>
      </c>
      <c r="K2499" s="13" t="s">
        <v>2514</v>
      </c>
      <c r="L2499" s="13" t="s">
        <v>2265</v>
      </c>
      <c r="M2499" s="13" t="s">
        <v>2479</v>
      </c>
    </row>
    <row r="2500" customFormat="false" ht="15" hidden="false" customHeight="false" outlineLevel="0" collapsed="false">
      <c r="A2500" s="13" t="s">
        <v>628</v>
      </c>
      <c r="B2500" s="13" t="s">
        <v>627</v>
      </c>
      <c r="C2500" s="13" t="s">
        <v>2267</v>
      </c>
      <c r="D2500" s="13" t="s">
        <v>2270</v>
      </c>
      <c r="E2500" s="13" t="s">
        <v>2507</v>
      </c>
      <c r="F2500" s="13" t="s">
        <v>2502</v>
      </c>
      <c r="G2500" s="61" t="n">
        <v>-11400000</v>
      </c>
      <c r="H2500" s="13" t="s">
        <v>2255</v>
      </c>
      <c r="I2500" s="13" t="s">
        <v>2477</v>
      </c>
      <c r="J2500" s="13" t="n">
        <v>53</v>
      </c>
      <c r="K2500" s="13" t="s">
        <v>2514</v>
      </c>
      <c r="L2500" s="13" t="s">
        <v>2265</v>
      </c>
      <c r="M2500" s="13" t="s">
        <v>2479</v>
      </c>
    </row>
    <row r="2501" customFormat="false" ht="15" hidden="false" customHeight="false" outlineLevel="0" collapsed="false">
      <c r="A2501" s="13" t="s">
        <v>628</v>
      </c>
      <c r="B2501" s="13" t="s">
        <v>627</v>
      </c>
      <c r="C2501" s="13" t="s">
        <v>2267</v>
      </c>
      <c r="D2501" s="13" t="s">
        <v>2270</v>
      </c>
      <c r="E2501" s="13" t="s">
        <v>2508</v>
      </c>
      <c r="F2501" s="13" t="s">
        <v>2502</v>
      </c>
      <c r="G2501" s="61" t="n">
        <v>0</v>
      </c>
      <c r="H2501" s="13" t="s">
        <v>2255</v>
      </c>
      <c r="I2501" s="13" t="s">
        <v>2477</v>
      </c>
      <c r="J2501" s="13" t="n">
        <v>53</v>
      </c>
      <c r="K2501" s="13" t="s">
        <v>2514</v>
      </c>
      <c r="L2501" s="13" t="s">
        <v>2265</v>
      </c>
      <c r="M2501" s="13" t="s">
        <v>2479</v>
      </c>
    </row>
    <row r="2502" customFormat="false" ht="15" hidden="false" customHeight="false" outlineLevel="0" collapsed="false">
      <c r="A2502" s="13" t="s">
        <v>628</v>
      </c>
      <c r="B2502" s="13" t="s">
        <v>627</v>
      </c>
      <c r="C2502" s="13" t="s">
        <v>2267</v>
      </c>
      <c r="D2502" s="13" t="s">
        <v>2270</v>
      </c>
      <c r="E2502" s="13" t="s">
        <v>2510</v>
      </c>
      <c r="F2502" s="13" t="s">
        <v>2502</v>
      </c>
      <c r="G2502" s="61" t="n">
        <v>0</v>
      </c>
      <c r="H2502" s="13" t="s">
        <v>2255</v>
      </c>
      <c r="I2502" s="13" t="s">
        <v>2477</v>
      </c>
      <c r="J2502" s="13" t="n">
        <v>53</v>
      </c>
      <c r="K2502" s="13" t="s">
        <v>2514</v>
      </c>
      <c r="L2502" s="13" t="s">
        <v>2265</v>
      </c>
      <c r="M2502" s="13" t="s">
        <v>2479</v>
      </c>
    </row>
    <row r="2503" customFormat="false" ht="15" hidden="false" customHeight="false" outlineLevel="0" collapsed="false">
      <c r="A2503" s="13" t="s">
        <v>628</v>
      </c>
      <c r="B2503" s="13" t="s">
        <v>627</v>
      </c>
      <c r="C2503" s="13" t="s">
        <v>2267</v>
      </c>
      <c r="D2503" s="13" t="s">
        <v>2270</v>
      </c>
      <c r="E2503" s="13" t="s">
        <v>2511</v>
      </c>
      <c r="F2503" s="13" t="s">
        <v>2502</v>
      </c>
      <c r="G2503" s="61" t="n">
        <v>57685428153</v>
      </c>
      <c r="H2503" s="13" t="s">
        <v>2255</v>
      </c>
      <c r="I2503" s="13" t="s">
        <v>2477</v>
      </c>
      <c r="J2503" s="13" t="n">
        <v>53</v>
      </c>
      <c r="K2503" s="13" t="s">
        <v>2514</v>
      </c>
      <c r="L2503" s="13" t="s">
        <v>2265</v>
      </c>
      <c r="M2503" s="13" t="s">
        <v>2479</v>
      </c>
    </row>
    <row r="2504" customFormat="false" ht="15" hidden="false" customHeight="false" outlineLevel="0" collapsed="false">
      <c r="A2504" s="13" t="s">
        <v>628</v>
      </c>
      <c r="B2504" s="13" t="s">
        <v>627</v>
      </c>
      <c r="C2504" s="13" t="s">
        <v>2267</v>
      </c>
      <c r="D2504" s="13" t="s">
        <v>2270</v>
      </c>
      <c r="E2504" s="13" t="s">
        <v>2505</v>
      </c>
      <c r="F2504" s="13" t="s">
        <v>2503</v>
      </c>
      <c r="G2504" s="61" t="n">
        <v>16948417129</v>
      </c>
      <c r="H2504" s="13" t="s">
        <v>2255</v>
      </c>
      <c r="I2504" s="13" t="s">
        <v>2477</v>
      </c>
      <c r="J2504" s="13" t="n">
        <v>53</v>
      </c>
      <c r="K2504" s="13" t="s">
        <v>2514</v>
      </c>
      <c r="L2504" s="13" t="s">
        <v>2265</v>
      </c>
      <c r="M2504" s="13" t="s">
        <v>2479</v>
      </c>
    </row>
    <row r="2505" customFormat="false" ht="15" hidden="false" customHeight="false" outlineLevel="0" collapsed="false">
      <c r="A2505" s="13" t="s">
        <v>628</v>
      </c>
      <c r="B2505" s="13" t="s">
        <v>627</v>
      </c>
      <c r="C2505" s="13" t="s">
        <v>2267</v>
      </c>
      <c r="D2505" s="13" t="s">
        <v>2270</v>
      </c>
      <c r="E2505" s="13" t="s">
        <v>2506</v>
      </c>
      <c r="F2505" s="13" t="s">
        <v>2503</v>
      </c>
      <c r="G2505" s="61" t="n">
        <v>812309849</v>
      </c>
      <c r="H2505" s="13" t="s">
        <v>2255</v>
      </c>
      <c r="I2505" s="13" t="s">
        <v>2477</v>
      </c>
      <c r="J2505" s="13" t="n">
        <v>53</v>
      </c>
      <c r="K2505" s="13" t="s">
        <v>2514</v>
      </c>
      <c r="L2505" s="13" t="s">
        <v>2265</v>
      </c>
      <c r="M2505" s="13" t="s">
        <v>2479</v>
      </c>
    </row>
    <row r="2506" customFormat="false" ht="15" hidden="false" customHeight="false" outlineLevel="0" collapsed="false">
      <c r="A2506" s="13" t="s">
        <v>628</v>
      </c>
      <c r="B2506" s="13" t="s">
        <v>627</v>
      </c>
      <c r="C2506" s="13" t="s">
        <v>2267</v>
      </c>
      <c r="D2506" s="13" t="s">
        <v>2270</v>
      </c>
      <c r="E2506" s="13" t="s">
        <v>2507</v>
      </c>
      <c r="F2506" s="13" t="s">
        <v>2503</v>
      </c>
      <c r="G2506" s="61" t="n">
        <v>-169657476</v>
      </c>
      <c r="H2506" s="13" t="s">
        <v>2255</v>
      </c>
      <c r="I2506" s="13" t="s">
        <v>2477</v>
      </c>
      <c r="J2506" s="13" t="n">
        <v>53</v>
      </c>
      <c r="K2506" s="13" t="s">
        <v>2514</v>
      </c>
      <c r="L2506" s="13" t="s">
        <v>2265</v>
      </c>
      <c r="M2506" s="13" t="s">
        <v>2479</v>
      </c>
    </row>
    <row r="2507" customFormat="false" ht="15" hidden="false" customHeight="false" outlineLevel="0" collapsed="false">
      <c r="A2507" s="13" t="s">
        <v>628</v>
      </c>
      <c r="B2507" s="13" t="s">
        <v>627</v>
      </c>
      <c r="C2507" s="13" t="s">
        <v>2267</v>
      </c>
      <c r="D2507" s="13" t="s">
        <v>2270</v>
      </c>
      <c r="E2507" s="13" t="s">
        <v>2508</v>
      </c>
      <c r="F2507" s="13" t="s">
        <v>2503</v>
      </c>
      <c r="G2507" s="61" t="n">
        <v>0</v>
      </c>
      <c r="H2507" s="13" t="s">
        <v>2255</v>
      </c>
      <c r="I2507" s="13" t="s">
        <v>2477</v>
      </c>
      <c r="J2507" s="13" t="n">
        <v>53</v>
      </c>
      <c r="K2507" s="13" t="s">
        <v>2514</v>
      </c>
      <c r="L2507" s="13" t="s">
        <v>2265</v>
      </c>
      <c r="M2507" s="13" t="s">
        <v>2479</v>
      </c>
    </row>
    <row r="2508" customFormat="false" ht="15" hidden="false" customHeight="false" outlineLevel="0" collapsed="false">
      <c r="A2508" s="13" t="s">
        <v>628</v>
      </c>
      <c r="B2508" s="13" t="s">
        <v>627</v>
      </c>
      <c r="C2508" s="13" t="s">
        <v>2267</v>
      </c>
      <c r="D2508" s="13" t="s">
        <v>2270</v>
      </c>
      <c r="E2508" s="13" t="s">
        <v>2510</v>
      </c>
      <c r="F2508" s="13" t="s">
        <v>2503</v>
      </c>
      <c r="G2508" s="61" t="n">
        <v>0</v>
      </c>
      <c r="H2508" s="13" t="s">
        <v>2255</v>
      </c>
      <c r="I2508" s="13" t="s">
        <v>2477</v>
      </c>
      <c r="J2508" s="13" t="n">
        <v>53</v>
      </c>
      <c r="K2508" s="13" t="s">
        <v>2514</v>
      </c>
      <c r="L2508" s="13" t="s">
        <v>2265</v>
      </c>
      <c r="M2508" s="13" t="s">
        <v>2479</v>
      </c>
    </row>
    <row r="2509" customFormat="false" ht="15" hidden="false" customHeight="false" outlineLevel="0" collapsed="false">
      <c r="A2509" s="13" t="s">
        <v>628</v>
      </c>
      <c r="B2509" s="13" t="s">
        <v>627</v>
      </c>
      <c r="C2509" s="13" t="s">
        <v>2267</v>
      </c>
      <c r="D2509" s="13" t="s">
        <v>2270</v>
      </c>
      <c r="E2509" s="13" t="s">
        <v>2511</v>
      </c>
      <c r="F2509" s="13" t="s">
        <v>2503</v>
      </c>
      <c r="G2509" s="61" t="n">
        <v>17591069502</v>
      </c>
      <c r="H2509" s="13" t="s">
        <v>2255</v>
      </c>
      <c r="I2509" s="13" t="s">
        <v>2477</v>
      </c>
      <c r="J2509" s="13" t="n">
        <v>53</v>
      </c>
      <c r="K2509" s="13" t="s">
        <v>2514</v>
      </c>
      <c r="L2509" s="13" t="s">
        <v>2265</v>
      </c>
      <c r="M2509" s="13" t="s">
        <v>2479</v>
      </c>
    </row>
    <row r="2510" customFormat="false" ht="15" hidden="false" customHeight="false" outlineLevel="0" collapsed="false">
      <c r="A2510" s="13" t="s">
        <v>628</v>
      </c>
      <c r="B2510" s="13" t="s">
        <v>627</v>
      </c>
      <c r="C2510" s="13" t="s">
        <v>2267</v>
      </c>
      <c r="D2510" s="13" t="s">
        <v>2270</v>
      </c>
      <c r="E2510" s="13" t="s">
        <v>2505</v>
      </c>
      <c r="F2510" s="13" t="s">
        <v>2504</v>
      </c>
      <c r="G2510" s="61" t="n">
        <v>25005624618</v>
      </c>
      <c r="H2510" s="13" t="s">
        <v>2255</v>
      </c>
      <c r="I2510" s="13" t="s">
        <v>2477</v>
      </c>
      <c r="J2510" s="13" t="n">
        <v>53</v>
      </c>
      <c r="K2510" s="13" t="s">
        <v>2514</v>
      </c>
      <c r="L2510" s="13" t="s">
        <v>2265</v>
      </c>
      <c r="M2510" s="13" t="s">
        <v>2479</v>
      </c>
    </row>
    <row r="2511" customFormat="false" ht="15" hidden="false" customHeight="false" outlineLevel="0" collapsed="false">
      <c r="A2511" s="13" t="s">
        <v>628</v>
      </c>
      <c r="B2511" s="13" t="s">
        <v>627</v>
      </c>
      <c r="C2511" s="13" t="s">
        <v>2267</v>
      </c>
      <c r="D2511" s="13" t="s">
        <v>2270</v>
      </c>
      <c r="E2511" s="13" t="s">
        <v>2506</v>
      </c>
      <c r="F2511" s="13" t="s">
        <v>2504</v>
      </c>
      <c r="G2511" s="61" t="n">
        <v>502473772</v>
      </c>
      <c r="H2511" s="13" t="s">
        <v>2255</v>
      </c>
      <c r="I2511" s="13" t="s">
        <v>2477</v>
      </c>
      <c r="J2511" s="13" t="n">
        <v>53</v>
      </c>
      <c r="K2511" s="13" t="s">
        <v>2514</v>
      </c>
      <c r="L2511" s="13" t="s">
        <v>2265</v>
      </c>
      <c r="M2511" s="13" t="s">
        <v>2479</v>
      </c>
    </row>
    <row r="2512" customFormat="false" ht="15" hidden="false" customHeight="false" outlineLevel="0" collapsed="false">
      <c r="A2512" s="13" t="s">
        <v>628</v>
      </c>
      <c r="B2512" s="13" t="s">
        <v>627</v>
      </c>
      <c r="C2512" s="13" t="s">
        <v>2267</v>
      </c>
      <c r="D2512" s="13" t="s">
        <v>2270</v>
      </c>
      <c r="E2512" s="13" t="s">
        <v>2507</v>
      </c>
      <c r="F2512" s="13" t="s">
        <v>2504</v>
      </c>
      <c r="G2512" s="61" t="n">
        <v>-1093859105</v>
      </c>
      <c r="H2512" s="13" t="s">
        <v>2255</v>
      </c>
      <c r="I2512" s="13" t="s">
        <v>2477</v>
      </c>
      <c r="J2512" s="13" t="n">
        <v>53</v>
      </c>
      <c r="K2512" s="13" t="s">
        <v>2514</v>
      </c>
      <c r="L2512" s="13" t="s">
        <v>2265</v>
      </c>
      <c r="M2512" s="13" t="s">
        <v>2479</v>
      </c>
    </row>
    <row r="2513" customFormat="false" ht="15" hidden="false" customHeight="false" outlineLevel="0" collapsed="false">
      <c r="A2513" s="13" t="s">
        <v>628</v>
      </c>
      <c r="B2513" s="13" t="s">
        <v>627</v>
      </c>
      <c r="C2513" s="13" t="s">
        <v>2267</v>
      </c>
      <c r="D2513" s="13" t="s">
        <v>2270</v>
      </c>
      <c r="E2513" s="13" t="s">
        <v>2508</v>
      </c>
      <c r="F2513" s="13" t="s">
        <v>2504</v>
      </c>
      <c r="G2513" s="61" t="n">
        <v>0</v>
      </c>
      <c r="H2513" s="13" t="s">
        <v>2255</v>
      </c>
      <c r="I2513" s="13" t="s">
        <v>2477</v>
      </c>
      <c r="J2513" s="13" t="n">
        <v>53</v>
      </c>
      <c r="K2513" s="13" t="s">
        <v>2514</v>
      </c>
      <c r="L2513" s="13" t="s">
        <v>2265</v>
      </c>
      <c r="M2513" s="13" t="s">
        <v>2479</v>
      </c>
    </row>
    <row r="2514" customFormat="false" ht="15" hidden="false" customHeight="false" outlineLevel="0" collapsed="false">
      <c r="A2514" s="13" t="s">
        <v>628</v>
      </c>
      <c r="B2514" s="13" t="s">
        <v>627</v>
      </c>
      <c r="C2514" s="13" t="s">
        <v>2267</v>
      </c>
      <c r="D2514" s="13" t="s">
        <v>2270</v>
      </c>
      <c r="E2514" s="13" t="s">
        <v>2510</v>
      </c>
      <c r="F2514" s="13" t="s">
        <v>2504</v>
      </c>
      <c r="G2514" s="61" t="n">
        <v>0</v>
      </c>
      <c r="H2514" s="13" t="s">
        <v>2255</v>
      </c>
      <c r="I2514" s="13" t="s">
        <v>2477</v>
      </c>
      <c r="J2514" s="13" t="n">
        <v>53</v>
      </c>
      <c r="K2514" s="13" t="s">
        <v>2514</v>
      </c>
      <c r="L2514" s="13" t="s">
        <v>2265</v>
      </c>
      <c r="M2514" s="13" t="s">
        <v>2479</v>
      </c>
    </row>
    <row r="2515" customFormat="false" ht="15" hidden="false" customHeight="false" outlineLevel="0" collapsed="false">
      <c r="A2515" s="13" t="s">
        <v>628</v>
      </c>
      <c r="B2515" s="13" t="s">
        <v>627</v>
      </c>
      <c r="C2515" s="13" t="s">
        <v>2267</v>
      </c>
      <c r="D2515" s="13" t="s">
        <v>2270</v>
      </c>
      <c r="E2515" s="13" t="s">
        <v>2511</v>
      </c>
      <c r="F2515" s="13" t="s">
        <v>2504</v>
      </c>
      <c r="G2515" s="61" t="n">
        <v>24414239285</v>
      </c>
      <c r="H2515" s="13" t="s">
        <v>2255</v>
      </c>
      <c r="I2515" s="13" t="s">
        <v>2477</v>
      </c>
      <c r="J2515" s="13" t="n">
        <v>53</v>
      </c>
      <c r="K2515" s="13" t="s">
        <v>2514</v>
      </c>
      <c r="L2515" s="13" t="s">
        <v>2265</v>
      </c>
      <c r="M2515" s="13" t="s">
        <v>2479</v>
      </c>
    </row>
    <row r="2516" customFormat="false" ht="15" hidden="false" customHeight="false" outlineLevel="0" collapsed="false">
      <c r="A2516" s="13" t="s">
        <v>628</v>
      </c>
      <c r="B2516" s="13" t="s">
        <v>627</v>
      </c>
      <c r="C2516" s="13" t="s">
        <v>2267</v>
      </c>
      <c r="D2516" s="13" t="s">
        <v>2270</v>
      </c>
      <c r="E2516" s="13" t="s">
        <v>2505</v>
      </c>
      <c r="F2516" s="13" t="s">
        <v>2513</v>
      </c>
      <c r="G2516" s="61" t="n">
        <v>200110596444</v>
      </c>
      <c r="H2516" s="13" t="s">
        <v>2255</v>
      </c>
      <c r="I2516" s="13" t="s">
        <v>2477</v>
      </c>
      <c r="J2516" s="13" t="n">
        <v>53</v>
      </c>
      <c r="K2516" s="13" t="s">
        <v>2514</v>
      </c>
      <c r="L2516" s="13" t="s">
        <v>2265</v>
      </c>
      <c r="M2516" s="13" t="s">
        <v>2479</v>
      </c>
    </row>
    <row r="2517" customFormat="false" ht="15" hidden="false" customHeight="false" outlineLevel="0" collapsed="false">
      <c r="A2517" s="13" t="s">
        <v>628</v>
      </c>
      <c r="B2517" s="13" t="s">
        <v>627</v>
      </c>
      <c r="C2517" s="13" t="s">
        <v>2267</v>
      </c>
      <c r="D2517" s="13" t="s">
        <v>2270</v>
      </c>
      <c r="E2517" s="13" t="s">
        <v>2506</v>
      </c>
      <c r="F2517" s="13" t="s">
        <v>2513</v>
      </c>
      <c r="G2517" s="61" t="n">
        <v>94198094581</v>
      </c>
      <c r="H2517" s="13" t="s">
        <v>2255</v>
      </c>
      <c r="I2517" s="13" t="s">
        <v>2477</v>
      </c>
      <c r="J2517" s="13" t="n">
        <v>53</v>
      </c>
      <c r="K2517" s="13" t="s">
        <v>2514</v>
      </c>
      <c r="L2517" s="13" t="s">
        <v>2265</v>
      </c>
      <c r="M2517" s="13" t="s">
        <v>2479</v>
      </c>
    </row>
    <row r="2518" customFormat="false" ht="15" hidden="false" customHeight="false" outlineLevel="0" collapsed="false">
      <c r="A2518" s="13" t="s">
        <v>628</v>
      </c>
      <c r="B2518" s="13" t="s">
        <v>627</v>
      </c>
      <c r="C2518" s="13" t="s">
        <v>2267</v>
      </c>
      <c r="D2518" s="13" t="s">
        <v>2270</v>
      </c>
      <c r="E2518" s="13" t="s">
        <v>2507</v>
      </c>
      <c r="F2518" s="13" t="s">
        <v>2513</v>
      </c>
      <c r="G2518" s="61" t="n">
        <v>-397494209</v>
      </c>
      <c r="H2518" s="13" t="s">
        <v>2255</v>
      </c>
      <c r="I2518" s="13" t="s">
        <v>2477</v>
      </c>
      <c r="J2518" s="13" t="n">
        <v>53</v>
      </c>
      <c r="K2518" s="13" t="s">
        <v>2514</v>
      </c>
      <c r="L2518" s="13" t="s">
        <v>2265</v>
      </c>
      <c r="M2518" s="13" t="s">
        <v>2479</v>
      </c>
    </row>
    <row r="2519" customFormat="false" ht="15" hidden="false" customHeight="false" outlineLevel="0" collapsed="false">
      <c r="A2519" s="13" t="s">
        <v>628</v>
      </c>
      <c r="B2519" s="13" t="s">
        <v>627</v>
      </c>
      <c r="C2519" s="13" t="s">
        <v>2267</v>
      </c>
      <c r="D2519" s="13" t="s">
        <v>2270</v>
      </c>
      <c r="E2519" s="13" t="s">
        <v>2508</v>
      </c>
      <c r="F2519" s="13" t="s">
        <v>2513</v>
      </c>
      <c r="G2519" s="61" t="n">
        <v>-116131557960</v>
      </c>
      <c r="H2519" s="13" t="s">
        <v>2255</v>
      </c>
      <c r="I2519" s="13" t="s">
        <v>2477</v>
      </c>
      <c r="J2519" s="13" t="n">
        <v>53</v>
      </c>
      <c r="K2519" s="13" t="s">
        <v>2514</v>
      </c>
      <c r="L2519" s="13" t="s">
        <v>2265</v>
      </c>
      <c r="M2519" s="13" t="s">
        <v>2479</v>
      </c>
    </row>
    <row r="2520" customFormat="false" ht="15" hidden="false" customHeight="false" outlineLevel="0" collapsed="false">
      <c r="A2520" s="13" t="s">
        <v>628</v>
      </c>
      <c r="B2520" s="13" t="s">
        <v>627</v>
      </c>
      <c r="C2520" s="13" t="s">
        <v>2267</v>
      </c>
      <c r="D2520" s="13" t="s">
        <v>2270</v>
      </c>
      <c r="E2520" s="13" t="s">
        <v>2510</v>
      </c>
      <c r="F2520" s="13" t="s">
        <v>2513</v>
      </c>
      <c r="G2520" s="61" t="n">
        <v>0</v>
      </c>
      <c r="H2520" s="13" t="s">
        <v>2255</v>
      </c>
      <c r="I2520" s="13" t="s">
        <v>2477</v>
      </c>
      <c r="J2520" s="13" t="n">
        <v>53</v>
      </c>
      <c r="K2520" s="13" t="s">
        <v>2514</v>
      </c>
      <c r="L2520" s="13" t="s">
        <v>2265</v>
      </c>
      <c r="M2520" s="13" t="s">
        <v>2479</v>
      </c>
    </row>
    <row r="2521" customFormat="false" ht="15" hidden="false" customHeight="false" outlineLevel="0" collapsed="false">
      <c r="A2521" s="13" t="s">
        <v>628</v>
      </c>
      <c r="B2521" s="13" t="s">
        <v>627</v>
      </c>
      <c r="C2521" s="13" t="s">
        <v>2267</v>
      </c>
      <c r="D2521" s="13" t="s">
        <v>2270</v>
      </c>
      <c r="E2521" s="13" t="s">
        <v>2511</v>
      </c>
      <c r="F2521" s="13" t="s">
        <v>2513</v>
      </c>
      <c r="G2521" s="61" t="n">
        <v>177779638856</v>
      </c>
      <c r="H2521" s="13" t="s">
        <v>2255</v>
      </c>
      <c r="I2521" s="13" t="s">
        <v>2477</v>
      </c>
      <c r="J2521" s="13" t="n">
        <v>53</v>
      </c>
      <c r="K2521" s="13" t="s">
        <v>2514</v>
      </c>
      <c r="L2521" s="13" t="s">
        <v>2265</v>
      </c>
      <c r="M2521" s="13" t="s">
        <v>2479</v>
      </c>
    </row>
    <row r="2522" customFormat="false" ht="15" hidden="false" customHeight="false" outlineLevel="0" collapsed="false">
      <c r="A2522" s="13" t="s">
        <v>628</v>
      </c>
      <c r="B2522" s="13" t="s">
        <v>627</v>
      </c>
      <c r="C2522" s="13" t="s">
        <v>2267</v>
      </c>
      <c r="D2522" s="13" t="s">
        <v>2270</v>
      </c>
      <c r="E2522" s="13" t="s">
        <v>2505</v>
      </c>
      <c r="F2522" s="13" t="s">
        <v>2290</v>
      </c>
      <c r="G2522" s="61" t="n">
        <v>2558504633140</v>
      </c>
      <c r="H2522" s="13" t="s">
        <v>2255</v>
      </c>
      <c r="I2522" s="13" t="s">
        <v>2477</v>
      </c>
      <c r="J2522" s="13" t="n">
        <v>53</v>
      </c>
      <c r="K2522" s="13" t="s">
        <v>2514</v>
      </c>
      <c r="L2522" s="13" t="s">
        <v>2265</v>
      </c>
      <c r="M2522" s="13" t="s">
        <v>2479</v>
      </c>
    </row>
    <row r="2523" customFormat="false" ht="15" hidden="false" customHeight="false" outlineLevel="0" collapsed="false">
      <c r="A2523" s="13" t="s">
        <v>628</v>
      </c>
      <c r="B2523" s="13" t="s">
        <v>627</v>
      </c>
      <c r="C2523" s="13" t="s">
        <v>2267</v>
      </c>
      <c r="D2523" s="13" t="s">
        <v>2270</v>
      </c>
      <c r="E2523" s="13" t="s">
        <v>2506</v>
      </c>
      <c r="F2523" s="13" t="s">
        <v>2290</v>
      </c>
      <c r="G2523" s="61" t="n">
        <v>294346448080</v>
      </c>
      <c r="H2523" s="13" t="s">
        <v>2255</v>
      </c>
      <c r="I2523" s="13" t="s">
        <v>2477</v>
      </c>
      <c r="J2523" s="13" t="n">
        <v>53</v>
      </c>
      <c r="K2523" s="13" t="s">
        <v>2514</v>
      </c>
      <c r="L2523" s="13" t="s">
        <v>2265</v>
      </c>
      <c r="M2523" s="13" t="s">
        <v>2479</v>
      </c>
    </row>
    <row r="2524" customFormat="false" ht="15" hidden="false" customHeight="false" outlineLevel="0" collapsed="false">
      <c r="A2524" s="13" t="s">
        <v>628</v>
      </c>
      <c r="B2524" s="13" t="s">
        <v>627</v>
      </c>
      <c r="C2524" s="13" t="s">
        <v>2267</v>
      </c>
      <c r="D2524" s="13" t="s">
        <v>2270</v>
      </c>
      <c r="E2524" s="13" t="s">
        <v>2507</v>
      </c>
      <c r="F2524" s="13" t="s">
        <v>2290</v>
      </c>
      <c r="G2524" s="61" t="n">
        <v>-38213131085</v>
      </c>
      <c r="H2524" s="13" t="s">
        <v>2255</v>
      </c>
      <c r="I2524" s="13" t="s">
        <v>2477</v>
      </c>
      <c r="J2524" s="13" t="n">
        <v>53</v>
      </c>
      <c r="K2524" s="13" t="s">
        <v>2514</v>
      </c>
      <c r="L2524" s="13" t="s">
        <v>2265</v>
      </c>
      <c r="M2524" s="13" t="s">
        <v>2479</v>
      </c>
    </row>
    <row r="2525" customFormat="false" ht="15" hidden="false" customHeight="false" outlineLevel="0" collapsed="false">
      <c r="A2525" s="13" t="s">
        <v>628</v>
      </c>
      <c r="B2525" s="13" t="s">
        <v>627</v>
      </c>
      <c r="C2525" s="13" t="s">
        <v>2267</v>
      </c>
      <c r="D2525" s="13" t="s">
        <v>2270</v>
      </c>
      <c r="E2525" s="13" t="s">
        <v>2508</v>
      </c>
      <c r="F2525" s="13" t="s">
        <v>2290</v>
      </c>
      <c r="G2525" s="61" t="n">
        <v>0</v>
      </c>
      <c r="H2525" s="13" t="s">
        <v>2255</v>
      </c>
      <c r="I2525" s="13" t="s">
        <v>2477</v>
      </c>
      <c r="J2525" s="13" t="n">
        <v>53</v>
      </c>
      <c r="K2525" s="13" t="s">
        <v>2514</v>
      </c>
      <c r="L2525" s="13" t="s">
        <v>2265</v>
      </c>
      <c r="M2525" s="13" t="s">
        <v>2479</v>
      </c>
    </row>
    <row r="2526" customFormat="false" ht="15" hidden="false" customHeight="false" outlineLevel="0" collapsed="false">
      <c r="A2526" s="13" t="s">
        <v>628</v>
      </c>
      <c r="B2526" s="13" t="s">
        <v>627</v>
      </c>
      <c r="C2526" s="13" t="s">
        <v>2267</v>
      </c>
      <c r="D2526" s="13" t="s">
        <v>2270</v>
      </c>
      <c r="E2526" s="13" t="s">
        <v>2510</v>
      </c>
      <c r="F2526" s="13" t="s">
        <v>2290</v>
      </c>
      <c r="G2526" s="61" t="n">
        <v>234104222722</v>
      </c>
      <c r="H2526" s="13" t="s">
        <v>2255</v>
      </c>
      <c r="I2526" s="13" t="s">
        <v>2477</v>
      </c>
      <c r="J2526" s="13" t="n">
        <v>53</v>
      </c>
      <c r="K2526" s="13" t="s">
        <v>2514</v>
      </c>
      <c r="L2526" s="13" t="s">
        <v>2265</v>
      </c>
      <c r="M2526" s="13" t="s">
        <v>2479</v>
      </c>
    </row>
    <row r="2527" customFormat="false" ht="15" hidden="false" customHeight="false" outlineLevel="0" collapsed="false">
      <c r="A2527" s="13" t="s">
        <v>628</v>
      </c>
      <c r="B2527" s="13" t="s">
        <v>627</v>
      </c>
      <c r="C2527" s="13" t="s">
        <v>2267</v>
      </c>
      <c r="D2527" s="13" t="s">
        <v>2270</v>
      </c>
      <c r="E2527" s="13" t="s">
        <v>2511</v>
      </c>
      <c r="F2527" s="13" t="s">
        <v>2290</v>
      </c>
      <c r="G2527" s="61" t="n">
        <v>3048742172857</v>
      </c>
      <c r="H2527" s="13" t="s">
        <v>2255</v>
      </c>
      <c r="I2527" s="13" t="s">
        <v>2477</v>
      </c>
      <c r="J2527" s="13" t="n">
        <v>53</v>
      </c>
      <c r="K2527" s="13" t="s">
        <v>2514</v>
      </c>
      <c r="L2527" s="13" t="s">
        <v>2265</v>
      </c>
      <c r="M2527" s="13" t="s">
        <v>2479</v>
      </c>
    </row>
    <row r="2528" customFormat="false" ht="15" hidden="false" customHeight="false" outlineLevel="0" collapsed="false">
      <c r="A2528" s="13" t="s">
        <v>628</v>
      </c>
      <c r="B2528" s="13" t="s">
        <v>627</v>
      </c>
      <c r="C2528" s="13" t="s">
        <v>2254</v>
      </c>
      <c r="D2528" s="13" t="s">
        <v>2270</v>
      </c>
      <c r="E2528" s="13" t="s">
        <v>2515</v>
      </c>
      <c r="F2528" s="13" t="s">
        <v>2516</v>
      </c>
      <c r="G2528" s="61" t="n">
        <v>26355098447</v>
      </c>
      <c r="H2528" s="13" t="s">
        <v>2255</v>
      </c>
      <c r="I2528" s="13" t="s">
        <v>2517</v>
      </c>
      <c r="J2528" s="13" t="n">
        <v>9</v>
      </c>
      <c r="K2528" s="13" t="s">
        <v>2478</v>
      </c>
      <c r="L2528" s="13" t="s">
        <v>2257</v>
      </c>
      <c r="M2528" s="13" t="s">
        <v>2518</v>
      </c>
    </row>
    <row r="2529" customFormat="false" ht="15" hidden="false" customHeight="false" outlineLevel="0" collapsed="false">
      <c r="A2529" s="13" t="s">
        <v>628</v>
      </c>
      <c r="B2529" s="13" t="s">
        <v>627</v>
      </c>
      <c r="C2529" s="13" t="s">
        <v>2254</v>
      </c>
      <c r="D2529" s="13" t="s">
        <v>2270</v>
      </c>
      <c r="E2529" s="13" t="s">
        <v>2519</v>
      </c>
      <c r="F2529" s="13" t="s">
        <v>2516</v>
      </c>
      <c r="G2529" s="61" t="n">
        <v>0</v>
      </c>
      <c r="H2529" s="13" t="s">
        <v>2255</v>
      </c>
      <c r="I2529" s="13" t="s">
        <v>2517</v>
      </c>
      <c r="J2529" s="13" t="n">
        <v>9</v>
      </c>
      <c r="K2529" s="13" t="s">
        <v>2478</v>
      </c>
      <c r="L2529" s="13" t="s">
        <v>2257</v>
      </c>
      <c r="M2529" s="13" t="s">
        <v>2518</v>
      </c>
    </row>
    <row r="2530" customFormat="false" ht="15" hidden="false" customHeight="false" outlineLevel="0" collapsed="false">
      <c r="A2530" s="13" t="s">
        <v>628</v>
      </c>
      <c r="B2530" s="13" t="s">
        <v>627</v>
      </c>
      <c r="C2530" s="13" t="s">
        <v>2254</v>
      </c>
      <c r="D2530" s="13" t="s">
        <v>2270</v>
      </c>
      <c r="E2530" s="13" t="s">
        <v>2520</v>
      </c>
      <c r="F2530" s="13" t="s">
        <v>2516</v>
      </c>
      <c r="G2530" s="61" t="n">
        <v>0</v>
      </c>
      <c r="H2530" s="13" t="s">
        <v>2255</v>
      </c>
      <c r="I2530" s="13" t="s">
        <v>2517</v>
      </c>
      <c r="J2530" s="13" t="n">
        <v>9</v>
      </c>
      <c r="K2530" s="13" t="s">
        <v>2478</v>
      </c>
      <c r="L2530" s="13" t="s">
        <v>2257</v>
      </c>
      <c r="M2530" s="13" t="s">
        <v>2518</v>
      </c>
    </row>
    <row r="2531" customFormat="false" ht="15" hidden="false" customHeight="false" outlineLevel="0" collapsed="false">
      <c r="A2531" s="13" t="s">
        <v>628</v>
      </c>
      <c r="B2531" s="13" t="s">
        <v>627</v>
      </c>
      <c r="C2531" s="13" t="s">
        <v>2254</v>
      </c>
      <c r="D2531" s="13" t="s">
        <v>2270</v>
      </c>
      <c r="E2531" s="13" t="s">
        <v>2521</v>
      </c>
      <c r="F2531" s="13" t="s">
        <v>2516</v>
      </c>
      <c r="G2531" s="61" t="n">
        <v>24535839266</v>
      </c>
      <c r="H2531" s="13" t="s">
        <v>2255</v>
      </c>
      <c r="I2531" s="13" t="s">
        <v>2517</v>
      </c>
      <c r="J2531" s="13" t="n">
        <v>9</v>
      </c>
      <c r="K2531" s="13" t="s">
        <v>2478</v>
      </c>
      <c r="L2531" s="13" t="s">
        <v>2257</v>
      </c>
      <c r="M2531" s="13" t="s">
        <v>2518</v>
      </c>
    </row>
    <row r="2532" customFormat="false" ht="15" hidden="false" customHeight="false" outlineLevel="0" collapsed="false">
      <c r="A2532" s="13" t="s">
        <v>628</v>
      </c>
      <c r="B2532" s="13" t="s">
        <v>627</v>
      </c>
      <c r="C2532" s="13" t="s">
        <v>2254</v>
      </c>
      <c r="D2532" s="13" t="s">
        <v>2270</v>
      </c>
      <c r="E2532" s="13" t="s">
        <v>2522</v>
      </c>
      <c r="F2532" s="13" t="s">
        <v>2516</v>
      </c>
      <c r="G2532" s="61" t="n">
        <v>-36027180601</v>
      </c>
      <c r="H2532" s="13" t="s">
        <v>2255</v>
      </c>
      <c r="I2532" s="13" t="s">
        <v>2517</v>
      </c>
      <c r="J2532" s="13" t="n">
        <v>9</v>
      </c>
      <c r="K2532" s="13" t="s">
        <v>2478</v>
      </c>
      <c r="L2532" s="13" t="s">
        <v>2257</v>
      </c>
      <c r="M2532" s="13" t="s">
        <v>2518</v>
      </c>
    </row>
    <row r="2533" customFormat="false" ht="15" hidden="false" customHeight="false" outlineLevel="0" collapsed="false">
      <c r="A2533" s="13" t="s">
        <v>628</v>
      </c>
      <c r="B2533" s="13" t="s">
        <v>627</v>
      </c>
      <c r="C2533" s="13" t="s">
        <v>2254</v>
      </c>
      <c r="D2533" s="13" t="s">
        <v>2270</v>
      </c>
      <c r="E2533" s="13" t="s">
        <v>2523</v>
      </c>
      <c r="F2533" s="13" t="s">
        <v>2516</v>
      </c>
      <c r="G2533" s="61" t="n">
        <v>-29339896</v>
      </c>
      <c r="H2533" s="13" t="s">
        <v>2255</v>
      </c>
      <c r="I2533" s="13" t="s">
        <v>2517</v>
      </c>
      <c r="J2533" s="13" t="n">
        <v>9</v>
      </c>
      <c r="K2533" s="13" t="s">
        <v>2478</v>
      </c>
      <c r="L2533" s="13" t="s">
        <v>2257</v>
      </c>
      <c r="M2533" s="13" t="s">
        <v>2518</v>
      </c>
    </row>
    <row r="2534" customFormat="false" ht="15" hidden="false" customHeight="false" outlineLevel="0" collapsed="false">
      <c r="A2534" s="13" t="s">
        <v>628</v>
      </c>
      <c r="B2534" s="13" t="s">
        <v>627</v>
      </c>
      <c r="C2534" s="13" t="s">
        <v>2254</v>
      </c>
      <c r="D2534" s="13" t="s">
        <v>2270</v>
      </c>
      <c r="E2534" s="13" t="s">
        <v>2524</v>
      </c>
      <c r="F2534" s="13" t="s">
        <v>2516</v>
      </c>
      <c r="G2534" s="61" t="n">
        <v>14834417216</v>
      </c>
      <c r="H2534" s="13" t="s">
        <v>2255</v>
      </c>
      <c r="I2534" s="13" t="s">
        <v>2517</v>
      </c>
      <c r="J2534" s="13" t="n">
        <v>9</v>
      </c>
      <c r="K2534" s="13" t="s">
        <v>2478</v>
      </c>
      <c r="L2534" s="13" t="s">
        <v>2257</v>
      </c>
      <c r="M2534" s="13" t="s">
        <v>2518</v>
      </c>
    </row>
    <row r="2535" customFormat="false" ht="15" hidden="false" customHeight="false" outlineLevel="0" collapsed="false">
      <c r="A2535" s="13" t="s">
        <v>628</v>
      </c>
      <c r="B2535" s="13" t="s">
        <v>627</v>
      </c>
      <c r="C2535" s="13" t="s">
        <v>2254</v>
      </c>
      <c r="D2535" s="13" t="s">
        <v>2270</v>
      </c>
      <c r="E2535" s="13" t="s">
        <v>2515</v>
      </c>
      <c r="F2535" s="13" t="s">
        <v>2525</v>
      </c>
      <c r="G2535" s="61" t="n">
        <v>15638334401</v>
      </c>
      <c r="H2535" s="13" t="s">
        <v>2255</v>
      </c>
      <c r="I2535" s="13" t="s">
        <v>2517</v>
      </c>
      <c r="J2535" s="13" t="n">
        <v>9</v>
      </c>
      <c r="K2535" s="13" t="s">
        <v>2478</v>
      </c>
      <c r="L2535" s="13" t="s">
        <v>2257</v>
      </c>
      <c r="M2535" s="13" t="s">
        <v>2518</v>
      </c>
    </row>
    <row r="2536" customFormat="false" ht="15" hidden="false" customHeight="false" outlineLevel="0" collapsed="false">
      <c r="A2536" s="13" t="s">
        <v>628</v>
      </c>
      <c r="B2536" s="13" t="s">
        <v>627</v>
      </c>
      <c r="C2536" s="13" t="s">
        <v>2254</v>
      </c>
      <c r="D2536" s="13" t="s">
        <v>2270</v>
      </c>
      <c r="E2536" s="13" t="s">
        <v>2519</v>
      </c>
      <c r="F2536" s="13" t="s">
        <v>2525</v>
      </c>
      <c r="G2536" s="61" t="n">
        <v>0</v>
      </c>
      <c r="H2536" s="13" t="s">
        <v>2255</v>
      </c>
      <c r="I2536" s="13" t="s">
        <v>2517</v>
      </c>
      <c r="J2536" s="13" t="n">
        <v>9</v>
      </c>
      <c r="K2536" s="13" t="s">
        <v>2478</v>
      </c>
      <c r="L2536" s="13" t="s">
        <v>2257</v>
      </c>
      <c r="M2536" s="13" t="s">
        <v>2518</v>
      </c>
    </row>
    <row r="2537" customFormat="false" ht="15" hidden="false" customHeight="false" outlineLevel="0" collapsed="false">
      <c r="A2537" s="13" t="s">
        <v>628</v>
      </c>
      <c r="B2537" s="13" t="s">
        <v>627</v>
      </c>
      <c r="C2537" s="13" t="s">
        <v>2254</v>
      </c>
      <c r="D2537" s="13" t="s">
        <v>2270</v>
      </c>
      <c r="E2537" s="13" t="s">
        <v>2520</v>
      </c>
      <c r="F2537" s="13" t="s">
        <v>2525</v>
      </c>
      <c r="G2537" s="61" t="n">
        <v>0</v>
      </c>
      <c r="H2537" s="13" t="s">
        <v>2255</v>
      </c>
      <c r="I2537" s="13" t="s">
        <v>2517</v>
      </c>
      <c r="J2537" s="13" t="n">
        <v>9</v>
      </c>
      <c r="K2537" s="13" t="s">
        <v>2478</v>
      </c>
      <c r="L2537" s="13" t="s">
        <v>2257</v>
      </c>
      <c r="M2537" s="13" t="s">
        <v>2518</v>
      </c>
    </row>
    <row r="2538" customFormat="false" ht="15" hidden="false" customHeight="false" outlineLevel="0" collapsed="false">
      <c r="A2538" s="13" t="s">
        <v>628</v>
      </c>
      <c r="B2538" s="13" t="s">
        <v>627</v>
      </c>
      <c r="C2538" s="13" t="s">
        <v>2254</v>
      </c>
      <c r="D2538" s="13" t="s">
        <v>2270</v>
      </c>
      <c r="E2538" s="13" t="s">
        <v>2521</v>
      </c>
      <c r="F2538" s="13" t="s">
        <v>2525</v>
      </c>
      <c r="G2538" s="61" t="n">
        <v>3387522059</v>
      </c>
      <c r="H2538" s="13" t="s">
        <v>2255</v>
      </c>
      <c r="I2538" s="13" t="s">
        <v>2517</v>
      </c>
      <c r="J2538" s="13" t="n">
        <v>9</v>
      </c>
      <c r="K2538" s="13" t="s">
        <v>2478</v>
      </c>
      <c r="L2538" s="13" t="s">
        <v>2257</v>
      </c>
      <c r="M2538" s="13" t="s">
        <v>2518</v>
      </c>
    </row>
    <row r="2539" customFormat="false" ht="15" hidden="false" customHeight="false" outlineLevel="0" collapsed="false">
      <c r="A2539" s="13" t="s">
        <v>628</v>
      </c>
      <c r="B2539" s="13" t="s">
        <v>627</v>
      </c>
      <c r="C2539" s="13" t="s">
        <v>2254</v>
      </c>
      <c r="D2539" s="13" t="s">
        <v>2270</v>
      </c>
      <c r="E2539" s="13" t="s">
        <v>2522</v>
      </c>
      <c r="F2539" s="13" t="s">
        <v>2525</v>
      </c>
      <c r="G2539" s="61" t="n">
        <v>8004310994</v>
      </c>
      <c r="H2539" s="13" t="s">
        <v>2255</v>
      </c>
      <c r="I2539" s="13" t="s">
        <v>2517</v>
      </c>
      <c r="J2539" s="13" t="n">
        <v>9</v>
      </c>
      <c r="K2539" s="13" t="s">
        <v>2478</v>
      </c>
      <c r="L2539" s="13" t="s">
        <v>2257</v>
      </c>
      <c r="M2539" s="13" t="s">
        <v>2518</v>
      </c>
    </row>
    <row r="2540" customFormat="false" ht="15" hidden="false" customHeight="false" outlineLevel="0" collapsed="false">
      <c r="A2540" s="13" t="s">
        <v>628</v>
      </c>
      <c r="B2540" s="13" t="s">
        <v>627</v>
      </c>
      <c r="C2540" s="13" t="s">
        <v>2254</v>
      </c>
      <c r="D2540" s="13" t="s">
        <v>2270</v>
      </c>
      <c r="E2540" s="13" t="s">
        <v>2523</v>
      </c>
      <c r="F2540" s="13" t="s">
        <v>2525</v>
      </c>
      <c r="G2540" s="61" t="n">
        <v>-651691847</v>
      </c>
      <c r="H2540" s="13" t="s">
        <v>2255</v>
      </c>
      <c r="I2540" s="13" t="s">
        <v>2517</v>
      </c>
      <c r="J2540" s="13" t="n">
        <v>9</v>
      </c>
      <c r="K2540" s="13" t="s">
        <v>2478</v>
      </c>
      <c r="L2540" s="13" t="s">
        <v>2257</v>
      </c>
      <c r="M2540" s="13" t="s">
        <v>2518</v>
      </c>
    </row>
    <row r="2541" customFormat="false" ht="15" hidden="false" customHeight="false" outlineLevel="0" collapsed="false">
      <c r="A2541" s="13" t="s">
        <v>628</v>
      </c>
      <c r="B2541" s="13" t="s">
        <v>627</v>
      </c>
      <c r="C2541" s="13" t="s">
        <v>2254</v>
      </c>
      <c r="D2541" s="13" t="s">
        <v>2270</v>
      </c>
      <c r="E2541" s="13" t="s">
        <v>2524</v>
      </c>
      <c r="F2541" s="13" t="s">
        <v>2525</v>
      </c>
      <c r="G2541" s="61" t="n">
        <v>26378475607</v>
      </c>
      <c r="H2541" s="13" t="s">
        <v>2255</v>
      </c>
      <c r="I2541" s="13" t="s">
        <v>2517</v>
      </c>
      <c r="J2541" s="13" t="n">
        <v>9</v>
      </c>
      <c r="K2541" s="13" t="s">
        <v>2478</v>
      </c>
      <c r="L2541" s="13" t="s">
        <v>2257</v>
      </c>
      <c r="M2541" s="13" t="s">
        <v>2518</v>
      </c>
    </row>
    <row r="2542" customFormat="false" ht="15" hidden="false" customHeight="false" outlineLevel="0" collapsed="false">
      <c r="A2542" s="13" t="s">
        <v>628</v>
      </c>
      <c r="B2542" s="13" t="s">
        <v>627</v>
      </c>
      <c r="C2542" s="13" t="s">
        <v>2254</v>
      </c>
      <c r="D2542" s="13" t="s">
        <v>2270</v>
      </c>
      <c r="E2542" s="13" t="s">
        <v>2515</v>
      </c>
      <c r="F2542" s="13" t="s">
        <v>2526</v>
      </c>
      <c r="G2542" s="61" t="n">
        <v>2824769865</v>
      </c>
      <c r="H2542" s="13" t="s">
        <v>2255</v>
      </c>
      <c r="I2542" s="13" t="s">
        <v>2517</v>
      </c>
      <c r="J2542" s="13" t="n">
        <v>9</v>
      </c>
      <c r="K2542" s="13" t="s">
        <v>2478</v>
      </c>
      <c r="L2542" s="13" t="s">
        <v>2257</v>
      </c>
      <c r="M2542" s="13" t="s">
        <v>2518</v>
      </c>
    </row>
    <row r="2543" customFormat="false" ht="15" hidden="false" customHeight="false" outlineLevel="0" collapsed="false">
      <c r="A2543" s="13" t="s">
        <v>628</v>
      </c>
      <c r="B2543" s="13" t="s">
        <v>627</v>
      </c>
      <c r="C2543" s="13" t="s">
        <v>2254</v>
      </c>
      <c r="D2543" s="13" t="s">
        <v>2270</v>
      </c>
      <c r="E2543" s="13" t="s">
        <v>2519</v>
      </c>
      <c r="F2543" s="13" t="s">
        <v>2526</v>
      </c>
      <c r="G2543" s="61" t="n">
        <v>0</v>
      </c>
      <c r="H2543" s="13" t="s">
        <v>2255</v>
      </c>
      <c r="I2543" s="13" t="s">
        <v>2517</v>
      </c>
      <c r="J2543" s="13" t="n">
        <v>9</v>
      </c>
      <c r="K2543" s="13" t="s">
        <v>2478</v>
      </c>
      <c r="L2543" s="13" t="s">
        <v>2257</v>
      </c>
      <c r="M2543" s="13" t="s">
        <v>2518</v>
      </c>
    </row>
    <row r="2544" customFormat="false" ht="15" hidden="false" customHeight="false" outlineLevel="0" collapsed="false">
      <c r="A2544" s="13" t="s">
        <v>628</v>
      </c>
      <c r="B2544" s="13" t="s">
        <v>627</v>
      </c>
      <c r="C2544" s="13" t="s">
        <v>2254</v>
      </c>
      <c r="D2544" s="13" t="s">
        <v>2270</v>
      </c>
      <c r="E2544" s="13" t="s">
        <v>2520</v>
      </c>
      <c r="F2544" s="13" t="s">
        <v>2526</v>
      </c>
      <c r="G2544" s="61" t="n">
        <v>0</v>
      </c>
      <c r="H2544" s="13" t="s">
        <v>2255</v>
      </c>
      <c r="I2544" s="13" t="s">
        <v>2517</v>
      </c>
      <c r="J2544" s="13" t="n">
        <v>9</v>
      </c>
      <c r="K2544" s="13" t="s">
        <v>2478</v>
      </c>
      <c r="L2544" s="13" t="s">
        <v>2257</v>
      </c>
      <c r="M2544" s="13" t="s">
        <v>2518</v>
      </c>
    </row>
    <row r="2545" customFormat="false" ht="15" hidden="false" customHeight="false" outlineLevel="0" collapsed="false">
      <c r="A2545" s="13" t="s">
        <v>628</v>
      </c>
      <c r="B2545" s="13" t="s">
        <v>627</v>
      </c>
      <c r="C2545" s="13" t="s">
        <v>2254</v>
      </c>
      <c r="D2545" s="13" t="s">
        <v>2270</v>
      </c>
      <c r="E2545" s="13" t="s">
        <v>2521</v>
      </c>
      <c r="F2545" s="13" t="s">
        <v>2526</v>
      </c>
      <c r="G2545" s="61" t="n">
        <v>-77443200</v>
      </c>
      <c r="H2545" s="13" t="s">
        <v>2255</v>
      </c>
      <c r="I2545" s="13" t="s">
        <v>2517</v>
      </c>
      <c r="J2545" s="13" t="n">
        <v>9</v>
      </c>
      <c r="K2545" s="13" t="s">
        <v>2478</v>
      </c>
      <c r="L2545" s="13" t="s">
        <v>2257</v>
      </c>
      <c r="M2545" s="13" t="s">
        <v>2518</v>
      </c>
    </row>
    <row r="2546" customFormat="false" ht="15" hidden="false" customHeight="false" outlineLevel="0" collapsed="false">
      <c r="A2546" s="13" t="s">
        <v>628</v>
      </c>
      <c r="B2546" s="13" t="s">
        <v>627</v>
      </c>
      <c r="C2546" s="13" t="s">
        <v>2254</v>
      </c>
      <c r="D2546" s="13" t="s">
        <v>2270</v>
      </c>
      <c r="E2546" s="13" t="s">
        <v>2522</v>
      </c>
      <c r="F2546" s="13" t="s">
        <v>2526</v>
      </c>
      <c r="G2546" s="61" t="n">
        <v>0</v>
      </c>
      <c r="H2546" s="13" t="s">
        <v>2255</v>
      </c>
      <c r="I2546" s="13" t="s">
        <v>2517</v>
      </c>
      <c r="J2546" s="13" t="n">
        <v>9</v>
      </c>
      <c r="K2546" s="13" t="s">
        <v>2478</v>
      </c>
      <c r="L2546" s="13" t="s">
        <v>2257</v>
      </c>
      <c r="M2546" s="13" t="s">
        <v>2518</v>
      </c>
    </row>
    <row r="2547" customFormat="false" ht="15" hidden="false" customHeight="false" outlineLevel="0" collapsed="false">
      <c r="A2547" s="13" t="s">
        <v>628</v>
      </c>
      <c r="B2547" s="13" t="s">
        <v>627</v>
      </c>
      <c r="C2547" s="13" t="s">
        <v>2254</v>
      </c>
      <c r="D2547" s="13" t="s">
        <v>2270</v>
      </c>
      <c r="E2547" s="13" t="s">
        <v>2523</v>
      </c>
      <c r="F2547" s="13" t="s">
        <v>2526</v>
      </c>
      <c r="G2547" s="61" t="n">
        <v>0</v>
      </c>
      <c r="H2547" s="13" t="s">
        <v>2255</v>
      </c>
      <c r="I2547" s="13" t="s">
        <v>2517</v>
      </c>
      <c r="J2547" s="13" t="n">
        <v>9</v>
      </c>
      <c r="K2547" s="13" t="s">
        <v>2478</v>
      </c>
      <c r="L2547" s="13" t="s">
        <v>2257</v>
      </c>
      <c r="M2547" s="13" t="s">
        <v>2518</v>
      </c>
    </row>
    <row r="2548" customFormat="false" ht="15" hidden="false" customHeight="false" outlineLevel="0" collapsed="false">
      <c r="A2548" s="13" t="s">
        <v>628</v>
      </c>
      <c r="B2548" s="13" t="s">
        <v>627</v>
      </c>
      <c r="C2548" s="13" t="s">
        <v>2254</v>
      </c>
      <c r="D2548" s="13" t="s">
        <v>2270</v>
      </c>
      <c r="E2548" s="13" t="s">
        <v>2524</v>
      </c>
      <c r="F2548" s="13" t="s">
        <v>2526</v>
      </c>
      <c r="G2548" s="61" t="n">
        <v>2747326665</v>
      </c>
      <c r="H2548" s="13" t="s">
        <v>2255</v>
      </c>
      <c r="I2548" s="13" t="s">
        <v>2517</v>
      </c>
      <c r="J2548" s="13" t="n">
        <v>9</v>
      </c>
      <c r="K2548" s="13" t="s">
        <v>2478</v>
      </c>
      <c r="L2548" s="13" t="s">
        <v>2257</v>
      </c>
      <c r="M2548" s="13" t="s">
        <v>2518</v>
      </c>
    </row>
    <row r="2549" customFormat="false" ht="15" hidden="false" customHeight="false" outlineLevel="0" collapsed="false">
      <c r="A2549" s="13" t="s">
        <v>628</v>
      </c>
      <c r="B2549" s="13" t="s">
        <v>627</v>
      </c>
      <c r="C2549" s="13" t="s">
        <v>2254</v>
      </c>
      <c r="D2549" s="13" t="s">
        <v>2270</v>
      </c>
      <c r="E2549" s="13" t="s">
        <v>2515</v>
      </c>
      <c r="F2549" s="13" t="s">
        <v>2527</v>
      </c>
      <c r="G2549" s="61" t="n">
        <v>225361161</v>
      </c>
      <c r="H2549" s="13" t="s">
        <v>2255</v>
      </c>
      <c r="I2549" s="13" t="s">
        <v>2517</v>
      </c>
      <c r="J2549" s="13" t="n">
        <v>9</v>
      </c>
      <c r="K2549" s="13" t="s">
        <v>2478</v>
      </c>
      <c r="L2549" s="13" t="s">
        <v>2257</v>
      </c>
      <c r="M2549" s="13" t="s">
        <v>2518</v>
      </c>
    </row>
    <row r="2550" customFormat="false" ht="15" hidden="false" customHeight="false" outlineLevel="0" collapsed="false">
      <c r="A2550" s="13" t="s">
        <v>628</v>
      </c>
      <c r="B2550" s="13" t="s">
        <v>627</v>
      </c>
      <c r="C2550" s="13" t="s">
        <v>2254</v>
      </c>
      <c r="D2550" s="13" t="s">
        <v>2270</v>
      </c>
      <c r="E2550" s="13" t="s">
        <v>2519</v>
      </c>
      <c r="F2550" s="13" t="s">
        <v>2527</v>
      </c>
      <c r="G2550" s="61" t="n">
        <v>0</v>
      </c>
      <c r="H2550" s="13" t="s">
        <v>2255</v>
      </c>
      <c r="I2550" s="13" t="s">
        <v>2517</v>
      </c>
      <c r="J2550" s="13" t="n">
        <v>9</v>
      </c>
      <c r="K2550" s="13" t="s">
        <v>2478</v>
      </c>
      <c r="L2550" s="13" t="s">
        <v>2257</v>
      </c>
      <c r="M2550" s="13" t="s">
        <v>2518</v>
      </c>
    </row>
    <row r="2551" customFormat="false" ht="15" hidden="false" customHeight="false" outlineLevel="0" collapsed="false">
      <c r="A2551" s="13" t="s">
        <v>628</v>
      </c>
      <c r="B2551" s="13" t="s">
        <v>627</v>
      </c>
      <c r="C2551" s="13" t="s">
        <v>2254</v>
      </c>
      <c r="D2551" s="13" t="s">
        <v>2270</v>
      </c>
      <c r="E2551" s="13" t="s">
        <v>2520</v>
      </c>
      <c r="F2551" s="13" t="s">
        <v>2527</v>
      </c>
      <c r="G2551" s="61" t="n">
        <v>0</v>
      </c>
      <c r="H2551" s="13" t="s">
        <v>2255</v>
      </c>
      <c r="I2551" s="13" t="s">
        <v>2517</v>
      </c>
      <c r="J2551" s="13" t="n">
        <v>9</v>
      </c>
      <c r="K2551" s="13" t="s">
        <v>2478</v>
      </c>
      <c r="L2551" s="13" t="s">
        <v>2257</v>
      </c>
      <c r="M2551" s="13" t="s">
        <v>2518</v>
      </c>
    </row>
    <row r="2552" customFormat="false" ht="15" hidden="false" customHeight="false" outlineLevel="0" collapsed="false">
      <c r="A2552" s="13" t="s">
        <v>628</v>
      </c>
      <c r="B2552" s="13" t="s">
        <v>627</v>
      </c>
      <c r="C2552" s="13" t="s">
        <v>2254</v>
      </c>
      <c r="D2552" s="13" t="s">
        <v>2270</v>
      </c>
      <c r="E2552" s="13" t="s">
        <v>2521</v>
      </c>
      <c r="F2552" s="13" t="s">
        <v>2527</v>
      </c>
      <c r="G2552" s="61" t="n">
        <v>1770842463</v>
      </c>
      <c r="H2552" s="13" t="s">
        <v>2255</v>
      </c>
      <c r="I2552" s="13" t="s">
        <v>2517</v>
      </c>
      <c r="J2552" s="13" t="n">
        <v>9</v>
      </c>
      <c r="K2552" s="13" t="s">
        <v>2478</v>
      </c>
      <c r="L2552" s="13" t="s">
        <v>2257</v>
      </c>
      <c r="M2552" s="13" t="s">
        <v>2518</v>
      </c>
    </row>
    <row r="2553" customFormat="false" ht="15" hidden="false" customHeight="false" outlineLevel="0" collapsed="false">
      <c r="A2553" s="13" t="s">
        <v>628</v>
      </c>
      <c r="B2553" s="13" t="s">
        <v>627</v>
      </c>
      <c r="C2553" s="13" t="s">
        <v>2254</v>
      </c>
      <c r="D2553" s="13" t="s">
        <v>2270</v>
      </c>
      <c r="E2553" s="13" t="s">
        <v>2522</v>
      </c>
      <c r="F2553" s="13" t="s">
        <v>2527</v>
      </c>
      <c r="G2553" s="61" t="n">
        <v>6241837907</v>
      </c>
      <c r="H2553" s="13" t="s">
        <v>2255</v>
      </c>
      <c r="I2553" s="13" t="s">
        <v>2517</v>
      </c>
      <c r="J2553" s="13" t="n">
        <v>9</v>
      </c>
      <c r="K2553" s="13" t="s">
        <v>2478</v>
      </c>
      <c r="L2553" s="13" t="s">
        <v>2257</v>
      </c>
      <c r="M2553" s="13" t="s">
        <v>2518</v>
      </c>
    </row>
    <row r="2554" customFormat="false" ht="15" hidden="false" customHeight="false" outlineLevel="0" collapsed="false">
      <c r="A2554" s="13" t="s">
        <v>628</v>
      </c>
      <c r="B2554" s="13" t="s">
        <v>627</v>
      </c>
      <c r="C2554" s="13" t="s">
        <v>2254</v>
      </c>
      <c r="D2554" s="13" t="s">
        <v>2270</v>
      </c>
      <c r="E2554" s="13" t="s">
        <v>2523</v>
      </c>
      <c r="F2554" s="13" t="s">
        <v>2527</v>
      </c>
      <c r="G2554" s="61" t="n">
        <v>-7418647</v>
      </c>
      <c r="H2554" s="13" t="s">
        <v>2255</v>
      </c>
      <c r="I2554" s="13" t="s">
        <v>2517</v>
      </c>
      <c r="J2554" s="13" t="n">
        <v>9</v>
      </c>
      <c r="K2554" s="13" t="s">
        <v>2478</v>
      </c>
      <c r="L2554" s="13" t="s">
        <v>2257</v>
      </c>
      <c r="M2554" s="13" t="s">
        <v>2518</v>
      </c>
    </row>
    <row r="2555" customFormat="false" ht="15" hidden="false" customHeight="false" outlineLevel="0" collapsed="false">
      <c r="A2555" s="13" t="s">
        <v>628</v>
      </c>
      <c r="B2555" s="13" t="s">
        <v>627</v>
      </c>
      <c r="C2555" s="13" t="s">
        <v>2254</v>
      </c>
      <c r="D2555" s="13" t="s">
        <v>2270</v>
      </c>
      <c r="E2555" s="13" t="s">
        <v>2524</v>
      </c>
      <c r="F2555" s="13" t="s">
        <v>2527</v>
      </c>
      <c r="G2555" s="61" t="n">
        <v>8230622884</v>
      </c>
      <c r="H2555" s="13" t="s">
        <v>2255</v>
      </c>
      <c r="I2555" s="13" t="s">
        <v>2517</v>
      </c>
      <c r="J2555" s="13" t="n">
        <v>9</v>
      </c>
      <c r="K2555" s="13" t="s">
        <v>2478</v>
      </c>
      <c r="L2555" s="13" t="s">
        <v>2257</v>
      </c>
      <c r="M2555" s="13" t="s">
        <v>2518</v>
      </c>
    </row>
    <row r="2556" customFormat="false" ht="15" hidden="false" customHeight="false" outlineLevel="0" collapsed="false">
      <c r="A2556" s="13" t="s">
        <v>628</v>
      </c>
      <c r="B2556" s="13" t="s">
        <v>627</v>
      </c>
      <c r="C2556" s="13" t="s">
        <v>2254</v>
      </c>
      <c r="D2556" s="13" t="s">
        <v>2270</v>
      </c>
      <c r="E2556" s="13" t="s">
        <v>2515</v>
      </c>
      <c r="F2556" s="13" t="s">
        <v>2528</v>
      </c>
      <c r="G2556" s="61" t="n">
        <v>593313977</v>
      </c>
      <c r="H2556" s="13" t="s">
        <v>2255</v>
      </c>
      <c r="I2556" s="13" t="s">
        <v>2517</v>
      </c>
      <c r="J2556" s="13" t="n">
        <v>9</v>
      </c>
      <c r="K2556" s="13" t="s">
        <v>2478</v>
      </c>
      <c r="L2556" s="13" t="s">
        <v>2257</v>
      </c>
      <c r="M2556" s="13" t="s">
        <v>2518</v>
      </c>
    </row>
    <row r="2557" customFormat="false" ht="15" hidden="false" customHeight="false" outlineLevel="0" collapsed="false">
      <c r="A2557" s="13" t="s">
        <v>628</v>
      </c>
      <c r="B2557" s="13" t="s">
        <v>627</v>
      </c>
      <c r="C2557" s="13" t="s">
        <v>2254</v>
      </c>
      <c r="D2557" s="13" t="s">
        <v>2270</v>
      </c>
      <c r="E2557" s="13" t="s">
        <v>2519</v>
      </c>
      <c r="F2557" s="13" t="s">
        <v>2528</v>
      </c>
      <c r="G2557" s="61" t="n">
        <v>0</v>
      </c>
      <c r="H2557" s="13" t="s">
        <v>2255</v>
      </c>
      <c r="I2557" s="13" t="s">
        <v>2517</v>
      </c>
      <c r="J2557" s="13" t="n">
        <v>9</v>
      </c>
      <c r="K2557" s="13" t="s">
        <v>2478</v>
      </c>
      <c r="L2557" s="13" t="s">
        <v>2257</v>
      </c>
      <c r="M2557" s="13" t="s">
        <v>2518</v>
      </c>
    </row>
    <row r="2558" customFormat="false" ht="15" hidden="false" customHeight="false" outlineLevel="0" collapsed="false">
      <c r="A2558" s="13" t="s">
        <v>628</v>
      </c>
      <c r="B2558" s="13" t="s">
        <v>627</v>
      </c>
      <c r="C2558" s="13" t="s">
        <v>2254</v>
      </c>
      <c r="D2558" s="13" t="s">
        <v>2270</v>
      </c>
      <c r="E2558" s="13" t="s">
        <v>2520</v>
      </c>
      <c r="F2558" s="13" t="s">
        <v>2528</v>
      </c>
      <c r="G2558" s="61" t="n">
        <v>0</v>
      </c>
      <c r="H2558" s="13" t="s">
        <v>2255</v>
      </c>
      <c r="I2558" s="13" t="s">
        <v>2517</v>
      </c>
      <c r="J2558" s="13" t="n">
        <v>9</v>
      </c>
      <c r="K2558" s="13" t="s">
        <v>2478</v>
      </c>
      <c r="L2558" s="13" t="s">
        <v>2257</v>
      </c>
      <c r="M2558" s="13" t="s">
        <v>2518</v>
      </c>
    </row>
    <row r="2559" customFormat="false" ht="15" hidden="false" customHeight="false" outlineLevel="0" collapsed="false">
      <c r="A2559" s="13" t="s">
        <v>628</v>
      </c>
      <c r="B2559" s="13" t="s">
        <v>627</v>
      </c>
      <c r="C2559" s="13" t="s">
        <v>2254</v>
      </c>
      <c r="D2559" s="13" t="s">
        <v>2270</v>
      </c>
      <c r="E2559" s="13" t="s">
        <v>2521</v>
      </c>
      <c r="F2559" s="13" t="s">
        <v>2528</v>
      </c>
      <c r="G2559" s="61" t="n">
        <v>-242159284</v>
      </c>
      <c r="H2559" s="13" t="s">
        <v>2255</v>
      </c>
      <c r="I2559" s="13" t="s">
        <v>2517</v>
      </c>
      <c r="J2559" s="13" t="n">
        <v>9</v>
      </c>
      <c r="K2559" s="13" t="s">
        <v>2478</v>
      </c>
      <c r="L2559" s="13" t="s">
        <v>2257</v>
      </c>
      <c r="M2559" s="13" t="s">
        <v>2518</v>
      </c>
    </row>
    <row r="2560" customFormat="false" ht="15" hidden="false" customHeight="false" outlineLevel="0" collapsed="false">
      <c r="A2560" s="13" t="s">
        <v>628</v>
      </c>
      <c r="B2560" s="13" t="s">
        <v>627</v>
      </c>
      <c r="C2560" s="13" t="s">
        <v>2254</v>
      </c>
      <c r="D2560" s="13" t="s">
        <v>2270</v>
      </c>
      <c r="E2560" s="13" t="s">
        <v>2522</v>
      </c>
      <c r="F2560" s="13" t="s">
        <v>2528</v>
      </c>
      <c r="G2560" s="61" t="n">
        <v>0</v>
      </c>
      <c r="H2560" s="13" t="s">
        <v>2255</v>
      </c>
      <c r="I2560" s="13" t="s">
        <v>2517</v>
      </c>
      <c r="J2560" s="13" t="n">
        <v>9</v>
      </c>
      <c r="K2560" s="13" t="s">
        <v>2478</v>
      </c>
      <c r="L2560" s="13" t="s">
        <v>2257</v>
      </c>
      <c r="M2560" s="13" t="s">
        <v>2518</v>
      </c>
    </row>
    <row r="2561" customFormat="false" ht="15" hidden="false" customHeight="false" outlineLevel="0" collapsed="false">
      <c r="A2561" s="13" t="s">
        <v>628</v>
      </c>
      <c r="B2561" s="13" t="s">
        <v>627</v>
      </c>
      <c r="C2561" s="13" t="s">
        <v>2254</v>
      </c>
      <c r="D2561" s="13" t="s">
        <v>2270</v>
      </c>
      <c r="E2561" s="13" t="s">
        <v>2523</v>
      </c>
      <c r="F2561" s="13" t="s">
        <v>2528</v>
      </c>
      <c r="G2561" s="61" t="n">
        <v>206124166</v>
      </c>
      <c r="H2561" s="13" t="s">
        <v>2255</v>
      </c>
      <c r="I2561" s="13" t="s">
        <v>2517</v>
      </c>
      <c r="J2561" s="13" t="n">
        <v>9</v>
      </c>
      <c r="K2561" s="13" t="s">
        <v>2478</v>
      </c>
      <c r="L2561" s="13" t="s">
        <v>2257</v>
      </c>
      <c r="M2561" s="13" t="s">
        <v>2518</v>
      </c>
    </row>
    <row r="2562" customFormat="false" ht="15" hidden="false" customHeight="false" outlineLevel="0" collapsed="false">
      <c r="A2562" s="13" t="s">
        <v>628</v>
      </c>
      <c r="B2562" s="13" t="s">
        <v>627</v>
      </c>
      <c r="C2562" s="13" t="s">
        <v>2254</v>
      </c>
      <c r="D2562" s="13" t="s">
        <v>2270</v>
      </c>
      <c r="E2562" s="13" t="s">
        <v>2524</v>
      </c>
      <c r="F2562" s="13" t="s">
        <v>2528</v>
      </c>
      <c r="G2562" s="61" t="n">
        <v>557278859</v>
      </c>
      <c r="H2562" s="13" t="s">
        <v>2255</v>
      </c>
      <c r="I2562" s="13" t="s">
        <v>2517</v>
      </c>
      <c r="J2562" s="13" t="n">
        <v>9</v>
      </c>
      <c r="K2562" s="13" t="s">
        <v>2478</v>
      </c>
      <c r="L2562" s="13" t="s">
        <v>2257</v>
      </c>
      <c r="M2562" s="13" t="s">
        <v>2518</v>
      </c>
    </row>
    <row r="2563" customFormat="false" ht="15" hidden="false" customHeight="false" outlineLevel="0" collapsed="false">
      <c r="A2563" s="13" t="s">
        <v>628</v>
      </c>
      <c r="B2563" s="13" t="s">
        <v>627</v>
      </c>
      <c r="C2563" s="13" t="s">
        <v>2254</v>
      </c>
      <c r="D2563" s="13" t="s">
        <v>2270</v>
      </c>
      <c r="E2563" s="13" t="s">
        <v>2515</v>
      </c>
      <c r="F2563" s="13" t="s">
        <v>2529</v>
      </c>
      <c r="G2563" s="61" t="n">
        <v>753388098</v>
      </c>
      <c r="H2563" s="13" t="s">
        <v>2255</v>
      </c>
      <c r="I2563" s="13" t="s">
        <v>2517</v>
      </c>
      <c r="J2563" s="13" t="n">
        <v>9</v>
      </c>
      <c r="K2563" s="13" t="s">
        <v>2478</v>
      </c>
      <c r="L2563" s="13" t="s">
        <v>2257</v>
      </c>
      <c r="M2563" s="13" t="s">
        <v>2518</v>
      </c>
    </row>
    <row r="2564" customFormat="false" ht="15" hidden="false" customHeight="false" outlineLevel="0" collapsed="false">
      <c r="A2564" s="13" t="s">
        <v>628</v>
      </c>
      <c r="B2564" s="13" t="s">
        <v>627</v>
      </c>
      <c r="C2564" s="13" t="s">
        <v>2254</v>
      </c>
      <c r="D2564" s="13" t="s">
        <v>2270</v>
      </c>
      <c r="E2564" s="13" t="s">
        <v>2519</v>
      </c>
      <c r="F2564" s="13" t="s">
        <v>2529</v>
      </c>
      <c r="G2564" s="61" t="n">
        <v>0</v>
      </c>
      <c r="H2564" s="13" t="s">
        <v>2255</v>
      </c>
      <c r="I2564" s="13" t="s">
        <v>2517</v>
      </c>
      <c r="J2564" s="13" t="n">
        <v>9</v>
      </c>
      <c r="K2564" s="13" t="s">
        <v>2478</v>
      </c>
      <c r="L2564" s="13" t="s">
        <v>2257</v>
      </c>
      <c r="M2564" s="13" t="s">
        <v>2518</v>
      </c>
    </row>
    <row r="2565" customFormat="false" ht="15" hidden="false" customHeight="false" outlineLevel="0" collapsed="false">
      <c r="A2565" s="13" t="s">
        <v>628</v>
      </c>
      <c r="B2565" s="13" t="s">
        <v>627</v>
      </c>
      <c r="C2565" s="13" t="s">
        <v>2254</v>
      </c>
      <c r="D2565" s="13" t="s">
        <v>2270</v>
      </c>
      <c r="E2565" s="13" t="s">
        <v>2520</v>
      </c>
      <c r="F2565" s="13" t="s">
        <v>2529</v>
      </c>
      <c r="G2565" s="61" t="n">
        <v>0</v>
      </c>
      <c r="H2565" s="13" t="s">
        <v>2255</v>
      </c>
      <c r="I2565" s="13" t="s">
        <v>2517</v>
      </c>
      <c r="J2565" s="13" t="n">
        <v>9</v>
      </c>
      <c r="K2565" s="13" t="s">
        <v>2478</v>
      </c>
      <c r="L2565" s="13" t="s">
        <v>2257</v>
      </c>
      <c r="M2565" s="13" t="s">
        <v>2518</v>
      </c>
    </row>
    <row r="2566" customFormat="false" ht="15" hidden="false" customHeight="false" outlineLevel="0" collapsed="false">
      <c r="A2566" s="13" t="s">
        <v>628</v>
      </c>
      <c r="B2566" s="13" t="s">
        <v>627</v>
      </c>
      <c r="C2566" s="13" t="s">
        <v>2254</v>
      </c>
      <c r="D2566" s="13" t="s">
        <v>2270</v>
      </c>
      <c r="E2566" s="13" t="s">
        <v>2521</v>
      </c>
      <c r="F2566" s="13" t="s">
        <v>2529</v>
      </c>
      <c r="G2566" s="61" t="n">
        <v>-104887543</v>
      </c>
      <c r="H2566" s="13" t="s">
        <v>2255</v>
      </c>
      <c r="I2566" s="13" t="s">
        <v>2517</v>
      </c>
      <c r="J2566" s="13" t="n">
        <v>9</v>
      </c>
      <c r="K2566" s="13" t="s">
        <v>2478</v>
      </c>
      <c r="L2566" s="13" t="s">
        <v>2257</v>
      </c>
      <c r="M2566" s="13" t="s">
        <v>2518</v>
      </c>
    </row>
    <row r="2567" customFormat="false" ht="15" hidden="false" customHeight="false" outlineLevel="0" collapsed="false">
      <c r="A2567" s="13" t="s">
        <v>628</v>
      </c>
      <c r="B2567" s="13" t="s">
        <v>627</v>
      </c>
      <c r="C2567" s="13" t="s">
        <v>2254</v>
      </c>
      <c r="D2567" s="13" t="s">
        <v>2270</v>
      </c>
      <c r="E2567" s="13" t="s">
        <v>2522</v>
      </c>
      <c r="F2567" s="13" t="s">
        <v>2529</v>
      </c>
      <c r="G2567" s="61" t="n">
        <v>0</v>
      </c>
      <c r="H2567" s="13" t="s">
        <v>2255</v>
      </c>
      <c r="I2567" s="13" t="s">
        <v>2517</v>
      </c>
      <c r="J2567" s="13" t="n">
        <v>9</v>
      </c>
      <c r="K2567" s="13" t="s">
        <v>2478</v>
      </c>
      <c r="L2567" s="13" t="s">
        <v>2257</v>
      </c>
      <c r="M2567" s="13" t="s">
        <v>2518</v>
      </c>
    </row>
    <row r="2568" customFormat="false" ht="15" hidden="false" customHeight="false" outlineLevel="0" collapsed="false">
      <c r="A2568" s="13" t="s">
        <v>628</v>
      </c>
      <c r="B2568" s="13" t="s">
        <v>627</v>
      </c>
      <c r="C2568" s="13" t="s">
        <v>2254</v>
      </c>
      <c r="D2568" s="13" t="s">
        <v>2270</v>
      </c>
      <c r="E2568" s="13" t="s">
        <v>2523</v>
      </c>
      <c r="F2568" s="13" t="s">
        <v>2529</v>
      </c>
      <c r="G2568" s="61" t="n">
        <v>-4147625</v>
      </c>
      <c r="H2568" s="13" t="s">
        <v>2255</v>
      </c>
      <c r="I2568" s="13" t="s">
        <v>2517</v>
      </c>
      <c r="J2568" s="13" t="n">
        <v>9</v>
      </c>
      <c r="K2568" s="13" t="s">
        <v>2478</v>
      </c>
      <c r="L2568" s="13" t="s">
        <v>2257</v>
      </c>
      <c r="M2568" s="13" t="s">
        <v>2518</v>
      </c>
    </row>
    <row r="2569" customFormat="false" ht="15" hidden="false" customHeight="false" outlineLevel="0" collapsed="false">
      <c r="A2569" s="13" t="s">
        <v>628</v>
      </c>
      <c r="B2569" s="13" t="s">
        <v>627</v>
      </c>
      <c r="C2569" s="13" t="s">
        <v>2254</v>
      </c>
      <c r="D2569" s="13" t="s">
        <v>2270</v>
      </c>
      <c r="E2569" s="13" t="s">
        <v>2524</v>
      </c>
      <c r="F2569" s="13" t="s">
        <v>2529</v>
      </c>
      <c r="G2569" s="61" t="n">
        <v>644352930</v>
      </c>
      <c r="H2569" s="13" t="s">
        <v>2255</v>
      </c>
      <c r="I2569" s="13" t="s">
        <v>2517</v>
      </c>
      <c r="J2569" s="13" t="n">
        <v>9</v>
      </c>
      <c r="K2569" s="13" t="s">
        <v>2478</v>
      </c>
      <c r="L2569" s="13" t="s">
        <v>2257</v>
      </c>
      <c r="M2569" s="13" t="s">
        <v>2518</v>
      </c>
    </row>
    <row r="2570" customFormat="false" ht="15" hidden="false" customHeight="false" outlineLevel="0" collapsed="false">
      <c r="A2570" s="13" t="s">
        <v>628</v>
      </c>
      <c r="B2570" s="13" t="s">
        <v>627</v>
      </c>
      <c r="C2570" s="13" t="s">
        <v>2254</v>
      </c>
      <c r="D2570" s="13" t="s">
        <v>2270</v>
      </c>
      <c r="E2570" s="13" t="s">
        <v>2515</v>
      </c>
      <c r="F2570" s="13" t="s">
        <v>2530</v>
      </c>
      <c r="G2570" s="61" t="n">
        <v>514431477</v>
      </c>
      <c r="H2570" s="13" t="s">
        <v>2255</v>
      </c>
      <c r="I2570" s="13" t="s">
        <v>2517</v>
      </c>
      <c r="J2570" s="13" t="n">
        <v>9</v>
      </c>
      <c r="K2570" s="13" t="s">
        <v>2478</v>
      </c>
      <c r="L2570" s="13" t="s">
        <v>2257</v>
      </c>
      <c r="M2570" s="13" t="s">
        <v>2518</v>
      </c>
    </row>
    <row r="2571" customFormat="false" ht="15" hidden="false" customHeight="false" outlineLevel="0" collapsed="false">
      <c r="A2571" s="13" t="s">
        <v>628</v>
      </c>
      <c r="B2571" s="13" t="s">
        <v>627</v>
      </c>
      <c r="C2571" s="13" t="s">
        <v>2254</v>
      </c>
      <c r="D2571" s="13" t="s">
        <v>2270</v>
      </c>
      <c r="E2571" s="13" t="s">
        <v>2519</v>
      </c>
      <c r="F2571" s="13" t="s">
        <v>2530</v>
      </c>
      <c r="G2571" s="61" t="n">
        <v>0</v>
      </c>
      <c r="H2571" s="13" t="s">
        <v>2255</v>
      </c>
      <c r="I2571" s="13" t="s">
        <v>2517</v>
      </c>
      <c r="J2571" s="13" t="n">
        <v>9</v>
      </c>
      <c r="K2571" s="13" t="s">
        <v>2478</v>
      </c>
      <c r="L2571" s="13" t="s">
        <v>2257</v>
      </c>
      <c r="M2571" s="13" t="s">
        <v>2518</v>
      </c>
    </row>
    <row r="2572" customFormat="false" ht="15" hidden="false" customHeight="false" outlineLevel="0" collapsed="false">
      <c r="A2572" s="13" t="s">
        <v>628</v>
      </c>
      <c r="B2572" s="13" t="s">
        <v>627</v>
      </c>
      <c r="C2572" s="13" t="s">
        <v>2254</v>
      </c>
      <c r="D2572" s="13" t="s">
        <v>2270</v>
      </c>
      <c r="E2572" s="13" t="s">
        <v>2520</v>
      </c>
      <c r="F2572" s="13" t="s">
        <v>2530</v>
      </c>
      <c r="G2572" s="61" t="n">
        <v>0</v>
      </c>
      <c r="H2572" s="13" t="s">
        <v>2255</v>
      </c>
      <c r="I2572" s="13" t="s">
        <v>2517</v>
      </c>
      <c r="J2572" s="13" t="n">
        <v>9</v>
      </c>
      <c r="K2572" s="13" t="s">
        <v>2478</v>
      </c>
      <c r="L2572" s="13" t="s">
        <v>2257</v>
      </c>
      <c r="M2572" s="13" t="s">
        <v>2518</v>
      </c>
    </row>
    <row r="2573" customFormat="false" ht="15" hidden="false" customHeight="false" outlineLevel="0" collapsed="false">
      <c r="A2573" s="13" t="s">
        <v>628</v>
      </c>
      <c r="B2573" s="13" t="s">
        <v>627</v>
      </c>
      <c r="C2573" s="13" t="s">
        <v>2254</v>
      </c>
      <c r="D2573" s="13" t="s">
        <v>2270</v>
      </c>
      <c r="E2573" s="13" t="s">
        <v>2521</v>
      </c>
      <c r="F2573" s="13" t="s">
        <v>2530</v>
      </c>
      <c r="G2573" s="61" t="n">
        <v>-22974559</v>
      </c>
      <c r="H2573" s="13" t="s">
        <v>2255</v>
      </c>
      <c r="I2573" s="13" t="s">
        <v>2517</v>
      </c>
      <c r="J2573" s="13" t="n">
        <v>9</v>
      </c>
      <c r="K2573" s="13" t="s">
        <v>2478</v>
      </c>
      <c r="L2573" s="13" t="s">
        <v>2257</v>
      </c>
      <c r="M2573" s="13" t="s">
        <v>2518</v>
      </c>
    </row>
    <row r="2574" customFormat="false" ht="15" hidden="false" customHeight="false" outlineLevel="0" collapsed="false">
      <c r="A2574" s="13" t="s">
        <v>628</v>
      </c>
      <c r="B2574" s="13" t="s">
        <v>627</v>
      </c>
      <c r="C2574" s="13" t="s">
        <v>2254</v>
      </c>
      <c r="D2574" s="13" t="s">
        <v>2270</v>
      </c>
      <c r="E2574" s="13" t="s">
        <v>2522</v>
      </c>
      <c r="F2574" s="13" t="s">
        <v>2530</v>
      </c>
      <c r="G2574" s="61" t="n">
        <v>0</v>
      </c>
      <c r="H2574" s="13" t="s">
        <v>2255</v>
      </c>
      <c r="I2574" s="13" t="s">
        <v>2517</v>
      </c>
      <c r="J2574" s="13" t="n">
        <v>9</v>
      </c>
      <c r="K2574" s="13" t="s">
        <v>2478</v>
      </c>
      <c r="L2574" s="13" t="s">
        <v>2257</v>
      </c>
      <c r="M2574" s="13" t="s">
        <v>2518</v>
      </c>
    </row>
    <row r="2575" customFormat="false" ht="15" hidden="false" customHeight="false" outlineLevel="0" collapsed="false">
      <c r="A2575" s="13" t="s">
        <v>628</v>
      </c>
      <c r="B2575" s="13" t="s">
        <v>627</v>
      </c>
      <c r="C2575" s="13" t="s">
        <v>2254</v>
      </c>
      <c r="D2575" s="13" t="s">
        <v>2270</v>
      </c>
      <c r="E2575" s="13" t="s">
        <v>2523</v>
      </c>
      <c r="F2575" s="13" t="s">
        <v>2530</v>
      </c>
      <c r="G2575" s="61" t="n">
        <v>0</v>
      </c>
      <c r="H2575" s="13" t="s">
        <v>2255</v>
      </c>
      <c r="I2575" s="13" t="s">
        <v>2517</v>
      </c>
      <c r="J2575" s="13" t="n">
        <v>9</v>
      </c>
      <c r="K2575" s="13" t="s">
        <v>2478</v>
      </c>
      <c r="L2575" s="13" t="s">
        <v>2257</v>
      </c>
      <c r="M2575" s="13" t="s">
        <v>2518</v>
      </c>
    </row>
    <row r="2576" customFormat="false" ht="15" hidden="false" customHeight="false" outlineLevel="0" collapsed="false">
      <c r="A2576" s="13" t="s">
        <v>628</v>
      </c>
      <c r="B2576" s="13" t="s">
        <v>627</v>
      </c>
      <c r="C2576" s="13" t="s">
        <v>2254</v>
      </c>
      <c r="D2576" s="13" t="s">
        <v>2270</v>
      </c>
      <c r="E2576" s="13" t="s">
        <v>2524</v>
      </c>
      <c r="F2576" s="13" t="s">
        <v>2530</v>
      </c>
      <c r="G2576" s="61" t="n">
        <v>491456918</v>
      </c>
      <c r="H2576" s="13" t="s">
        <v>2255</v>
      </c>
      <c r="I2576" s="13" t="s">
        <v>2517</v>
      </c>
      <c r="J2576" s="13" t="n">
        <v>9</v>
      </c>
      <c r="K2576" s="13" t="s">
        <v>2478</v>
      </c>
      <c r="L2576" s="13" t="s">
        <v>2257</v>
      </c>
      <c r="M2576" s="13" t="s">
        <v>2518</v>
      </c>
    </row>
    <row r="2577" customFormat="false" ht="15" hidden="false" customHeight="false" outlineLevel="0" collapsed="false">
      <c r="A2577" s="13" t="s">
        <v>628</v>
      </c>
      <c r="B2577" s="13" t="s">
        <v>627</v>
      </c>
      <c r="C2577" s="13" t="s">
        <v>2254</v>
      </c>
      <c r="D2577" s="13" t="s">
        <v>2270</v>
      </c>
      <c r="E2577" s="13" t="s">
        <v>2515</v>
      </c>
      <c r="F2577" s="13" t="s">
        <v>2531</v>
      </c>
      <c r="G2577" s="61" t="n">
        <v>433191617</v>
      </c>
      <c r="H2577" s="13" t="s">
        <v>2255</v>
      </c>
      <c r="I2577" s="13" t="s">
        <v>2517</v>
      </c>
      <c r="J2577" s="13" t="n">
        <v>9</v>
      </c>
      <c r="K2577" s="13" t="s">
        <v>2478</v>
      </c>
      <c r="L2577" s="13" t="s">
        <v>2257</v>
      </c>
      <c r="M2577" s="13" t="s">
        <v>2518</v>
      </c>
    </row>
    <row r="2578" customFormat="false" ht="15" hidden="false" customHeight="false" outlineLevel="0" collapsed="false">
      <c r="A2578" s="13" t="s">
        <v>628</v>
      </c>
      <c r="B2578" s="13" t="s">
        <v>627</v>
      </c>
      <c r="C2578" s="13" t="s">
        <v>2254</v>
      </c>
      <c r="D2578" s="13" t="s">
        <v>2270</v>
      </c>
      <c r="E2578" s="13" t="s">
        <v>2519</v>
      </c>
      <c r="F2578" s="13" t="s">
        <v>2531</v>
      </c>
      <c r="G2578" s="61" t="n">
        <v>0</v>
      </c>
      <c r="H2578" s="13" t="s">
        <v>2255</v>
      </c>
      <c r="I2578" s="13" t="s">
        <v>2517</v>
      </c>
      <c r="J2578" s="13" t="n">
        <v>9</v>
      </c>
      <c r="K2578" s="13" t="s">
        <v>2478</v>
      </c>
      <c r="L2578" s="13" t="s">
        <v>2257</v>
      </c>
      <c r="M2578" s="13" t="s">
        <v>2518</v>
      </c>
    </row>
    <row r="2579" customFormat="false" ht="15" hidden="false" customHeight="false" outlineLevel="0" collapsed="false">
      <c r="A2579" s="13" t="s">
        <v>628</v>
      </c>
      <c r="B2579" s="13" t="s">
        <v>627</v>
      </c>
      <c r="C2579" s="13" t="s">
        <v>2254</v>
      </c>
      <c r="D2579" s="13" t="s">
        <v>2270</v>
      </c>
      <c r="E2579" s="13" t="s">
        <v>2520</v>
      </c>
      <c r="F2579" s="13" t="s">
        <v>2531</v>
      </c>
      <c r="G2579" s="61" t="n">
        <v>0</v>
      </c>
      <c r="H2579" s="13" t="s">
        <v>2255</v>
      </c>
      <c r="I2579" s="13" t="s">
        <v>2517</v>
      </c>
      <c r="J2579" s="13" t="n">
        <v>9</v>
      </c>
      <c r="K2579" s="13" t="s">
        <v>2478</v>
      </c>
      <c r="L2579" s="13" t="s">
        <v>2257</v>
      </c>
      <c r="M2579" s="13" t="s">
        <v>2518</v>
      </c>
    </row>
    <row r="2580" customFormat="false" ht="15" hidden="false" customHeight="false" outlineLevel="0" collapsed="false">
      <c r="A2580" s="13" t="s">
        <v>628</v>
      </c>
      <c r="B2580" s="13" t="s">
        <v>627</v>
      </c>
      <c r="C2580" s="13" t="s">
        <v>2254</v>
      </c>
      <c r="D2580" s="13" t="s">
        <v>2270</v>
      </c>
      <c r="E2580" s="13" t="s">
        <v>2521</v>
      </c>
      <c r="F2580" s="13" t="s">
        <v>2531</v>
      </c>
      <c r="G2580" s="61" t="n">
        <v>-44015948</v>
      </c>
      <c r="H2580" s="13" t="s">
        <v>2255</v>
      </c>
      <c r="I2580" s="13" t="s">
        <v>2517</v>
      </c>
      <c r="J2580" s="13" t="n">
        <v>9</v>
      </c>
      <c r="K2580" s="13" t="s">
        <v>2478</v>
      </c>
      <c r="L2580" s="13" t="s">
        <v>2257</v>
      </c>
      <c r="M2580" s="13" t="s">
        <v>2518</v>
      </c>
    </row>
    <row r="2581" customFormat="false" ht="15" hidden="false" customHeight="false" outlineLevel="0" collapsed="false">
      <c r="A2581" s="13" t="s">
        <v>628</v>
      </c>
      <c r="B2581" s="13" t="s">
        <v>627</v>
      </c>
      <c r="C2581" s="13" t="s">
        <v>2254</v>
      </c>
      <c r="D2581" s="13" t="s">
        <v>2270</v>
      </c>
      <c r="E2581" s="13" t="s">
        <v>2522</v>
      </c>
      <c r="F2581" s="13" t="s">
        <v>2531</v>
      </c>
      <c r="G2581" s="61" t="n">
        <v>0</v>
      </c>
      <c r="H2581" s="13" t="s">
        <v>2255</v>
      </c>
      <c r="I2581" s="13" t="s">
        <v>2517</v>
      </c>
      <c r="J2581" s="13" t="n">
        <v>9</v>
      </c>
      <c r="K2581" s="13" t="s">
        <v>2478</v>
      </c>
      <c r="L2581" s="13" t="s">
        <v>2257</v>
      </c>
      <c r="M2581" s="13" t="s">
        <v>2518</v>
      </c>
    </row>
    <row r="2582" customFormat="false" ht="15" hidden="false" customHeight="false" outlineLevel="0" collapsed="false">
      <c r="A2582" s="13" t="s">
        <v>628</v>
      </c>
      <c r="B2582" s="13" t="s">
        <v>627</v>
      </c>
      <c r="C2582" s="13" t="s">
        <v>2254</v>
      </c>
      <c r="D2582" s="13" t="s">
        <v>2270</v>
      </c>
      <c r="E2582" s="13" t="s">
        <v>2523</v>
      </c>
      <c r="F2582" s="13" t="s">
        <v>2531</v>
      </c>
      <c r="G2582" s="61" t="n">
        <v>-32616554</v>
      </c>
      <c r="H2582" s="13" t="s">
        <v>2255</v>
      </c>
      <c r="I2582" s="13" t="s">
        <v>2517</v>
      </c>
      <c r="J2582" s="13" t="n">
        <v>9</v>
      </c>
      <c r="K2582" s="13" t="s">
        <v>2478</v>
      </c>
      <c r="L2582" s="13" t="s">
        <v>2257</v>
      </c>
      <c r="M2582" s="13" t="s">
        <v>2518</v>
      </c>
    </row>
    <row r="2583" customFormat="false" ht="15" hidden="false" customHeight="false" outlineLevel="0" collapsed="false">
      <c r="A2583" s="13" t="s">
        <v>628</v>
      </c>
      <c r="B2583" s="13" t="s">
        <v>627</v>
      </c>
      <c r="C2583" s="13" t="s">
        <v>2254</v>
      </c>
      <c r="D2583" s="13" t="s">
        <v>2270</v>
      </c>
      <c r="E2583" s="13" t="s">
        <v>2524</v>
      </c>
      <c r="F2583" s="13" t="s">
        <v>2531</v>
      </c>
      <c r="G2583" s="61" t="n">
        <v>356559115</v>
      </c>
      <c r="H2583" s="13" t="s">
        <v>2255</v>
      </c>
      <c r="I2583" s="13" t="s">
        <v>2517</v>
      </c>
      <c r="J2583" s="13" t="n">
        <v>9</v>
      </c>
      <c r="K2583" s="13" t="s">
        <v>2478</v>
      </c>
      <c r="L2583" s="13" t="s">
        <v>2257</v>
      </c>
      <c r="M2583" s="13" t="s">
        <v>2518</v>
      </c>
    </row>
    <row r="2584" customFormat="false" ht="15" hidden="false" customHeight="false" outlineLevel="0" collapsed="false">
      <c r="A2584" s="13" t="s">
        <v>628</v>
      </c>
      <c r="B2584" s="13" t="s">
        <v>627</v>
      </c>
      <c r="C2584" s="13" t="s">
        <v>2254</v>
      </c>
      <c r="D2584" s="13" t="s">
        <v>2270</v>
      </c>
      <c r="E2584" s="13" t="s">
        <v>2515</v>
      </c>
      <c r="F2584" s="13" t="s">
        <v>2532</v>
      </c>
      <c r="G2584" s="61" t="n">
        <v>-64803602</v>
      </c>
      <c r="H2584" s="13" t="s">
        <v>2255</v>
      </c>
      <c r="I2584" s="13" t="s">
        <v>2517</v>
      </c>
      <c r="J2584" s="13" t="n">
        <v>9</v>
      </c>
      <c r="K2584" s="13" t="s">
        <v>2478</v>
      </c>
      <c r="L2584" s="13" t="s">
        <v>2257</v>
      </c>
      <c r="M2584" s="13" t="s">
        <v>2518</v>
      </c>
    </row>
    <row r="2585" customFormat="false" ht="15" hidden="false" customHeight="false" outlineLevel="0" collapsed="false">
      <c r="A2585" s="13" t="s">
        <v>628</v>
      </c>
      <c r="B2585" s="13" t="s">
        <v>627</v>
      </c>
      <c r="C2585" s="13" t="s">
        <v>2254</v>
      </c>
      <c r="D2585" s="13" t="s">
        <v>2270</v>
      </c>
      <c r="E2585" s="13" t="s">
        <v>2519</v>
      </c>
      <c r="F2585" s="13" t="s">
        <v>2532</v>
      </c>
      <c r="G2585" s="61" t="n">
        <v>0</v>
      </c>
      <c r="H2585" s="13" t="s">
        <v>2255</v>
      </c>
      <c r="I2585" s="13" t="s">
        <v>2517</v>
      </c>
      <c r="J2585" s="13" t="n">
        <v>9</v>
      </c>
      <c r="K2585" s="13" t="s">
        <v>2478</v>
      </c>
      <c r="L2585" s="13" t="s">
        <v>2257</v>
      </c>
      <c r="M2585" s="13" t="s">
        <v>2518</v>
      </c>
    </row>
    <row r="2586" customFormat="false" ht="15" hidden="false" customHeight="false" outlineLevel="0" collapsed="false">
      <c r="A2586" s="13" t="s">
        <v>628</v>
      </c>
      <c r="B2586" s="13" t="s">
        <v>627</v>
      </c>
      <c r="C2586" s="13" t="s">
        <v>2254</v>
      </c>
      <c r="D2586" s="13" t="s">
        <v>2270</v>
      </c>
      <c r="E2586" s="13" t="s">
        <v>2520</v>
      </c>
      <c r="F2586" s="13" t="s">
        <v>2532</v>
      </c>
      <c r="G2586" s="61" t="n">
        <v>0</v>
      </c>
      <c r="H2586" s="13" t="s">
        <v>2255</v>
      </c>
      <c r="I2586" s="13" t="s">
        <v>2517</v>
      </c>
      <c r="J2586" s="13" t="n">
        <v>9</v>
      </c>
      <c r="K2586" s="13" t="s">
        <v>2478</v>
      </c>
      <c r="L2586" s="13" t="s">
        <v>2257</v>
      </c>
      <c r="M2586" s="13" t="s">
        <v>2518</v>
      </c>
    </row>
    <row r="2587" customFormat="false" ht="15" hidden="false" customHeight="false" outlineLevel="0" collapsed="false">
      <c r="A2587" s="13" t="s">
        <v>628</v>
      </c>
      <c r="B2587" s="13" t="s">
        <v>627</v>
      </c>
      <c r="C2587" s="13" t="s">
        <v>2254</v>
      </c>
      <c r="D2587" s="13" t="s">
        <v>2270</v>
      </c>
      <c r="E2587" s="13" t="s">
        <v>2521</v>
      </c>
      <c r="F2587" s="13" t="s">
        <v>2532</v>
      </c>
      <c r="G2587" s="61" t="n">
        <v>-90373414</v>
      </c>
      <c r="H2587" s="13" t="s">
        <v>2255</v>
      </c>
      <c r="I2587" s="13" t="s">
        <v>2517</v>
      </c>
      <c r="J2587" s="13" t="n">
        <v>9</v>
      </c>
      <c r="K2587" s="13" t="s">
        <v>2478</v>
      </c>
      <c r="L2587" s="13" t="s">
        <v>2257</v>
      </c>
      <c r="M2587" s="13" t="s">
        <v>2518</v>
      </c>
    </row>
    <row r="2588" customFormat="false" ht="15" hidden="false" customHeight="false" outlineLevel="0" collapsed="false">
      <c r="A2588" s="13" t="s">
        <v>628</v>
      </c>
      <c r="B2588" s="13" t="s">
        <v>627</v>
      </c>
      <c r="C2588" s="13" t="s">
        <v>2254</v>
      </c>
      <c r="D2588" s="13" t="s">
        <v>2270</v>
      </c>
      <c r="E2588" s="13" t="s">
        <v>2522</v>
      </c>
      <c r="F2588" s="13" t="s">
        <v>2532</v>
      </c>
      <c r="G2588" s="61" t="n">
        <v>0</v>
      </c>
      <c r="H2588" s="13" t="s">
        <v>2255</v>
      </c>
      <c r="I2588" s="13" t="s">
        <v>2517</v>
      </c>
      <c r="J2588" s="13" t="n">
        <v>9</v>
      </c>
      <c r="K2588" s="13" t="s">
        <v>2478</v>
      </c>
      <c r="L2588" s="13" t="s">
        <v>2257</v>
      </c>
      <c r="M2588" s="13" t="s">
        <v>2518</v>
      </c>
    </row>
    <row r="2589" customFormat="false" ht="15" hidden="false" customHeight="false" outlineLevel="0" collapsed="false">
      <c r="A2589" s="13" t="s">
        <v>628</v>
      </c>
      <c r="B2589" s="13" t="s">
        <v>627</v>
      </c>
      <c r="C2589" s="13" t="s">
        <v>2254</v>
      </c>
      <c r="D2589" s="13" t="s">
        <v>2270</v>
      </c>
      <c r="E2589" s="13" t="s">
        <v>2523</v>
      </c>
      <c r="F2589" s="13" t="s">
        <v>2532</v>
      </c>
      <c r="G2589" s="61" t="n">
        <v>0</v>
      </c>
      <c r="H2589" s="13" t="s">
        <v>2255</v>
      </c>
      <c r="I2589" s="13" t="s">
        <v>2517</v>
      </c>
      <c r="J2589" s="13" t="n">
        <v>9</v>
      </c>
      <c r="K2589" s="13" t="s">
        <v>2478</v>
      </c>
      <c r="L2589" s="13" t="s">
        <v>2257</v>
      </c>
      <c r="M2589" s="13" t="s">
        <v>2518</v>
      </c>
    </row>
    <row r="2590" customFormat="false" ht="15" hidden="false" customHeight="false" outlineLevel="0" collapsed="false">
      <c r="A2590" s="13" t="s">
        <v>628</v>
      </c>
      <c r="B2590" s="13" t="s">
        <v>627</v>
      </c>
      <c r="C2590" s="13" t="s">
        <v>2254</v>
      </c>
      <c r="D2590" s="13" t="s">
        <v>2270</v>
      </c>
      <c r="E2590" s="13" t="s">
        <v>2524</v>
      </c>
      <c r="F2590" s="13" t="s">
        <v>2532</v>
      </c>
      <c r="G2590" s="61" t="n">
        <v>-155177016</v>
      </c>
      <c r="H2590" s="13" t="s">
        <v>2255</v>
      </c>
      <c r="I2590" s="13" t="s">
        <v>2517</v>
      </c>
      <c r="J2590" s="13" t="n">
        <v>9</v>
      </c>
      <c r="K2590" s="13" t="s">
        <v>2478</v>
      </c>
      <c r="L2590" s="13" t="s">
        <v>2257</v>
      </c>
      <c r="M2590" s="13" t="s">
        <v>2518</v>
      </c>
    </row>
    <row r="2591" customFormat="false" ht="15" hidden="false" customHeight="false" outlineLevel="0" collapsed="false">
      <c r="A2591" s="13" t="s">
        <v>628</v>
      </c>
      <c r="B2591" s="13" t="s">
        <v>627</v>
      </c>
      <c r="C2591" s="13" t="s">
        <v>2254</v>
      </c>
      <c r="D2591" s="13" t="s">
        <v>2270</v>
      </c>
      <c r="E2591" s="13" t="s">
        <v>2515</v>
      </c>
      <c r="F2591" s="13" t="s">
        <v>2533</v>
      </c>
      <c r="G2591" s="61" t="n">
        <v>-261001412</v>
      </c>
      <c r="H2591" s="13" t="s">
        <v>2255</v>
      </c>
      <c r="I2591" s="13" t="s">
        <v>2517</v>
      </c>
      <c r="J2591" s="13" t="n">
        <v>9</v>
      </c>
      <c r="K2591" s="13" t="s">
        <v>2478</v>
      </c>
      <c r="L2591" s="13" t="s">
        <v>2257</v>
      </c>
      <c r="M2591" s="13" t="s">
        <v>2518</v>
      </c>
    </row>
    <row r="2592" customFormat="false" ht="15" hidden="false" customHeight="false" outlineLevel="0" collapsed="false">
      <c r="A2592" s="13" t="s">
        <v>628</v>
      </c>
      <c r="B2592" s="13" t="s">
        <v>627</v>
      </c>
      <c r="C2592" s="13" t="s">
        <v>2254</v>
      </c>
      <c r="D2592" s="13" t="s">
        <v>2270</v>
      </c>
      <c r="E2592" s="13" t="s">
        <v>2519</v>
      </c>
      <c r="F2592" s="13" t="s">
        <v>2533</v>
      </c>
      <c r="G2592" s="61" t="n">
        <v>0</v>
      </c>
      <c r="H2592" s="13" t="s">
        <v>2255</v>
      </c>
      <c r="I2592" s="13" t="s">
        <v>2517</v>
      </c>
      <c r="J2592" s="13" t="n">
        <v>9</v>
      </c>
      <c r="K2592" s="13" t="s">
        <v>2478</v>
      </c>
      <c r="L2592" s="13" t="s">
        <v>2257</v>
      </c>
      <c r="M2592" s="13" t="s">
        <v>2518</v>
      </c>
    </row>
    <row r="2593" customFormat="false" ht="15" hidden="false" customHeight="false" outlineLevel="0" collapsed="false">
      <c r="A2593" s="13" t="s">
        <v>628</v>
      </c>
      <c r="B2593" s="13" t="s">
        <v>627</v>
      </c>
      <c r="C2593" s="13" t="s">
        <v>2254</v>
      </c>
      <c r="D2593" s="13" t="s">
        <v>2270</v>
      </c>
      <c r="E2593" s="13" t="s">
        <v>2520</v>
      </c>
      <c r="F2593" s="13" t="s">
        <v>2533</v>
      </c>
      <c r="G2593" s="61" t="n">
        <v>0</v>
      </c>
      <c r="H2593" s="13" t="s">
        <v>2255</v>
      </c>
      <c r="I2593" s="13" t="s">
        <v>2517</v>
      </c>
      <c r="J2593" s="13" t="n">
        <v>9</v>
      </c>
      <c r="K2593" s="13" t="s">
        <v>2478</v>
      </c>
      <c r="L2593" s="13" t="s">
        <v>2257</v>
      </c>
      <c r="M2593" s="13" t="s">
        <v>2518</v>
      </c>
    </row>
    <row r="2594" customFormat="false" ht="15" hidden="false" customHeight="false" outlineLevel="0" collapsed="false">
      <c r="A2594" s="13" t="s">
        <v>628</v>
      </c>
      <c r="B2594" s="13" t="s">
        <v>627</v>
      </c>
      <c r="C2594" s="13" t="s">
        <v>2254</v>
      </c>
      <c r="D2594" s="13" t="s">
        <v>2270</v>
      </c>
      <c r="E2594" s="13" t="s">
        <v>2521</v>
      </c>
      <c r="F2594" s="13" t="s">
        <v>2533</v>
      </c>
      <c r="G2594" s="61" t="n">
        <v>556696583</v>
      </c>
      <c r="H2594" s="13" t="s">
        <v>2255</v>
      </c>
      <c r="I2594" s="13" t="s">
        <v>2517</v>
      </c>
      <c r="J2594" s="13" t="n">
        <v>9</v>
      </c>
      <c r="K2594" s="13" t="s">
        <v>2478</v>
      </c>
      <c r="L2594" s="13" t="s">
        <v>2257</v>
      </c>
      <c r="M2594" s="13" t="s">
        <v>2518</v>
      </c>
    </row>
    <row r="2595" customFormat="false" ht="15" hidden="false" customHeight="false" outlineLevel="0" collapsed="false">
      <c r="A2595" s="13" t="s">
        <v>628</v>
      </c>
      <c r="B2595" s="13" t="s">
        <v>627</v>
      </c>
      <c r="C2595" s="13" t="s">
        <v>2254</v>
      </c>
      <c r="D2595" s="13" t="s">
        <v>2270</v>
      </c>
      <c r="E2595" s="13" t="s">
        <v>2522</v>
      </c>
      <c r="F2595" s="13" t="s">
        <v>2533</v>
      </c>
      <c r="G2595" s="61" t="n">
        <v>0</v>
      </c>
      <c r="H2595" s="13" t="s">
        <v>2255</v>
      </c>
      <c r="I2595" s="13" t="s">
        <v>2517</v>
      </c>
      <c r="J2595" s="13" t="n">
        <v>9</v>
      </c>
      <c r="K2595" s="13" t="s">
        <v>2478</v>
      </c>
      <c r="L2595" s="13" t="s">
        <v>2257</v>
      </c>
      <c r="M2595" s="13" t="s">
        <v>2518</v>
      </c>
    </row>
    <row r="2596" customFormat="false" ht="15" hidden="false" customHeight="false" outlineLevel="0" collapsed="false">
      <c r="A2596" s="13" t="s">
        <v>628</v>
      </c>
      <c r="B2596" s="13" t="s">
        <v>627</v>
      </c>
      <c r="C2596" s="13" t="s">
        <v>2254</v>
      </c>
      <c r="D2596" s="13" t="s">
        <v>2270</v>
      </c>
      <c r="E2596" s="13" t="s">
        <v>2523</v>
      </c>
      <c r="F2596" s="13" t="s">
        <v>2533</v>
      </c>
      <c r="G2596" s="61" t="n">
        <v>81166692</v>
      </c>
      <c r="H2596" s="13" t="s">
        <v>2255</v>
      </c>
      <c r="I2596" s="13" t="s">
        <v>2517</v>
      </c>
      <c r="J2596" s="13" t="n">
        <v>9</v>
      </c>
      <c r="K2596" s="13" t="s">
        <v>2478</v>
      </c>
      <c r="L2596" s="13" t="s">
        <v>2257</v>
      </c>
      <c r="M2596" s="13" t="s">
        <v>2518</v>
      </c>
    </row>
    <row r="2597" customFormat="false" ht="15" hidden="false" customHeight="false" outlineLevel="0" collapsed="false">
      <c r="A2597" s="13" t="s">
        <v>628</v>
      </c>
      <c r="B2597" s="13" t="s">
        <v>627</v>
      </c>
      <c r="C2597" s="13" t="s">
        <v>2254</v>
      </c>
      <c r="D2597" s="13" t="s">
        <v>2270</v>
      </c>
      <c r="E2597" s="13" t="s">
        <v>2524</v>
      </c>
      <c r="F2597" s="13" t="s">
        <v>2533</v>
      </c>
      <c r="G2597" s="61" t="n">
        <v>376861863</v>
      </c>
      <c r="H2597" s="13" t="s">
        <v>2255</v>
      </c>
      <c r="I2597" s="13" t="s">
        <v>2517</v>
      </c>
      <c r="J2597" s="13" t="n">
        <v>9</v>
      </c>
      <c r="K2597" s="13" t="s">
        <v>2478</v>
      </c>
      <c r="L2597" s="13" t="s">
        <v>2257</v>
      </c>
      <c r="M2597" s="13" t="s">
        <v>2518</v>
      </c>
    </row>
    <row r="2598" customFormat="false" ht="15" hidden="false" customHeight="false" outlineLevel="0" collapsed="false">
      <c r="A2598" s="13" t="s">
        <v>628</v>
      </c>
      <c r="B2598" s="13" t="s">
        <v>627</v>
      </c>
      <c r="C2598" s="13" t="s">
        <v>2254</v>
      </c>
      <c r="D2598" s="13" t="s">
        <v>2270</v>
      </c>
      <c r="E2598" s="13" t="s">
        <v>2515</v>
      </c>
      <c r="F2598" s="13" t="s">
        <v>2290</v>
      </c>
      <c r="G2598" s="61" t="n">
        <v>47012084029</v>
      </c>
      <c r="H2598" s="13" t="s">
        <v>2255</v>
      </c>
      <c r="I2598" s="13" t="s">
        <v>2517</v>
      </c>
      <c r="J2598" s="13" t="n">
        <v>9</v>
      </c>
      <c r="K2598" s="13" t="s">
        <v>2478</v>
      </c>
      <c r="L2598" s="13" t="s">
        <v>2257</v>
      </c>
      <c r="M2598" s="13" t="s">
        <v>2518</v>
      </c>
    </row>
    <row r="2599" customFormat="false" ht="15" hidden="false" customHeight="false" outlineLevel="0" collapsed="false">
      <c r="A2599" s="13" t="s">
        <v>628</v>
      </c>
      <c r="B2599" s="13" t="s">
        <v>627</v>
      </c>
      <c r="C2599" s="13" t="s">
        <v>2254</v>
      </c>
      <c r="D2599" s="13" t="s">
        <v>2270</v>
      </c>
      <c r="E2599" s="13" t="s">
        <v>2519</v>
      </c>
      <c r="F2599" s="13" t="s">
        <v>2290</v>
      </c>
      <c r="G2599" s="61" t="n">
        <v>0</v>
      </c>
      <c r="H2599" s="13" t="s">
        <v>2255</v>
      </c>
      <c r="I2599" s="13" t="s">
        <v>2517</v>
      </c>
      <c r="J2599" s="13" t="n">
        <v>9</v>
      </c>
      <c r="K2599" s="13" t="s">
        <v>2478</v>
      </c>
      <c r="L2599" s="13" t="s">
        <v>2257</v>
      </c>
      <c r="M2599" s="13" t="s">
        <v>2518</v>
      </c>
    </row>
    <row r="2600" customFormat="false" ht="15" hidden="false" customHeight="false" outlineLevel="0" collapsed="false">
      <c r="A2600" s="13" t="s">
        <v>628</v>
      </c>
      <c r="B2600" s="13" t="s">
        <v>627</v>
      </c>
      <c r="C2600" s="13" t="s">
        <v>2254</v>
      </c>
      <c r="D2600" s="13" t="s">
        <v>2270</v>
      </c>
      <c r="E2600" s="13" t="s">
        <v>2520</v>
      </c>
      <c r="F2600" s="13" t="s">
        <v>2290</v>
      </c>
      <c r="G2600" s="61" t="n">
        <v>0</v>
      </c>
      <c r="H2600" s="13" t="s">
        <v>2255</v>
      </c>
      <c r="I2600" s="13" t="s">
        <v>2517</v>
      </c>
      <c r="J2600" s="13" t="n">
        <v>9</v>
      </c>
      <c r="K2600" s="13" t="s">
        <v>2478</v>
      </c>
      <c r="L2600" s="13" t="s">
        <v>2257</v>
      </c>
      <c r="M2600" s="13" t="s">
        <v>2518</v>
      </c>
    </row>
    <row r="2601" customFormat="false" ht="15" hidden="false" customHeight="false" outlineLevel="0" collapsed="false">
      <c r="A2601" s="13" t="s">
        <v>628</v>
      </c>
      <c r="B2601" s="13" t="s">
        <v>627</v>
      </c>
      <c r="C2601" s="13" t="s">
        <v>2254</v>
      </c>
      <c r="D2601" s="13" t="s">
        <v>2270</v>
      </c>
      <c r="E2601" s="13" t="s">
        <v>2521</v>
      </c>
      <c r="F2601" s="13" t="s">
        <v>2290</v>
      </c>
      <c r="G2601" s="61" t="n">
        <v>29669046423</v>
      </c>
      <c r="H2601" s="13" t="s">
        <v>2255</v>
      </c>
      <c r="I2601" s="13" t="s">
        <v>2517</v>
      </c>
      <c r="J2601" s="13" t="n">
        <v>9</v>
      </c>
      <c r="K2601" s="13" t="s">
        <v>2478</v>
      </c>
      <c r="L2601" s="13" t="s">
        <v>2257</v>
      </c>
      <c r="M2601" s="13" t="s">
        <v>2518</v>
      </c>
    </row>
    <row r="2602" customFormat="false" ht="15" hidden="false" customHeight="false" outlineLevel="0" collapsed="false">
      <c r="A2602" s="13" t="s">
        <v>628</v>
      </c>
      <c r="B2602" s="13" t="s">
        <v>627</v>
      </c>
      <c r="C2602" s="13" t="s">
        <v>2254</v>
      </c>
      <c r="D2602" s="13" t="s">
        <v>2270</v>
      </c>
      <c r="E2602" s="13" t="s">
        <v>2522</v>
      </c>
      <c r="F2602" s="13" t="s">
        <v>2290</v>
      </c>
      <c r="G2602" s="61" t="n">
        <v>-21781031700</v>
      </c>
      <c r="H2602" s="13" t="s">
        <v>2255</v>
      </c>
      <c r="I2602" s="13" t="s">
        <v>2517</v>
      </c>
      <c r="J2602" s="13" t="n">
        <v>9</v>
      </c>
      <c r="K2602" s="13" t="s">
        <v>2478</v>
      </c>
      <c r="L2602" s="13" t="s">
        <v>2257</v>
      </c>
      <c r="M2602" s="13" t="s">
        <v>2518</v>
      </c>
    </row>
    <row r="2603" customFormat="false" ht="15" hidden="false" customHeight="false" outlineLevel="0" collapsed="false">
      <c r="A2603" s="13" t="s">
        <v>628</v>
      </c>
      <c r="B2603" s="13" t="s">
        <v>627</v>
      </c>
      <c r="C2603" s="13" t="s">
        <v>2254</v>
      </c>
      <c r="D2603" s="13" t="s">
        <v>2270</v>
      </c>
      <c r="E2603" s="13" t="s">
        <v>2523</v>
      </c>
      <c r="F2603" s="13" t="s">
        <v>2290</v>
      </c>
      <c r="G2603" s="61" t="n">
        <v>-437923710</v>
      </c>
      <c r="H2603" s="13" t="s">
        <v>2255</v>
      </c>
      <c r="I2603" s="13" t="s">
        <v>2517</v>
      </c>
      <c r="J2603" s="13" t="n">
        <v>9</v>
      </c>
      <c r="K2603" s="13" t="s">
        <v>2478</v>
      </c>
      <c r="L2603" s="13" t="s">
        <v>2257</v>
      </c>
      <c r="M2603" s="13" t="s">
        <v>2518</v>
      </c>
    </row>
    <row r="2604" customFormat="false" ht="15" hidden="false" customHeight="false" outlineLevel="0" collapsed="false">
      <c r="A2604" s="13" t="s">
        <v>628</v>
      </c>
      <c r="B2604" s="13" t="s">
        <v>627</v>
      </c>
      <c r="C2604" s="13" t="s">
        <v>2254</v>
      </c>
      <c r="D2604" s="13" t="s">
        <v>2270</v>
      </c>
      <c r="E2604" s="13" t="s">
        <v>2524</v>
      </c>
      <c r="F2604" s="13" t="s">
        <v>2290</v>
      </c>
      <c r="G2604" s="61" t="n">
        <v>54462175042</v>
      </c>
      <c r="H2604" s="13" t="s">
        <v>2255</v>
      </c>
      <c r="I2604" s="13" t="s">
        <v>2517</v>
      </c>
      <c r="J2604" s="13" t="n">
        <v>9</v>
      </c>
      <c r="K2604" s="13" t="s">
        <v>2478</v>
      </c>
      <c r="L2604" s="13" t="s">
        <v>2257</v>
      </c>
      <c r="M2604" s="13" t="s">
        <v>2518</v>
      </c>
    </row>
    <row r="2605" customFormat="false" ht="15" hidden="false" customHeight="false" outlineLevel="0" collapsed="false">
      <c r="A2605" s="13" t="s">
        <v>628</v>
      </c>
      <c r="B2605" s="13" t="s">
        <v>627</v>
      </c>
      <c r="C2605" s="13" t="s">
        <v>2258</v>
      </c>
      <c r="D2605" s="13" t="s">
        <v>2270</v>
      </c>
      <c r="E2605" s="13" t="s">
        <v>2515</v>
      </c>
      <c r="F2605" s="13" t="s">
        <v>2516</v>
      </c>
      <c r="G2605" s="61" t="n">
        <v>23339196997</v>
      </c>
      <c r="H2605" s="13" t="s">
        <v>2255</v>
      </c>
      <c r="I2605" s="13" t="s">
        <v>2517</v>
      </c>
      <c r="J2605" s="13" t="n">
        <v>6</v>
      </c>
      <c r="K2605" s="13" t="s">
        <v>2478</v>
      </c>
      <c r="L2605" s="13" t="s">
        <v>2260</v>
      </c>
      <c r="M2605" s="13" t="s">
        <v>2518</v>
      </c>
    </row>
    <row r="2606" customFormat="false" ht="15" hidden="false" customHeight="false" outlineLevel="0" collapsed="false">
      <c r="A2606" s="13" t="s">
        <v>628</v>
      </c>
      <c r="B2606" s="13" t="s">
        <v>627</v>
      </c>
      <c r="C2606" s="13" t="s">
        <v>2258</v>
      </c>
      <c r="D2606" s="13" t="s">
        <v>2270</v>
      </c>
      <c r="E2606" s="13" t="s">
        <v>2519</v>
      </c>
      <c r="F2606" s="13" t="s">
        <v>2516</v>
      </c>
      <c r="G2606" s="61" t="n">
        <v>0</v>
      </c>
      <c r="H2606" s="13" t="s">
        <v>2255</v>
      </c>
      <c r="I2606" s="13" t="s">
        <v>2517</v>
      </c>
      <c r="J2606" s="13" t="n">
        <v>6</v>
      </c>
      <c r="K2606" s="13" t="s">
        <v>2478</v>
      </c>
      <c r="L2606" s="13" t="s">
        <v>2260</v>
      </c>
      <c r="M2606" s="13" t="s">
        <v>2518</v>
      </c>
    </row>
    <row r="2607" customFormat="false" ht="15" hidden="false" customHeight="false" outlineLevel="0" collapsed="false">
      <c r="A2607" s="13" t="s">
        <v>628</v>
      </c>
      <c r="B2607" s="13" t="s">
        <v>627</v>
      </c>
      <c r="C2607" s="13" t="s">
        <v>2258</v>
      </c>
      <c r="D2607" s="13" t="s">
        <v>2270</v>
      </c>
      <c r="E2607" s="13" t="s">
        <v>2520</v>
      </c>
      <c r="F2607" s="13" t="s">
        <v>2516</v>
      </c>
      <c r="G2607" s="61" t="n">
        <v>0</v>
      </c>
      <c r="H2607" s="13" t="s">
        <v>2255</v>
      </c>
      <c r="I2607" s="13" t="s">
        <v>2517</v>
      </c>
      <c r="J2607" s="13" t="n">
        <v>6</v>
      </c>
      <c r="K2607" s="13" t="s">
        <v>2478</v>
      </c>
      <c r="L2607" s="13" t="s">
        <v>2260</v>
      </c>
      <c r="M2607" s="13" t="s">
        <v>2518</v>
      </c>
    </row>
    <row r="2608" customFormat="false" ht="15" hidden="false" customHeight="false" outlineLevel="0" collapsed="false">
      <c r="A2608" s="13" t="s">
        <v>628</v>
      </c>
      <c r="B2608" s="13" t="s">
        <v>627</v>
      </c>
      <c r="C2608" s="13" t="s">
        <v>2258</v>
      </c>
      <c r="D2608" s="13" t="s">
        <v>2270</v>
      </c>
      <c r="E2608" s="13" t="s">
        <v>2521</v>
      </c>
      <c r="F2608" s="13" t="s">
        <v>2516</v>
      </c>
      <c r="G2608" s="61" t="n">
        <v>26216096177</v>
      </c>
      <c r="H2608" s="13" t="s">
        <v>2255</v>
      </c>
      <c r="I2608" s="13" t="s">
        <v>2517</v>
      </c>
      <c r="J2608" s="13" t="n">
        <v>6</v>
      </c>
      <c r="K2608" s="13" t="s">
        <v>2478</v>
      </c>
      <c r="L2608" s="13" t="s">
        <v>2260</v>
      </c>
      <c r="M2608" s="13" t="s">
        <v>2518</v>
      </c>
    </row>
    <row r="2609" customFormat="false" ht="15" hidden="false" customHeight="false" outlineLevel="0" collapsed="false">
      <c r="A2609" s="13" t="s">
        <v>628</v>
      </c>
      <c r="B2609" s="13" t="s">
        <v>627</v>
      </c>
      <c r="C2609" s="13" t="s">
        <v>2258</v>
      </c>
      <c r="D2609" s="13" t="s">
        <v>2270</v>
      </c>
      <c r="E2609" s="13" t="s">
        <v>2522</v>
      </c>
      <c r="F2609" s="13" t="s">
        <v>2516</v>
      </c>
      <c r="G2609" s="61" t="n">
        <v>1581559380</v>
      </c>
      <c r="H2609" s="13" t="s">
        <v>2255</v>
      </c>
      <c r="I2609" s="13" t="s">
        <v>2517</v>
      </c>
      <c r="J2609" s="13" t="n">
        <v>6</v>
      </c>
      <c r="K2609" s="13" t="s">
        <v>2478</v>
      </c>
      <c r="L2609" s="13" t="s">
        <v>2260</v>
      </c>
      <c r="M2609" s="13" t="s">
        <v>2518</v>
      </c>
    </row>
    <row r="2610" customFormat="false" ht="15" hidden="false" customHeight="false" outlineLevel="0" collapsed="false">
      <c r="A2610" s="13" t="s">
        <v>628</v>
      </c>
      <c r="B2610" s="13" t="s">
        <v>627</v>
      </c>
      <c r="C2610" s="13" t="s">
        <v>2258</v>
      </c>
      <c r="D2610" s="13" t="s">
        <v>2270</v>
      </c>
      <c r="E2610" s="13" t="s">
        <v>2523</v>
      </c>
      <c r="F2610" s="13" t="s">
        <v>2516</v>
      </c>
      <c r="G2610" s="61" t="n">
        <v>-799294925</v>
      </c>
      <c r="H2610" s="13" t="s">
        <v>2255</v>
      </c>
      <c r="I2610" s="13" t="s">
        <v>2517</v>
      </c>
      <c r="J2610" s="13" t="n">
        <v>6</v>
      </c>
      <c r="K2610" s="13" t="s">
        <v>2478</v>
      </c>
      <c r="L2610" s="13" t="s">
        <v>2260</v>
      </c>
      <c r="M2610" s="13" t="s">
        <v>2518</v>
      </c>
    </row>
    <row r="2611" customFormat="false" ht="15" hidden="false" customHeight="false" outlineLevel="0" collapsed="false">
      <c r="A2611" s="13" t="s">
        <v>628</v>
      </c>
      <c r="B2611" s="13" t="s">
        <v>627</v>
      </c>
      <c r="C2611" s="13" t="s">
        <v>2258</v>
      </c>
      <c r="D2611" s="13" t="s">
        <v>2270</v>
      </c>
      <c r="E2611" s="13" t="s">
        <v>2524</v>
      </c>
      <c r="F2611" s="13" t="s">
        <v>2516</v>
      </c>
      <c r="G2611" s="61" t="n">
        <v>50337557629</v>
      </c>
      <c r="H2611" s="13" t="s">
        <v>2255</v>
      </c>
      <c r="I2611" s="13" t="s">
        <v>2517</v>
      </c>
      <c r="J2611" s="13" t="n">
        <v>6</v>
      </c>
      <c r="K2611" s="13" t="s">
        <v>2478</v>
      </c>
      <c r="L2611" s="13" t="s">
        <v>2260</v>
      </c>
      <c r="M2611" s="13" t="s">
        <v>2518</v>
      </c>
    </row>
    <row r="2612" customFormat="false" ht="15" hidden="false" customHeight="false" outlineLevel="0" collapsed="false">
      <c r="A2612" s="13" t="s">
        <v>628</v>
      </c>
      <c r="B2612" s="13" t="s">
        <v>627</v>
      </c>
      <c r="C2612" s="13" t="s">
        <v>2258</v>
      </c>
      <c r="D2612" s="13" t="s">
        <v>2270</v>
      </c>
      <c r="E2612" s="13" t="s">
        <v>2515</v>
      </c>
      <c r="F2612" s="13" t="s">
        <v>2525</v>
      </c>
      <c r="G2612" s="61" t="n">
        <v>26378475607</v>
      </c>
      <c r="H2612" s="13" t="s">
        <v>2255</v>
      </c>
      <c r="I2612" s="13" t="s">
        <v>2517</v>
      </c>
      <c r="J2612" s="13" t="n">
        <v>6</v>
      </c>
      <c r="K2612" s="13" t="s">
        <v>2478</v>
      </c>
      <c r="L2612" s="13" t="s">
        <v>2260</v>
      </c>
      <c r="M2612" s="13" t="s">
        <v>2518</v>
      </c>
    </row>
    <row r="2613" customFormat="false" ht="15" hidden="false" customHeight="false" outlineLevel="0" collapsed="false">
      <c r="A2613" s="13" t="s">
        <v>628</v>
      </c>
      <c r="B2613" s="13" t="s">
        <v>627</v>
      </c>
      <c r="C2613" s="13" t="s">
        <v>2258</v>
      </c>
      <c r="D2613" s="13" t="s">
        <v>2270</v>
      </c>
      <c r="E2613" s="13" t="s">
        <v>2519</v>
      </c>
      <c r="F2613" s="13" t="s">
        <v>2525</v>
      </c>
      <c r="G2613" s="61" t="n">
        <v>0</v>
      </c>
      <c r="H2613" s="13" t="s">
        <v>2255</v>
      </c>
      <c r="I2613" s="13" t="s">
        <v>2517</v>
      </c>
      <c r="J2613" s="13" t="n">
        <v>6</v>
      </c>
      <c r="K2613" s="13" t="s">
        <v>2478</v>
      </c>
      <c r="L2613" s="13" t="s">
        <v>2260</v>
      </c>
      <c r="M2613" s="13" t="s">
        <v>2518</v>
      </c>
    </row>
    <row r="2614" customFormat="false" ht="15" hidden="false" customHeight="false" outlineLevel="0" collapsed="false">
      <c r="A2614" s="13" t="s">
        <v>628</v>
      </c>
      <c r="B2614" s="13" t="s">
        <v>627</v>
      </c>
      <c r="C2614" s="13" t="s">
        <v>2258</v>
      </c>
      <c r="D2614" s="13" t="s">
        <v>2270</v>
      </c>
      <c r="E2614" s="13" t="s">
        <v>2520</v>
      </c>
      <c r="F2614" s="13" t="s">
        <v>2525</v>
      </c>
      <c r="G2614" s="61" t="n">
        <v>0</v>
      </c>
      <c r="H2614" s="13" t="s">
        <v>2255</v>
      </c>
      <c r="I2614" s="13" t="s">
        <v>2517</v>
      </c>
      <c r="J2614" s="13" t="n">
        <v>6</v>
      </c>
      <c r="K2614" s="13" t="s">
        <v>2478</v>
      </c>
      <c r="L2614" s="13" t="s">
        <v>2260</v>
      </c>
      <c r="M2614" s="13" t="s">
        <v>2518</v>
      </c>
    </row>
    <row r="2615" customFormat="false" ht="15" hidden="false" customHeight="false" outlineLevel="0" collapsed="false">
      <c r="A2615" s="13" t="s">
        <v>628</v>
      </c>
      <c r="B2615" s="13" t="s">
        <v>627</v>
      </c>
      <c r="C2615" s="13" t="s">
        <v>2258</v>
      </c>
      <c r="D2615" s="13" t="s">
        <v>2270</v>
      </c>
      <c r="E2615" s="13" t="s">
        <v>2521</v>
      </c>
      <c r="F2615" s="13" t="s">
        <v>2525</v>
      </c>
      <c r="G2615" s="61" t="n">
        <v>58517663099</v>
      </c>
      <c r="H2615" s="13" t="s">
        <v>2255</v>
      </c>
      <c r="I2615" s="13" t="s">
        <v>2517</v>
      </c>
      <c r="J2615" s="13" t="n">
        <v>6</v>
      </c>
      <c r="K2615" s="13" t="s">
        <v>2478</v>
      </c>
      <c r="L2615" s="13" t="s">
        <v>2260</v>
      </c>
      <c r="M2615" s="13" t="s">
        <v>2518</v>
      </c>
    </row>
    <row r="2616" customFormat="false" ht="15" hidden="false" customHeight="false" outlineLevel="0" collapsed="false">
      <c r="A2616" s="13" t="s">
        <v>628</v>
      </c>
      <c r="B2616" s="13" t="s">
        <v>627</v>
      </c>
      <c r="C2616" s="13" t="s">
        <v>2258</v>
      </c>
      <c r="D2616" s="13" t="s">
        <v>2270</v>
      </c>
      <c r="E2616" s="13" t="s">
        <v>2522</v>
      </c>
      <c r="F2616" s="13" t="s">
        <v>2525</v>
      </c>
      <c r="G2616" s="61" t="n">
        <v>-1354800000</v>
      </c>
      <c r="H2616" s="13" t="s">
        <v>2255</v>
      </c>
      <c r="I2616" s="13" t="s">
        <v>2517</v>
      </c>
      <c r="J2616" s="13" t="n">
        <v>6</v>
      </c>
      <c r="K2616" s="13" t="s">
        <v>2478</v>
      </c>
      <c r="L2616" s="13" t="s">
        <v>2260</v>
      </c>
      <c r="M2616" s="13" t="s">
        <v>2518</v>
      </c>
    </row>
    <row r="2617" customFormat="false" ht="15" hidden="false" customHeight="false" outlineLevel="0" collapsed="false">
      <c r="A2617" s="13" t="s">
        <v>628</v>
      </c>
      <c r="B2617" s="13" t="s">
        <v>627</v>
      </c>
      <c r="C2617" s="13" t="s">
        <v>2258</v>
      </c>
      <c r="D2617" s="13" t="s">
        <v>2270</v>
      </c>
      <c r="E2617" s="13" t="s">
        <v>2523</v>
      </c>
      <c r="F2617" s="13" t="s">
        <v>2525</v>
      </c>
      <c r="G2617" s="61" t="n">
        <v>-483876670</v>
      </c>
      <c r="H2617" s="13" t="s">
        <v>2255</v>
      </c>
      <c r="I2617" s="13" t="s">
        <v>2517</v>
      </c>
      <c r="J2617" s="13" t="n">
        <v>6</v>
      </c>
      <c r="K2617" s="13" t="s">
        <v>2478</v>
      </c>
      <c r="L2617" s="13" t="s">
        <v>2260</v>
      </c>
      <c r="M2617" s="13" t="s">
        <v>2518</v>
      </c>
    </row>
    <row r="2618" customFormat="false" ht="15" hidden="false" customHeight="false" outlineLevel="0" collapsed="false">
      <c r="A2618" s="13" t="s">
        <v>628</v>
      </c>
      <c r="B2618" s="13" t="s">
        <v>627</v>
      </c>
      <c r="C2618" s="13" t="s">
        <v>2258</v>
      </c>
      <c r="D2618" s="13" t="s">
        <v>2270</v>
      </c>
      <c r="E2618" s="13" t="s">
        <v>2524</v>
      </c>
      <c r="F2618" s="13" t="s">
        <v>2525</v>
      </c>
      <c r="G2618" s="61" t="n">
        <v>83057462036</v>
      </c>
      <c r="H2618" s="13" t="s">
        <v>2255</v>
      </c>
      <c r="I2618" s="13" t="s">
        <v>2517</v>
      </c>
      <c r="J2618" s="13" t="n">
        <v>6</v>
      </c>
      <c r="K2618" s="13" t="s">
        <v>2478</v>
      </c>
      <c r="L2618" s="13" t="s">
        <v>2260</v>
      </c>
      <c r="M2618" s="13" t="s">
        <v>2518</v>
      </c>
    </row>
    <row r="2619" customFormat="false" ht="15" hidden="false" customHeight="false" outlineLevel="0" collapsed="false">
      <c r="A2619" s="13" t="s">
        <v>628</v>
      </c>
      <c r="B2619" s="13" t="s">
        <v>627</v>
      </c>
      <c r="C2619" s="13" t="s">
        <v>2258</v>
      </c>
      <c r="D2619" s="13" t="s">
        <v>2270</v>
      </c>
      <c r="E2619" s="13" t="s">
        <v>2515</v>
      </c>
      <c r="F2619" s="13" t="s">
        <v>2526</v>
      </c>
      <c r="G2619" s="61" t="n">
        <v>2747326665</v>
      </c>
      <c r="H2619" s="13" t="s">
        <v>2255</v>
      </c>
      <c r="I2619" s="13" t="s">
        <v>2517</v>
      </c>
      <c r="J2619" s="13" t="n">
        <v>6</v>
      </c>
      <c r="K2619" s="13" t="s">
        <v>2478</v>
      </c>
      <c r="L2619" s="13" t="s">
        <v>2260</v>
      </c>
      <c r="M2619" s="13" t="s">
        <v>2518</v>
      </c>
    </row>
    <row r="2620" customFormat="false" ht="15" hidden="false" customHeight="false" outlineLevel="0" collapsed="false">
      <c r="A2620" s="13" t="s">
        <v>628</v>
      </c>
      <c r="B2620" s="13" t="s">
        <v>627</v>
      </c>
      <c r="C2620" s="13" t="s">
        <v>2258</v>
      </c>
      <c r="D2620" s="13" t="s">
        <v>2270</v>
      </c>
      <c r="E2620" s="13" t="s">
        <v>2519</v>
      </c>
      <c r="F2620" s="13" t="s">
        <v>2526</v>
      </c>
      <c r="G2620" s="61" t="n">
        <v>0</v>
      </c>
      <c r="H2620" s="13" t="s">
        <v>2255</v>
      </c>
      <c r="I2620" s="13" t="s">
        <v>2517</v>
      </c>
      <c r="J2620" s="13" t="n">
        <v>6</v>
      </c>
      <c r="K2620" s="13" t="s">
        <v>2478</v>
      </c>
      <c r="L2620" s="13" t="s">
        <v>2260</v>
      </c>
      <c r="M2620" s="13" t="s">
        <v>2518</v>
      </c>
    </row>
    <row r="2621" customFormat="false" ht="15" hidden="false" customHeight="false" outlineLevel="0" collapsed="false">
      <c r="A2621" s="13" t="s">
        <v>628</v>
      </c>
      <c r="B2621" s="13" t="s">
        <v>627</v>
      </c>
      <c r="C2621" s="13" t="s">
        <v>2258</v>
      </c>
      <c r="D2621" s="13" t="s">
        <v>2270</v>
      </c>
      <c r="E2621" s="13" t="s">
        <v>2520</v>
      </c>
      <c r="F2621" s="13" t="s">
        <v>2526</v>
      </c>
      <c r="G2621" s="61" t="n">
        <v>0</v>
      </c>
      <c r="H2621" s="13" t="s">
        <v>2255</v>
      </c>
      <c r="I2621" s="13" t="s">
        <v>2517</v>
      </c>
      <c r="J2621" s="13" t="n">
        <v>6</v>
      </c>
      <c r="K2621" s="13" t="s">
        <v>2478</v>
      </c>
      <c r="L2621" s="13" t="s">
        <v>2260</v>
      </c>
      <c r="M2621" s="13" t="s">
        <v>2518</v>
      </c>
    </row>
    <row r="2622" customFormat="false" ht="15" hidden="false" customHeight="false" outlineLevel="0" collapsed="false">
      <c r="A2622" s="13" t="s">
        <v>628</v>
      </c>
      <c r="B2622" s="13" t="s">
        <v>627</v>
      </c>
      <c r="C2622" s="13" t="s">
        <v>2258</v>
      </c>
      <c r="D2622" s="13" t="s">
        <v>2270</v>
      </c>
      <c r="E2622" s="13" t="s">
        <v>2521</v>
      </c>
      <c r="F2622" s="13" t="s">
        <v>2526</v>
      </c>
      <c r="G2622" s="61" t="n">
        <v>195308606</v>
      </c>
      <c r="H2622" s="13" t="s">
        <v>2255</v>
      </c>
      <c r="I2622" s="13" t="s">
        <v>2517</v>
      </c>
      <c r="J2622" s="13" t="n">
        <v>6</v>
      </c>
      <c r="K2622" s="13" t="s">
        <v>2478</v>
      </c>
      <c r="L2622" s="13" t="s">
        <v>2260</v>
      </c>
      <c r="M2622" s="13" t="s">
        <v>2518</v>
      </c>
    </row>
    <row r="2623" customFormat="false" ht="15" hidden="false" customHeight="false" outlineLevel="0" collapsed="false">
      <c r="A2623" s="13" t="s">
        <v>628</v>
      </c>
      <c r="B2623" s="13" t="s">
        <v>627</v>
      </c>
      <c r="C2623" s="13" t="s">
        <v>2258</v>
      </c>
      <c r="D2623" s="13" t="s">
        <v>2270</v>
      </c>
      <c r="E2623" s="13" t="s">
        <v>2522</v>
      </c>
      <c r="F2623" s="13" t="s">
        <v>2526</v>
      </c>
      <c r="G2623" s="61" t="n">
        <v>0</v>
      </c>
      <c r="H2623" s="13" t="s">
        <v>2255</v>
      </c>
      <c r="I2623" s="13" t="s">
        <v>2517</v>
      </c>
      <c r="J2623" s="13" t="n">
        <v>6</v>
      </c>
      <c r="K2623" s="13" t="s">
        <v>2478</v>
      </c>
      <c r="L2623" s="13" t="s">
        <v>2260</v>
      </c>
      <c r="M2623" s="13" t="s">
        <v>2518</v>
      </c>
    </row>
    <row r="2624" customFormat="false" ht="15" hidden="false" customHeight="false" outlineLevel="0" collapsed="false">
      <c r="A2624" s="13" t="s">
        <v>628</v>
      </c>
      <c r="B2624" s="13" t="s">
        <v>627</v>
      </c>
      <c r="C2624" s="13" t="s">
        <v>2258</v>
      </c>
      <c r="D2624" s="13" t="s">
        <v>2270</v>
      </c>
      <c r="E2624" s="13" t="s">
        <v>2523</v>
      </c>
      <c r="F2624" s="13" t="s">
        <v>2526</v>
      </c>
      <c r="G2624" s="61" t="n">
        <v>162329526</v>
      </c>
      <c r="H2624" s="13" t="s">
        <v>2255</v>
      </c>
      <c r="I2624" s="13" t="s">
        <v>2517</v>
      </c>
      <c r="J2624" s="13" t="n">
        <v>6</v>
      </c>
      <c r="K2624" s="13" t="s">
        <v>2478</v>
      </c>
      <c r="L2624" s="13" t="s">
        <v>2260</v>
      </c>
      <c r="M2624" s="13" t="s">
        <v>2518</v>
      </c>
    </row>
    <row r="2625" customFormat="false" ht="15" hidden="false" customHeight="false" outlineLevel="0" collapsed="false">
      <c r="A2625" s="13" t="s">
        <v>628</v>
      </c>
      <c r="B2625" s="13" t="s">
        <v>627</v>
      </c>
      <c r="C2625" s="13" t="s">
        <v>2258</v>
      </c>
      <c r="D2625" s="13" t="s">
        <v>2270</v>
      </c>
      <c r="E2625" s="13" t="s">
        <v>2524</v>
      </c>
      <c r="F2625" s="13" t="s">
        <v>2526</v>
      </c>
      <c r="G2625" s="61" t="n">
        <v>3104964797</v>
      </c>
      <c r="H2625" s="13" t="s">
        <v>2255</v>
      </c>
      <c r="I2625" s="13" t="s">
        <v>2517</v>
      </c>
      <c r="J2625" s="13" t="n">
        <v>6</v>
      </c>
      <c r="K2625" s="13" t="s">
        <v>2478</v>
      </c>
      <c r="L2625" s="13" t="s">
        <v>2260</v>
      </c>
      <c r="M2625" s="13" t="s">
        <v>2518</v>
      </c>
    </row>
    <row r="2626" customFormat="false" ht="15" hidden="false" customHeight="false" outlineLevel="0" collapsed="false">
      <c r="A2626" s="13" t="s">
        <v>628</v>
      </c>
      <c r="B2626" s="13" t="s">
        <v>627</v>
      </c>
      <c r="C2626" s="13" t="s">
        <v>2258</v>
      </c>
      <c r="D2626" s="13" t="s">
        <v>2270</v>
      </c>
      <c r="E2626" s="13" t="s">
        <v>2515</v>
      </c>
      <c r="F2626" s="13" t="s">
        <v>2527</v>
      </c>
      <c r="G2626" s="61" t="n">
        <v>8230622884</v>
      </c>
      <c r="H2626" s="13" t="s">
        <v>2255</v>
      </c>
      <c r="I2626" s="13" t="s">
        <v>2517</v>
      </c>
      <c r="J2626" s="13" t="n">
        <v>6</v>
      </c>
      <c r="K2626" s="13" t="s">
        <v>2478</v>
      </c>
      <c r="L2626" s="13" t="s">
        <v>2260</v>
      </c>
      <c r="M2626" s="13" t="s">
        <v>2518</v>
      </c>
    </row>
    <row r="2627" customFormat="false" ht="15" hidden="false" customHeight="false" outlineLevel="0" collapsed="false">
      <c r="A2627" s="13" t="s">
        <v>628</v>
      </c>
      <c r="B2627" s="13" t="s">
        <v>627</v>
      </c>
      <c r="C2627" s="13" t="s">
        <v>2258</v>
      </c>
      <c r="D2627" s="13" t="s">
        <v>2270</v>
      </c>
      <c r="E2627" s="13" t="s">
        <v>2519</v>
      </c>
      <c r="F2627" s="13" t="s">
        <v>2527</v>
      </c>
      <c r="G2627" s="61" t="n">
        <v>0</v>
      </c>
      <c r="H2627" s="13" t="s">
        <v>2255</v>
      </c>
      <c r="I2627" s="13" t="s">
        <v>2517</v>
      </c>
      <c r="J2627" s="13" t="n">
        <v>6</v>
      </c>
      <c r="K2627" s="13" t="s">
        <v>2478</v>
      </c>
      <c r="L2627" s="13" t="s">
        <v>2260</v>
      </c>
      <c r="M2627" s="13" t="s">
        <v>2518</v>
      </c>
    </row>
    <row r="2628" customFormat="false" ht="15" hidden="false" customHeight="false" outlineLevel="0" collapsed="false">
      <c r="A2628" s="13" t="s">
        <v>628</v>
      </c>
      <c r="B2628" s="13" t="s">
        <v>627</v>
      </c>
      <c r="C2628" s="13" t="s">
        <v>2258</v>
      </c>
      <c r="D2628" s="13" t="s">
        <v>2270</v>
      </c>
      <c r="E2628" s="13" t="s">
        <v>2520</v>
      </c>
      <c r="F2628" s="13" t="s">
        <v>2527</v>
      </c>
      <c r="G2628" s="61" t="n">
        <v>0</v>
      </c>
      <c r="H2628" s="13" t="s">
        <v>2255</v>
      </c>
      <c r="I2628" s="13" t="s">
        <v>2517</v>
      </c>
      <c r="J2628" s="13" t="n">
        <v>6</v>
      </c>
      <c r="K2628" s="13" t="s">
        <v>2478</v>
      </c>
      <c r="L2628" s="13" t="s">
        <v>2260</v>
      </c>
      <c r="M2628" s="13" t="s">
        <v>2518</v>
      </c>
    </row>
    <row r="2629" customFormat="false" ht="15" hidden="false" customHeight="false" outlineLevel="0" collapsed="false">
      <c r="A2629" s="13" t="s">
        <v>628</v>
      </c>
      <c r="B2629" s="13" t="s">
        <v>627</v>
      </c>
      <c r="C2629" s="13" t="s">
        <v>2258</v>
      </c>
      <c r="D2629" s="13" t="s">
        <v>2270</v>
      </c>
      <c r="E2629" s="13" t="s">
        <v>2521</v>
      </c>
      <c r="F2629" s="13" t="s">
        <v>2527</v>
      </c>
      <c r="G2629" s="61" t="n">
        <v>580072239</v>
      </c>
      <c r="H2629" s="13" t="s">
        <v>2255</v>
      </c>
      <c r="I2629" s="13" t="s">
        <v>2517</v>
      </c>
      <c r="J2629" s="13" t="n">
        <v>6</v>
      </c>
      <c r="K2629" s="13" t="s">
        <v>2478</v>
      </c>
      <c r="L2629" s="13" t="s">
        <v>2260</v>
      </c>
      <c r="M2629" s="13" t="s">
        <v>2518</v>
      </c>
    </row>
    <row r="2630" customFormat="false" ht="15" hidden="false" customHeight="false" outlineLevel="0" collapsed="false">
      <c r="A2630" s="13" t="s">
        <v>628</v>
      </c>
      <c r="B2630" s="13" t="s">
        <v>627</v>
      </c>
      <c r="C2630" s="13" t="s">
        <v>2258</v>
      </c>
      <c r="D2630" s="13" t="s">
        <v>2270</v>
      </c>
      <c r="E2630" s="13" t="s">
        <v>2522</v>
      </c>
      <c r="F2630" s="13" t="s">
        <v>2527</v>
      </c>
      <c r="G2630" s="61" t="n">
        <v>0</v>
      </c>
      <c r="H2630" s="13" t="s">
        <v>2255</v>
      </c>
      <c r="I2630" s="13" t="s">
        <v>2517</v>
      </c>
      <c r="J2630" s="13" t="n">
        <v>6</v>
      </c>
      <c r="K2630" s="13" t="s">
        <v>2478</v>
      </c>
      <c r="L2630" s="13" t="s">
        <v>2260</v>
      </c>
      <c r="M2630" s="13" t="s">
        <v>2518</v>
      </c>
    </row>
    <row r="2631" customFormat="false" ht="15" hidden="false" customHeight="false" outlineLevel="0" collapsed="false">
      <c r="A2631" s="13" t="s">
        <v>628</v>
      </c>
      <c r="B2631" s="13" t="s">
        <v>627</v>
      </c>
      <c r="C2631" s="13" t="s">
        <v>2258</v>
      </c>
      <c r="D2631" s="13" t="s">
        <v>2270</v>
      </c>
      <c r="E2631" s="13" t="s">
        <v>2523</v>
      </c>
      <c r="F2631" s="13" t="s">
        <v>2527</v>
      </c>
      <c r="G2631" s="61" t="n">
        <v>-4627189</v>
      </c>
      <c r="H2631" s="13" t="s">
        <v>2255</v>
      </c>
      <c r="I2631" s="13" t="s">
        <v>2517</v>
      </c>
      <c r="J2631" s="13" t="n">
        <v>6</v>
      </c>
      <c r="K2631" s="13" t="s">
        <v>2478</v>
      </c>
      <c r="L2631" s="13" t="s">
        <v>2260</v>
      </c>
      <c r="M2631" s="13" t="s">
        <v>2518</v>
      </c>
    </row>
    <row r="2632" customFormat="false" ht="15" hidden="false" customHeight="false" outlineLevel="0" collapsed="false">
      <c r="A2632" s="13" t="s">
        <v>628</v>
      </c>
      <c r="B2632" s="13" t="s">
        <v>627</v>
      </c>
      <c r="C2632" s="13" t="s">
        <v>2258</v>
      </c>
      <c r="D2632" s="13" t="s">
        <v>2270</v>
      </c>
      <c r="E2632" s="13" t="s">
        <v>2524</v>
      </c>
      <c r="F2632" s="13" t="s">
        <v>2527</v>
      </c>
      <c r="G2632" s="61" t="n">
        <v>8806067934</v>
      </c>
      <c r="H2632" s="13" t="s">
        <v>2255</v>
      </c>
      <c r="I2632" s="13" t="s">
        <v>2517</v>
      </c>
      <c r="J2632" s="13" t="n">
        <v>6</v>
      </c>
      <c r="K2632" s="13" t="s">
        <v>2478</v>
      </c>
      <c r="L2632" s="13" t="s">
        <v>2260</v>
      </c>
      <c r="M2632" s="13" t="s">
        <v>2518</v>
      </c>
    </row>
    <row r="2633" customFormat="false" ht="15" hidden="false" customHeight="false" outlineLevel="0" collapsed="false">
      <c r="A2633" s="13" t="s">
        <v>628</v>
      </c>
      <c r="B2633" s="13" t="s">
        <v>627</v>
      </c>
      <c r="C2633" s="13" t="s">
        <v>2258</v>
      </c>
      <c r="D2633" s="13" t="s">
        <v>2270</v>
      </c>
      <c r="E2633" s="13" t="s">
        <v>2515</v>
      </c>
      <c r="F2633" s="13" t="s">
        <v>2528</v>
      </c>
      <c r="G2633" s="61" t="n">
        <v>557278858</v>
      </c>
      <c r="H2633" s="13" t="s">
        <v>2255</v>
      </c>
      <c r="I2633" s="13" t="s">
        <v>2517</v>
      </c>
      <c r="J2633" s="13" t="n">
        <v>6</v>
      </c>
      <c r="K2633" s="13" t="s">
        <v>2478</v>
      </c>
      <c r="L2633" s="13" t="s">
        <v>2260</v>
      </c>
      <c r="M2633" s="13" t="s">
        <v>2518</v>
      </c>
    </row>
    <row r="2634" customFormat="false" ht="15" hidden="false" customHeight="false" outlineLevel="0" collapsed="false">
      <c r="A2634" s="13" t="s">
        <v>628</v>
      </c>
      <c r="B2634" s="13" t="s">
        <v>627</v>
      </c>
      <c r="C2634" s="13" t="s">
        <v>2258</v>
      </c>
      <c r="D2634" s="13" t="s">
        <v>2270</v>
      </c>
      <c r="E2634" s="13" t="s">
        <v>2519</v>
      </c>
      <c r="F2634" s="13" t="s">
        <v>2528</v>
      </c>
      <c r="G2634" s="61" t="n">
        <v>0</v>
      </c>
      <c r="H2634" s="13" t="s">
        <v>2255</v>
      </c>
      <c r="I2634" s="13" t="s">
        <v>2517</v>
      </c>
      <c r="J2634" s="13" t="n">
        <v>6</v>
      </c>
      <c r="K2634" s="13" t="s">
        <v>2478</v>
      </c>
      <c r="L2634" s="13" t="s">
        <v>2260</v>
      </c>
      <c r="M2634" s="13" t="s">
        <v>2518</v>
      </c>
    </row>
    <row r="2635" customFormat="false" ht="15" hidden="false" customHeight="false" outlineLevel="0" collapsed="false">
      <c r="A2635" s="13" t="s">
        <v>628</v>
      </c>
      <c r="B2635" s="13" t="s">
        <v>627</v>
      </c>
      <c r="C2635" s="13" t="s">
        <v>2258</v>
      </c>
      <c r="D2635" s="13" t="s">
        <v>2270</v>
      </c>
      <c r="E2635" s="13" t="s">
        <v>2520</v>
      </c>
      <c r="F2635" s="13" t="s">
        <v>2528</v>
      </c>
      <c r="G2635" s="61" t="n">
        <v>0</v>
      </c>
      <c r="H2635" s="13" t="s">
        <v>2255</v>
      </c>
      <c r="I2635" s="13" t="s">
        <v>2517</v>
      </c>
      <c r="J2635" s="13" t="n">
        <v>6</v>
      </c>
      <c r="K2635" s="13" t="s">
        <v>2478</v>
      </c>
      <c r="L2635" s="13" t="s">
        <v>2260</v>
      </c>
      <c r="M2635" s="13" t="s">
        <v>2518</v>
      </c>
    </row>
    <row r="2636" customFormat="false" ht="15" hidden="false" customHeight="false" outlineLevel="0" collapsed="false">
      <c r="A2636" s="13" t="s">
        <v>628</v>
      </c>
      <c r="B2636" s="13" t="s">
        <v>627</v>
      </c>
      <c r="C2636" s="13" t="s">
        <v>2258</v>
      </c>
      <c r="D2636" s="13" t="s">
        <v>2270</v>
      </c>
      <c r="E2636" s="13" t="s">
        <v>2521</v>
      </c>
      <c r="F2636" s="13" t="s">
        <v>2528</v>
      </c>
      <c r="G2636" s="61" t="n">
        <v>-59988945</v>
      </c>
      <c r="H2636" s="13" t="s">
        <v>2255</v>
      </c>
      <c r="I2636" s="13" t="s">
        <v>2517</v>
      </c>
      <c r="J2636" s="13" t="n">
        <v>6</v>
      </c>
      <c r="K2636" s="13" t="s">
        <v>2478</v>
      </c>
      <c r="L2636" s="13" t="s">
        <v>2260</v>
      </c>
      <c r="M2636" s="13" t="s">
        <v>2518</v>
      </c>
    </row>
    <row r="2637" customFormat="false" ht="15" hidden="false" customHeight="false" outlineLevel="0" collapsed="false">
      <c r="A2637" s="13" t="s">
        <v>628</v>
      </c>
      <c r="B2637" s="13" t="s">
        <v>627</v>
      </c>
      <c r="C2637" s="13" t="s">
        <v>2258</v>
      </c>
      <c r="D2637" s="13" t="s">
        <v>2270</v>
      </c>
      <c r="E2637" s="13" t="s">
        <v>2522</v>
      </c>
      <c r="F2637" s="13" t="s">
        <v>2528</v>
      </c>
      <c r="G2637" s="61" t="n">
        <v>30000</v>
      </c>
      <c r="H2637" s="13" t="s">
        <v>2255</v>
      </c>
      <c r="I2637" s="13" t="s">
        <v>2517</v>
      </c>
      <c r="J2637" s="13" t="n">
        <v>6</v>
      </c>
      <c r="K2637" s="13" t="s">
        <v>2478</v>
      </c>
      <c r="L2637" s="13" t="s">
        <v>2260</v>
      </c>
      <c r="M2637" s="13" t="s">
        <v>2518</v>
      </c>
    </row>
    <row r="2638" customFormat="false" ht="15" hidden="false" customHeight="false" outlineLevel="0" collapsed="false">
      <c r="A2638" s="13" t="s">
        <v>628</v>
      </c>
      <c r="B2638" s="13" t="s">
        <v>627</v>
      </c>
      <c r="C2638" s="13" t="s">
        <v>2258</v>
      </c>
      <c r="D2638" s="13" t="s">
        <v>2270</v>
      </c>
      <c r="E2638" s="13" t="s">
        <v>2523</v>
      </c>
      <c r="F2638" s="13" t="s">
        <v>2528</v>
      </c>
      <c r="G2638" s="61" t="n">
        <v>90440746</v>
      </c>
      <c r="H2638" s="13" t="s">
        <v>2255</v>
      </c>
      <c r="I2638" s="13" t="s">
        <v>2517</v>
      </c>
      <c r="J2638" s="13" t="n">
        <v>6</v>
      </c>
      <c r="K2638" s="13" t="s">
        <v>2478</v>
      </c>
      <c r="L2638" s="13" t="s">
        <v>2260</v>
      </c>
      <c r="M2638" s="13" t="s">
        <v>2518</v>
      </c>
    </row>
    <row r="2639" customFormat="false" ht="15" hidden="false" customHeight="false" outlineLevel="0" collapsed="false">
      <c r="A2639" s="13" t="s">
        <v>628</v>
      </c>
      <c r="B2639" s="13" t="s">
        <v>627</v>
      </c>
      <c r="C2639" s="13" t="s">
        <v>2258</v>
      </c>
      <c r="D2639" s="13" t="s">
        <v>2270</v>
      </c>
      <c r="E2639" s="13" t="s">
        <v>2524</v>
      </c>
      <c r="F2639" s="13" t="s">
        <v>2528</v>
      </c>
      <c r="G2639" s="61" t="n">
        <v>587760659</v>
      </c>
      <c r="H2639" s="13" t="s">
        <v>2255</v>
      </c>
      <c r="I2639" s="13" t="s">
        <v>2517</v>
      </c>
      <c r="J2639" s="13" t="n">
        <v>6</v>
      </c>
      <c r="K2639" s="13" t="s">
        <v>2478</v>
      </c>
      <c r="L2639" s="13" t="s">
        <v>2260</v>
      </c>
      <c r="M2639" s="13" t="s">
        <v>2518</v>
      </c>
    </row>
    <row r="2640" customFormat="false" ht="15" hidden="false" customHeight="false" outlineLevel="0" collapsed="false">
      <c r="A2640" s="13" t="s">
        <v>628</v>
      </c>
      <c r="B2640" s="13" t="s">
        <v>627</v>
      </c>
      <c r="C2640" s="13" t="s">
        <v>2258</v>
      </c>
      <c r="D2640" s="13" t="s">
        <v>2270</v>
      </c>
      <c r="E2640" s="13" t="s">
        <v>2515</v>
      </c>
      <c r="F2640" s="13" t="s">
        <v>2529</v>
      </c>
      <c r="G2640" s="61" t="n">
        <v>644352930</v>
      </c>
      <c r="H2640" s="13" t="s">
        <v>2255</v>
      </c>
      <c r="I2640" s="13" t="s">
        <v>2517</v>
      </c>
      <c r="J2640" s="13" t="n">
        <v>6</v>
      </c>
      <c r="K2640" s="13" t="s">
        <v>2478</v>
      </c>
      <c r="L2640" s="13" t="s">
        <v>2260</v>
      </c>
      <c r="M2640" s="13" t="s">
        <v>2518</v>
      </c>
    </row>
    <row r="2641" customFormat="false" ht="15" hidden="false" customHeight="false" outlineLevel="0" collapsed="false">
      <c r="A2641" s="13" t="s">
        <v>628</v>
      </c>
      <c r="B2641" s="13" t="s">
        <v>627</v>
      </c>
      <c r="C2641" s="13" t="s">
        <v>2258</v>
      </c>
      <c r="D2641" s="13" t="s">
        <v>2270</v>
      </c>
      <c r="E2641" s="13" t="s">
        <v>2519</v>
      </c>
      <c r="F2641" s="13" t="s">
        <v>2529</v>
      </c>
      <c r="G2641" s="61" t="n">
        <v>0</v>
      </c>
      <c r="H2641" s="13" t="s">
        <v>2255</v>
      </c>
      <c r="I2641" s="13" t="s">
        <v>2517</v>
      </c>
      <c r="J2641" s="13" t="n">
        <v>6</v>
      </c>
      <c r="K2641" s="13" t="s">
        <v>2478</v>
      </c>
      <c r="L2641" s="13" t="s">
        <v>2260</v>
      </c>
      <c r="M2641" s="13" t="s">
        <v>2518</v>
      </c>
    </row>
    <row r="2642" customFormat="false" ht="15" hidden="false" customHeight="false" outlineLevel="0" collapsed="false">
      <c r="A2642" s="13" t="s">
        <v>628</v>
      </c>
      <c r="B2642" s="13" t="s">
        <v>627</v>
      </c>
      <c r="C2642" s="13" t="s">
        <v>2258</v>
      </c>
      <c r="D2642" s="13" t="s">
        <v>2270</v>
      </c>
      <c r="E2642" s="13" t="s">
        <v>2520</v>
      </c>
      <c r="F2642" s="13" t="s">
        <v>2529</v>
      </c>
      <c r="G2642" s="61" t="n">
        <v>0</v>
      </c>
      <c r="H2642" s="13" t="s">
        <v>2255</v>
      </c>
      <c r="I2642" s="13" t="s">
        <v>2517</v>
      </c>
      <c r="J2642" s="13" t="n">
        <v>6</v>
      </c>
      <c r="K2642" s="13" t="s">
        <v>2478</v>
      </c>
      <c r="L2642" s="13" t="s">
        <v>2260</v>
      </c>
      <c r="M2642" s="13" t="s">
        <v>2518</v>
      </c>
    </row>
    <row r="2643" customFormat="false" ht="15" hidden="false" customHeight="false" outlineLevel="0" collapsed="false">
      <c r="A2643" s="13" t="s">
        <v>628</v>
      </c>
      <c r="B2643" s="13" t="s">
        <v>627</v>
      </c>
      <c r="C2643" s="13" t="s">
        <v>2258</v>
      </c>
      <c r="D2643" s="13" t="s">
        <v>2270</v>
      </c>
      <c r="E2643" s="13" t="s">
        <v>2521</v>
      </c>
      <c r="F2643" s="13" t="s">
        <v>2529</v>
      </c>
      <c r="G2643" s="61" t="n">
        <v>66196091</v>
      </c>
      <c r="H2643" s="13" t="s">
        <v>2255</v>
      </c>
      <c r="I2643" s="13" t="s">
        <v>2517</v>
      </c>
      <c r="J2643" s="13" t="n">
        <v>6</v>
      </c>
      <c r="K2643" s="13" t="s">
        <v>2478</v>
      </c>
      <c r="L2643" s="13" t="s">
        <v>2260</v>
      </c>
      <c r="M2643" s="13" t="s">
        <v>2518</v>
      </c>
    </row>
    <row r="2644" customFormat="false" ht="15" hidden="false" customHeight="false" outlineLevel="0" collapsed="false">
      <c r="A2644" s="13" t="s">
        <v>628</v>
      </c>
      <c r="B2644" s="13" t="s">
        <v>627</v>
      </c>
      <c r="C2644" s="13" t="s">
        <v>2258</v>
      </c>
      <c r="D2644" s="13" t="s">
        <v>2270</v>
      </c>
      <c r="E2644" s="13" t="s">
        <v>2522</v>
      </c>
      <c r="F2644" s="13" t="s">
        <v>2529</v>
      </c>
      <c r="G2644" s="61" t="n">
        <v>5000000</v>
      </c>
      <c r="H2644" s="13" t="s">
        <v>2255</v>
      </c>
      <c r="I2644" s="13" t="s">
        <v>2517</v>
      </c>
      <c r="J2644" s="13" t="n">
        <v>6</v>
      </c>
      <c r="K2644" s="13" t="s">
        <v>2478</v>
      </c>
      <c r="L2644" s="13" t="s">
        <v>2260</v>
      </c>
      <c r="M2644" s="13" t="s">
        <v>2518</v>
      </c>
    </row>
    <row r="2645" customFormat="false" ht="15" hidden="false" customHeight="false" outlineLevel="0" collapsed="false">
      <c r="A2645" s="13" t="s">
        <v>628</v>
      </c>
      <c r="B2645" s="13" t="s">
        <v>627</v>
      </c>
      <c r="C2645" s="13" t="s">
        <v>2258</v>
      </c>
      <c r="D2645" s="13" t="s">
        <v>2270</v>
      </c>
      <c r="E2645" s="13" t="s">
        <v>2523</v>
      </c>
      <c r="F2645" s="13" t="s">
        <v>2529</v>
      </c>
      <c r="G2645" s="61" t="n">
        <v>-1998741</v>
      </c>
      <c r="H2645" s="13" t="s">
        <v>2255</v>
      </c>
      <c r="I2645" s="13" t="s">
        <v>2517</v>
      </c>
      <c r="J2645" s="13" t="n">
        <v>6</v>
      </c>
      <c r="K2645" s="13" t="s">
        <v>2478</v>
      </c>
      <c r="L2645" s="13" t="s">
        <v>2260</v>
      </c>
      <c r="M2645" s="13" t="s">
        <v>2518</v>
      </c>
    </row>
    <row r="2646" customFormat="false" ht="15" hidden="false" customHeight="false" outlineLevel="0" collapsed="false">
      <c r="A2646" s="13" t="s">
        <v>628</v>
      </c>
      <c r="B2646" s="13" t="s">
        <v>627</v>
      </c>
      <c r="C2646" s="13" t="s">
        <v>2258</v>
      </c>
      <c r="D2646" s="13" t="s">
        <v>2270</v>
      </c>
      <c r="E2646" s="13" t="s">
        <v>2524</v>
      </c>
      <c r="F2646" s="13" t="s">
        <v>2529</v>
      </c>
      <c r="G2646" s="61" t="n">
        <v>713550280</v>
      </c>
      <c r="H2646" s="13" t="s">
        <v>2255</v>
      </c>
      <c r="I2646" s="13" t="s">
        <v>2517</v>
      </c>
      <c r="J2646" s="13" t="n">
        <v>6</v>
      </c>
      <c r="K2646" s="13" t="s">
        <v>2478</v>
      </c>
      <c r="L2646" s="13" t="s">
        <v>2260</v>
      </c>
      <c r="M2646" s="13" t="s">
        <v>2518</v>
      </c>
    </row>
    <row r="2647" customFormat="false" ht="15" hidden="false" customHeight="false" outlineLevel="0" collapsed="false">
      <c r="A2647" s="13" t="s">
        <v>628</v>
      </c>
      <c r="B2647" s="13" t="s">
        <v>627</v>
      </c>
      <c r="C2647" s="13" t="s">
        <v>2258</v>
      </c>
      <c r="D2647" s="13" t="s">
        <v>2270</v>
      </c>
      <c r="E2647" s="13" t="s">
        <v>2515</v>
      </c>
      <c r="F2647" s="13" t="s">
        <v>2530</v>
      </c>
      <c r="G2647" s="61" t="n">
        <v>491456918</v>
      </c>
      <c r="H2647" s="13" t="s">
        <v>2255</v>
      </c>
      <c r="I2647" s="13" t="s">
        <v>2517</v>
      </c>
      <c r="J2647" s="13" t="n">
        <v>6</v>
      </c>
      <c r="K2647" s="13" t="s">
        <v>2478</v>
      </c>
      <c r="L2647" s="13" t="s">
        <v>2260</v>
      </c>
      <c r="M2647" s="13" t="s">
        <v>2518</v>
      </c>
    </row>
    <row r="2648" customFormat="false" ht="15" hidden="false" customHeight="false" outlineLevel="0" collapsed="false">
      <c r="A2648" s="13" t="s">
        <v>628</v>
      </c>
      <c r="B2648" s="13" t="s">
        <v>627</v>
      </c>
      <c r="C2648" s="13" t="s">
        <v>2258</v>
      </c>
      <c r="D2648" s="13" t="s">
        <v>2270</v>
      </c>
      <c r="E2648" s="13" t="s">
        <v>2519</v>
      </c>
      <c r="F2648" s="13" t="s">
        <v>2530</v>
      </c>
      <c r="G2648" s="61" t="n">
        <v>0</v>
      </c>
      <c r="H2648" s="13" t="s">
        <v>2255</v>
      </c>
      <c r="I2648" s="13" t="s">
        <v>2517</v>
      </c>
      <c r="J2648" s="13" t="n">
        <v>6</v>
      </c>
      <c r="K2648" s="13" t="s">
        <v>2478</v>
      </c>
      <c r="L2648" s="13" t="s">
        <v>2260</v>
      </c>
      <c r="M2648" s="13" t="s">
        <v>2518</v>
      </c>
    </row>
    <row r="2649" customFormat="false" ht="15" hidden="false" customHeight="false" outlineLevel="0" collapsed="false">
      <c r="A2649" s="13" t="s">
        <v>628</v>
      </c>
      <c r="B2649" s="13" t="s">
        <v>627</v>
      </c>
      <c r="C2649" s="13" t="s">
        <v>2258</v>
      </c>
      <c r="D2649" s="13" t="s">
        <v>2270</v>
      </c>
      <c r="E2649" s="13" t="s">
        <v>2520</v>
      </c>
      <c r="F2649" s="13" t="s">
        <v>2530</v>
      </c>
      <c r="G2649" s="61" t="n">
        <v>0</v>
      </c>
      <c r="H2649" s="13" t="s">
        <v>2255</v>
      </c>
      <c r="I2649" s="13" t="s">
        <v>2517</v>
      </c>
      <c r="J2649" s="13" t="n">
        <v>6</v>
      </c>
      <c r="K2649" s="13" t="s">
        <v>2478</v>
      </c>
      <c r="L2649" s="13" t="s">
        <v>2260</v>
      </c>
      <c r="M2649" s="13" t="s">
        <v>2518</v>
      </c>
    </row>
    <row r="2650" customFormat="false" ht="15" hidden="false" customHeight="false" outlineLevel="0" collapsed="false">
      <c r="A2650" s="13" t="s">
        <v>628</v>
      </c>
      <c r="B2650" s="13" t="s">
        <v>627</v>
      </c>
      <c r="C2650" s="13" t="s">
        <v>2258</v>
      </c>
      <c r="D2650" s="13" t="s">
        <v>2270</v>
      </c>
      <c r="E2650" s="13" t="s">
        <v>2521</v>
      </c>
      <c r="F2650" s="13" t="s">
        <v>2530</v>
      </c>
      <c r="G2650" s="61" t="n">
        <v>-16904089</v>
      </c>
      <c r="H2650" s="13" t="s">
        <v>2255</v>
      </c>
      <c r="I2650" s="13" t="s">
        <v>2517</v>
      </c>
      <c r="J2650" s="13" t="n">
        <v>6</v>
      </c>
      <c r="K2650" s="13" t="s">
        <v>2478</v>
      </c>
      <c r="L2650" s="13" t="s">
        <v>2260</v>
      </c>
      <c r="M2650" s="13" t="s">
        <v>2518</v>
      </c>
    </row>
    <row r="2651" customFormat="false" ht="15" hidden="false" customHeight="false" outlineLevel="0" collapsed="false">
      <c r="A2651" s="13" t="s">
        <v>628</v>
      </c>
      <c r="B2651" s="13" t="s">
        <v>627</v>
      </c>
      <c r="C2651" s="13" t="s">
        <v>2258</v>
      </c>
      <c r="D2651" s="13" t="s">
        <v>2270</v>
      </c>
      <c r="E2651" s="13" t="s">
        <v>2522</v>
      </c>
      <c r="F2651" s="13" t="s">
        <v>2530</v>
      </c>
      <c r="G2651" s="61" t="n">
        <v>0</v>
      </c>
      <c r="H2651" s="13" t="s">
        <v>2255</v>
      </c>
      <c r="I2651" s="13" t="s">
        <v>2517</v>
      </c>
      <c r="J2651" s="13" t="n">
        <v>6</v>
      </c>
      <c r="K2651" s="13" t="s">
        <v>2478</v>
      </c>
      <c r="L2651" s="13" t="s">
        <v>2260</v>
      </c>
      <c r="M2651" s="13" t="s">
        <v>2518</v>
      </c>
    </row>
    <row r="2652" customFormat="false" ht="15" hidden="false" customHeight="false" outlineLevel="0" collapsed="false">
      <c r="A2652" s="13" t="s">
        <v>628</v>
      </c>
      <c r="B2652" s="13" t="s">
        <v>627</v>
      </c>
      <c r="C2652" s="13" t="s">
        <v>2258</v>
      </c>
      <c r="D2652" s="13" t="s">
        <v>2270</v>
      </c>
      <c r="E2652" s="13" t="s">
        <v>2523</v>
      </c>
      <c r="F2652" s="13" t="s">
        <v>2530</v>
      </c>
      <c r="G2652" s="61" t="n">
        <v>0</v>
      </c>
      <c r="H2652" s="13" t="s">
        <v>2255</v>
      </c>
      <c r="I2652" s="13" t="s">
        <v>2517</v>
      </c>
      <c r="J2652" s="13" t="n">
        <v>6</v>
      </c>
      <c r="K2652" s="13" t="s">
        <v>2478</v>
      </c>
      <c r="L2652" s="13" t="s">
        <v>2260</v>
      </c>
      <c r="M2652" s="13" t="s">
        <v>2518</v>
      </c>
    </row>
    <row r="2653" customFormat="false" ht="15" hidden="false" customHeight="false" outlineLevel="0" collapsed="false">
      <c r="A2653" s="13" t="s">
        <v>628</v>
      </c>
      <c r="B2653" s="13" t="s">
        <v>627</v>
      </c>
      <c r="C2653" s="13" t="s">
        <v>2258</v>
      </c>
      <c r="D2653" s="13" t="s">
        <v>2270</v>
      </c>
      <c r="E2653" s="13" t="s">
        <v>2524</v>
      </c>
      <c r="F2653" s="13" t="s">
        <v>2530</v>
      </c>
      <c r="G2653" s="61" t="n">
        <v>474552829</v>
      </c>
      <c r="H2653" s="13" t="s">
        <v>2255</v>
      </c>
      <c r="I2653" s="13" t="s">
        <v>2517</v>
      </c>
      <c r="J2653" s="13" t="n">
        <v>6</v>
      </c>
      <c r="K2653" s="13" t="s">
        <v>2478</v>
      </c>
      <c r="L2653" s="13" t="s">
        <v>2260</v>
      </c>
      <c r="M2653" s="13" t="s">
        <v>2518</v>
      </c>
    </row>
    <row r="2654" customFormat="false" ht="15" hidden="false" customHeight="false" outlineLevel="0" collapsed="false">
      <c r="A2654" s="13" t="s">
        <v>628</v>
      </c>
      <c r="B2654" s="13" t="s">
        <v>627</v>
      </c>
      <c r="C2654" s="13" t="s">
        <v>2258</v>
      </c>
      <c r="D2654" s="13" t="s">
        <v>2270</v>
      </c>
      <c r="E2654" s="13" t="s">
        <v>2515</v>
      </c>
      <c r="F2654" s="13" t="s">
        <v>2531</v>
      </c>
      <c r="G2654" s="61" t="n">
        <v>356559116</v>
      </c>
      <c r="H2654" s="13" t="s">
        <v>2255</v>
      </c>
      <c r="I2654" s="13" t="s">
        <v>2517</v>
      </c>
      <c r="J2654" s="13" t="n">
        <v>6</v>
      </c>
      <c r="K2654" s="13" t="s">
        <v>2478</v>
      </c>
      <c r="L2654" s="13" t="s">
        <v>2260</v>
      </c>
      <c r="M2654" s="13" t="s">
        <v>2518</v>
      </c>
    </row>
    <row r="2655" customFormat="false" ht="15" hidden="false" customHeight="false" outlineLevel="0" collapsed="false">
      <c r="A2655" s="13" t="s">
        <v>628</v>
      </c>
      <c r="B2655" s="13" t="s">
        <v>627</v>
      </c>
      <c r="C2655" s="13" t="s">
        <v>2258</v>
      </c>
      <c r="D2655" s="13" t="s">
        <v>2270</v>
      </c>
      <c r="E2655" s="13" t="s">
        <v>2519</v>
      </c>
      <c r="F2655" s="13" t="s">
        <v>2531</v>
      </c>
      <c r="G2655" s="61" t="n">
        <v>0</v>
      </c>
      <c r="H2655" s="13" t="s">
        <v>2255</v>
      </c>
      <c r="I2655" s="13" t="s">
        <v>2517</v>
      </c>
      <c r="J2655" s="13" t="n">
        <v>6</v>
      </c>
      <c r="K2655" s="13" t="s">
        <v>2478</v>
      </c>
      <c r="L2655" s="13" t="s">
        <v>2260</v>
      </c>
      <c r="M2655" s="13" t="s">
        <v>2518</v>
      </c>
    </row>
    <row r="2656" customFormat="false" ht="15" hidden="false" customHeight="false" outlineLevel="0" collapsed="false">
      <c r="A2656" s="13" t="s">
        <v>628</v>
      </c>
      <c r="B2656" s="13" t="s">
        <v>627</v>
      </c>
      <c r="C2656" s="13" t="s">
        <v>2258</v>
      </c>
      <c r="D2656" s="13" t="s">
        <v>2270</v>
      </c>
      <c r="E2656" s="13" t="s">
        <v>2520</v>
      </c>
      <c r="F2656" s="13" t="s">
        <v>2531</v>
      </c>
      <c r="G2656" s="61" t="n">
        <v>0</v>
      </c>
      <c r="H2656" s="13" t="s">
        <v>2255</v>
      </c>
      <c r="I2656" s="13" t="s">
        <v>2517</v>
      </c>
      <c r="J2656" s="13" t="n">
        <v>6</v>
      </c>
      <c r="K2656" s="13" t="s">
        <v>2478</v>
      </c>
      <c r="L2656" s="13" t="s">
        <v>2260</v>
      </c>
      <c r="M2656" s="13" t="s">
        <v>2518</v>
      </c>
    </row>
    <row r="2657" customFormat="false" ht="15" hidden="false" customHeight="false" outlineLevel="0" collapsed="false">
      <c r="A2657" s="13" t="s">
        <v>628</v>
      </c>
      <c r="B2657" s="13" t="s">
        <v>627</v>
      </c>
      <c r="C2657" s="13" t="s">
        <v>2258</v>
      </c>
      <c r="D2657" s="13" t="s">
        <v>2270</v>
      </c>
      <c r="E2657" s="13" t="s">
        <v>2521</v>
      </c>
      <c r="F2657" s="13" t="s">
        <v>2531</v>
      </c>
      <c r="G2657" s="61" t="n">
        <v>25163558</v>
      </c>
      <c r="H2657" s="13" t="s">
        <v>2255</v>
      </c>
      <c r="I2657" s="13" t="s">
        <v>2517</v>
      </c>
      <c r="J2657" s="13" t="n">
        <v>6</v>
      </c>
      <c r="K2657" s="13" t="s">
        <v>2478</v>
      </c>
      <c r="L2657" s="13" t="s">
        <v>2260</v>
      </c>
      <c r="M2657" s="13" t="s">
        <v>2518</v>
      </c>
    </row>
    <row r="2658" customFormat="false" ht="15" hidden="false" customHeight="false" outlineLevel="0" collapsed="false">
      <c r="A2658" s="13" t="s">
        <v>628</v>
      </c>
      <c r="B2658" s="13" t="s">
        <v>627</v>
      </c>
      <c r="C2658" s="13" t="s">
        <v>2258</v>
      </c>
      <c r="D2658" s="13" t="s">
        <v>2270</v>
      </c>
      <c r="E2658" s="13" t="s">
        <v>2522</v>
      </c>
      <c r="F2658" s="13" t="s">
        <v>2531</v>
      </c>
      <c r="G2658" s="61" t="n">
        <v>0</v>
      </c>
      <c r="H2658" s="13" t="s">
        <v>2255</v>
      </c>
      <c r="I2658" s="13" t="s">
        <v>2517</v>
      </c>
      <c r="J2658" s="13" t="n">
        <v>6</v>
      </c>
      <c r="K2658" s="13" t="s">
        <v>2478</v>
      </c>
      <c r="L2658" s="13" t="s">
        <v>2260</v>
      </c>
      <c r="M2658" s="13" t="s">
        <v>2518</v>
      </c>
    </row>
    <row r="2659" customFormat="false" ht="15" hidden="false" customHeight="false" outlineLevel="0" collapsed="false">
      <c r="A2659" s="13" t="s">
        <v>628</v>
      </c>
      <c r="B2659" s="13" t="s">
        <v>627</v>
      </c>
      <c r="C2659" s="13" t="s">
        <v>2258</v>
      </c>
      <c r="D2659" s="13" t="s">
        <v>2270</v>
      </c>
      <c r="E2659" s="13" t="s">
        <v>2523</v>
      </c>
      <c r="F2659" s="13" t="s">
        <v>2531</v>
      </c>
      <c r="G2659" s="61" t="n">
        <v>10485427</v>
      </c>
      <c r="H2659" s="13" t="s">
        <v>2255</v>
      </c>
      <c r="I2659" s="13" t="s">
        <v>2517</v>
      </c>
      <c r="J2659" s="13" t="n">
        <v>6</v>
      </c>
      <c r="K2659" s="13" t="s">
        <v>2478</v>
      </c>
      <c r="L2659" s="13" t="s">
        <v>2260</v>
      </c>
      <c r="M2659" s="13" t="s">
        <v>2518</v>
      </c>
    </row>
    <row r="2660" customFormat="false" ht="15" hidden="false" customHeight="false" outlineLevel="0" collapsed="false">
      <c r="A2660" s="13" t="s">
        <v>628</v>
      </c>
      <c r="B2660" s="13" t="s">
        <v>627</v>
      </c>
      <c r="C2660" s="13" t="s">
        <v>2258</v>
      </c>
      <c r="D2660" s="13" t="s">
        <v>2270</v>
      </c>
      <c r="E2660" s="13" t="s">
        <v>2524</v>
      </c>
      <c r="F2660" s="13" t="s">
        <v>2531</v>
      </c>
      <c r="G2660" s="61" t="n">
        <v>392208101</v>
      </c>
      <c r="H2660" s="13" t="s">
        <v>2255</v>
      </c>
      <c r="I2660" s="13" t="s">
        <v>2517</v>
      </c>
      <c r="J2660" s="13" t="n">
        <v>6</v>
      </c>
      <c r="K2660" s="13" t="s">
        <v>2478</v>
      </c>
      <c r="L2660" s="13" t="s">
        <v>2260</v>
      </c>
      <c r="M2660" s="13" t="s">
        <v>2518</v>
      </c>
    </row>
    <row r="2661" customFormat="false" ht="15" hidden="false" customHeight="false" outlineLevel="0" collapsed="false">
      <c r="A2661" s="13" t="s">
        <v>628</v>
      </c>
      <c r="B2661" s="13" t="s">
        <v>627</v>
      </c>
      <c r="C2661" s="13" t="s">
        <v>2258</v>
      </c>
      <c r="D2661" s="13" t="s">
        <v>2270</v>
      </c>
      <c r="E2661" s="13" t="s">
        <v>2515</v>
      </c>
      <c r="F2661" s="13" t="s">
        <v>2532</v>
      </c>
      <c r="G2661" s="61" t="n">
        <v>-155177016</v>
      </c>
      <c r="H2661" s="13" t="s">
        <v>2255</v>
      </c>
      <c r="I2661" s="13" t="s">
        <v>2517</v>
      </c>
      <c r="J2661" s="13" t="n">
        <v>6</v>
      </c>
      <c r="K2661" s="13" t="s">
        <v>2478</v>
      </c>
      <c r="L2661" s="13" t="s">
        <v>2260</v>
      </c>
      <c r="M2661" s="13" t="s">
        <v>2518</v>
      </c>
    </row>
    <row r="2662" customFormat="false" ht="15" hidden="false" customHeight="false" outlineLevel="0" collapsed="false">
      <c r="A2662" s="13" t="s">
        <v>628</v>
      </c>
      <c r="B2662" s="13" t="s">
        <v>627</v>
      </c>
      <c r="C2662" s="13" t="s">
        <v>2258</v>
      </c>
      <c r="D2662" s="13" t="s">
        <v>2270</v>
      </c>
      <c r="E2662" s="13" t="s">
        <v>2519</v>
      </c>
      <c r="F2662" s="13" t="s">
        <v>2532</v>
      </c>
      <c r="G2662" s="61" t="n">
        <v>0</v>
      </c>
      <c r="H2662" s="13" t="s">
        <v>2255</v>
      </c>
      <c r="I2662" s="13" t="s">
        <v>2517</v>
      </c>
      <c r="J2662" s="13" t="n">
        <v>6</v>
      </c>
      <c r="K2662" s="13" t="s">
        <v>2478</v>
      </c>
      <c r="L2662" s="13" t="s">
        <v>2260</v>
      </c>
      <c r="M2662" s="13" t="s">
        <v>2518</v>
      </c>
    </row>
    <row r="2663" customFormat="false" ht="15" hidden="false" customHeight="false" outlineLevel="0" collapsed="false">
      <c r="A2663" s="13" t="s">
        <v>628</v>
      </c>
      <c r="B2663" s="13" t="s">
        <v>627</v>
      </c>
      <c r="C2663" s="13" t="s">
        <v>2258</v>
      </c>
      <c r="D2663" s="13" t="s">
        <v>2270</v>
      </c>
      <c r="E2663" s="13" t="s">
        <v>2520</v>
      </c>
      <c r="F2663" s="13" t="s">
        <v>2532</v>
      </c>
      <c r="G2663" s="61" t="n">
        <v>0</v>
      </c>
      <c r="H2663" s="13" t="s">
        <v>2255</v>
      </c>
      <c r="I2663" s="13" t="s">
        <v>2517</v>
      </c>
      <c r="J2663" s="13" t="n">
        <v>6</v>
      </c>
      <c r="K2663" s="13" t="s">
        <v>2478</v>
      </c>
      <c r="L2663" s="13" t="s">
        <v>2260</v>
      </c>
      <c r="M2663" s="13" t="s">
        <v>2518</v>
      </c>
    </row>
    <row r="2664" customFormat="false" ht="15" hidden="false" customHeight="false" outlineLevel="0" collapsed="false">
      <c r="A2664" s="13" t="s">
        <v>628</v>
      </c>
      <c r="B2664" s="13" t="s">
        <v>627</v>
      </c>
      <c r="C2664" s="13" t="s">
        <v>2258</v>
      </c>
      <c r="D2664" s="13" t="s">
        <v>2270</v>
      </c>
      <c r="E2664" s="13" t="s">
        <v>2521</v>
      </c>
      <c r="F2664" s="13" t="s">
        <v>2532</v>
      </c>
      <c r="G2664" s="61" t="n">
        <v>6580824</v>
      </c>
      <c r="H2664" s="13" t="s">
        <v>2255</v>
      </c>
      <c r="I2664" s="13" t="s">
        <v>2517</v>
      </c>
      <c r="J2664" s="13" t="n">
        <v>6</v>
      </c>
      <c r="K2664" s="13" t="s">
        <v>2478</v>
      </c>
      <c r="L2664" s="13" t="s">
        <v>2260</v>
      </c>
      <c r="M2664" s="13" t="s">
        <v>2518</v>
      </c>
    </row>
    <row r="2665" customFormat="false" ht="15" hidden="false" customHeight="false" outlineLevel="0" collapsed="false">
      <c r="A2665" s="13" t="s">
        <v>628</v>
      </c>
      <c r="B2665" s="13" t="s">
        <v>627</v>
      </c>
      <c r="C2665" s="13" t="s">
        <v>2258</v>
      </c>
      <c r="D2665" s="13" t="s">
        <v>2270</v>
      </c>
      <c r="E2665" s="13" t="s">
        <v>2522</v>
      </c>
      <c r="F2665" s="13" t="s">
        <v>2532</v>
      </c>
      <c r="G2665" s="61" t="n">
        <v>0</v>
      </c>
      <c r="H2665" s="13" t="s">
        <v>2255</v>
      </c>
      <c r="I2665" s="13" t="s">
        <v>2517</v>
      </c>
      <c r="J2665" s="13" t="n">
        <v>6</v>
      </c>
      <c r="K2665" s="13" t="s">
        <v>2478</v>
      </c>
      <c r="L2665" s="13" t="s">
        <v>2260</v>
      </c>
      <c r="M2665" s="13" t="s">
        <v>2518</v>
      </c>
    </row>
    <row r="2666" customFormat="false" ht="15" hidden="false" customHeight="false" outlineLevel="0" collapsed="false">
      <c r="A2666" s="13" t="s">
        <v>628</v>
      </c>
      <c r="B2666" s="13" t="s">
        <v>627</v>
      </c>
      <c r="C2666" s="13" t="s">
        <v>2258</v>
      </c>
      <c r="D2666" s="13" t="s">
        <v>2270</v>
      </c>
      <c r="E2666" s="13" t="s">
        <v>2523</v>
      </c>
      <c r="F2666" s="13" t="s">
        <v>2532</v>
      </c>
      <c r="G2666" s="61" t="n">
        <v>0</v>
      </c>
      <c r="H2666" s="13" t="s">
        <v>2255</v>
      </c>
      <c r="I2666" s="13" t="s">
        <v>2517</v>
      </c>
      <c r="J2666" s="13" t="n">
        <v>6</v>
      </c>
      <c r="K2666" s="13" t="s">
        <v>2478</v>
      </c>
      <c r="L2666" s="13" t="s">
        <v>2260</v>
      </c>
      <c r="M2666" s="13" t="s">
        <v>2518</v>
      </c>
    </row>
    <row r="2667" customFormat="false" ht="15" hidden="false" customHeight="false" outlineLevel="0" collapsed="false">
      <c r="A2667" s="13" t="s">
        <v>628</v>
      </c>
      <c r="B2667" s="13" t="s">
        <v>627</v>
      </c>
      <c r="C2667" s="13" t="s">
        <v>2258</v>
      </c>
      <c r="D2667" s="13" t="s">
        <v>2270</v>
      </c>
      <c r="E2667" s="13" t="s">
        <v>2524</v>
      </c>
      <c r="F2667" s="13" t="s">
        <v>2532</v>
      </c>
      <c r="G2667" s="61" t="n">
        <v>-148596192</v>
      </c>
      <c r="H2667" s="13" t="s">
        <v>2255</v>
      </c>
      <c r="I2667" s="13" t="s">
        <v>2517</v>
      </c>
      <c r="J2667" s="13" t="n">
        <v>6</v>
      </c>
      <c r="K2667" s="13" t="s">
        <v>2478</v>
      </c>
      <c r="L2667" s="13" t="s">
        <v>2260</v>
      </c>
      <c r="M2667" s="13" t="s">
        <v>2518</v>
      </c>
    </row>
    <row r="2668" customFormat="false" ht="15" hidden="false" customHeight="false" outlineLevel="0" collapsed="false">
      <c r="A2668" s="13" t="s">
        <v>628</v>
      </c>
      <c r="B2668" s="13" t="s">
        <v>627</v>
      </c>
      <c r="C2668" s="13" t="s">
        <v>2258</v>
      </c>
      <c r="D2668" s="13" t="s">
        <v>2270</v>
      </c>
      <c r="E2668" s="13" t="s">
        <v>2515</v>
      </c>
      <c r="F2668" s="13" t="s">
        <v>2533</v>
      </c>
      <c r="G2668" s="61" t="n">
        <v>376861863</v>
      </c>
      <c r="H2668" s="13" t="s">
        <v>2255</v>
      </c>
      <c r="I2668" s="13" t="s">
        <v>2517</v>
      </c>
      <c r="J2668" s="13" t="n">
        <v>6</v>
      </c>
      <c r="K2668" s="13" t="s">
        <v>2478</v>
      </c>
      <c r="L2668" s="13" t="s">
        <v>2260</v>
      </c>
      <c r="M2668" s="13" t="s">
        <v>2518</v>
      </c>
    </row>
    <row r="2669" customFormat="false" ht="15" hidden="false" customHeight="false" outlineLevel="0" collapsed="false">
      <c r="A2669" s="13" t="s">
        <v>628</v>
      </c>
      <c r="B2669" s="13" t="s">
        <v>627</v>
      </c>
      <c r="C2669" s="13" t="s">
        <v>2258</v>
      </c>
      <c r="D2669" s="13" t="s">
        <v>2270</v>
      </c>
      <c r="E2669" s="13" t="s">
        <v>2519</v>
      </c>
      <c r="F2669" s="13" t="s">
        <v>2533</v>
      </c>
      <c r="G2669" s="61" t="n">
        <v>0</v>
      </c>
      <c r="H2669" s="13" t="s">
        <v>2255</v>
      </c>
      <c r="I2669" s="13" t="s">
        <v>2517</v>
      </c>
      <c r="J2669" s="13" t="n">
        <v>6</v>
      </c>
      <c r="K2669" s="13" t="s">
        <v>2478</v>
      </c>
      <c r="L2669" s="13" t="s">
        <v>2260</v>
      </c>
      <c r="M2669" s="13" t="s">
        <v>2518</v>
      </c>
    </row>
    <row r="2670" customFormat="false" ht="15" hidden="false" customHeight="false" outlineLevel="0" collapsed="false">
      <c r="A2670" s="13" t="s">
        <v>628</v>
      </c>
      <c r="B2670" s="13" t="s">
        <v>627</v>
      </c>
      <c r="C2670" s="13" t="s">
        <v>2258</v>
      </c>
      <c r="D2670" s="13" t="s">
        <v>2270</v>
      </c>
      <c r="E2670" s="13" t="s">
        <v>2520</v>
      </c>
      <c r="F2670" s="13" t="s">
        <v>2533</v>
      </c>
      <c r="G2670" s="61" t="n">
        <v>0</v>
      </c>
      <c r="H2670" s="13" t="s">
        <v>2255</v>
      </c>
      <c r="I2670" s="13" t="s">
        <v>2517</v>
      </c>
      <c r="J2670" s="13" t="n">
        <v>6</v>
      </c>
      <c r="K2670" s="13" t="s">
        <v>2478</v>
      </c>
      <c r="L2670" s="13" t="s">
        <v>2260</v>
      </c>
      <c r="M2670" s="13" t="s">
        <v>2518</v>
      </c>
    </row>
    <row r="2671" customFormat="false" ht="15" hidden="false" customHeight="false" outlineLevel="0" collapsed="false">
      <c r="A2671" s="13" t="s">
        <v>628</v>
      </c>
      <c r="B2671" s="13" t="s">
        <v>627</v>
      </c>
      <c r="C2671" s="13" t="s">
        <v>2258</v>
      </c>
      <c r="D2671" s="13" t="s">
        <v>2270</v>
      </c>
      <c r="E2671" s="13" t="s">
        <v>2521</v>
      </c>
      <c r="F2671" s="13" t="s">
        <v>2533</v>
      </c>
      <c r="G2671" s="61" t="n">
        <v>1138574496</v>
      </c>
      <c r="H2671" s="13" t="s">
        <v>2255</v>
      </c>
      <c r="I2671" s="13" t="s">
        <v>2517</v>
      </c>
      <c r="J2671" s="13" t="n">
        <v>6</v>
      </c>
      <c r="K2671" s="13" t="s">
        <v>2478</v>
      </c>
      <c r="L2671" s="13" t="s">
        <v>2260</v>
      </c>
      <c r="M2671" s="13" t="s">
        <v>2518</v>
      </c>
    </row>
    <row r="2672" customFormat="false" ht="15" hidden="false" customHeight="false" outlineLevel="0" collapsed="false">
      <c r="A2672" s="13" t="s">
        <v>628</v>
      </c>
      <c r="B2672" s="13" t="s">
        <v>627</v>
      </c>
      <c r="C2672" s="13" t="s">
        <v>2258</v>
      </c>
      <c r="D2672" s="13" t="s">
        <v>2270</v>
      </c>
      <c r="E2672" s="13" t="s">
        <v>2522</v>
      </c>
      <c r="F2672" s="13" t="s">
        <v>2533</v>
      </c>
      <c r="G2672" s="61" t="n">
        <v>0</v>
      </c>
      <c r="H2672" s="13" t="s">
        <v>2255</v>
      </c>
      <c r="I2672" s="13" t="s">
        <v>2517</v>
      </c>
      <c r="J2672" s="13" t="n">
        <v>6</v>
      </c>
      <c r="K2672" s="13" t="s">
        <v>2478</v>
      </c>
      <c r="L2672" s="13" t="s">
        <v>2260</v>
      </c>
      <c r="M2672" s="13" t="s">
        <v>2518</v>
      </c>
    </row>
    <row r="2673" customFormat="false" ht="15" hidden="false" customHeight="false" outlineLevel="0" collapsed="false">
      <c r="A2673" s="13" t="s">
        <v>628</v>
      </c>
      <c r="B2673" s="13" t="s">
        <v>627</v>
      </c>
      <c r="C2673" s="13" t="s">
        <v>2258</v>
      </c>
      <c r="D2673" s="13" t="s">
        <v>2270</v>
      </c>
      <c r="E2673" s="13" t="s">
        <v>2523</v>
      </c>
      <c r="F2673" s="13" t="s">
        <v>2533</v>
      </c>
      <c r="G2673" s="61" t="n">
        <v>6632434</v>
      </c>
      <c r="H2673" s="13" t="s">
        <v>2255</v>
      </c>
      <c r="I2673" s="13" t="s">
        <v>2517</v>
      </c>
      <c r="J2673" s="13" t="n">
        <v>6</v>
      </c>
      <c r="K2673" s="13" t="s">
        <v>2478</v>
      </c>
      <c r="L2673" s="13" t="s">
        <v>2260</v>
      </c>
      <c r="M2673" s="13" t="s">
        <v>2518</v>
      </c>
    </row>
    <row r="2674" customFormat="false" ht="15" hidden="false" customHeight="false" outlineLevel="0" collapsed="false">
      <c r="A2674" s="13" t="s">
        <v>628</v>
      </c>
      <c r="B2674" s="13" t="s">
        <v>627</v>
      </c>
      <c r="C2674" s="13" t="s">
        <v>2258</v>
      </c>
      <c r="D2674" s="13" t="s">
        <v>2270</v>
      </c>
      <c r="E2674" s="13" t="s">
        <v>2524</v>
      </c>
      <c r="F2674" s="13" t="s">
        <v>2533</v>
      </c>
      <c r="G2674" s="61" t="n">
        <v>1522068793</v>
      </c>
      <c r="H2674" s="13" t="s">
        <v>2255</v>
      </c>
      <c r="I2674" s="13" t="s">
        <v>2517</v>
      </c>
      <c r="J2674" s="13" t="n">
        <v>6</v>
      </c>
      <c r="K2674" s="13" t="s">
        <v>2478</v>
      </c>
      <c r="L2674" s="13" t="s">
        <v>2260</v>
      </c>
      <c r="M2674" s="13" t="s">
        <v>2518</v>
      </c>
    </row>
    <row r="2675" customFormat="false" ht="15" hidden="false" customHeight="false" outlineLevel="0" collapsed="false">
      <c r="A2675" s="13" t="s">
        <v>628</v>
      </c>
      <c r="B2675" s="13" t="s">
        <v>627</v>
      </c>
      <c r="C2675" s="13" t="s">
        <v>2258</v>
      </c>
      <c r="D2675" s="13" t="s">
        <v>2270</v>
      </c>
      <c r="E2675" s="13" t="s">
        <v>2515</v>
      </c>
      <c r="F2675" s="13" t="s">
        <v>2534</v>
      </c>
      <c r="G2675" s="61" t="n">
        <v>0</v>
      </c>
      <c r="H2675" s="13" t="s">
        <v>2255</v>
      </c>
      <c r="I2675" s="13" t="s">
        <v>2517</v>
      </c>
      <c r="J2675" s="13" t="n">
        <v>6</v>
      </c>
      <c r="K2675" s="13" t="s">
        <v>2478</v>
      </c>
      <c r="L2675" s="13" t="s">
        <v>2260</v>
      </c>
      <c r="M2675" s="13" t="s">
        <v>2518</v>
      </c>
    </row>
    <row r="2676" customFormat="false" ht="15" hidden="false" customHeight="false" outlineLevel="0" collapsed="false">
      <c r="A2676" s="13" t="s">
        <v>628</v>
      </c>
      <c r="B2676" s="13" t="s">
        <v>627</v>
      </c>
      <c r="C2676" s="13" t="s">
        <v>2258</v>
      </c>
      <c r="D2676" s="13" t="s">
        <v>2270</v>
      </c>
      <c r="E2676" s="13" t="s">
        <v>2519</v>
      </c>
      <c r="F2676" s="13" t="s">
        <v>2534</v>
      </c>
      <c r="G2676" s="61" t="n">
        <v>0</v>
      </c>
      <c r="H2676" s="13" t="s">
        <v>2255</v>
      </c>
      <c r="I2676" s="13" t="s">
        <v>2517</v>
      </c>
      <c r="J2676" s="13" t="n">
        <v>6</v>
      </c>
      <c r="K2676" s="13" t="s">
        <v>2478</v>
      </c>
      <c r="L2676" s="13" t="s">
        <v>2260</v>
      </c>
      <c r="M2676" s="13" t="s">
        <v>2518</v>
      </c>
    </row>
    <row r="2677" customFormat="false" ht="15" hidden="false" customHeight="false" outlineLevel="0" collapsed="false">
      <c r="A2677" s="13" t="s">
        <v>628</v>
      </c>
      <c r="B2677" s="13" t="s">
        <v>627</v>
      </c>
      <c r="C2677" s="13" t="s">
        <v>2258</v>
      </c>
      <c r="D2677" s="13" t="s">
        <v>2270</v>
      </c>
      <c r="E2677" s="13" t="s">
        <v>2520</v>
      </c>
      <c r="F2677" s="13" t="s">
        <v>2534</v>
      </c>
      <c r="G2677" s="61" t="n">
        <v>3000000</v>
      </c>
      <c r="H2677" s="13" t="s">
        <v>2255</v>
      </c>
      <c r="I2677" s="13" t="s">
        <v>2517</v>
      </c>
      <c r="J2677" s="13" t="n">
        <v>6</v>
      </c>
      <c r="K2677" s="13" t="s">
        <v>2478</v>
      </c>
      <c r="L2677" s="13" t="s">
        <v>2260</v>
      </c>
      <c r="M2677" s="13" t="s">
        <v>2518</v>
      </c>
    </row>
    <row r="2678" customFormat="false" ht="15" hidden="false" customHeight="false" outlineLevel="0" collapsed="false">
      <c r="A2678" s="13" t="s">
        <v>628</v>
      </c>
      <c r="B2678" s="13" t="s">
        <v>627</v>
      </c>
      <c r="C2678" s="13" t="s">
        <v>2258</v>
      </c>
      <c r="D2678" s="13" t="s">
        <v>2270</v>
      </c>
      <c r="E2678" s="13" t="s">
        <v>2521</v>
      </c>
      <c r="F2678" s="13" t="s">
        <v>2534</v>
      </c>
      <c r="G2678" s="61" t="n">
        <v>-14438110</v>
      </c>
      <c r="H2678" s="13" t="s">
        <v>2255</v>
      </c>
      <c r="I2678" s="13" t="s">
        <v>2517</v>
      </c>
      <c r="J2678" s="13" t="n">
        <v>6</v>
      </c>
      <c r="K2678" s="13" t="s">
        <v>2478</v>
      </c>
      <c r="L2678" s="13" t="s">
        <v>2260</v>
      </c>
      <c r="M2678" s="13" t="s">
        <v>2518</v>
      </c>
    </row>
    <row r="2679" customFormat="false" ht="15" hidden="false" customHeight="false" outlineLevel="0" collapsed="false">
      <c r="A2679" s="13" t="s">
        <v>628</v>
      </c>
      <c r="B2679" s="13" t="s">
        <v>627</v>
      </c>
      <c r="C2679" s="13" t="s">
        <v>2258</v>
      </c>
      <c r="D2679" s="13" t="s">
        <v>2270</v>
      </c>
      <c r="E2679" s="13" t="s">
        <v>2522</v>
      </c>
      <c r="F2679" s="13" t="s">
        <v>2534</v>
      </c>
      <c r="G2679" s="61" t="n">
        <v>0</v>
      </c>
      <c r="H2679" s="13" t="s">
        <v>2255</v>
      </c>
      <c r="I2679" s="13" t="s">
        <v>2517</v>
      </c>
      <c r="J2679" s="13" t="n">
        <v>6</v>
      </c>
      <c r="K2679" s="13" t="s">
        <v>2478</v>
      </c>
      <c r="L2679" s="13" t="s">
        <v>2260</v>
      </c>
      <c r="M2679" s="13" t="s">
        <v>2518</v>
      </c>
    </row>
    <row r="2680" customFormat="false" ht="15" hidden="false" customHeight="false" outlineLevel="0" collapsed="false">
      <c r="A2680" s="13" t="s">
        <v>628</v>
      </c>
      <c r="B2680" s="13" t="s">
        <v>627</v>
      </c>
      <c r="C2680" s="13" t="s">
        <v>2258</v>
      </c>
      <c r="D2680" s="13" t="s">
        <v>2270</v>
      </c>
      <c r="E2680" s="13" t="s">
        <v>2523</v>
      </c>
      <c r="F2680" s="13" t="s">
        <v>2534</v>
      </c>
      <c r="G2680" s="61" t="n">
        <v>0</v>
      </c>
      <c r="H2680" s="13" t="s">
        <v>2255</v>
      </c>
      <c r="I2680" s="13" t="s">
        <v>2517</v>
      </c>
      <c r="J2680" s="13" t="n">
        <v>6</v>
      </c>
      <c r="K2680" s="13" t="s">
        <v>2478</v>
      </c>
      <c r="L2680" s="13" t="s">
        <v>2260</v>
      </c>
      <c r="M2680" s="13" t="s">
        <v>2518</v>
      </c>
    </row>
    <row r="2681" customFormat="false" ht="15" hidden="false" customHeight="false" outlineLevel="0" collapsed="false">
      <c r="A2681" s="13" t="s">
        <v>628</v>
      </c>
      <c r="B2681" s="13" t="s">
        <v>627</v>
      </c>
      <c r="C2681" s="13" t="s">
        <v>2258</v>
      </c>
      <c r="D2681" s="13" t="s">
        <v>2270</v>
      </c>
      <c r="E2681" s="13" t="s">
        <v>2524</v>
      </c>
      <c r="F2681" s="13" t="s">
        <v>2534</v>
      </c>
      <c r="G2681" s="61" t="n">
        <v>-11438110</v>
      </c>
      <c r="H2681" s="13" t="s">
        <v>2255</v>
      </c>
      <c r="I2681" s="13" t="s">
        <v>2517</v>
      </c>
      <c r="J2681" s="13" t="n">
        <v>6</v>
      </c>
      <c r="K2681" s="13" t="s">
        <v>2478</v>
      </c>
      <c r="L2681" s="13" t="s">
        <v>2260</v>
      </c>
      <c r="M2681" s="13" t="s">
        <v>2518</v>
      </c>
    </row>
    <row r="2682" customFormat="false" ht="15" hidden="false" customHeight="false" outlineLevel="0" collapsed="false">
      <c r="A2682" s="13" t="s">
        <v>628</v>
      </c>
      <c r="B2682" s="13" t="s">
        <v>627</v>
      </c>
      <c r="C2682" s="13" t="s">
        <v>2258</v>
      </c>
      <c r="D2682" s="13" t="s">
        <v>2270</v>
      </c>
      <c r="E2682" s="13" t="s">
        <v>2515</v>
      </c>
      <c r="F2682" s="13" t="s">
        <v>2535</v>
      </c>
      <c r="G2682" s="61" t="n">
        <v>0</v>
      </c>
      <c r="H2682" s="13" t="s">
        <v>2255</v>
      </c>
      <c r="I2682" s="13" t="s">
        <v>2517</v>
      </c>
      <c r="J2682" s="13" t="n">
        <v>6</v>
      </c>
      <c r="K2682" s="13" t="s">
        <v>2478</v>
      </c>
      <c r="L2682" s="13" t="s">
        <v>2260</v>
      </c>
      <c r="M2682" s="13" t="s">
        <v>2518</v>
      </c>
    </row>
    <row r="2683" customFormat="false" ht="15" hidden="false" customHeight="false" outlineLevel="0" collapsed="false">
      <c r="A2683" s="13" t="s">
        <v>628</v>
      </c>
      <c r="B2683" s="13" t="s">
        <v>627</v>
      </c>
      <c r="C2683" s="13" t="s">
        <v>2258</v>
      </c>
      <c r="D2683" s="13" t="s">
        <v>2270</v>
      </c>
      <c r="E2683" s="13" t="s">
        <v>2519</v>
      </c>
      <c r="F2683" s="13" t="s">
        <v>2535</v>
      </c>
      <c r="G2683" s="61" t="n">
        <v>49042456</v>
      </c>
      <c r="H2683" s="13" t="s">
        <v>2255</v>
      </c>
      <c r="I2683" s="13" t="s">
        <v>2517</v>
      </c>
      <c r="J2683" s="13" t="n">
        <v>6</v>
      </c>
      <c r="K2683" s="13" t="s">
        <v>2478</v>
      </c>
      <c r="L2683" s="13" t="s">
        <v>2260</v>
      </c>
      <c r="M2683" s="13" t="s">
        <v>2518</v>
      </c>
    </row>
    <row r="2684" customFormat="false" ht="15" hidden="false" customHeight="false" outlineLevel="0" collapsed="false">
      <c r="A2684" s="13" t="s">
        <v>628</v>
      </c>
      <c r="B2684" s="13" t="s">
        <v>627</v>
      </c>
      <c r="C2684" s="13" t="s">
        <v>2258</v>
      </c>
      <c r="D2684" s="13" t="s">
        <v>2270</v>
      </c>
      <c r="E2684" s="13" t="s">
        <v>2520</v>
      </c>
      <c r="F2684" s="13" t="s">
        <v>2535</v>
      </c>
      <c r="G2684" s="61" t="n">
        <v>0</v>
      </c>
      <c r="H2684" s="13" t="s">
        <v>2255</v>
      </c>
      <c r="I2684" s="13" t="s">
        <v>2517</v>
      </c>
      <c r="J2684" s="13" t="n">
        <v>6</v>
      </c>
      <c r="K2684" s="13" t="s">
        <v>2478</v>
      </c>
      <c r="L2684" s="13" t="s">
        <v>2260</v>
      </c>
      <c r="M2684" s="13" t="s">
        <v>2518</v>
      </c>
    </row>
    <row r="2685" customFormat="false" ht="15" hidden="false" customHeight="false" outlineLevel="0" collapsed="false">
      <c r="A2685" s="13" t="s">
        <v>628</v>
      </c>
      <c r="B2685" s="13" t="s">
        <v>627</v>
      </c>
      <c r="C2685" s="13" t="s">
        <v>2258</v>
      </c>
      <c r="D2685" s="13" t="s">
        <v>2270</v>
      </c>
      <c r="E2685" s="13" t="s">
        <v>2521</v>
      </c>
      <c r="F2685" s="13" t="s">
        <v>2535</v>
      </c>
      <c r="G2685" s="61" t="n">
        <v>-7362916</v>
      </c>
      <c r="H2685" s="13" t="s">
        <v>2255</v>
      </c>
      <c r="I2685" s="13" t="s">
        <v>2517</v>
      </c>
      <c r="J2685" s="13" t="n">
        <v>6</v>
      </c>
      <c r="K2685" s="13" t="s">
        <v>2478</v>
      </c>
      <c r="L2685" s="13" t="s">
        <v>2260</v>
      </c>
      <c r="M2685" s="13" t="s">
        <v>2518</v>
      </c>
    </row>
    <row r="2686" customFormat="false" ht="15" hidden="false" customHeight="false" outlineLevel="0" collapsed="false">
      <c r="A2686" s="13" t="s">
        <v>628</v>
      </c>
      <c r="B2686" s="13" t="s">
        <v>627</v>
      </c>
      <c r="C2686" s="13" t="s">
        <v>2258</v>
      </c>
      <c r="D2686" s="13" t="s">
        <v>2270</v>
      </c>
      <c r="E2686" s="13" t="s">
        <v>2522</v>
      </c>
      <c r="F2686" s="13" t="s">
        <v>2535</v>
      </c>
      <c r="G2686" s="61" t="n">
        <v>0</v>
      </c>
      <c r="H2686" s="13" t="s">
        <v>2255</v>
      </c>
      <c r="I2686" s="13" t="s">
        <v>2517</v>
      </c>
      <c r="J2686" s="13" t="n">
        <v>6</v>
      </c>
      <c r="K2686" s="13" t="s">
        <v>2478</v>
      </c>
      <c r="L2686" s="13" t="s">
        <v>2260</v>
      </c>
      <c r="M2686" s="13" t="s">
        <v>2518</v>
      </c>
    </row>
    <row r="2687" customFormat="false" ht="15" hidden="false" customHeight="false" outlineLevel="0" collapsed="false">
      <c r="A2687" s="13" t="s">
        <v>628</v>
      </c>
      <c r="B2687" s="13" t="s">
        <v>627</v>
      </c>
      <c r="C2687" s="13" t="s">
        <v>2258</v>
      </c>
      <c r="D2687" s="13" t="s">
        <v>2270</v>
      </c>
      <c r="E2687" s="13" t="s">
        <v>2523</v>
      </c>
      <c r="F2687" s="13" t="s">
        <v>2535</v>
      </c>
      <c r="G2687" s="61" t="n">
        <v>0</v>
      </c>
      <c r="H2687" s="13" t="s">
        <v>2255</v>
      </c>
      <c r="I2687" s="13" t="s">
        <v>2517</v>
      </c>
      <c r="J2687" s="13" t="n">
        <v>6</v>
      </c>
      <c r="K2687" s="13" t="s">
        <v>2478</v>
      </c>
      <c r="L2687" s="13" t="s">
        <v>2260</v>
      </c>
      <c r="M2687" s="13" t="s">
        <v>2518</v>
      </c>
    </row>
    <row r="2688" customFormat="false" ht="15" hidden="false" customHeight="false" outlineLevel="0" collapsed="false">
      <c r="A2688" s="13" t="s">
        <v>628</v>
      </c>
      <c r="B2688" s="13" t="s">
        <v>627</v>
      </c>
      <c r="C2688" s="13" t="s">
        <v>2258</v>
      </c>
      <c r="D2688" s="13" t="s">
        <v>2270</v>
      </c>
      <c r="E2688" s="13" t="s">
        <v>2524</v>
      </c>
      <c r="F2688" s="13" t="s">
        <v>2535</v>
      </c>
      <c r="G2688" s="61" t="n">
        <v>41679540</v>
      </c>
      <c r="H2688" s="13" t="s">
        <v>2255</v>
      </c>
      <c r="I2688" s="13" t="s">
        <v>2517</v>
      </c>
      <c r="J2688" s="13" t="n">
        <v>6</v>
      </c>
      <c r="K2688" s="13" t="s">
        <v>2478</v>
      </c>
      <c r="L2688" s="13" t="s">
        <v>2260</v>
      </c>
      <c r="M2688" s="13" t="s">
        <v>2518</v>
      </c>
    </row>
    <row r="2689" customFormat="false" ht="15" hidden="false" customHeight="false" outlineLevel="0" collapsed="false">
      <c r="A2689" s="13" t="s">
        <v>628</v>
      </c>
      <c r="B2689" s="13" t="s">
        <v>627</v>
      </c>
      <c r="C2689" s="13" t="s">
        <v>2258</v>
      </c>
      <c r="D2689" s="13" t="s">
        <v>2270</v>
      </c>
      <c r="E2689" s="13" t="s">
        <v>2515</v>
      </c>
      <c r="F2689" s="13" t="s">
        <v>2536</v>
      </c>
      <c r="G2689" s="61" t="n">
        <v>20628334611</v>
      </c>
      <c r="H2689" s="13" t="s">
        <v>2255</v>
      </c>
      <c r="I2689" s="13" t="s">
        <v>2517</v>
      </c>
      <c r="J2689" s="13" t="n">
        <v>6</v>
      </c>
      <c r="K2689" s="13" t="s">
        <v>2478</v>
      </c>
      <c r="L2689" s="13" t="s">
        <v>2260</v>
      </c>
      <c r="M2689" s="13" t="s">
        <v>2518</v>
      </c>
    </row>
    <row r="2690" customFormat="false" ht="15" hidden="false" customHeight="false" outlineLevel="0" collapsed="false">
      <c r="A2690" s="13" t="s">
        <v>628</v>
      </c>
      <c r="B2690" s="13" t="s">
        <v>627</v>
      </c>
      <c r="C2690" s="13" t="s">
        <v>2258</v>
      </c>
      <c r="D2690" s="13" t="s">
        <v>2270</v>
      </c>
      <c r="E2690" s="13" t="s">
        <v>2519</v>
      </c>
      <c r="F2690" s="13" t="s">
        <v>2536</v>
      </c>
      <c r="G2690" s="61" t="n">
        <v>0</v>
      </c>
      <c r="H2690" s="13" t="s">
        <v>2255</v>
      </c>
      <c r="I2690" s="13" t="s">
        <v>2517</v>
      </c>
      <c r="J2690" s="13" t="n">
        <v>6</v>
      </c>
      <c r="K2690" s="13" t="s">
        <v>2478</v>
      </c>
      <c r="L2690" s="13" t="s">
        <v>2260</v>
      </c>
      <c r="M2690" s="13" t="s">
        <v>2518</v>
      </c>
    </row>
    <row r="2691" customFormat="false" ht="15" hidden="false" customHeight="false" outlineLevel="0" collapsed="false">
      <c r="A2691" s="13" t="s">
        <v>628</v>
      </c>
      <c r="B2691" s="13" t="s">
        <v>627</v>
      </c>
      <c r="C2691" s="13" t="s">
        <v>2258</v>
      </c>
      <c r="D2691" s="13" t="s">
        <v>2270</v>
      </c>
      <c r="E2691" s="13" t="s">
        <v>2520</v>
      </c>
      <c r="F2691" s="13" t="s">
        <v>2536</v>
      </c>
      <c r="G2691" s="61" t="n">
        <v>0</v>
      </c>
      <c r="H2691" s="13" t="s">
        <v>2255</v>
      </c>
      <c r="I2691" s="13" t="s">
        <v>2517</v>
      </c>
      <c r="J2691" s="13" t="n">
        <v>6</v>
      </c>
      <c r="K2691" s="13" t="s">
        <v>2478</v>
      </c>
      <c r="L2691" s="13" t="s">
        <v>2260</v>
      </c>
      <c r="M2691" s="13" t="s">
        <v>2518</v>
      </c>
    </row>
    <row r="2692" customFormat="false" ht="15" hidden="false" customHeight="false" outlineLevel="0" collapsed="false">
      <c r="A2692" s="13" t="s">
        <v>628</v>
      </c>
      <c r="B2692" s="13" t="s">
        <v>627</v>
      </c>
      <c r="C2692" s="13" t="s">
        <v>2258</v>
      </c>
      <c r="D2692" s="13" t="s">
        <v>2270</v>
      </c>
      <c r="E2692" s="13" t="s">
        <v>2521</v>
      </c>
      <c r="F2692" s="13" t="s">
        <v>2536</v>
      </c>
      <c r="G2692" s="61" t="n">
        <v>53512700559</v>
      </c>
      <c r="H2692" s="13" t="s">
        <v>2255</v>
      </c>
      <c r="I2692" s="13" t="s">
        <v>2517</v>
      </c>
      <c r="J2692" s="13" t="n">
        <v>6</v>
      </c>
      <c r="K2692" s="13" t="s">
        <v>2478</v>
      </c>
      <c r="L2692" s="13" t="s">
        <v>2260</v>
      </c>
      <c r="M2692" s="13" t="s">
        <v>2518</v>
      </c>
    </row>
    <row r="2693" customFormat="false" ht="15" hidden="false" customHeight="false" outlineLevel="0" collapsed="false">
      <c r="A2693" s="13" t="s">
        <v>628</v>
      </c>
      <c r="B2693" s="13" t="s">
        <v>627</v>
      </c>
      <c r="C2693" s="13" t="s">
        <v>2258</v>
      </c>
      <c r="D2693" s="13" t="s">
        <v>2270</v>
      </c>
      <c r="E2693" s="13" t="s">
        <v>2522</v>
      </c>
      <c r="F2693" s="13" t="s">
        <v>2536</v>
      </c>
      <c r="G2693" s="61" t="n">
        <v>22106670344</v>
      </c>
      <c r="H2693" s="13" t="s">
        <v>2255</v>
      </c>
      <c r="I2693" s="13" t="s">
        <v>2517</v>
      </c>
      <c r="J2693" s="13" t="n">
        <v>6</v>
      </c>
      <c r="K2693" s="13" t="s">
        <v>2478</v>
      </c>
      <c r="L2693" s="13" t="s">
        <v>2260</v>
      </c>
      <c r="M2693" s="13" t="s">
        <v>2518</v>
      </c>
    </row>
    <row r="2694" customFormat="false" ht="15" hidden="false" customHeight="false" outlineLevel="0" collapsed="false">
      <c r="A2694" s="13" t="s">
        <v>628</v>
      </c>
      <c r="B2694" s="13" t="s">
        <v>627</v>
      </c>
      <c r="C2694" s="13" t="s">
        <v>2258</v>
      </c>
      <c r="D2694" s="13" t="s">
        <v>2270</v>
      </c>
      <c r="E2694" s="13" t="s">
        <v>2523</v>
      </c>
      <c r="F2694" s="13" t="s">
        <v>2536</v>
      </c>
      <c r="G2694" s="61" t="n">
        <v>350768243</v>
      </c>
      <c r="H2694" s="13" t="s">
        <v>2255</v>
      </c>
      <c r="I2694" s="13" t="s">
        <v>2517</v>
      </c>
      <c r="J2694" s="13" t="n">
        <v>6</v>
      </c>
      <c r="K2694" s="13" t="s">
        <v>2478</v>
      </c>
      <c r="L2694" s="13" t="s">
        <v>2260</v>
      </c>
      <c r="M2694" s="13" t="s">
        <v>2518</v>
      </c>
    </row>
    <row r="2695" customFormat="false" ht="15" hidden="false" customHeight="false" outlineLevel="0" collapsed="false">
      <c r="A2695" s="13" t="s">
        <v>628</v>
      </c>
      <c r="B2695" s="13" t="s">
        <v>627</v>
      </c>
      <c r="C2695" s="13" t="s">
        <v>2258</v>
      </c>
      <c r="D2695" s="13" t="s">
        <v>2270</v>
      </c>
      <c r="E2695" s="13" t="s">
        <v>2524</v>
      </c>
      <c r="F2695" s="13" t="s">
        <v>2536</v>
      </c>
      <c r="G2695" s="61" t="n">
        <v>96598473757</v>
      </c>
      <c r="H2695" s="13" t="s">
        <v>2255</v>
      </c>
      <c r="I2695" s="13" t="s">
        <v>2517</v>
      </c>
      <c r="J2695" s="13" t="n">
        <v>6</v>
      </c>
      <c r="K2695" s="13" t="s">
        <v>2478</v>
      </c>
      <c r="L2695" s="13" t="s">
        <v>2260</v>
      </c>
      <c r="M2695" s="13" t="s">
        <v>2518</v>
      </c>
    </row>
    <row r="2696" customFormat="false" ht="15" hidden="false" customHeight="false" outlineLevel="0" collapsed="false">
      <c r="A2696" s="13" t="s">
        <v>628</v>
      </c>
      <c r="B2696" s="13" t="s">
        <v>627</v>
      </c>
      <c r="C2696" s="13" t="s">
        <v>2258</v>
      </c>
      <c r="D2696" s="13" t="s">
        <v>2270</v>
      </c>
      <c r="E2696" s="13" t="s">
        <v>2515</v>
      </c>
      <c r="F2696" s="13" t="s">
        <v>2290</v>
      </c>
      <c r="G2696" s="61" t="n">
        <v>83595289433</v>
      </c>
      <c r="H2696" s="13" t="s">
        <v>2255</v>
      </c>
      <c r="I2696" s="13" t="s">
        <v>2517</v>
      </c>
      <c r="J2696" s="13" t="n">
        <v>6</v>
      </c>
      <c r="K2696" s="13" t="s">
        <v>2478</v>
      </c>
      <c r="L2696" s="13" t="s">
        <v>2260</v>
      </c>
      <c r="M2696" s="13" t="s">
        <v>2518</v>
      </c>
    </row>
    <row r="2697" customFormat="false" ht="15" hidden="false" customHeight="false" outlineLevel="0" collapsed="false">
      <c r="A2697" s="13" t="s">
        <v>628</v>
      </c>
      <c r="B2697" s="13" t="s">
        <v>627</v>
      </c>
      <c r="C2697" s="13" t="s">
        <v>2258</v>
      </c>
      <c r="D2697" s="13" t="s">
        <v>2270</v>
      </c>
      <c r="E2697" s="13" t="s">
        <v>2519</v>
      </c>
      <c r="F2697" s="13" t="s">
        <v>2290</v>
      </c>
      <c r="G2697" s="61" t="n">
        <v>49042456</v>
      </c>
      <c r="H2697" s="13" t="s">
        <v>2255</v>
      </c>
      <c r="I2697" s="13" t="s">
        <v>2517</v>
      </c>
      <c r="J2697" s="13" t="n">
        <v>6</v>
      </c>
      <c r="K2697" s="13" t="s">
        <v>2478</v>
      </c>
      <c r="L2697" s="13" t="s">
        <v>2260</v>
      </c>
      <c r="M2697" s="13" t="s">
        <v>2518</v>
      </c>
    </row>
    <row r="2698" customFormat="false" ht="15" hidden="false" customHeight="false" outlineLevel="0" collapsed="false">
      <c r="A2698" s="13" t="s">
        <v>628</v>
      </c>
      <c r="B2698" s="13" t="s">
        <v>627</v>
      </c>
      <c r="C2698" s="13" t="s">
        <v>2258</v>
      </c>
      <c r="D2698" s="13" t="s">
        <v>2270</v>
      </c>
      <c r="E2698" s="13" t="s">
        <v>2520</v>
      </c>
      <c r="F2698" s="13" t="s">
        <v>2290</v>
      </c>
      <c r="G2698" s="61" t="n">
        <v>3000000</v>
      </c>
      <c r="H2698" s="13" t="s">
        <v>2255</v>
      </c>
      <c r="I2698" s="13" t="s">
        <v>2517</v>
      </c>
      <c r="J2698" s="13" t="n">
        <v>6</v>
      </c>
      <c r="K2698" s="13" t="s">
        <v>2478</v>
      </c>
      <c r="L2698" s="13" t="s">
        <v>2260</v>
      </c>
      <c r="M2698" s="13" t="s">
        <v>2518</v>
      </c>
    </row>
    <row r="2699" customFormat="false" ht="15" hidden="false" customHeight="false" outlineLevel="0" collapsed="false">
      <c r="A2699" s="13" t="s">
        <v>628</v>
      </c>
      <c r="B2699" s="13" t="s">
        <v>627</v>
      </c>
      <c r="C2699" s="13" t="s">
        <v>2258</v>
      </c>
      <c r="D2699" s="13" t="s">
        <v>2270</v>
      </c>
      <c r="E2699" s="13" t="s">
        <v>2521</v>
      </c>
      <c r="F2699" s="13" t="s">
        <v>2290</v>
      </c>
      <c r="G2699" s="61" t="n">
        <v>140159661589</v>
      </c>
      <c r="H2699" s="13" t="s">
        <v>2255</v>
      </c>
      <c r="I2699" s="13" t="s">
        <v>2517</v>
      </c>
      <c r="J2699" s="13" t="n">
        <v>6</v>
      </c>
      <c r="K2699" s="13" t="s">
        <v>2478</v>
      </c>
      <c r="L2699" s="13" t="s">
        <v>2260</v>
      </c>
      <c r="M2699" s="13" t="s">
        <v>2518</v>
      </c>
    </row>
    <row r="2700" customFormat="false" ht="15" hidden="false" customHeight="false" outlineLevel="0" collapsed="false">
      <c r="A2700" s="13" t="s">
        <v>628</v>
      </c>
      <c r="B2700" s="13" t="s">
        <v>627</v>
      </c>
      <c r="C2700" s="13" t="s">
        <v>2258</v>
      </c>
      <c r="D2700" s="13" t="s">
        <v>2270</v>
      </c>
      <c r="E2700" s="13" t="s">
        <v>2522</v>
      </c>
      <c r="F2700" s="13" t="s">
        <v>2290</v>
      </c>
      <c r="G2700" s="61" t="n">
        <v>22338459724</v>
      </c>
      <c r="H2700" s="13" t="s">
        <v>2255</v>
      </c>
      <c r="I2700" s="13" t="s">
        <v>2517</v>
      </c>
      <c r="J2700" s="13" t="n">
        <v>6</v>
      </c>
      <c r="K2700" s="13" t="s">
        <v>2478</v>
      </c>
      <c r="L2700" s="13" t="s">
        <v>2260</v>
      </c>
      <c r="M2700" s="13" t="s">
        <v>2518</v>
      </c>
    </row>
    <row r="2701" customFormat="false" ht="15" hidden="false" customHeight="false" outlineLevel="0" collapsed="false">
      <c r="A2701" s="13" t="s">
        <v>628</v>
      </c>
      <c r="B2701" s="13" t="s">
        <v>627</v>
      </c>
      <c r="C2701" s="13" t="s">
        <v>2258</v>
      </c>
      <c r="D2701" s="13" t="s">
        <v>2270</v>
      </c>
      <c r="E2701" s="13" t="s">
        <v>2523</v>
      </c>
      <c r="F2701" s="13" t="s">
        <v>2290</v>
      </c>
      <c r="G2701" s="61" t="n">
        <v>-669141149</v>
      </c>
      <c r="H2701" s="13" t="s">
        <v>2255</v>
      </c>
      <c r="I2701" s="13" t="s">
        <v>2517</v>
      </c>
      <c r="J2701" s="13" t="n">
        <v>6</v>
      </c>
      <c r="K2701" s="13" t="s">
        <v>2478</v>
      </c>
      <c r="L2701" s="13" t="s">
        <v>2260</v>
      </c>
      <c r="M2701" s="13" t="s">
        <v>2518</v>
      </c>
    </row>
    <row r="2702" customFormat="false" ht="15" hidden="false" customHeight="false" outlineLevel="0" collapsed="false">
      <c r="A2702" s="13" t="s">
        <v>628</v>
      </c>
      <c r="B2702" s="13" t="s">
        <v>627</v>
      </c>
      <c r="C2702" s="13" t="s">
        <v>2258</v>
      </c>
      <c r="D2702" s="13" t="s">
        <v>2270</v>
      </c>
      <c r="E2702" s="13" t="s">
        <v>2524</v>
      </c>
      <c r="F2702" s="13" t="s">
        <v>2290</v>
      </c>
      <c r="G2702" s="61" t="n">
        <v>245476312053</v>
      </c>
      <c r="H2702" s="13" t="s">
        <v>2255</v>
      </c>
      <c r="I2702" s="13" t="s">
        <v>2517</v>
      </c>
      <c r="J2702" s="13" t="n">
        <v>6</v>
      </c>
      <c r="K2702" s="13" t="s">
        <v>2478</v>
      </c>
      <c r="L2702" s="13" t="s">
        <v>2260</v>
      </c>
      <c r="M2702" s="13" t="s">
        <v>2518</v>
      </c>
    </row>
    <row r="2703" customFormat="false" ht="15" hidden="false" customHeight="false" outlineLevel="0" collapsed="false">
      <c r="A2703" s="13" t="s">
        <v>628</v>
      </c>
      <c r="B2703" s="13" t="s">
        <v>627</v>
      </c>
      <c r="C2703" s="13" t="s">
        <v>2261</v>
      </c>
      <c r="D2703" s="13" t="s">
        <v>2270</v>
      </c>
      <c r="E2703" s="13" t="s">
        <v>2515</v>
      </c>
      <c r="F2703" s="13" t="s">
        <v>2516</v>
      </c>
      <c r="G2703" s="61" t="n">
        <v>50337557629</v>
      </c>
      <c r="H2703" s="13" t="s">
        <v>2255</v>
      </c>
      <c r="I2703" s="13" t="s">
        <v>2517</v>
      </c>
      <c r="J2703" s="13" t="n">
        <v>6</v>
      </c>
      <c r="K2703" s="13" t="s">
        <v>2478</v>
      </c>
      <c r="L2703" s="13" t="s">
        <v>2263</v>
      </c>
      <c r="M2703" s="13" t="s">
        <v>2518</v>
      </c>
    </row>
    <row r="2704" customFormat="false" ht="15" hidden="false" customHeight="false" outlineLevel="0" collapsed="false">
      <c r="A2704" s="13" t="s">
        <v>628</v>
      </c>
      <c r="B2704" s="13" t="s">
        <v>627</v>
      </c>
      <c r="C2704" s="13" t="s">
        <v>2261</v>
      </c>
      <c r="D2704" s="13" t="s">
        <v>2270</v>
      </c>
      <c r="E2704" s="13" t="s">
        <v>2519</v>
      </c>
      <c r="F2704" s="13" t="s">
        <v>2516</v>
      </c>
      <c r="G2704" s="61" t="n">
        <v>0</v>
      </c>
      <c r="H2704" s="13" t="s">
        <v>2255</v>
      </c>
      <c r="I2704" s="13" t="s">
        <v>2517</v>
      </c>
      <c r="J2704" s="13" t="n">
        <v>6</v>
      </c>
      <c r="K2704" s="13" t="s">
        <v>2478</v>
      </c>
      <c r="L2704" s="13" t="s">
        <v>2263</v>
      </c>
      <c r="M2704" s="13" t="s">
        <v>2518</v>
      </c>
    </row>
    <row r="2705" customFormat="false" ht="15" hidden="false" customHeight="false" outlineLevel="0" collapsed="false">
      <c r="A2705" s="13" t="s">
        <v>628</v>
      </c>
      <c r="B2705" s="13" t="s">
        <v>627</v>
      </c>
      <c r="C2705" s="13" t="s">
        <v>2261</v>
      </c>
      <c r="D2705" s="13" t="s">
        <v>2270</v>
      </c>
      <c r="E2705" s="13" t="s">
        <v>2520</v>
      </c>
      <c r="F2705" s="13" t="s">
        <v>2516</v>
      </c>
      <c r="G2705" s="61" t="n">
        <v>1665000000</v>
      </c>
      <c r="H2705" s="13" t="s">
        <v>2255</v>
      </c>
      <c r="I2705" s="13" t="s">
        <v>2517</v>
      </c>
      <c r="J2705" s="13" t="n">
        <v>6</v>
      </c>
      <c r="K2705" s="13" t="s">
        <v>2478</v>
      </c>
      <c r="L2705" s="13" t="s">
        <v>2263</v>
      </c>
      <c r="M2705" s="13" t="s">
        <v>2518</v>
      </c>
    </row>
    <row r="2706" customFormat="false" ht="15" hidden="false" customHeight="false" outlineLevel="0" collapsed="false">
      <c r="A2706" s="13" t="s">
        <v>628</v>
      </c>
      <c r="B2706" s="13" t="s">
        <v>627</v>
      </c>
      <c r="C2706" s="13" t="s">
        <v>2261</v>
      </c>
      <c r="D2706" s="13" t="s">
        <v>2270</v>
      </c>
      <c r="E2706" s="13" t="s">
        <v>2521</v>
      </c>
      <c r="F2706" s="13" t="s">
        <v>2516</v>
      </c>
      <c r="G2706" s="61" t="n">
        <v>27599365246</v>
      </c>
      <c r="H2706" s="13" t="s">
        <v>2255</v>
      </c>
      <c r="I2706" s="13" t="s">
        <v>2517</v>
      </c>
      <c r="J2706" s="13" t="n">
        <v>6</v>
      </c>
      <c r="K2706" s="13" t="s">
        <v>2478</v>
      </c>
      <c r="L2706" s="13" t="s">
        <v>2263</v>
      </c>
      <c r="M2706" s="13" t="s">
        <v>2518</v>
      </c>
    </row>
    <row r="2707" customFormat="false" ht="15" hidden="false" customHeight="false" outlineLevel="0" collapsed="false">
      <c r="A2707" s="13" t="s">
        <v>628</v>
      </c>
      <c r="B2707" s="13" t="s">
        <v>627</v>
      </c>
      <c r="C2707" s="13" t="s">
        <v>2261</v>
      </c>
      <c r="D2707" s="13" t="s">
        <v>2270</v>
      </c>
      <c r="E2707" s="13" t="s">
        <v>2522</v>
      </c>
      <c r="F2707" s="13" t="s">
        <v>2516</v>
      </c>
      <c r="G2707" s="61" t="n">
        <v>-4440000000</v>
      </c>
      <c r="H2707" s="13" t="s">
        <v>2255</v>
      </c>
      <c r="I2707" s="13" t="s">
        <v>2517</v>
      </c>
      <c r="J2707" s="13" t="n">
        <v>6</v>
      </c>
      <c r="K2707" s="13" t="s">
        <v>2478</v>
      </c>
      <c r="L2707" s="13" t="s">
        <v>2263</v>
      </c>
      <c r="M2707" s="13" t="s">
        <v>2518</v>
      </c>
    </row>
    <row r="2708" customFormat="false" ht="15" hidden="false" customHeight="false" outlineLevel="0" collapsed="false">
      <c r="A2708" s="13" t="s">
        <v>628</v>
      </c>
      <c r="B2708" s="13" t="s">
        <v>627</v>
      </c>
      <c r="C2708" s="13" t="s">
        <v>2261</v>
      </c>
      <c r="D2708" s="13" t="s">
        <v>2270</v>
      </c>
      <c r="E2708" s="13" t="s">
        <v>2523</v>
      </c>
      <c r="F2708" s="13" t="s">
        <v>2516</v>
      </c>
      <c r="G2708" s="61" t="n">
        <v>-911293606</v>
      </c>
      <c r="H2708" s="13" t="s">
        <v>2255</v>
      </c>
      <c r="I2708" s="13" t="s">
        <v>2517</v>
      </c>
      <c r="J2708" s="13" t="n">
        <v>6</v>
      </c>
      <c r="K2708" s="13" t="s">
        <v>2478</v>
      </c>
      <c r="L2708" s="13" t="s">
        <v>2263</v>
      </c>
      <c r="M2708" s="13" t="s">
        <v>2518</v>
      </c>
    </row>
    <row r="2709" customFormat="false" ht="15" hidden="false" customHeight="false" outlineLevel="0" collapsed="false">
      <c r="A2709" s="13" t="s">
        <v>628</v>
      </c>
      <c r="B2709" s="13" t="s">
        <v>627</v>
      </c>
      <c r="C2709" s="13" t="s">
        <v>2261</v>
      </c>
      <c r="D2709" s="13" t="s">
        <v>2270</v>
      </c>
      <c r="E2709" s="13" t="s">
        <v>2524</v>
      </c>
      <c r="F2709" s="13" t="s">
        <v>2516</v>
      </c>
      <c r="G2709" s="61" t="n">
        <v>74250629269</v>
      </c>
      <c r="H2709" s="13" t="s">
        <v>2255</v>
      </c>
      <c r="I2709" s="13" t="s">
        <v>2517</v>
      </c>
      <c r="J2709" s="13" t="n">
        <v>6</v>
      </c>
      <c r="K2709" s="13" t="s">
        <v>2478</v>
      </c>
      <c r="L2709" s="13" t="s">
        <v>2263</v>
      </c>
      <c r="M2709" s="13" t="s">
        <v>2518</v>
      </c>
    </row>
    <row r="2710" customFormat="false" ht="15" hidden="false" customHeight="false" outlineLevel="0" collapsed="false">
      <c r="A2710" s="13" t="s">
        <v>628</v>
      </c>
      <c r="B2710" s="13" t="s">
        <v>627</v>
      </c>
      <c r="C2710" s="13" t="s">
        <v>2261</v>
      </c>
      <c r="D2710" s="13" t="s">
        <v>2270</v>
      </c>
      <c r="E2710" s="13" t="s">
        <v>2515</v>
      </c>
      <c r="F2710" s="13" t="s">
        <v>2525</v>
      </c>
      <c r="G2710" s="61" t="n">
        <v>83057462036</v>
      </c>
      <c r="H2710" s="13" t="s">
        <v>2255</v>
      </c>
      <c r="I2710" s="13" t="s">
        <v>2517</v>
      </c>
      <c r="J2710" s="13" t="n">
        <v>6</v>
      </c>
      <c r="K2710" s="13" t="s">
        <v>2478</v>
      </c>
      <c r="L2710" s="13" t="s">
        <v>2263</v>
      </c>
      <c r="M2710" s="13" t="s">
        <v>2518</v>
      </c>
    </row>
    <row r="2711" customFormat="false" ht="15" hidden="false" customHeight="false" outlineLevel="0" collapsed="false">
      <c r="A2711" s="13" t="s">
        <v>628</v>
      </c>
      <c r="B2711" s="13" t="s">
        <v>627</v>
      </c>
      <c r="C2711" s="13" t="s">
        <v>2261</v>
      </c>
      <c r="D2711" s="13" t="s">
        <v>2270</v>
      </c>
      <c r="E2711" s="13" t="s">
        <v>2519</v>
      </c>
      <c r="F2711" s="13" t="s">
        <v>2525</v>
      </c>
      <c r="G2711" s="61" t="n">
        <v>0</v>
      </c>
      <c r="H2711" s="13" t="s">
        <v>2255</v>
      </c>
      <c r="I2711" s="13" t="s">
        <v>2517</v>
      </c>
      <c r="J2711" s="13" t="n">
        <v>6</v>
      </c>
      <c r="K2711" s="13" t="s">
        <v>2478</v>
      </c>
      <c r="L2711" s="13" t="s">
        <v>2263</v>
      </c>
      <c r="M2711" s="13" t="s">
        <v>2518</v>
      </c>
    </row>
    <row r="2712" customFormat="false" ht="15" hidden="false" customHeight="false" outlineLevel="0" collapsed="false">
      <c r="A2712" s="13" t="s">
        <v>628</v>
      </c>
      <c r="B2712" s="13" t="s">
        <v>627</v>
      </c>
      <c r="C2712" s="13" t="s">
        <v>2261</v>
      </c>
      <c r="D2712" s="13" t="s">
        <v>2270</v>
      </c>
      <c r="E2712" s="13" t="s">
        <v>2520</v>
      </c>
      <c r="F2712" s="13" t="s">
        <v>2525</v>
      </c>
      <c r="G2712" s="61" t="n">
        <v>0</v>
      </c>
      <c r="H2712" s="13" t="s">
        <v>2255</v>
      </c>
      <c r="I2712" s="13" t="s">
        <v>2517</v>
      </c>
      <c r="J2712" s="13" t="n">
        <v>6</v>
      </c>
      <c r="K2712" s="13" t="s">
        <v>2478</v>
      </c>
      <c r="L2712" s="13" t="s">
        <v>2263</v>
      </c>
      <c r="M2712" s="13" t="s">
        <v>2518</v>
      </c>
    </row>
    <row r="2713" customFormat="false" ht="15" hidden="false" customHeight="false" outlineLevel="0" collapsed="false">
      <c r="A2713" s="13" t="s">
        <v>628</v>
      </c>
      <c r="B2713" s="13" t="s">
        <v>627</v>
      </c>
      <c r="C2713" s="13" t="s">
        <v>2261</v>
      </c>
      <c r="D2713" s="13" t="s">
        <v>2270</v>
      </c>
      <c r="E2713" s="13" t="s">
        <v>2521</v>
      </c>
      <c r="F2713" s="13" t="s">
        <v>2525</v>
      </c>
      <c r="G2713" s="61" t="n">
        <v>7263486107</v>
      </c>
      <c r="H2713" s="13" t="s">
        <v>2255</v>
      </c>
      <c r="I2713" s="13" t="s">
        <v>2517</v>
      </c>
      <c r="J2713" s="13" t="n">
        <v>6</v>
      </c>
      <c r="K2713" s="13" t="s">
        <v>2478</v>
      </c>
      <c r="L2713" s="13" t="s">
        <v>2263</v>
      </c>
      <c r="M2713" s="13" t="s">
        <v>2518</v>
      </c>
    </row>
    <row r="2714" customFormat="false" ht="15" hidden="false" customHeight="false" outlineLevel="0" collapsed="false">
      <c r="A2714" s="13" t="s">
        <v>628</v>
      </c>
      <c r="B2714" s="13" t="s">
        <v>627</v>
      </c>
      <c r="C2714" s="13" t="s">
        <v>2261</v>
      </c>
      <c r="D2714" s="13" t="s">
        <v>2270</v>
      </c>
      <c r="E2714" s="13" t="s">
        <v>2522</v>
      </c>
      <c r="F2714" s="13" t="s">
        <v>2525</v>
      </c>
      <c r="G2714" s="61" t="n">
        <v>-4500000000</v>
      </c>
      <c r="H2714" s="13" t="s">
        <v>2255</v>
      </c>
      <c r="I2714" s="13" t="s">
        <v>2517</v>
      </c>
      <c r="J2714" s="13" t="n">
        <v>6</v>
      </c>
      <c r="K2714" s="13" t="s">
        <v>2478</v>
      </c>
      <c r="L2714" s="13" t="s">
        <v>2263</v>
      </c>
      <c r="M2714" s="13" t="s">
        <v>2518</v>
      </c>
    </row>
    <row r="2715" customFormat="false" ht="15" hidden="false" customHeight="false" outlineLevel="0" collapsed="false">
      <c r="A2715" s="13" t="s">
        <v>628</v>
      </c>
      <c r="B2715" s="13" t="s">
        <v>627</v>
      </c>
      <c r="C2715" s="13" t="s">
        <v>2261</v>
      </c>
      <c r="D2715" s="13" t="s">
        <v>2270</v>
      </c>
      <c r="E2715" s="13" t="s">
        <v>2523</v>
      </c>
      <c r="F2715" s="13" t="s">
        <v>2525</v>
      </c>
      <c r="G2715" s="61" t="n">
        <v>200217182</v>
      </c>
      <c r="H2715" s="13" t="s">
        <v>2255</v>
      </c>
      <c r="I2715" s="13" t="s">
        <v>2517</v>
      </c>
      <c r="J2715" s="13" t="n">
        <v>6</v>
      </c>
      <c r="K2715" s="13" t="s">
        <v>2478</v>
      </c>
      <c r="L2715" s="13" t="s">
        <v>2263</v>
      </c>
      <c r="M2715" s="13" t="s">
        <v>2518</v>
      </c>
    </row>
    <row r="2716" customFormat="false" ht="15" hidden="false" customHeight="false" outlineLevel="0" collapsed="false">
      <c r="A2716" s="13" t="s">
        <v>628</v>
      </c>
      <c r="B2716" s="13" t="s">
        <v>627</v>
      </c>
      <c r="C2716" s="13" t="s">
        <v>2261</v>
      </c>
      <c r="D2716" s="13" t="s">
        <v>2270</v>
      </c>
      <c r="E2716" s="13" t="s">
        <v>2524</v>
      </c>
      <c r="F2716" s="13" t="s">
        <v>2525</v>
      </c>
      <c r="G2716" s="61" t="n">
        <v>86021165325</v>
      </c>
      <c r="H2716" s="13" t="s">
        <v>2255</v>
      </c>
      <c r="I2716" s="13" t="s">
        <v>2517</v>
      </c>
      <c r="J2716" s="13" t="n">
        <v>6</v>
      </c>
      <c r="K2716" s="13" t="s">
        <v>2478</v>
      </c>
      <c r="L2716" s="13" t="s">
        <v>2263</v>
      </c>
      <c r="M2716" s="13" t="s">
        <v>2518</v>
      </c>
    </row>
    <row r="2717" customFormat="false" ht="15" hidden="false" customHeight="false" outlineLevel="0" collapsed="false">
      <c r="A2717" s="13" t="s">
        <v>628</v>
      </c>
      <c r="B2717" s="13" t="s">
        <v>627</v>
      </c>
      <c r="C2717" s="13" t="s">
        <v>2261</v>
      </c>
      <c r="D2717" s="13" t="s">
        <v>2270</v>
      </c>
      <c r="E2717" s="13" t="s">
        <v>2515</v>
      </c>
      <c r="F2717" s="13" t="s">
        <v>2526</v>
      </c>
      <c r="G2717" s="61" t="n">
        <v>3104964874</v>
      </c>
      <c r="H2717" s="13" t="s">
        <v>2255</v>
      </c>
      <c r="I2717" s="13" t="s">
        <v>2517</v>
      </c>
      <c r="J2717" s="13" t="n">
        <v>6</v>
      </c>
      <c r="K2717" s="13" t="s">
        <v>2478</v>
      </c>
      <c r="L2717" s="13" t="s">
        <v>2263</v>
      </c>
      <c r="M2717" s="13" t="s">
        <v>2518</v>
      </c>
    </row>
    <row r="2718" customFormat="false" ht="15" hidden="false" customHeight="false" outlineLevel="0" collapsed="false">
      <c r="A2718" s="13" t="s">
        <v>628</v>
      </c>
      <c r="B2718" s="13" t="s">
        <v>627</v>
      </c>
      <c r="C2718" s="13" t="s">
        <v>2261</v>
      </c>
      <c r="D2718" s="13" t="s">
        <v>2270</v>
      </c>
      <c r="E2718" s="13" t="s">
        <v>2519</v>
      </c>
      <c r="F2718" s="13" t="s">
        <v>2526</v>
      </c>
      <c r="G2718" s="61" t="n">
        <v>0</v>
      </c>
      <c r="H2718" s="13" t="s">
        <v>2255</v>
      </c>
      <c r="I2718" s="13" t="s">
        <v>2517</v>
      </c>
      <c r="J2718" s="13" t="n">
        <v>6</v>
      </c>
      <c r="K2718" s="13" t="s">
        <v>2478</v>
      </c>
      <c r="L2718" s="13" t="s">
        <v>2263</v>
      </c>
      <c r="M2718" s="13" t="s">
        <v>2518</v>
      </c>
    </row>
    <row r="2719" customFormat="false" ht="15" hidden="false" customHeight="false" outlineLevel="0" collapsed="false">
      <c r="A2719" s="13" t="s">
        <v>628</v>
      </c>
      <c r="B2719" s="13" t="s">
        <v>627</v>
      </c>
      <c r="C2719" s="13" t="s">
        <v>2261</v>
      </c>
      <c r="D2719" s="13" t="s">
        <v>2270</v>
      </c>
      <c r="E2719" s="13" t="s">
        <v>2520</v>
      </c>
      <c r="F2719" s="13" t="s">
        <v>2526</v>
      </c>
      <c r="G2719" s="61" t="n">
        <v>2625000000</v>
      </c>
      <c r="H2719" s="13" t="s">
        <v>2255</v>
      </c>
      <c r="I2719" s="13" t="s">
        <v>2517</v>
      </c>
      <c r="J2719" s="13" t="n">
        <v>6</v>
      </c>
      <c r="K2719" s="13" t="s">
        <v>2478</v>
      </c>
      <c r="L2719" s="13" t="s">
        <v>2263</v>
      </c>
      <c r="M2719" s="13" t="s">
        <v>2518</v>
      </c>
    </row>
    <row r="2720" customFormat="false" ht="15" hidden="false" customHeight="false" outlineLevel="0" collapsed="false">
      <c r="A2720" s="13" t="s">
        <v>628</v>
      </c>
      <c r="B2720" s="13" t="s">
        <v>627</v>
      </c>
      <c r="C2720" s="13" t="s">
        <v>2261</v>
      </c>
      <c r="D2720" s="13" t="s">
        <v>2270</v>
      </c>
      <c r="E2720" s="13" t="s">
        <v>2521</v>
      </c>
      <c r="F2720" s="13" t="s">
        <v>2526</v>
      </c>
      <c r="G2720" s="61" t="n">
        <v>-90617852</v>
      </c>
      <c r="H2720" s="13" t="s">
        <v>2255</v>
      </c>
      <c r="I2720" s="13" t="s">
        <v>2517</v>
      </c>
      <c r="J2720" s="13" t="n">
        <v>6</v>
      </c>
      <c r="K2720" s="13" t="s">
        <v>2478</v>
      </c>
      <c r="L2720" s="13" t="s">
        <v>2263</v>
      </c>
      <c r="M2720" s="13" t="s">
        <v>2518</v>
      </c>
    </row>
    <row r="2721" customFormat="false" ht="15" hidden="false" customHeight="false" outlineLevel="0" collapsed="false">
      <c r="A2721" s="13" t="s">
        <v>628</v>
      </c>
      <c r="B2721" s="13" t="s">
        <v>627</v>
      </c>
      <c r="C2721" s="13" t="s">
        <v>2261</v>
      </c>
      <c r="D2721" s="13" t="s">
        <v>2270</v>
      </c>
      <c r="E2721" s="13" t="s">
        <v>2522</v>
      </c>
      <c r="F2721" s="13" t="s">
        <v>2526</v>
      </c>
      <c r="G2721" s="61" t="n">
        <v>0</v>
      </c>
      <c r="H2721" s="13" t="s">
        <v>2255</v>
      </c>
      <c r="I2721" s="13" t="s">
        <v>2517</v>
      </c>
      <c r="J2721" s="13" t="n">
        <v>6</v>
      </c>
      <c r="K2721" s="13" t="s">
        <v>2478</v>
      </c>
      <c r="L2721" s="13" t="s">
        <v>2263</v>
      </c>
      <c r="M2721" s="13" t="s">
        <v>2518</v>
      </c>
    </row>
    <row r="2722" customFormat="false" ht="15" hidden="false" customHeight="false" outlineLevel="0" collapsed="false">
      <c r="A2722" s="13" t="s">
        <v>628</v>
      </c>
      <c r="B2722" s="13" t="s">
        <v>627</v>
      </c>
      <c r="C2722" s="13" t="s">
        <v>2261</v>
      </c>
      <c r="D2722" s="13" t="s">
        <v>2270</v>
      </c>
      <c r="E2722" s="13" t="s">
        <v>2523</v>
      </c>
      <c r="F2722" s="13" t="s">
        <v>2526</v>
      </c>
      <c r="G2722" s="61" t="n">
        <v>-1110125777</v>
      </c>
      <c r="H2722" s="13" t="s">
        <v>2255</v>
      </c>
      <c r="I2722" s="13" t="s">
        <v>2517</v>
      </c>
      <c r="J2722" s="13" t="n">
        <v>6</v>
      </c>
      <c r="K2722" s="13" t="s">
        <v>2478</v>
      </c>
      <c r="L2722" s="13" t="s">
        <v>2263</v>
      </c>
      <c r="M2722" s="13" t="s">
        <v>2518</v>
      </c>
    </row>
    <row r="2723" customFormat="false" ht="15" hidden="false" customHeight="false" outlineLevel="0" collapsed="false">
      <c r="A2723" s="13" t="s">
        <v>628</v>
      </c>
      <c r="B2723" s="13" t="s">
        <v>627</v>
      </c>
      <c r="C2723" s="13" t="s">
        <v>2261</v>
      </c>
      <c r="D2723" s="13" t="s">
        <v>2270</v>
      </c>
      <c r="E2723" s="13" t="s">
        <v>2524</v>
      </c>
      <c r="F2723" s="13" t="s">
        <v>2526</v>
      </c>
      <c r="G2723" s="61" t="n">
        <v>4529221245</v>
      </c>
      <c r="H2723" s="13" t="s">
        <v>2255</v>
      </c>
      <c r="I2723" s="13" t="s">
        <v>2517</v>
      </c>
      <c r="J2723" s="13" t="n">
        <v>6</v>
      </c>
      <c r="K2723" s="13" t="s">
        <v>2478</v>
      </c>
      <c r="L2723" s="13" t="s">
        <v>2263</v>
      </c>
      <c r="M2723" s="13" t="s">
        <v>2518</v>
      </c>
    </row>
    <row r="2724" customFormat="false" ht="15" hidden="false" customHeight="false" outlineLevel="0" collapsed="false">
      <c r="A2724" s="13" t="s">
        <v>628</v>
      </c>
      <c r="B2724" s="13" t="s">
        <v>627</v>
      </c>
      <c r="C2724" s="13" t="s">
        <v>2261</v>
      </c>
      <c r="D2724" s="13" t="s">
        <v>2270</v>
      </c>
      <c r="E2724" s="13" t="s">
        <v>2515</v>
      </c>
      <c r="F2724" s="13" t="s">
        <v>2527</v>
      </c>
      <c r="G2724" s="61" t="n">
        <v>8806067935</v>
      </c>
      <c r="H2724" s="13" t="s">
        <v>2255</v>
      </c>
      <c r="I2724" s="13" t="s">
        <v>2517</v>
      </c>
      <c r="J2724" s="13" t="n">
        <v>6</v>
      </c>
      <c r="K2724" s="13" t="s">
        <v>2478</v>
      </c>
      <c r="L2724" s="13" t="s">
        <v>2263</v>
      </c>
      <c r="M2724" s="13" t="s">
        <v>2518</v>
      </c>
    </row>
    <row r="2725" customFormat="false" ht="15" hidden="false" customHeight="false" outlineLevel="0" collapsed="false">
      <c r="A2725" s="13" t="s">
        <v>628</v>
      </c>
      <c r="B2725" s="13" t="s">
        <v>627</v>
      </c>
      <c r="C2725" s="13" t="s">
        <v>2261</v>
      </c>
      <c r="D2725" s="13" t="s">
        <v>2270</v>
      </c>
      <c r="E2725" s="13" t="s">
        <v>2519</v>
      </c>
      <c r="F2725" s="13" t="s">
        <v>2527</v>
      </c>
      <c r="G2725" s="61" t="n">
        <v>0</v>
      </c>
      <c r="H2725" s="13" t="s">
        <v>2255</v>
      </c>
      <c r="I2725" s="13" t="s">
        <v>2517</v>
      </c>
      <c r="J2725" s="13" t="n">
        <v>6</v>
      </c>
      <c r="K2725" s="13" t="s">
        <v>2478</v>
      </c>
      <c r="L2725" s="13" t="s">
        <v>2263</v>
      </c>
      <c r="M2725" s="13" t="s">
        <v>2518</v>
      </c>
    </row>
    <row r="2726" customFormat="false" ht="15" hidden="false" customHeight="false" outlineLevel="0" collapsed="false">
      <c r="A2726" s="13" t="s">
        <v>628</v>
      </c>
      <c r="B2726" s="13" t="s">
        <v>627</v>
      </c>
      <c r="C2726" s="13" t="s">
        <v>2261</v>
      </c>
      <c r="D2726" s="13" t="s">
        <v>2270</v>
      </c>
      <c r="E2726" s="13" t="s">
        <v>2520</v>
      </c>
      <c r="F2726" s="13" t="s">
        <v>2527</v>
      </c>
      <c r="G2726" s="61" t="n">
        <v>0</v>
      </c>
      <c r="H2726" s="13" t="s">
        <v>2255</v>
      </c>
      <c r="I2726" s="13" t="s">
        <v>2517</v>
      </c>
      <c r="J2726" s="13" t="n">
        <v>6</v>
      </c>
      <c r="K2726" s="13" t="s">
        <v>2478</v>
      </c>
      <c r="L2726" s="13" t="s">
        <v>2263</v>
      </c>
      <c r="M2726" s="13" t="s">
        <v>2518</v>
      </c>
    </row>
    <row r="2727" customFormat="false" ht="15" hidden="false" customHeight="false" outlineLevel="0" collapsed="false">
      <c r="A2727" s="13" t="s">
        <v>628</v>
      </c>
      <c r="B2727" s="13" t="s">
        <v>627</v>
      </c>
      <c r="C2727" s="13" t="s">
        <v>2261</v>
      </c>
      <c r="D2727" s="13" t="s">
        <v>2270</v>
      </c>
      <c r="E2727" s="13" t="s">
        <v>2521</v>
      </c>
      <c r="F2727" s="13" t="s">
        <v>2527</v>
      </c>
      <c r="G2727" s="61" t="n">
        <v>1750587847</v>
      </c>
      <c r="H2727" s="13" t="s">
        <v>2255</v>
      </c>
      <c r="I2727" s="13" t="s">
        <v>2517</v>
      </c>
      <c r="J2727" s="13" t="n">
        <v>6</v>
      </c>
      <c r="K2727" s="13" t="s">
        <v>2478</v>
      </c>
      <c r="L2727" s="13" t="s">
        <v>2263</v>
      </c>
      <c r="M2727" s="13" t="s">
        <v>2518</v>
      </c>
    </row>
    <row r="2728" customFormat="false" ht="15" hidden="false" customHeight="false" outlineLevel="0" collapsed="false">
      <c r="A2728" s="13" t="s">
        <v>628</v>
      </c>
      <c r="B2728" s="13" t="s">
        <v>627</v>
      </c>
      <c r="C2728" s="13" t="s">
        <v>2261</v>
      </c>
      <c r="D2728" s="13" t="s">
        <v>2270</v>
      </c>
      <c r="E2728" s="13" t="s">
        <v>2522</v>
      </c>
      <c r="F2728" s="13" t="s">
        <v>2527</v>
      </c>
      <c r="G2728" s="61" t="n">
        <v>0</v>
      </c>
      <c r="H2728" s="13" t="s">
        <v>2255</v>
      </c>
      <c r="I2728" s="13" t="s">
        <v>2517</v>
      </c>
      <c r="J2728" s="13" t="n">
        <v>6</v>
      </c>
      <c r="K2728" s="13" t="s">
        <v>2478</v>
      </c>
      <c r="L2728" s="13" t="s">
        <v>2263</v>
      </c>
      <c r="M2728" s="13" t="s">
        <v>2518</v>
      </c>
    </row>
    <row r="2729" customFormat="false" ht="15" hidden="false" customHeight="false" outlineLevel="0" collapsed="false">
      <c r="A2729" s="13" t="s">
        <v>628</v>
      </c>
      <c r="B2729" s="13" t="s">
        <v>627</v>
      </c>
      <c r="C2729" s="13" t="s">
        <v>2261</v>
      </c>
      <c r="D2729" s="13" t="s">
        <v>2270</v>
      </c>
      <c r="E2729" s="13" t="s">
        <v>2523</v>
      </c>
      <c r="F2729" s="13" t="s">
        <v>2527</v>
      </c>
      <c r="G2729" s="61" t="n">
        <v>81963092</v>
      </c>
      <c r="H2729" s="13" t="s">
        <v>2255</v>
      </c>
      <c r="I2729" s="13" t="s">
        <v>2517</v>
      </c>
      <c r="J2729" s="13" t="n">
        <v>6</v>
      </c>
      <c r="K2729" s="13" t="s">
        <v>2478</v>
      </c>
      <c r="L2729" s="13" t="s">
        <v>2263</v>
      </c>
      <c r="M2729" s="13" t="s">
        <v>2518</v>
      </c>
    </row>
    <row r="2730" customFormat="false" ht="15" hidden="false" customHeight="false" outlineLevel="0" collapsed="false">
      <c r="A2730" s="13" t="s">
        <v>628</v>
      </c>
      <c r="B2730" s="13" t="s">
        <v>627</v>
      </c>
      <c r="C2730" s="13" t="s">
        <v>2261</v>
      </c>
      <c r="D2730" s="13" t="s">
        <v>2270</v>
      </c>
      <c r="E2730" s="13" t="s">
        <v>2524</v>
      </c>
      <c r="F2730" s="13" t="s">
        <v>2527</v>
      </c>
      <c r="G2730" s="61" t="n">
        <v>10638618874</v>
      </c>
      <c r="H2730" s="13" t="s">
        <v>2255</v>
      </c>
      <c r="I2730" s="13" t="s">
        <v>2517</v>
      </c>
      <c r="J2730" s="13" t="n">
        <v>6</v>
      </c>
      <c r="K2730" s="13" t="s">
        <v>2478</v>
      </c>
      <c r="L2730" s="13" t="s">
        <v>2263</v>
      </c>
      <c r="M2730" s="13" t="s">
        <v>2518</v>
      </c>
    </row>
    <row r="2731" customFormat="false" ht="15" hidden="false" customHeight="false" outlineLevel="0" collapsed="false">
      <c r="A2731" s="13" t="s">
        <v>628</v>
      </c>
      <c r="B2731" s="13" t="s">
        <v>627</v>
      </c>
      <c r="C2731" s="13" t="s">
        <v>2261</v>
      </c>
      <c r="D2731" s="13" t="s">
        <v>2270</v>
      </c>
      <c r="E2731" s="13" t="s">
        <v>2515</v>
      </c>
      <c r="F2731" s="13" t="s">
        <v>2528</v>
      </c>
      <c r="G2731" s="61" t="n">
        <v>587760659</v>
      </c>
      <c r="H2731" s="13" t="s">
        <v>2255</v>
      </c>
      <c r="I2731" s="13" t="s">
        <v>2517</v>
      </c>
      <c r="J2731" s="13" t="n">
        <v>6</v>
      </c>
      <c r="K2731" s="13" t="s">
        <v>2478</v>
      </c>
      <c r="L2731" s="13" t="s">
        <v>2263</v>
      </c>
      <c r="M2731" s="13" t="s">
        <v>2518</v>
      </c>
    </row>
    <row r="2732" customFormat="false" ht="15" hidden="false" customHeight="false" outlineLevel="0" collapsed="false">
      <c r="A2732" s="13" t="s">
        <v>628</v>
      </c>
      <c r="B2732" s="13" t="s">
        <v>627</v>
      </c>
      <c r="C2732" s="13" t="s">
        <v>2261</v>
      </c>
      <c r="D2732" s="13" t="s">
        <v>2270</v>
      </c>
      <c r="E2732" s="13" t="s">
        <v>2519</v>
      </c>
      <c r="F2732" s="13" t="s">
        <v>2528</v>
      </c>
      <c r="G2732" s="61" t="n">
        <v>0</v>
      </c>
      <c r="H2732" s="13" t="s">
        <v>2255</v>
      </c>
      <c r="I2732" s="13" t="s">
        <v>2517</v>
      </c>
      <c r="J2732" s="13" t="n">
        <v>6</v>
      </c>
      <c r="K2732" s="13" t="s">
        <v>2478</v>
      </c>
      <c r="L2732" s="13" t="s">
        <v>2263</v>
      </c>
      <c r="M2732" s="13" t="s">
        <v>2518</v>
      </c>
    </row>
    <row r="2733" customFormat="false" ht="15" hidden="false" customHeight="false" outlineLevel="0" collapsed="false">
      <c r="A2733" s="13" t="s">
        <v>628</v>
      </c>
      <c r="B2733" s="13" t="s">
        <v>627</v>
      </c>
      <c r="C2733" s="13" t="s">
        <v>2261</v>
      </c>
      <c r="D2733" s="13" t="s">
        <v>2270</v>
      </c>
      <c r="E2733" s="13" t="s">
        <v>2520</v>
      </c>
      <c r="F2733" s="13" t="s">
        <v>2528</v>
      </c>
      <c r="G2733" s="61" t="n">
        <v>0</v>
      </c>
      <c r="H2733" s="13" t="s">
        <v>2255</v>
      </c>
      <c r="I2733" s="13" t="s">
        <v>2517</v>
      </c>
      <c r="J2733" s="13" t="n">
        <v>6</v>
      </c>
      <c r="K2733" s="13" t="s">
        <v>2478</v>
      </c>
      <c r="L2733" s="13" t="s">
        <v>2263</v>
      </c>
      <c r="M2733" s="13" t="s">
        <v>2518</v>
      </c>
    </row>
    <row r="2734" customFormat="false" ht="15" hidden="false" customHeight="false" outlineLevel="0" collapsed="false">
      <c r="A2734" s="13" t="s">
        <v>628</v>
      </c>
      <c r="B2734" s="13" t="s">
        <v>627</v>
      </c>
      <c r="C2734" s="13" t="s">
        <v>2261</v>
      </c>
      <c r="D2734" s="13" t="s">
        <v>2270</v>
      </c>
      <c r="E2734" s="13" t="s">
        <v>2521</v>
      </c>
      <c r="F2734" s="13" t="s">
        <v>2528</v>
      </c>
      <c r="G2734" s="61" t="n">
        <v>-36717743</v>
      </c>
      <c r="H2734" s="13" t="s">
        <v>2255</v>
      </c>
      <c r="I2734" s="13" t="s">
        <v>2517</v>
      </c>
      <c r="J2734" s="13" t="n">
        <v>6</v>
      </c>
      <c r="K2734" s="13" t="s">
        <v>2478</v>
      </c>
      <c r="L2734" s="13" t="s">
        <v>2263</v>
      </c>
      <c r="M2734" s="13" t="s">
        <v>2518</v>
      </c>
    </row>
    <row r="2735" customFormat="false" ht="15" hidden="false" customHeight="false" outlineLevel="0" collapsed="false">
      <c r="A2735" s="13" t="s">
        <v>628</v>
      </c>
      <c r="B2735" s="13" t="s">
        <v>627</v>
      </c>
      <c r="C2735" s="13" t="s">
        <v>2261</v>
      </c>
      <c r="D2735" s="13" t="s">
        <v>2270</v>
      </c>
      <c r="E2735" s="13" t="s">
        <v>2522</v>
      </c>
      <c r="F2735" s="13" t="s">
        <v>2528</v>
      </c>
      <c r="G2735" s="61" t="n">
        <v>0</v>
      </c>
      <c r="H2735" s="13" t="s">
        <v>2255</v>
      </c>
      <c r="I2735" s="13" t="s">
        <v>2517</v>
      </c>
      <c r="J2735" s="13" t="n">
        <v>6</v>
      </c>
      <c r="K2735" s="13" t="s">
        <v>2478</v>
      </c>
      <c r="L2735" s="13" t="s">
        <v>2263</v>
      </c>
      <c r="M2735" s="13" t="s">
        <v>2518</v>
      </c>
    </row>
    <row r="2736" customFormat="false" ht="15" hidden="false" customHeight="false" outlineLevel="0" collapsed="false">
      <c r="A2736" s="13" t="s">
        <v>628</v>
      </c>
      <c r="B2736" s="13" t="s">
        <v>627</v>
      </c>
      <c r="C2736" s="13" t="s">
        <v>2261</v>
      </c>
      <c r="D2736" s="13" t="s">
        <v>2270</v>
      </c>
      <c r="E2736" s="13" t="s">
        <v>2523</v>
      </c>
      <c r="F2736" s="13" t="s">
        <v>2528</v>
      </c>
      <c r="G2736" s="61" t="n">
        <v>-237884095</v>
      </c>
      <c r="H2736" s="13" t="s">
        <v>2255</v>
      </c>
      <c r="I2736" s="13" t="s">
        <v>2517</v>
      </c>
      <c r="J2736" s="13" t="n">
        <v>6</v>
      </c>
      <c r="K2736" s="13" t="s">
        <v>2478</v>
      </c>
      <c r="L2736" s="13" t="s">
        <v>2263</v>
      </c>
      <c r="M2736" s="13" t="s">
        <v>2518</v>
      </c>
    </row>
    <row r="2737" customFormat="false" ht="15" hidden="false" customHeight="false" outlineLevel="0" collapsed="false">
      <c r="A2737" s="13" t="s">
        <v>628</v>
      </c>
      <c r="B2737" s="13" t="s">
        <v>627</v>
      </c>
      <c r="C2737" s="13" t="s">
        <v>2261</v>
      </c>
      <c r="D2737" s="13" t="s">
        <v>2270</v>
      </c>
      <c r="E2737" s="13" t="s">
        <v>2524</v>
      </c>
      <c r="F2737" s="13" t="s">
        <v>2528</v>
      </c>
      <c r="G2737" s="61" t="n">
        <v>313158821</v>
      </c>
      <c r="H2737" s="13" t="s">
        <v>2255</v>
      </c>
      <c r="I2737" s="13" t="s">
        <v>2517</v>
      </c>
      <c r="J2737" s="13" t="n">
        <v>6</v>
      </c>
      <c r="K2737" s="13" t="s">
        <v>2478</v>
      </c>
      <c r="L2737" s="13" t="s">
        <v>2263</v>
      </c>
      <c r="M2737" s="13" t="s">
        <v>2518</v>
      </c>
    </row>
    <row r="2738" customFormat="false" ht="15" hidden="false" customHeight="false" outlineLevel="0" collapsed="false">
      <c r="A2738" s="13" t="s">
        <v>628</v>
      </c>
      <c r="B2738" s="13" t="s">
        <v>627</v>
      </c>
      <c r="C2738" s="13" t="s">
        <v>2261</v>
      </c>
      <c r="D2738" s="13" t="s">
        <v>2270</v>
      </c>
      <c r="E2738" s="13" t="s">
        <v>2515</v>
      </c>
      <c r="F2738" s="13" t="s">
        <v>2529</v>
      </c>
      <c r="G2738" s="61" t="n">
        <v>713550280</v>
      </c>
      <c r="H2738" s="13" t="s">
        <v>2255</v>
      </c>
      <c r="I2738" s="13" t="s">
        <v>2517</v>
      </c>
      <c r="J2738" s="13" t="n">
        <v>6</v>
      </c>
      <c r="K2738" s="13" t="s">
        <v>2478</v>
      </c>
      <c r="L2738" s="13" t="s">
        <v>2263</v>
      </c>
      <c r="M2738" s="13" t="s">
        <v>2518</v>
      </c>
    </row>
    <row r="2739" customFormat="false" ht="15" hidden="false" customHeight="false" outlineLevel="0" collapsed="false">
      <c r="A2739" s="13" t="s">
        <v>628</v>
      </c>
      <c r="B2739" s="13" t="s">
        <v>627</v>
      </c>
      <c r="C2739" s="13" t="s">
        <v>2261</v>
      </c>
      <c r="D2739" s="13" t="s">
        <v>2270</v>
      </c>
      <c r="E2739" s="13" t="s">
        <v>2519</v>
      </c>
      <c r="F2739" s="13" t="s">
        <v>2529</v>
      </c>
      <c r="G2739" s="61" t="n">
        <v>0</v>
      </c>
      <c r="H2739" s="13" t="s">
        <v>2255</v>
      </c>
      <c r="I2739" s="13" t="s">
        <v>2517</v>
      </c>
      <c r="J2739" s="13" t="n">
        <v>6</v>
      </c>
      <c r="K2739" s="13" t="s">
        <v>2478</v>
      </c>
      <c r="L2739" s="13" t="s">
        <v>2263</v>
      </c>
      <c r="M2739" s="13" t="s">
        <v>2518</v>
      </c>
    </row>
    <row r="2740" customFormat="false" ht="15" hidden="false" customHeight="false" outlineLevel="0" collapsed="false">
      <c r="A2740" s="13" t="s">
        <v>628</v>
      </c>
      <c r="B2740" s="13" t="s">
        <v>627</v>
      </c>
      <c r="C2740" s="13" t="s">
        <v>2261</v>
      </c>
      <c r="D2740" s="13" t="s">
        <v>2270</v>
      </c>
      <c r="E2740" s="13" t="s">
        <v>2520</v>
      </c>
      <c r="F2740" s="13" t="s">
        <v>2529</v>
      </c>
      <c r="G2740" s="61" t="n">
        <v>0</v>
      </c>
      <c r="H2740" s="13" t="s">
        <v>2255</v>
      </c>
      <c r="I2740" s="13" t="s">
        <v>2517</v>
      </c>
      <c r="J2740" s="13" t="n">
        <v>6</v>
      </c>
      <c r="K2740" s="13" t="s">
        <v>2478</v>
      </c>
      <c r="L2740" s="13" t="s">
        <v>2263</v>
      </c>
      <c r="M2740" s="13" t="s">
        <v>2518</v>
      </c>
    </row>
    <row r="2741" customFormat="false" ht="15" hidden="false" customHeight="false" outlineLevel="0" collapsed="false">
      <c r="A2741" s="13" t="s">
        <v>628</v>
      </c>
      <c r="B2741" s="13" t="s">
        <v>627</v>
      </c>
      <c r="C2741" s="13" t="s">
        <v>2261</v>
      </c>
      <c r="D2741" s="13" t="s">
        <v>2270</v>
      </c>
      <c r="E2741" s="13" t="s">
        <v>2521</v>
      </c>
      <c r="F2741" s="13" t="s">
        <v>2529</v>
      </c>
      <c r="G2741" s="61" t="n">
        <v>8996903</v>
      </c>
      <c r="H2741" s="13" t="s">
        <v>2255</v>
      </c>
      <c r="I2741" s="13" t="s">
        <v>2517</v>
      </c>
      <c r="J2741" s="13" t="n">
        <v>6</v>
      </c>
      <c r="K2741" s="13" t="s">
        <v>2478</v>
      </c>
      <c r="L2741" s="13" t="s">
        <v>2263</v>
      </c>
      <c r="M2741" s="13" t="s">
        <v>2518</v>
      </c>
    </row>
    <row r="2742" customFormat="false" ht="15" hidden="false" customHeight="false" outlineLevel="0" collapsed="false">
      <c r="A2742" s="13" t="s">
        <v>628</v>
      </c>
      <c r="B2742" s="13" t="s">
        <v>627</v>
      </c>
      <c r="C2742" s="13" t="s">
        <v>2261</v>
      </c>
      <c r="D2742" s="13" t="s">
        <v>2270</v>
      </c>
      <c r="E2742" s="13" t="s">
        <v>2522</v>
      </c>
      <c r="F2742" s="13" t="s">
        <v>2529</v>
      </c>
      <c r="G2742" s="61" t="n">
        <v>418998</v>
      </c>
      <c r="H2742" s="13" t="s">
        <v>2255</v>
      </c>
      <c r="I2742" s="13" t="s">
        <v>2517</v>
      </c>
      <c r="J2742" s="13" t="n">
        <v>6</v>
      </c>
      <c r="K2742" s="13" t="s">
        <v>2478</v>
      </c>
      <c r="L2742" s="13" t="s">
        <v>2263</v>
      </c>
      <c r="M2742" s="13" t="s">
        <v>2518</v>
      </c>
    </row>
    <row r="2743" customFormat="false" ht="15" hidden="false" customHeight="false" outlineLevel="0" collapsed="false">
      <c r="A2743" s="13" t="s">
        <v>628</v>
      </c>
      <c r="B2743" s="13" t="s">
        <v>627</v>
      </c>
      <c r="C2743" s="13" t="s">
        <v>2261</v>
      </c>
      <c r="D2743" s="13" t="s">
        <v>2270</v>
      </c>
      <c r="E2743" s="13" t="s">
        <v>2523</v>
      </c>
      <c r="F2743" s="13" t="s">
        <v>2529</v>
      </c>
      <c r="G2743" s="61" t="n">
        <v>-535162710</v>
      </c>
      <c r="H2743" s="13" t="s">
        <v>2255</v>
      </c>
      <c r="I2743" s="13" t="s">
        <v>2517</v>
      </c>
      <c r="J2743" s="13" t="n">
        <v>6</v>
      </c>
      <c r="K2743" s="13" t="s">
        <v>2478</v>
      </c>
      <c r="L2743" s="13" t="s">
        <v>2263</v>
      </c>
      <c r="M2743" s="13" t="s">
        <v>2518</v>
      </c>
    </row>
    <row r="2744" customFormat="false" ht="15" hidden="false" customHeight="false" outlineLevel="0" collapsed="false">
      <c r="A2744" s="13" t="s">
        <v>628</v>
      </c>
      <c r="B2744" s="13" t="s">
        <v>627</v>
      </c>
      <c r="C2744" s="13" t="s">
        <v>2261</v>
      </c>
      <c r="D2744" s="13" t="s">
        <v>2270</v>
      </c>
      <c r="E2744" s="13" t="s">
        <v>2524</v>
      </c>
      <c r="F2744" s="13" t="s">
        <v>2529</v>
      </c>
      <c r="G2744" s="61" t="n">
        <v>187803471</v>
      </c>
      <c r="H2744" s="13" t="s">
        <v>2255</v>
      </c>
      <c r="I2744" s="13" t="s">
        <v>2517</v>
      </c>
      <c r="J2744" s="13" t="n">
        <v>6</v>
      </c>
      <c r="K2744" s="13" t="s">
        <v>2478</v>
      </c>
      <c r="L2744" s="13" t="s">
        <v>2263</v>
      </c>
      <c r="M2744" s="13" t="s">
        <v>2518</v>
      </c>
    </row>
    <row r="2745" customFormat="false" ht="15" hidden="false" customHeight="false" outlineLevel="0" collapsed="false">
      <c r="A2745" s="13" t="s">
        <v>628</v>
      </c>
      <c r="B2745" s="13" t="s">
        <v>627</v>
      </c>
      <c r="C2745" s="13" t="s">
        <v>2261</v>
      </c>
      <c r="D2745" s="13" t="s">
        <v>2270</v>
      </c>
      <c r="E2745" s="13" t="s">
        <v>2515</v>
      </c>
      <c r="F2745" s="13" t="s">
        <v>2530</v>
      </c>
      <c r="G2745" s="61" t="n">
        <v>474552828</v>
      </c>
      <c r="H2745" s="13" t="s">
        <v>2255</v>
      </c>
      <c r="I2745" s="13" t="s">
        <v>2517</v>
      </c>
      <c r="J2745" s="13" t="n">
        <v>6</v>
      </c>
      <c r="K2745" s="13" t="s">
        <v>2478</v>
      </c>
      <c r="L2745" s="13" t="s">
        <v>2263</v>
      </c>
      <c r="M2745" s="13" t="s">
        <v>2518</v>
      </c>
    </row>
    <row r="2746" customFormat="false" ht="15" hidden="false" customHeight="false" outlineLevel="0" collapsed="false">
      <c r="A2746" s="13" t="s">
        <v>628</v>
      </c>
      <c r="B2746" s="13" t="s">
        <v>627</v>
      </c>
      <c r="C2746" s="13" t="s">
        <v>2261</v>
      </c>
      <c r="D2746" s="13" t="s">
        <v>2270</v>
      </c>
      <c r="E2746" s="13" t="s">
        <v>2519</v>
      </c>
      <c r="F2746" s="13" t="s">
        <v>2530</v>
      </c>
      <c r="G2746" s="61" t="n">
        <v>0</v>
      </c>
      <c r="H2746" s="13" t="s">
        <v>2255</v>
      </c>
      <c r="I2746" s="13" t="s">
        <v>2517</v>
      </c>
      <c r="J2746" s="13" t="n">
        <v>6</v>
      </c>
      <c r="K2746" s="13" t="s">
        <v>2478</v>
      </c>
      <c r="L2746" s="13" t="s">
        <v>2263</v>
      </c>
      <c r="M2746" s="13" t="s">
        <v>2518</v>
      </c>
    </row>
    <row r="2747" customFormat="false" ht="15" hidden="false" customHeight="false" outlineLevel="0" collapsed="false">
      <c r="A2747" s="13" t="s">
        <v>628</v>
      </c>
      <c r="B2747" s="13" t="s">
        <v>627</v>
      </c>
      <c r="C2747" s="13" t="s">
        <v>2261</v>
      </c>
      <c r="D2747" s="13" t="s">
        <v>2270</v>
      </c>
      <c r="E2747" s="13" t="s">
        <v>2520</v>
      </c>
      <c r="F2747" s="13" t="s">
        <v>2530</v>
      </c>
      <c r="G2747" s="61" t="n">
        <v>0</v>
      </c>
      <c r="H2747" s="13" t="s">
        <v>2255</v>
      </c>
      <c r="I2747" s="13" t="s">
        <v>2517</v>
      </c>
      <c r="J2747" s="13" t="n">
        <v>6</v>
      </c>
      <c r="K2747" s="13" t="s">
        <v>2478</v>
      </c>
      <c r="L2747" s="13" t="s">
        <v>2263</v>
      </c>
      <c r="M2747" s="13" t="s">
        <v>2518</v>
      </c>
    </row>
    <row r="2748" customFormat="false" ht="15" hidden="false" customHeight="false" outlineLevel="0" collapsed="false">
      <c r="A2748" s="13" t="s">
        <v>628</v>
      </c>
      <c r="B2748" s="13" t="s">
        <v>627</v>
      </c>
      <c r="C2748" s="13" t="s">
        <v>2261</v>
      </c>
      <c r="D2748" s="13" t="s">
        <v>2270</v>
      </c>
      <c r="E2748" s="13" t="s">
        <v>2521</v>
      </c>
      <c r="F2748" s="13" t="s">
        <v>2530</v>
      </c>
      <c r="G2748" s="61" t="n">
        <v>-16901514</v>
      </c>
      <c r="H2748" s="13" t="s">
        <v>2255</v>
      </c>
      <c r="I2748" s="13" t="s">
        <v>2517</v>
      </c>
      <c r="J2748" s="13" t="n">
        <v>6</v>
      </c>
      <c r="K2748" s="13" t="s">
        <v>2478</v>
      </c>
      <c r="L2748" s="13" t="s">
        <v>2263</v>
      </c>
      <c r="M2748" s="13" t="s">
        <v>2518</v>
      </c>
    </row>
    <row r="2749" customFormat="false" ht="15" hidden="false" customHeight="false" outlineLevel="0" collapsed="false">
      <c r="A2749" s="13" t="s">
        <v>628</v>
      </c>
      <c r="B2749" s="13" t="s">
        <v>627</v>
      </c>
      <c r="C2749" s="13" t="s">
        <v>2261</v>
      </c>
      <c r="D2749" s="13" t="s">
        <v>2270</v>
      </c>
      <c r="E2749" s="13" t="s">
        <v>2522</v>
      </c>
      <c r="F2749" s="13" t="s">
        <v>2530</v>
      </c>
      <c r="G2749" s="61" t="n">
        <v>0</v>
      </c>
      <c r="H2749" s="13" t="s">
        <v>2255</v>
      </c>
      <c r="I2749" s="13" t="s">
        <v>2517</v>
      </c>
      <c r="J2749" s="13" t="n">
        <v>6</v>
      </c>
      <c r="K2749" s="13" t="s">
        <v>2478</v>
      </c>
      <c r="L2749" s="13" t="s">
        <v>2263</v>
      </c>
      <c r="M2749" s="13" t="s">
        <v>2518</v>
      </c>
    </row>
    <row r="2750" customFormat="false" ht="15" hidden="false" customHeight="false" outlineLevel="0" collapsed="false">
      <c r="A2750" s="13" t="s">
        <v>628</v>
      </c>
      <c r="B2750" s="13" t="s">
        <v>627</v>
      </c>
      <c r="C2750" s="13" t="s">
        <v>2261</v>
      </c>
      <c r="D2750" s="13" t="s">
        <v>2270</v>
      </c>
      <c r="E2750" s="13" t="s">
        <v>2523</v>
      </c>
      <c r="F2750" s="13" t="s">
        <v>2530</v>
      </c>
      <c r="G2750" s="61" t="n">
        <v>0</v>
      </c>
      <c r="H2750" s="13" t="s">
        <v>2255</v>
      </c>
      <c r="I2750" s="13" t="s">
        <v>2517</v>
      </c>
      <c r="J2750" s="13" t="n">
        <v>6</v>
      </c>
      <c r="K2750" s="13" t="s">
        <v>2478</v>
      </c>
      <c r="L2750" s="13" t="s">
        <v>2263</v>
      </c>
      <c r="M2750" s="13" t="s">
        <v>2518</v>
      </c>
    </row>
    <row r="2751" customFormat="false" ht="15" hidden="false" customHeight="false" outlineLevel="0" collapsed="false">
      <c r="A2751" s="13" t="s">
        <v>628</v>
      </c>
      <c r="B2751" s="13" t="s">
        <v>627</v>
      </c>
      <c r="C2751" s="13" t="s">
        <v>2261</v>
      </c>
      <c r="D2751" s="13" t="s">
        <v>2270</v>
      </c>
      <c r="E2751" s="13" t="s">
        <v>2524</v>
      </c>
      <c r="F2751" s="13" t="s">
        <v>2530</v>
      </c>
      <c r="G2751" s="61" t="n">
        <v>457651314</v>
      </c>
      <c r="H2751" s="13" t="s">
        <v>2255</v>
      </c>
      <c r="I2751" s="13" t="s">
        <v>2517</v>
      </c>
      <c r="J2751" s="13" t="n">
        <v>6</v>
      </c>
      <c r="K2751" s="13" t="s">
        <v>2478</v>
      </c>
      <c r="L2751" s="13" t="s">
        <v>2263</v>
      </c>
      <c r="M2751" s="13" t="s">
        <v>2518</v>
      </c>
    </row>
    <row r="2752" customFormat="false" ht="15" hidden="false" customHeight="false" outlineLevel="0" collapsed="false">
      <c r="A2752" s="13" t="s">
        <v>628</v>
      </c>
      <c r="B2752" s="13" t="s">
        <v>627</v>
      </c>
      <c r="C2752" s="13" t="s">
        <v>2261</v>
      </c>
      <c r="D2752" s="13" t="s">
        <v>2270</v>
      </c>
      <c r="E2752" s="13" t="s">
        <v>2515</v>
      </c>
      <c r="F2752" s="13" t="s">
        <v>2531</v>
      </c>
      <c r="G2752" s="61" t="n">
        <v>392208097</v>
      </c>
      <c r="H2752" s="13" t="s">
        <v>2255</v>
      </c>
      <c r="I2752" s="13" t="s">
        <v>2517</v>
      </c>
      <c r="J2752" s="13" t="n">
        <v>6</v>
      </c>
      <c r="K2752" s="13" t="s">
        <v>2478</v>
      </c>
      <c r="L2752" s="13" t="s">
        <v>2263</v>
      </c>
      <c r="M2752" s="13" t="s">
        <v>2518</v>
      </c>
    </row>
    <row r="2753" customFormat="false" ht="15" hidden="false" customHeight="false" outlineLevel="0" collapsed="false">
      <c r="A2753" s="13" t="s">
        <v>628</v>
      </c>
      <c r="B2753" s="13" t="s">
        <v>627</v>
      </c>
      <c r="C2753" s="13" t="s">
        <v>2261</v>
      </c>
      <c r="D2753" s="13" t="s">
        <v>2270</v>
      </c>
      <c r="E2753" s="13" t="s">
        <v>2519</v>
      </c>
      <c r="F2753" s="13" t="s">
        <v>2531</v>
      </c>
      <c r="G2753" s="61" t="n">
        <v>0</v>
      </c>
      <c r="H2753" s="13" t="s">
        <v>2255</v>
      </c>
      <c r="I2753" s="13" t="s">
        <v>2517</v>
      </c>
      <c r="J2753" s="13" t="n">
        <v>6</v>
      </c>
      <c r="K2753" s="13" t="s">
        <v>2478</v>
      </c>
      <c r="L2753" s="13" t="s">
        <v>2263</v>
      </c>
      <c r="M2753" s="13" t="s">
        <v>2518</v>
      </c>
    </row>
    <row r="2754" customFormat="false" ht="15" hidden="false" customHeight="false" outlineLevel="0" collapsed="false">
      <c r="A2754" s="13" t="s">
        <v>628</v>
      </c>
      <c r="B2754" s="13" t="s">
        <v>627</v>
      </c>
      <c r="C2754" s="13" t="s">
        <v>2261</v>
      </c>
      <c r="D2754" s="13" t="s">
        <v>2270</v>
      </c>
      <c r="E2754" s="13" t="s">
        <v>2520</v>
      </c>
      <c r="F2754" s="13" t="s">
        <v>2531</v>
      </c>
      <c r="G2754" s="61" t="n">
        <v>0</v>
      </c>
      <c r="H2754" s="13" t="s">
        <v>2255</v>
      </c>
      <c r="I2754" s="13" t="s">
        <v>2517</v>
      </c>
      <c r="J2754" s="13" t="n">
        <v>6</v>
      </c>
      <c r="K2754" s="13" t="s">
        <v>2478</v>
      </c>
      <c r="L2754" s="13" t="s">
        <v>2263</v>
      </c>
      <c r="M2754" s="13" t="s">
        <v>2518</v>
      </c>
    </row>
    <row r="2755" customFormat="false" ht="15" hidden="false" customHeight="false" outlineLevel="0" collapsed="false">
      <c r="A2755" s="13" t="s">
        <v>628</v>
      </c>
      <c r="B2755" s="13" t="s">
        <v>627</v>
      </c>
      <c r="C2755" s="13" t="s">
        <v>2261</v>
      </c>
      <c r="D2755" s="13" t="s">
        <v>2270</v>
      </c>
      <c r="E2755" s="13" t="s">
        <v>2521</v>
      </c>
      <c r="F2755" s="13" t="s">
        <v>2531</v>
      </c>
      <c r="G2755" s="61" t="n">
        <v>278234239</v>
      </c>
      <c r="H2755" s="13" t="s">
        <v>2255</v>
      </c>
      <c r="I2755" s="13" t="s">
        <v>2517</v>
      </c>
      <c r="J2755" s="13" t="n">
        <v>6</v>
      </c>
      <c r="K2755" s="13" t="s">
        <v>2478</v>
      </c>
      <c r="L2755" s="13" t="s">
        <v>2263</v>
      </c>
      <c r="M2755" s="13" t="s">
        <v>2518</v>
      </c>
    </row>
    <row r="2756" customFormat="false" ht="15" hidden="false" customHeight="false" outlineLevel="0" collapsed="false">
      <c r="A2756" s="13" t="s">
        <v>628</v>
      </c>
      <c r="B2756" s="13" t="s">
        <v>627</v>
      </c>
      <c r="C2756" s="13" t="s">
        <v>2261</v>
      </c>
      <c r="D2756" s="13" t="s">
        <v>2270</v>
      </c>
      <c r="E2756" s="13" t="s">
        <v>2522</v>
      </c>
      <c r="F2756" s="13" t="s">
        <v>2531</v>
      </c>
      <c r="G2756" s="61" t="n">
        <v>0</v>
      </c>
      <c r="H2756" s="13" t="s">
        <v>2255</v>
      </c>
      <c r="I2756" s="13" t="s">
        <v>2517</v>
      </c>
      <c r="J2756" s="13" t="n">
        <v>6</v>
      </c>
      <c r="K2756" s="13" t="s">
        <v>2478</v>
      </c>
      <c r="L2756" s="13" t="s">
        <v>2263</v>
      </c>
      <c r="M2756" s="13" t="s">
        <v>2518</v>
      </c>
    </row>
    <row r="2757" customFormat="false" ht="15" hidden="false" customHeight="false" outlineLevel="0" collapsed="false">
      <c r="A2757" s="13" t="s">
        <v>628</v>
      </c>
      <c r="B2757" s="13" t="s">
        <v>627</v>
      </c>
      <c r="C2757" s="13" t="s">
        <v>2261</v>
      </c>
      <c r="D2757" s="13" t="s">
        <v>2270</v>
      </c>
      <c r="E2757" s="13" t="s">
        <v>2523</v>
      </c>
      <c r="F2757" s="13" t="s">
        <v>2531</v>
      </c>
      <c r="G2757" s="61" t="n">
        <v>-4013672</v>
      </c>
      <c r="H2757" s="13" t="s">
        <v>2255</v>
      </c>
      <c r="I2757" s="13" t="s">
        <v>2517</v>
      </c>
      <c r="J2757" s="13" t="n">
        <v>6</v>
      </c>
      <c r="K2757" s="13" t="s">
        <v>2478</v>
      </c>
      <c r="L2757" s="13" t="s">
        <v>2263</v>
      </c>
      <c r="M2757" s="13" t="s">
        <v>2518</v>
      </c>
    </row>
    <row r="2758" customFormat="false" ht="15" hidden="false" customHeight="false" outlineLevel="0" collapsed="false">
      <c r="A2758" s="13" t="s">
        <v>628</v>
      </c>
      <c r="B2758" s="13" t="s">
        <v>627</v>
      </c>
      <c r="C2758" s="13" t="s">
        <v>2261</v>
      </c>
      <c r="D2758" s="13" t="s">
        <v>2270</v>
      </c>
      <c r="E2758" s="13" t="s">
        <v>2524</v>
      </c>
      <c r="F2758" s="13" t="s">
        <v>2531</v>
      </c>
      <c r="G2758" s="61" t="n">
        <v>666428664</v>
      </c>
      <c r="H2758" s="13" t="s">
        <v>2255</v>
      </c>
      <c r="I2758" s="13" t="s">
        <v>2517</v>
      </c>
      <c r="J2758" s="13" t="n">
        <v>6</v>
      </c>
      <c r="K2758" s="13" t="s">
        <v>2478</v>
      </c>
      <c r="L2758" s="13" t="s">
        <v>2263</v>
      </c>
      <c r="M2758" s="13" t="s">
        <v>2518</v>
      </c>
    </row>
    <row r="2759" customFormat="false" ht="15" hidden="false" customHeight="false" outlineLevel="0" collapsed="false">
      <c r="A2759" s="13" t="s">
        <v>628</v>
      </c>
      <c r="B2759" s="13" t="s">
        <v>627</v>
      </c>
      <c r="C2759" s="13" t="s">
        <v>2261</v>
      </c>
      <c r="D2759" s="13" t="s">
        <v>2270</v>
      </c>
      <c r="E2759" s="13" t="s">
        <v>2515</v>
      </c>
      <c r="F2759" s="13" t="s">
        <v>2532</v>
      </c>
      <c r="G2759" s="61" t="n">
        <v>-148596192</v>
      </c>
      <c r="H2759" s="13" t="s">
        <v>2255</v>
      </c>
      <c r="I2759" s="13" t="s">
        <v>2517</v>
      </c>
      <c r="J2759" s="13" t="n">
        <v>6</v>
      </c>
      <c r="K2759" s="13" t="s">
        <v>2478</v>
      </c>
      <c r="L2759" s="13" t="s">
        <v>2263</v>
      </c>
      <c r="M2759" s="13" t="s">
        <v>2518</v>
      </c>
    </row>
    <row r="2760" customFormat="false" ht="15" hidden="false" customHeight="false" outlineLevel="0" collapsed="false">
      <c r="A2760" s="13" t="s">
        <v>628</v>
      </c>
      <c r="B2760" s="13" t="s">
        <v>627</v>
      </c>
      <c r="C2760" s="13" t="s">
        <v>2261</v>
      </c>
      <c r="D2760" s="13" t="s">
        <v>2270</v>
      </c>
      <c r="E2760" s="13" t="s">
        <v>2519</v>
      </c>
      <c r="F2760" s="13" t="s">
        <v>2532</v>
      </c>
      <c r="G2760" s="61" t="n">
        <v>0</v>
      </c>
      <c r="H2760" s="13" t="s">
        <v>2255</v>
      </c>
      <c r="I2760" s="13" t="s">
        <v>2517</v>
      </c>
      <c r="J2760" s="13" t="n">
        <v>6</v>
      </c>
      <c r="K2760" s="13" t="s">
        <v>2478</v>
      </c>
      <c r="L2760" s="13" t="s">
        <v>2263</v>
      </c>
      <c r="M2760" s="13" t="s">
        <v>2518</v>
      </c>
    </row>
    <row r="2761" customFormat="false" ht="15" hidden="false" customHeight="false" outlineLevel="0" collapsed="false">
      <c r="A2761" s="13" t="s">
        <v>628</v>
      </c>
      <c r="B2761" s="13" t="s">
        <v>627</v>
      </c>
      <c r="C2761" s="13" t="s">
        <v>2261</v>
      </c>
      <c r="D2761" s="13" t="s">
        <v>2270</v>
      </c>
      <c r="E2761" s="13" t="s">
        <v>2520</v>
      </c>
      <c r="F2761" s="13" t="s">
        <v>2532</v>
      </c>
      <c r="G2761" s="61" t="n">
        <v>0</v>
      </c>
      <c r="H2761" s="13" t="s">
        <v>2255</v>
      </c>
      <c r="I2761" s="13" t="s">
        <v>2517</v>
      </c>
      <c r="J2761" s="13" t="n">
        <v>6</v>
      </c>
      <c r="K2761" s="13" t="s">
        <v>2478</v>
      </c>
      <c r="L2761" s="13" t="s">
        <v>2263</v>
      </c>
      <c r="M2761" s="13" t="s">
        <v>2518</v>
      </c>
    </row>
    <row r="2762" customFormat="false" ht="15" hidden="false" customHeight="false" outlineLevel="0" collapsed="false">
      <c r="A2762" s="13" t="s">
        <v>628</v>
      </c>
      <c r="B2762" s="13" t="s">
        <v>627</v>
      </c>
      <c r="C2762" s="13" t="s">
        <v>2261</v>
      </c>
      <c r="D2762" s="13" t="s">
        <v>2270</v>
      </c>
      <c r="E2762" s="13" t="s">
        <v>2521</v>
      </c>
      <c r="F2762" s="13" t="s">
        <v>2532</v>
      </c>
      <c r="G2762" s="61" t="n">
        <v>-19225278</v>
      </c>
      <c r="H2762" s="13" t="s">
        <v>2255</v>
      </c>
      <c r="I2762" s="13" t="s">
        <v>2517</v>
      </c>
      <c r="J2762" s="13" t="n">
        <v>6</v>
      </c>
      <c r="K2762" s="13" t="s">
        <v>2478</v>
      </c>
      <c r="L2762" s="13" t="s">
        <v>2263</v>
      </c>
      <c r="M2762" s="13" t="s">
        <v>2518</v>
      </c>
    </row>
    <row r="2763" customFormat="false" ht="15" hidden="false" customHeight="false" outlineLevel="0" collapsed="false">
      <c r="A2763" s="13" t="s">
        <v>628</v>
      </c>
      <c r="B2763" s="13" t="s">
        <v>627</v>
      </c>
      <c r="C2763" s="13" t="s">
        <v>2261</v>
      </c>
      <c r="D2763" s="13" t="s">
        <v>2270</v>
      </c>
      <c r="E2763" s="13" t="s">
        <v>2522</v>
      </c>
      <c r="F2763" s="13" t="s">
        <v>2532</v>
      </c>
      <c r="G2763" s="61" t="n">
        <v>0</v>
      </c>
      <c r="H2763" s="13" t="s">
        <v>2255</v>
      </c>
      <c r="I2763" s="13" t="s">
        <v>2517</v>
      </c>
      <c r="J2763" s="13" t="n">
        <v>6</v>
      </c>
      <c r="K2763" s="13" t="s">
        <v>2478</v>
      </c>
      <c r="L2763" s="13" t="s">
        <v>2263</v>
      </c>
      <c r="M2763" s="13" t="s">
        <v>2518</v>
      </c>
    </row>
    <row r="2764" customFormat="false" ht="15" hidden="false" customHeight="false" outlineLevel="0" collapsed="false">
      <c r="A2764" s="13" t="s">
        <v>628</v>
      </c>
      <c r="B2764" s="13" t="s">
        <v>627</v>
      </c>
      <c r="C2764" s="13" t="s">
        <v>2261</v>
      </c>
      <c r="D2764" s="13" t="s">
        <v>2270</v>
      </c>
      <c r="E2764" s="13" t="s">
        <v>2523</v>
      </c>
      <c r="F2764" s="13" t="s">
        <v>2532</v>
      </c>
      <c r="G2764" s="61" t="n">
        <v>0</v>
      </c>
      <c r="H2764" s="13" t="s">
        <v>2255</v>
      </c>
      <c r="I2764" s="13" t="s">
        <v>2517</v>
      </c>
      <c r="J2764" s="13" t="n">
        <v>6</v>
      </c>
      <c r="K2764" s="13" t="s">
        <v>2478</v>
      </c>
      <c r="L2764" s="13" t="s">
        <v>2263</v>
      </c>
      <c r="M2764" s="13" t="s">
        <v>2518</v>
      </c>
    </row>
    <row r="2765" customFormat="false" ht="15" hidden="false" customHeight="false" outlineLevel="0" collapsed="false">
      <c r="A2765" s="13" t="s">
        <v>628</v>
      </c>
      <c r="B2765" s="13" t="s">
        <v>627</v>
      </c>
      <c r="C2765" s="13" t="s">
        <v>2261</v>
      </c>
      <c r="D2765" s="13" t="s">
        <v>2270</v>
      </c>
      <c r="E2765" s="13" t="s">
        <v>2524</v>
      </c>
      <c r="F2765" s="13" t="s">
        <v>2532</v>
      </c>
      <c r="G2765" s="61" t="n">
        <v>-167821470</v>
      </c>
      <c r="H2765" s="13" t="s">
        <v>2255</v>
      </c>
      <c r="I2765" s="13" t="s">
        <v>2517</v>
      </c>
      <c r="J2765" s="13" t="n">
        <v>6</v>
      </c>
      <c r="K2765" s="13" t="s">
        <v>2478</v>
      </c>
      <c r="L2765" s="13" t="s">
        <v>2263</v>
      </c>
      <c r="M2765" s="13" t="s">
        <v>2518</v>
      </c>
    </row>
    <row r="2766" customFormat="false" ht="15" hidden="false" customHeight="false" outlineLevel="0" collapsed="false">
      <c r="A2766" s="13" t="s">
        <v>628</v>
      </c>
      <c r="B2766" s="13" t="s">
        <v>627</v>
      </c>
      <c r="C2766" s="13" t="s">
        <v>2261</v>
      </c>
      <c r="D2766" s="13" t="s">
        <v>2270</v>
      </c>
      <c r="E2766" s="13" t="s">
        <v>2515</v>
      </c>
      <c r="F2766" s="13" t="s">
        <v>2533</v>
      </c>
      <c r="G2766" s="61" t="n">
        <v>1522068794</v>
      </c>
      <c r="H2766" s="13" t="s">
        <v>2255</v>
      </c>
      <c r="I2766" s="13" t="s">
        <v>2517</v>
      </c>
      <c r="J2766" s="13" t="n">
        <v>6</v>
      </c>
      <c r="K2766" s="13" t="s">
        <v>2478</v>
      </c>
      <c r="L2766" s="13" t="s">
        <v>2263</v>
      </c>
      <c r="M2766" s="13" t="s">
        <v>2518</v>
      </c>
    </row>
    <row r="2767" customFormat="false" ht="15" hidden="false" customHeight="false" outlineLevel="0" collapsed="false">
      <c r="A2767" s="13" t="s">
        <v>628</v>
      </c>
      <c r="B2767" s="13" t="s">
        <v>627</v>
      </c>
      <c r="C2767" s="13" t="s">
        <v>2261</v>
      </c>
      <c r="D2767" s="13" t="s">
        <v>2270</v>
      </c>
      <c r="E2767" s="13" t="s">
        <v>2519</v>
      </c>
      <c r="F2767" s="13" t="s">
        <v>2533</v>
      </c>
      <c r="G2767" s="61" t="n">
        <v>0</v>
      </c>
      <c r="H2767" s="13" t="s">
        <v>2255</v>
      </c>
      <c r="I2767" s="13" t="s">
        <v>2517</v>
      </c>
      <c r="J2767" s="13" t="n">
        <v>6</v>
      </c>
      <c r="K2767" s="13" t="s">
        <v>2478</v>
      </c>
      <c r="L2767" s="13" t="s">
        <v>2263</v>
      </c>
      <c r="M2767" s="13" t="s">
        <v>2518</v>
      </c>
    </row>
    <row r="2768" customFormat="false" ht="15" hidden="false" customHeight="false" outlineLevel="0" collapsed="false">
      <c r="A2768" s="13" t="s">
        <v>628</v>
      </c>
      <c r="B2768" s="13" t="s">
        <v>627</v>
      </c>
      <c r="C2768" s="13" t="s">
        <v>2261</v>
      </c>
      <c r="D2768" s="13" t="s">
        <v>2270</v>
      </c>
      <c r="E2768" s="13" t="s">
        <v>2520</v>
      </c>
      <c r="F2768" s="13" t="s">
        <v>2533</v>
      </c>
      <c r="G2768" s="61" t="n">
        <v>0</v>
      </c>
      <c r="H2768" s="13" t="s">
        <v>2255</v>
      </c>
      <c r="I2768" s="13" t="s">
        <v>2517</v>
      </c>
      <c r="J2768" s="13" t="n">
        <v>6</v>
      </c>
      <c r="K2768" s="13" t="s">
        <v>2478</v>
      </c>
      <c r="L2768" s="13" t="s">
        <v>2263</v>
      </c>
      <c r="M2768" s="13" t="s">
        <v>2518</v>
      </c>
    </row>
    <row r="2769" customFormat="false" ht="15" hidden="false" customHeight="false" outlineLevel="0" collapsed="false">
      <c r="A2769" s="13" t="s">
        <v>628</v>
      </c>
      <c r="B2769" s="13" t="s">
        <v>627</v>
      </c>
      <c r="C2769" s="13" t="s">
        <v>2261</v>
      </c>
      <c r="D2769" s="13" t="s">
        <v>2270</v>
      </c>
      <c r="E2769" s="13" t="s">
        <v>2521</v>
      </c>
      <c r="F2769" s="13" t="s">
        <v>2533</v>
      </c>
      <c r="G2769" s="61" t="n">
        <v>792731484</v>
      </c>
      <c r="H2769" s="13" t="s">
        <v>2255</v>
      </c>
      <c r="I2769" s="13" t="s">
        <v>2517</v>
      </c>
      <c r="J2769" s="13" t="n">
        <v>6</v>
      </c>
      <c r="K2769" s="13" t="s">
        <v>2478</v>
      </c>
      <c r="L2769" s="13" t="s">
        <v>2263</v>
      </c>
      <c r="M2769" s="13" t="s">
        <v>2518</v>
      </c>
    </row>
    <row r="2770" customFormat="false" ht="15" hidden="false" customHeight="false" outlineLevel="0" collapsed="false">
      <c r="A2770" s="13" t="s">
        <v>628</v>
      </c>
      <c r="B2770" s="13" t="s">
        <v>627</v>
      </c>
      <c r="C2770" s="13" t="s">
        <v>2261</v>
      </c>
      <c r="D2770" s="13" t="s">
        <v>2270</v>
      </c>
      <c r="E2770" s="13" t="s">
        <v>2522</v>
      </c>
      <c r="F2770" s="13" t="s">
        <v>2533</v>
      </c>
      <c r="G2770" s="61" t="n">
        <v>0</v>
      </c>
      <c r="H2770" s="13" t="s">
        <v>2255</v>
      </c>
      <c r="I2770" s="13" t="s">
        <v>2517</v>
      </c>
      <c r="J2770" s="13" t="n">
        <v>6</v>
      </c>
      <c r="K2770" s="13" t="s">
        <v>2478</v>
      </c>
      <c r="L2770" s="13" t="s">
        <v>2263</v>
      </c>
      <c r="M2770" s="13" t="s">
        <v>2518</v>
      </c>
    </row>
    <row r="2771" customFormat="false" ht="15" hidden="false" customHeight="false" outlineLevel="0" collapsed="false">
      <c r="A2771" s="13" t="s">
        <v>628</v>
      </c>
      <c r="B2771" s="13" t="s">
        <v>627</v>
      </c>
      <c r="C2771" s="13" t="s">
        <v>2261</v>
      </c>
      <c r="D2771" s="13" t="s">
        <v>2270</v>
      </c>
      <c r="E2771" s="13" t="s">
        <v>2523</v>
      </c>
      <c r="F2771" s="13" t="s">
        <v>2533</v>
      </c>
      <c r="G2771" s="61" t="n">
        <v>-16211456</v>
      </c>
      <c r="H2771" s="13" t="s">
        <v>2255</v>
      </c>
      <c r="I2771" s="13" t="s">
        <v>2517</v>
      </c>
      <c r="J2771" s="13" t="n">
        <v>6</v>
      </c>
      <c r="K2771" s="13" t="s">
        <v>2478</v>
      </c>
      <c r="L2771" s="13" t="s">
        <v>2263</v>
      </c>
      <c r="M2771" s="13" t="s">
        <v>2518</v>
      </c>
    </row>
    <row r="2772" customFormat="false" ht="15" hidden="false" customHeight="false" outlineLevel="0" collapsed="false">
      <c r="A2772" s="13" t="s">
        <v>628</v>
      </c>
      <c r="B2772" s="13" t="s">
        <v>627</v>
      </c>
      <c r="C2772" s="13" t="s">
        <v>2261</v>
      </c>
      <c r="D2772" s="13" t="s">
        <v>2270</v>
      </c>
      <c r="E2772" s="13" t="s">
        <v>2524</v>
      </c>
      <c r="F2772" s="13" t="s">
        <v>2533</v>
      </c>
      <c r="G2772" s="61" t="n">
        <v>2298588822</v>
      </c>
      <c r="H2772" s="13" t="s">
        <v>2255</v>
      </c>
      <c r="I2772" s="13" t="s">
        <v>2517</v>
      </c>
      <c r="J2772" s="13" t="n">
        <v>6</v>
      </c>
      <c r="K2772" s="13" t="s">
        <v>2478</v>
      </c>
      <c r="L2772" s="13" t="s">
        <v>2263</v>
      </c>
      <c r="M2772" s="13" t="s">
        <v>2518</v>
      </c>
    </row>
    <row r="2773" customFormat="false" ht="15" hidden="false" customHeight="false" outlineLevel="0" collapsed="false">
      <c r="A2773" s="13" t="s">
        <v>628</v>
      </c>
      <c r="B2773" s="13" t="s">
        <v>627</v>
      </c>
      <c r="C2773" s="13" t="s">
        <v>2261</v>
      </c>
      <c r="D2773" s="13" t="s">
        <v>2270</v>
      </c>
      <c r="E2773" s="13" t="s">
        <v>2515</v>
      </c>
      <c r="F2773" s="13" t="s">
        <v>2534</v>
      </c>
      <c r="G2773" s="61" t="n">
        <v>-11438110</v>
      </c>
      <c r="H2773" s="13" t="s">
        <v>2255</v>
      </c>
      <c r="I2773" s="13" t="s">
        <v>2517</v>
      </c>
      <c r="J2773" s="13" t="n">
        <v>6</v>
      </c>
      <c r="K2773" s="13" t="s">
        <v>2478</v>
      </c>
      <c r="L2773" s="13" t="s">
        <v>2263</v>
      </c>
      <c r="M2773" s="13" t="s">
        <v>2518</v>
      </c>
    </row>
    <row r="2774" customFormat="false" ht="15" hidden="false" customHeight="false" outlineLevel="0" collapsed="false">
      <c r="A2774" s="13" t="s">
        <v>628</v>
      </c>
      <c r="B2774" s="13" t="s">
        <v>627</v>
      </c>
      <c r="C2774" s="13" t="s">
        <v>2261</v>
      </c>
      <c r="D2774" s="13" t="s">
        <v>2270</v>
      </c>
      <c r="E2774" s="13" t="s">
        <v>2519</v>
      </c>
      <c r="F2774" s="13" t="s">
        <v>2534</v>
      </c>
      <c r="G2774" s="61" t="n">
        <v>0</v>
      </c>
      <c r="H2774" s="13" t="s">
        <v>2255</v>
      </c>
      <c r="I2774" s="13" t="s">
        <v>2517</v>
      </c>
      <c r="J2774" s="13" t="n">
        <v>6</v>
      </c>
      <c r="K2774" s="13" t="s">
        <v>2478</v>
      </c>
      <c r="L2774" s="13" t="s">
        <v>2263</v>
      </c>
      <c r="M2774" s="13" t="s">
        <v>2518</v>
      </c>
    </row>
    <row r="2775" customFormat="false" ht="15" hidden="false" customHeight="false" outlineLevel="0" collapsed="false">
      <c r="A2775" s="13" t="s">
        <v>628</v>
      </c>
      <c r="B2775" s="13" t="s">
        <v>627</v>
      </c>
      <c r="C2775" s="13" t="s">
        <v>2261</v>
      </c>
      <c r="D2775" s="13" t="s">
        <v>2270</v>
      </c>
      <c r="E2775" s="13" t="s">
        <v>2520</v>
      </c>
      <c r="F2775" s="13" t="s">
        <v>2534</v>
      </c>
      <c r="G2775" s="61" t="n">
        <v>52000000</v>
      </c>
      <c r="H2775" s="13" t="s">
        <v>2255</v>
      </c>
      <c r="I2775" s="13" t="s">
        <v>2517</v>
      </c>
      <c r="J2775" s="13" t="n">
        <v>6</v>
      </c>
      <c r="K2775" s="13" t="s">
        <v>2478</v>
      </c>
      <c r="L2775" s="13" t="s">
        <v>2263</v>
      </c>
      <c r="M2775" s="13" t="s">
        <v>2518</v>
      </c>
    </row>
    <row r="2776" customFormat="false" ht="15" hidden="false" customHeight="false" outlineLevel="0" collapsed="false">
      <c r="A2776" s="13" t="s">
        <v>628</v>
      </c>
      <c r="B2776" s="13" t="s">
        <v>627</v>
      </c>
      <c r="C2776" s="13" t="s">
        <v>2261</v>
      </c>
      <c r="D2776" s="13" t="s">
        <v>2270</v>
      </c>
      <c r="E2776" s="13" t="s">
        <v>2521</v>
      </c>
      <c r="F2776" s="13" t="s">
        <v>2534</v>
      </c>
      <c r="G2776" s="61" t="n">
        <v>-117470236</v>
      </c>
      <c r="H2776" s="13" t="s">
        <v>2255</v>
      </c>
      <c r="I2776" s="13" t="s">
        <v>2517</v>
      </c>
      <c r="J2776" s="13" t="n">
        <v>6</v>
      </c>
      <c r="K2776" s="13" t="s">
        <v>2478</v>
      </c>
      <c r="L2776" s="13" t="s">
        <v>2263</v>
      </c>
      <c r="M2776" s="13" t="s">
        <v>2518</v>
      </c>
    </row>
    <row r="2777" customFormat="false" ht="15" hidden="false" customHeight="false" outlineLevel="0" collapsed="false">
      <c r="A2777" s="13" t="s">
        <v>628</v>
      </c>
      <c r="B2777" s="13" t="s">
        <v>627</v>
      </c>
      <c r="C2777" s="13" t="s">
        <v>2261</v>
      </c>
      <c r="D2777" s="13" t="s">
        <v>2270</v>
      </c>
      <c r="E2777" s="13" t="s">
        <v>2522</v>
      </c>
      <c r="F2777" s="13" t="s">
        <v>2534</v>
      </c>
      <c r="G2777" s="61" t="n">
        <v>0</v>
      </c>
      <c r="H2777" s="13" t="s">
        <v>2255</v>
      </c>
      <c r="I2777" s="13" t="s">
        <v>2517</v>
      </c>
      <c r="J2777" s="13" t="n">
        <v>6</v>
      </c>
      <c r="K2777" s="13" t="s">
        <v>2478</v>
      </c>
      <c r="L2777" s="13" t="s">
        <v>2263</v>
      </c>
      <c r="M2777" s="13" t="s">
        <v>2518</v>
      </c>
    </row>
    <row r="2778" customFormat="false" ht="15" hidden="false" customHeight="false" outlineLevel="0" collapsed="false">
      <c r="A2778" s="13" t="s">
        <v>628</v>
      </c>
      <c r="B2778" s="13" t="s">
        <v>627</v>
      </c>
      <c r="C2778" s="13" t="s">
        <v>2261</v>
      </c>
      <c r="D2778" s="13" t="s">
        <v>2270</v>
      </c>
      <c r="E2778" s="13" t="s">
        <v>2523</v>
      </c>
      <c r="F2778" s="13" t="s">
        <v>2534</v>
      </c>
      <c r="G2778" s="61" t="n">
        <v>0</v>
      </c>
      <c r="H2778" s="13" t="s">
        <v>2255</v>
      </c>
      <c r="I2778" s="13" t="s">
        <v>2517</v>
      </c>
      <c r="J2778" s="13" t="n">
        <v>6</v>
      </c>
      <c r="K2778" s="13" t="s">
        <v>2478</v>
      </c>
      <c r="L2778" s="13" t="s">
        <v>2263</v>
      </c>
      <c r="M2778" s="13" t="s">
        <v>2518</v>
      </c>
    </row>
    <row r="2779" customFormat="false" ht="15" hidden="false" customHeight="false" outlineLevel="0" collapsed="false">
      <c r="A2779" s="13" t="s">
        <v>628</v>
      </c>
      <c r="B2779" s="13" t="s">
        <v>627</v>
      </c>
      <c r="C2779" s="13" t="s">
        <v>2261</v>
      </c>
      <c r="D2779" s="13" t="s">
        <v>2270</v>
      </c>
      <c r="E2779" s="13" t="s">
        <v>2524</v>
      </c>
      <c r="F2779" s="13" t="s">
        <v>2534</v>
      </c>
      <c r="G2779" s="61" t="n">
        <v>-76908346</v>
      </c>
      <c r="H2779" s="13" t="s">
        <v>2255</v>
      </c>
      <c r="I2779" s="13" t="s">
        <v>2517</v>
      </c>
      <c r="J2779" s="13" t="n">
        <v>6</v>
      </c>
      <c r="K2779" s="13" t="s">
        <v>2478</v>
      </c>
      <c r="L2779" s="13" t="s">
        <v>2263</v>
      </c>
      <c r="M2779" s="13" t="s">
        <v>2518</v>
      </c>
    </row>
    <row r="2780" customFormat="false" ht="15" hidden="false" customHeight="false" outlineLevel="0" collapsed="false">
      <c r="A2780" s="13" t="s">
        <v>628</v>
      </c>
      <c r="B2780" s="13" t="s">
        <v>627</v>
      </c>
      <c r="C2780" s="13" t="s">
        <v>2261</v>
      </c>
      <c r="D2780" s="13" t="s">
        <v>2270</v>
      </c>
      <c r="E2780" s="13" t="s">
        <v>2515</v>
      </c>
      <c r="F2780" s="13" t="s">
        <v>2535</v>
      </c>
      <c r="G2780" s="61" t="n">
        <v>41679540</v>
      </c>
      <c r="H2780" s="13" t="s">
        <v>2255</v>
      </c>
      <c r="I2780" s="13" t="s">
        <v>2517</v>
      </c>
      <c r="J2780" s="13" t="n">
        <v>6</v>
      </c>
      <c r="K2780" s="13" t="s">
        <v>2478</v>
      </c>
      <c r="L2780" s="13" t="s">
        <v>2263</v>
      </c>
      <c r="M2780" s="13" t="s">
        <v>2518</v>
      </c>
    </row>
    <row r="2781" customFormat="false" ht="15" hidden="false" customHeight="false" outlineLevel="0" collapsed="false">
      <c r="A2781" s="13" t="s">
        <v>628</v>
      </c>
      <c r="B2781" s="13" t="s">
        <v>627</v>
      </c>
      <c r="C2781" s="13" t="s">
        <v>2261</v>
      </c>
      <c r="D2781" s="13" t="s">
        <v>2270</v>
      </c>
      <c r="E2781" s="13" t="s">
        <v>2519</v>
      </c>
      <c r="F2781" s="13" t="s">
        <v>2535</v>
      </c>
      <c r="G2781" s="61" t="n">
        <v>0</v>
      </c>
      <c r="H2781" s="13" t="s">
        <v>2255</v>
      </c>
      <c r="I2781" s="13" t="s">
        <v>2517</v>
      </c>
      <c r="J2781" s="13" t="n">
        <v>6</v>
      </c>
      <c r="K2781" s="13" t="s">
        <v>2478</v>
      </c>
      <c r="L2781" s="13" t="s">
        <v>2263</v>
      </c>
      <c r="M2781" s="13" t="s">
        <v>2518</v>
      </c>
    </row>
    <row r="2782" customFormat="false" ht="15" hidden="false" customHeight="false" outlineLevel="0" collapsed="false">
      <c r="A2782" s="13" t="s">
        <v>628</v>
      </c>
      <c r="B2782" s="13" t="s">
        <v>627</v>
      </c>
      <c r="C2782" s="13" t="s">
        <v>2261</v>
      </c>
      <c r="D2782" s="13" t="s">
        <v>2270</v>
      </c>
      <c r="E2782" s="13" t="s">
        <v>2520</v>
      </c>
      <c r="F2782" s="13" t="s">
        <v>2535</v>
      </c>
      <c r="G2782" s="61" t="n">
        <v>0</v>
      </c>
      <c r="H2782" s="13" t="s">
        <v>2255</v>
      </c>
      <c r="I2782" s="13" t="s">
        <v>2517</v>
      </c>
      <c r="J2782" s="13" t="n">
        <v>6</v>
      </c>
      <c r="K2782" s="13" t="s">
        <v>2478</v>
      </c>
      <c r="L2782" s="13" t="s">
        <v>2263</v>
      </c>
      <c r="M2782" s="13" t="s">
        <v>2518</v>
      </c>
    </row>
    <row r="2783" customFormat="false" ht="15" hidden="false" customHeight="false" outlineLevel="0" collapsed="false">
      <c r="A2783" s="13" t="s">
        <v>628</v>
      </c>
      <c r="B2783" s="13" t="s">
        <v>627</v>
      </c>
      <c r="C2783" s="13" t="s">
        <v>2261</v>
      </c>
      <c r="D2783" s="13" t="s">
        <v>2270</v>
      </c>
      <c r="E2783" s="13" t="s">
        <v>2521</v>
      </c>
      <c r="F2783" s="13" t="s">
        <v>2535</v>
      </c>
      <c r="G2783" s="61" t="n">
        <v>-24932362</v>
      </c>
      <c r="H2783" s="13" t="s">
        <v>2255</v>
      </c>
      <c r="I2783" s="13" t="s">
        <v>2517</v>
      </c>
      <c r="J2783" s="13" t="n">
        <v>6</v>
      </c>
      <c r="K2783" s="13" t="s">
        <v>2478</v>
      </c>
      <c r="L2783" s="13" t="s">
        <v>2263</v>
      </c>
      <c r="M2783" s="13" t="s">
        <v>2518</v>
      </c>
    </row>
    <row r="2784" customFormat="false" ht="15" hidden="false" customHeight="false" outlineLevel="0" collapsed="false">
      <c r="A2784" s="13" t="s">
        <v>628</v>
      </c>
      <c r="B2784" s="13" t="s">
        <v>627</v>
      </c>
      <c r="C2784" s="13" t="s">
        <v>2261</v>
      </c>
      <c r="D2784" s="13" t="s">
        <v>2270</v>
      </c>
      <c r="E2784" s="13" t="s">
        <v>2522</v>
      </c>
      <c r="F2784" s="13" t="s">
        <v>2535</v>
      </c>
      <c r="G2784" s="61" t="n">
        <v>0</v>
      </c>
      <c r="H2784" s="13" t="s">
        <v>2255</v>
      </c>
      <c r="I2784" s="13" t="s">
        <v>2517</v>
      </c>
      <c r="J2784" s="13" t="n">
        <v>6</v>
      </c>
      <c r="K2784" s="13" t="s">
        <v>2478</v>
      </c>
      <c r="L2784" s="13" t="s">
        <v>2263</v>
      </c>
      <c r="M2784" s="13" t="s">
        <v>2518</v>
      </c>
    </row>
    <row r="2785" customFormat="false" ht="15" hidden="false" customHeight="false" outlineLevel="0" collapsed="false">
      <c r="A2785" s="13" t="s">
        <v>628</v>
      </c>
      <c r="B2785" s="13" t="s">
        <v>627</v>
      </c>
      <c r="C2785" s="13" t="s">
        <v>2261</v>
      </c>
      <c r="D2785" s="13" t="s">
        <v>2270</v>
      </c>
      <c r="E2785" s="13" t="s">
        <v>2523</v>
      </c>
      <c r="F2785" s="13" t="s">
        <v>2535</v>
      </c>
      <c r="G2785" s="61" t="n">
        <v>0</v>
      </c>
      <c r="H2785" s="13" t="s">
        <v>2255</v>
      </c>
      <c r="I2785" s="13" t="s">
        <v>2517</v>
      </c>
      <c r="J2785" s="13" t="n">
        <v>6</v>
      </c>
      <c r="K2785" s="13" t="s">
        <v>2478</v>
      </c>
      <c r="L2785" s="13" t="s">
        <v>2263</v>
      </c>
      <c r="M2785" s="13" t="s">
        <v>2518</v>
      </c>
    </row>
    <row r="2786" customFormat="false" ht="15" hidden="false" customHeight="false" outlineLevel="0" collapsed="false">
      <c r="A2786" s="13" t="s">
        <v>628</v>
      </c>
      <c r="B2786" s="13" t="s">
        <v>627</v>
      </c>
      <c r="C2786" s="13" t="s">
        <v>2261</v>
      </c>
      <c r="D2786" s="13" t="s">
        <v>2270</v>
      </c>
      <c r="E2786" s="13" t="s">
        <v>2524</v>
      </c>
      <c r="F2786" s="13" t="s">
        <v>2535</v>
      </c>
      <c r="G2786" s="61" t="n">
        <v>16747178</v>
      </c>
      <c r="H2786" s="13" t="s">
        <v>2255</v>
      </c>
      <c r="I2786" s="13" t="s">
        <v>2517</v>
      </c>
      <c r="J2786" s="13" t="n">
        <v>6</v>
      </c>
      <c r="K2786" s="13" t="s">
        <v>2478</v>
      </c>
      <c r="L2786" s="13" t="s">
        <v>2263</v>
      </c>
      <c r="M2786" s="13" t="s">
        <v>2518</v>
      </c>
    </row>
    <row r="2787" customFormat="false" ht="15" hidden="false" customHeight="false" outlineLevel="0" collapsed="false">
      <c r="A2787" s="13" t="s">
        <v>628</v>
      </c>
      <c r="B2787" s="13" t="s">
        <v>627</v>
      </c>
      <c r="C2787" s="13" t="s">
        <v>2261</v>
      </c>
      <c r="D2787" s="13" t="s">
        <v>2270</v>
      </c>
      <c r="E2787" s="13" t="s">
        <v>2515</v>
      </c>
      <c r="F2787" s="13" t="s">
        <v>2537</v>
      </c>
      <c r="G2787" s="61" t="n">
        <v>0</v>
      </c>
      <c r="H2787" s="13" t="s">
        <v>2255</v>
      </c>
      <c r="I2787" s="13" t="s">
        <v>2517</v>
      </c>
      <c r="J2787" s="13" t="n">
        <v>6</v>
      </c>
      <c r="K2787" s="13" t="s">
        <v>2478</v>
      </c>
      <c r="L2787" s="13" t="s">
        <v>2263</v>
      </c>
      <c r="M2787" s="13" t="s">
        <v>2518</v>
      </c>
    </row>
    <row r="2788" customFormat="false" ht="15" hidden="false" customHeight="false" outlineLevel="0" collapsed="false">
      <c r="A2788" s="13" t="s">
        <v>628</v>
      </c>
      <c r="B2788" s="13" t="s">
        <v>627</v>
      </c>
      <c r="C2788" s="13" t="s">
        <v>2261</v>
      </c>
      <c r="D2788" s="13" t="s">
        <v>2270</v>
      </c>
      <c r="E2788" s="13" t="s">
        <v>2519</v>
      </c>
      <c r="F2788" s="13" t="s">
        <v>2537</v>
      </c>
      <c r="G2788" s="61" t="n">
        <v>0</v>
      </c>
      <c r="H2788" s="13" t="s">
        <v>2255</v>
      </c>
      <c r="I2788" s="13" t="s">
        <v>2517</v>
      </c>
      <c r="J2788" s="13" t="n">
        <v>6</v>
      </c>
      <c r="K2788" s="13" t="s">
        <v>2478</v>
      </c>
      <c r="L2788" s="13" t="s">
        <v>2263</v>
      </c>
      <c r="M2788" s="13" t="s">
        <v>2518</v>
      </c>
    </row>
    <row r="2789" customFormat="false" ht="15" hidden="false" customHeight="false" outlineLevel="0" collapsed="false">
      <c r="A2789" s="13" t="s">
        <v>628</v>
      </c>
      <c r="B2789" s="13" t="s">
        <v>627</v>
      </c>
      <c r="C2789" s="13" t="s">
        <v>2261</v>
      </c>
      <c r="D2789" s="13" t="s">
        <v>2270</v>
      </c>
      <c r="E2789" s="13" t="s">
        <v>2520</v>
      </c>
      <c r="F2789" s="13" t="s">
        <v>2537</v>
      </c>
      <c r="G2789" s="61" t="n">
        <v>1250000000</v>
      </c>
      <c r="H2789" s="13" t="s">
        <v>2255</v>
      </c>
      <c r="I2789" s="13" t="s">
        <v>2517</v>
      </c>
      <c r="J2789" s="13" t="n">
        <v>6</v>
      </c>
      <c r="K2789" s="13" t="s">
        <v>2478</v>
      </c>
      <c r="L2789" s="13" t="s">
        <v>2263</v>
      </c>
      <c r="M2789" s="13" t="s">
        <v>2518</v>
      </c>
    </row>
    <row r="2790" customFormat="false" ht="15" hidden="false" customHeight="false" outlineLevel="0" collapsed="false">
      <c r="A2790" s="13" t="s">
        <v>628</v>
      </c>
      <c r="B2790" s="13" t="s">
        <v>627</v>
      </c>
      <c r="C2790" s="13" t="s">
        <v>2261</v>
      </c>
      <c r="D2790" s="13" t="s">
        <v>2270</v>
      </c>
      <c r="E2790" s="13" t="s">
        <v>2521</v>
      </c>
      <c r="F2790" s="13" t="s">
        <v>2537</v>
      </c>
      <c r="G2790" s="61" t="n">
        <v>39087934</v>
      </c>
      <c r="H2790" s="13" t="s">
        <v>2255</v>
      </c>
      <c r="I2790" s="13" t="s">
        <v>2517</v>
      </c>
      <c r="J2790" s="13" t="n">
        <v>6</v>
      </c>
      <c r="K2790" s="13" t="s">
        <v>2478</v>
      </c>
      <c r="L2790" s="13" t="s">
        <v>2263</v>
      </c>
      <c r="M2790" s="13" t="s">
        <v>2518</v>
      </c>
    </row>
    <row r="2791" customFormat="false" ht="15" hidden="false" customHeight="false" outlineLevel="0" collapsed="false">
      <c r="A2791" s="13" t="s">
        <v>628</v>
      </c>
      <c r="B2791" s="13" t="s">
        <v>627</v>
      </c>
      <c r="C2791" s="13" t="s">
        <v>2261</v>
      </c>
      <c r="D2791" s="13" t="s">
        <v>2270</v>
      </c>
      <c r="E2791" s="13" t="s">
        <v>2522</v>
      </c>
      <c r="F2791" s="13" t="s">
        <v>2537</v>
      </c>
      <c r="G2791" s="61" t="n">
        <v>0</v>
      </c>
      <c r="H2791" s="13" t="s">
        <v>2255</v>
      </c>
      <c r="I2791" s="13" t="s">
        <v>2517</v>
      </c>
      <c r="J2791" s="13" t="n">
        <v>6</v>
      </c>
      <c r="K2791" s="13" t="s">
        <v>2478</v>
      </c>
      <c r="L2791" s="13" t="s">
        <v>2263</v>
      </c>
      <c r="M2791" s="13" t="s">
        <v>2518</v>
      </c>
    </row>
    <row r="2792" customFormat="false" ht="15" hidden="false" customHeight="false" outlineLevel="0" collapsed="false">
      <c r="A2792" s="13" t="s">
        <v>628</v>
      </c>
      <c r="B2792" s="13" t="s">
        <v>627</v>
      </c>
      <c r="C2792" s="13" t="s">
        <v>2261</v>
      </c>
      <c r="D2792" s="13" t="s">
        <v>2270</v>
      </c>
      <c r="E2792" s="13" t="s">
        <v>2523</v>
      </c>
      <c r="F2792" s="13" t="s">
        <v>2537</v>
      </c>
      <c r="G2792" s="61" t="n">
        <v>0</v>
      </c>
      <c r="H2792" s="13" t="s">
        <v>2255</v>
      </c>
      <c r="I2792" s="13" t="s">
        <v>2517</v>
      </c>
      <c r="J2792" s="13" t="n">
        <v>6</v>
      </c>
      <c r="K2792" s="13" t="s">
        <v>2478</v>
      </c>
      <c r="L2792" s="13" t="s">
        <v>2263</v>
      </c>
      <c r="M2792" s="13" t="s">
        <v>2518</v>
      </c>
    </row>
    <row r="2793" customFormat="false" ht="15" hidden="false" customHeight="false" outlineLevel="0" collapsed="false">
      <c r="A2793" s="13" t="s">
        <v>628</v>
      </c>
      <c r="B2793" s="13" t="s">
        <v>627</v>
      </c>
      <c r="C2793" s="13" t="s">
        <v>2261</v>
      </c>
      <c r="D2793" s="13" t="s">
        <v>2270</v>
      </c>
      <c r="E2793" s="13" t="s">
        <v>2524</v>
      </c>
      <c r="F2793" s="13" t="s">
        <v>2537</v>
      </c>
      <c r="G2793" s="61" t="n">
        <v>1289087934</v>
      </c>
      <c r="H2793" s="13" t="s">
        <v>2255</v>
      </c>
      <c r="I2793" s="13" t="s">
        <v>2517</v>
      </c>
      <c r="J2793" s="13" t="n">
        <v>6</v>
      </c>
      <c r="K2793" s="13" t="s">
        <v>2478</v>
      </c>
      <c r="L2793" s="13" t="s">
        <v>2263</v>
      </c>
      <c r="M2793" s="13" t="s">
        <v>2518</v>
      </c>
    </row>
    <row r="2794" customFormat="false" ht="15" hidden="false" customHeight="false" outlineLevel="0" collapsed="false">
      <c r="A2794" s="13" t="s">
        <v>628</v>
      </c>
      <c r="B2794" s="13" t="s">
        <v>627</v>
      </c>
      <c r="C2794" s="13" t="s">
        <v>2261</v>
      </c>
      <c r="D2794" s="13" t="s">
        <v>2270</v>
      </c>
      <c r="E2794" s="13" t="s">
        <v>2515</v>
      </c>
      <c r="F2794" s="13" t="s">
        <v>2538</v>
      </c>
      <c r="G2794" s="61" t="n">
        <v>0</v>
      </c>
      <c r="H2794" s="13" t="s">
        <v>2255</v>
      </c>
      <c r="I2794" s="13" t="s">
        <v>2517</v>
      </c>
      <c r="J2794" s="13" t="n">
        <v>6</v>
      </c>
      <c r="K2794" s="13" t="s">
        <v>2478</v>
      </c>
      <c r="L2794" s="13" t="s">
        <v>2263</v>
      </c>
      <c r="M2794" s="13" t="s">
        <v>2518</v>
      </c>
    </row>
    <row r="2795" customFormat="false" ht="15" hidden="false" customHeight="false" outlineLevel="0" collapsed="false">
      <c r="A2795" s="13" t="s">
        <v>628</v>
      </c>
      <c r="B2795" s="13" t="s">
        <v>627</v>
      </c>
      <c r="C2795" s="13" t="s">
        <v>2261</v>
      </c>
      <c r="D2795" s="13" t="s">
        <v>2270</v>
      </c>
      <c r="E2795" s="13" t="s">
        <v>2519</v>
      </c>
      <c r="F2795" s="13" t="s">
        <v>2538</v>
      </c>
      <c r="G2795" s="61" t="n">
        <v>0</v>
      </c>
      <c r="H2795" s="13" t="s">
        <v>2255</v>
      </c>
      <c r="I2795" s="13" t="s">
        <v>2517</v>
      </c>
      <c r="J2795" s="13" t="n">
        <v>6</v>
      </c>
      <c r="K2795" s="13" t="s">
        <v>2478</v>
      </c>
      <c r="L2795" s="13" t="s">
        <v>2263</v>
      </c>
      <c r="M2795" s="13" t="s">
        <v>2518</v>
      </c>
    </row>
    <row r="2796" customFormat="false" ht="15" hidden="false" customHeight="false" outlineLevel="0" collapsed="false">
      <c r="A2796" s="13" t="s">
        <v>628</v>
      </c>
      <c r="B2796" s="13" t="s">
        <v>627</v>
      </c>
      <c r="C2796" s="13" t="s">
        <v>2261</v>
      </c>
      <c r="D2796" s="13" t="s">
        <v>2270</v>
      </c>
      <c r="E2796" s="13" t="s">
        <v>2520</v>
      </c>
      <c r="F2796" s="13" t="s">
        <v>2538</v>
      </c>
      <c r="G2796" s="61" t="n">
        <v>25000000</v>
      </c>
      <c r="H2796" s="13" t="s">
        <v>2255</v>
      </c>
      <c r="I2796" s="13" t="s">
        <v>2517</v>
      </c>
      <c r="J2796" s="13" t="n">
        <v>6</v>
      </c>
      <c r="K2796" s="13" t="s">
        <v>2478</v>
      </c>
      <c r="L2796" s="13" t="s">
        <v>2263</v>
      </c>
      <c r="M2796" s="13" t="s">
        <v>2518</v>
      </c>
    </row>
    <row r="2797" customFormat="false" ht="15" hidden="false" customHeight="false" outlineLevel="0" collapsed="false">
      <c r="A2797" s="13" t="s">
        <v>628</v>
      </c>
      <c r="B2797" s="13" t="s">
        <v>627</v>
      </c>
      <c r="C2797" s="13" t="s">
        <v>2261</v>
      </c>
      <c r="D2797" s="13" t="s">
        <v>2270</v>
      </c>
      <c r="E2797" s="13" t="s">
        <v>2521</v>
      </c>
      <c r="F2797" s="13" t="s">
        <v>2538</v>
      </c>
      <c r="G2797" s="61" t="n">
        <v>0</v>
      </c>
      <c r="H2797" s="13" t="s">
        <v>2255</v>
      </c>
      <c r="I2797" s="13" t="s">
        <v>2517</v>
      </c>
      <c r="J2797" s="13" t="n">
        <v>6</v>
      </c>
      <c r="K2797" s="13" t="s">
        <v>2478</v>
      </c>
      <c r="L2797" s="13" t="s">
        <v>2263</v>
      </c>
      <c r="M2797" s="13" t="s">
        <v>2518</v>
      </c>
    </row>
    <row r="2798" customFormat="false" ht="15" hidden="false" customHeight="false" outlineLevel="0" collapsed="false">
      <c r="A2798" s="13" t="s">
        <v>628</v>
      </c>
      <c r="B2798" s="13" t="s">
        <v>627</v>
      </c>
      <c r="C2798" s="13" t="s">
        <v>2261</v>
      </c>
      <c r="D2798" s="13" t="s">
        <v>2270</v>
      </c>
      <c r="E2798" s="13" t="s">
        <v>2522</v>
      </c>
      <c r="F2798" s="13" t="s">
        <v>2538</v>
      </c>
      <c r="G2798" s="61" t="n">
        <v>0</v>
      </c>
      <c r="H2798" s="13" t="s">
        <v>2255</v>
      </c>
      <c r="I2798" s="13" t="s">
        <v>2517</v>
      </c>
      <c r="J2798" s="13" t="n">
        <v>6</v>
      </c>
      <c r="K2798" s="13" t="s">
        <v>2478</v>
      </c>
      <c r="L2798" s="13" t="s">
        <v>2263</v>
      </c>
      <c r="M2798" s="13" t="s">
        <v>2518</v>
      </c>
    </row>
    <row r="2799" customFormat="false" ht="15" hidden="false" customHeight="false" outlineLevel="0" collapsed="false">
      <c r="A2799" s="13" t="s">
        <v>628</v>
      </c>
      <c r="B2799" s="13" t="s">
        <v>627</v>
      </c>
      <c r="C2799" s="13" t="s">
        <v>2261</v>
      </c>
      <c r="D2799" s="13" t="s">
        <v>2270</v>
      </c>
      <c r="E2799" s="13" t="s">
        <v>2523</v>
      </c>
      <c r="F2799" s="13" t="s">
        <v>2538</v>
      </c>
      <c r="G2799" s="61" t="n">
        <v>0</v>
      </c>
      <c r="H2799" s="13" t="s">
        <v>2255</v>
      </c>
      <c r="I2799" s="13" t="s">
        <v>2517</v>
      </c>
      <c r="J2799" s="13" t="n">
        <v>6</v>
      </c>
      <c r="K2799" s="13" t="s">
        <v>2478</v>
      </c>
      <c r="L2799" s="13" t="s">
        <v>2263</v>
      </c>
      <c r="M2799" s="13" t="s">
        <v>2518</v>
      </c>
    </row>
    <row r="2800" customFormat="false" ht="15" hidden="false" customHeight="false" outlineLevel="0" collapsed="false">
      <c r="A2800" s="13" t="s">
        <v>628</v>
      </c>
      <c r="B2800" s="13" t="s">
        <v>627</v>
      </c>
      <c r="C2800" s="13" t="s">
        <v>2261</v>
      </c>
      <c r="D2800" s="13" t="s">
        <v>2270</v>
      </c>
      <c r="E2800" s="13" t="s">
        <v>2524</v>
      </c>
      <c r="F2800" s="13" t="s">
        <v>2538</v>
      </c>
      <c r="G2800" s="61" t="n">
        <v>25000000</v>
      </c>
      <c r="H2800" s="13" t="s">
        <v>2255</v>
      </c>
      <c r="I2800" s="13" t="s">
        <v>2517</v>
      </c>
      <c r="J2800" s="13" t="n">
        <v>6</v>
      </c>
      <c r="K2800" s="13" t="s">
        <v>2478</v>
      </c>
      <c r="L2800" s="13" t="s">
        <v>2263</v>
      </c>
      <c r="M2800" s="13" t="s">
        <v>2518</v>
      </c>
    </row>
    <row r="2801" customFormat="false" ht="15" hidden="false" customHeight="false" outlineLevel="0" collapsed="false">
      <c r="A2801" s="13" t="s">
        <v>628</v>
      </c>
      <c r="B2801" s="13" t="s">
        <v>627</v>
      </c>
      <c r="C2801" s="13" t="s">
        <v>2261</v>
      </c>
      <c r="D2801" s="13" t="s">
        <v>2270</v>
      </c>
      <c r="E2801" s="13" t="s">
        <v>2515</v>
      </c>
      <c r="F2801" s="13" t="s">
        <v>2539</v>
      </c>
      <c r="G2801" s="61" t="n">
        <v>0</v>
      </c>
      <c r="H2801" s="13" t="s">
        <v>2255</v>
      </c>
      <c r="I2801" s="13" t="s">
        <v>2517</v>
      </c>
      <c r="J2801" s="13" t="n">
        <v>6</v>
      </c>
      <c r="K2801" s="13" t="s">
        <v>2478</v>
      </c>
      <c r="L2801" s="13" t="s">
        <v>2263</v>
      </c>
      <c r="M2801" s="13" t="s">
        <v>2518</v>
      </c>
    </row>
    <row r="2802" customFormat="false" ht="15" hidden="false" customHeight="false" outlineLevel="0" collapsed="false">
      <c r="A2802" s="13" t="s">
        <v>628</v>
      </c>
      <c r="B2802" s="13" t="s">
        <v>627</v>
      </c>
      <c r="C2802" s="13" t="s">
        <v>2261</v>
      </c>
      <c r="D2802" s="13" t="s">
        <v>2270</v>
      </c>
      <c r="E2802" s="13" t="s">
        <v>2519</v>
      </c>
      <c r="F2802" s="13" t="s">
        <v>2539</v>
      </c>
      <c r="G2802" s="61" t="n">
        <v>9459052002</v>
      </c>
      <c r="H2802" s="13" t="s">
        <v>2255</v>
      </c>
      <c r="I2802" s="13" t="s">
        <v>2517</v>
      </c>
      <c r="J2802" s="13" t="n">
        <v>6</v>
      </c>
      <c r="K2802" s="13" t="s">
        <v>2478</v>
      </c>
      <c r="L2802" s="13" t="s">
        <v>2263</v>
      </c>
      <c r="M2802" s="13" t="s">
        <v>2518</v>
      </c>
    </row>
    <row r="2803" customFormat="false" ht="15" hidden="false" customHeight="false" outlineLevel="0" collapsed="false">
      <c r="A2803" s="13" t="s">
        <v>628</v>
      </c>
      <c r="B2803" s="13" t="s">
        <v>627</v>
      </c>
      <c r="C2803" s="13" t="s">
        <v>2261</v>
      </c>
      <c r="D2803" s="13" t="s">
        <v>2270</v>
      </c>
      <c r="E2803" s="13" t="s">
        <v>2520</v>
      </c>
      <c r="F2803" s="13" t="s">
        <v>2539</v>
      </c>
      <c r="G2803" s="61" t="n">
        <v>199400369</v>
      </c>
      <c r="H2803" s="13" t="s">
        <v>2255</v>
      </c>
      <c r="I2803" s="13" t="s">
        <v>2517</v>
      </c>
      <c r="J2803" s="13" t="n">
        <v>6</v>
      </c>
      <c r="K2803" s="13" t="s">
        <v>2478</v>
      </c>
      <c r="L2803" s="13" t="s">
        <v>2263</v>
      </c>
      <c r="M2803" s="13" t="s">
        <v>2518</v>
      </c>
    </row>
    <row r="2804" customFormat="false" ht="15" hidden="false" customHeight="false" outlineLevel="0" collapsed="false">
      <c r="A2804" s="13" t="s">
        <v>628</v>
      </c>
      <c r="B2804" s="13" t="s">
        <v>627</v>
      </c>
      <c r="C2804" s="13" t="s">
        <v>2261</v>
      </c>
      <c r="D2804" s="13" t="s">
        <v>2270</v>
      </c>
      <c r="E2804" s="13" t="s">
        <v>2521</v>
      </c>
      <c r="F2804" s="13" t="s">
        <v>2539</v>
      </c>
      <c r="G2804" s="61" t="n">
        <v>830548259</v>
      </c>
      <c r="H2804" s="13" t="s">
        <v>2255</v>
      </c>
      <c r="I2804" s="13" t="s">
        <v>2517</v>
      </c>
      <c r="J2804" s="13" t="n">
        <v>6</v>
      </c>
      <c r="K2804" s="13" t="s">
        <v>2478</v>
      </c>
      <c r="L2804" s="13" t="s">
        <v>2263</v>
      </c>
      <c r="M2804" s="13" t="s">
        <v>2518</v>
      </c>
    </row>
    <row r="2805" customFormat="false" ht="15" hidden="false" customHeight="false" outlineLevel="0" collapsed="false">
      <c r="A2805" s="13" t="s">
        <v>628</v>
      </c>
      <c r="B2805" s="13" t="s">
        <v>627</v>
      </c>
      <c r="C2805" s="13" t="s">
        <v>2261</v>
      </c>
      <c r="D2805" s="13" t="s">
        <v>2270</v>
      </c>
      <c r="E2805" s="13" t="s">
        <v>2522</v>
      </c>
      <c r="F2805" s="13" t="s">
        <v>2539</v>
      </c>
      <c r="G2805" s="61" t="n">
        <v>-49621693878</v>
      </c>
      <c r="H2805" s="13" t="s">
        <v>2255</v>
      </c>
      <c r="I2805" s="13" t="s">
        <v>2517</v>
      </c>
      <c r="J2805" s="13" t="n">
        <v>6</v>
      </c>
      <c r="K2805" s="13" t="s">
        <v>2478</v>
      </c>
      <c r="L2805" s="13" t="s">
        <v>2263</v>
      </c>
      <c r="M2805" s="13" t="s">
        <v>2518</v>
      </c>
    </row>
    <row r="2806" customFormat="false" ht="15" hidden="false" customHeight="false" outlineLevel="0" collapsed="false">
      <c r="A2806" s="13" t="s">
        <v>628</v>
      </c>
      <c r="B2806" s="13" t="s">
        <v>627</v>
      </c>
      <c r="C2806" s="13" t="s">
        <v>2261</v>
      </c>
      <c r="D2806" s="13" t="s">
        <v>2270</v>
      </c>
      <c r="E2806" s="13" t="s">
        <v>2523</v>
      </c>
      <c r="F2806" s="13" t="s">
        <v>2539</v>
      </c>
      <c r="G2806" s="61" t="n">
        <v>0</v>
      </c>
      <c r="H2806" s="13" t="s">
        <v>2255</v>
      </c>
      <c r="I2806" s="13" t="s">
        <v>2517</v>
      </c>
      <c r="J2806" s="13" t="n">
        <v>6</v>
      </c>
      <c r="K2806" s="13" t="s">
        <v>2478</v>
      </c>
      <c r="L2806" s="13" t="s">
        <v>2263</v>
      </c>
      <c r="M2806" s="13" t="s">
        <v>2518</v>
      </c>
    </row>
    <row r="2807" customFormat="false" ht="15" hidden="false" customHeight="false" outlineLevel="0" collapsed="false">
      <c r="A2807" s="13" t="s">
        <v>628</v>
      </c>
      <c r="B2807" s="13" t="s">
        <v>627</v>
      </c>
      <c r="C2807" s="13" t="s">
        <v>2261</v>
      </c>
      <c r="D2807" s="13" t="s">
        <v>2270</v>
      </c>
      <c r="E2807" s="13" t="s">
        <v>2524</v>
      </c>
      <c r="F2807" s="13" t="s">
        <v>2539</v>
      </c>
      <c r="G2807" s="61" t="n">
        <v>-39132693248</v>
      </c>
      <c r="H2807" s="13" t="s">
        <v>2255</v>
      </c>
      <c r="I2807" s="13" t="s">
        <v>2517</v>
      </c>
      <c r="J2807" s="13" t="n">
        <v>6</v>
      </c>
      <c r="K2807" s="13" t="s">
        <v>2478</v>
      </c>
      <c r="L2807" s="13" t="s">
        <v>2263</v>
      </c>
      <c r="M2807" s="13" t="s">
        <v>2518</v>
      </c>
    </row>
    <row r="2808" customFormat="false" ht="15" hidden="false" customHeight="false" outlineLevel="0" collapsed="false">
      <c r="A2808" s="13" t="s">
        <v>628</v>
      </c>
      <c r="B2808" s="13" t="s">
        <v>627</v>
      </c>
      <c r="C2808" s="13" t="s">
        <v>2261</v>
      </c>
      <c r="D2808" s="13" t="s">
        <v>2270</v>
      </c>
      <c r="E2808" s="13" t="s">
        <v>2515</v>
      </c>
      <c r="F2808" s="13" t="s">
        <v>2536</v>
      </c>
      <c r="G2808" s="61" t="n">
        <v>96598473683</v>
      </c>
      <c r="H2808" s="13" t="s">
        <v>2255</v>
      </c>
      <c r="I2808" s="13" t="s">
        <v>2517</v>
      </c>
      <c r="J2808" s="13" t="n">
        <v>6</v>
      </c>
      <c r="K2808" s="13" t="s">
        <v>2478</v>
      </c>
      <c r="L2808" s="13" t="s">
        <v>2263</v>
      </c>
      <c r="M2808" s="13" t="s">
        <v>2518</v>
      </c>
    </row>
    <row r="2809" customFormat="false" ht="15" hidden="false" customHeight="false" outlineLevel="0" collapsed="false">
      <c r="A2809" s="13" t="s">
        <v>628</v>
      </c>
      <c r="B2809" s="13" t="s">
        <v>627</v>
      </c>
      <c r="C2809" s="13" t="s">
        <v>2261</v>
      </c>
      <c r="D2809" s="13" t="s">
        <v>2270</v>
      </c>
      <c r="E2809" s="13" t="s">
        <v>2519</v>
      </c>
      <c r="F2809" s="13" t="s">
        <v>2536</v>
      </c>
      <c r="G2809" s="61" t="n">
        <v>0</v>
      </c>
      <c r="H2809" s="13" t="s">
        <v>2255</v>
      </c>
      <c r="I2809" s="13" t="s">
        <v>2517</v>
      </c>
      <c r="J2809" s="13" t="n">
        <v>6</v>
      </c>
      <c r="K2809" s="13" t="s">
        <v>2478</v>
      </c>
      <c r="L2809" s="13" t="s">
        <v>2263</v>
      </c>
      <c r="M2809" s="13" t="s">
        <v>2518</v>
      </c>
    </row>
    <row r="2810" customFormat="false" ht="15" hidden="false" customHeight="false" outlineLevel="0" collapsed="false">
      <c r="A2810" s="13" t="s">
        <v>628</v>
      </c>
      <c r="B2810" s="13" t="s">
        <v>627</v>
      </c>
      <c r="C2810" s="13" t="s">
        <v>2261</v>
      </c>
      <c r="D2810" s="13" t="s">
        <v>2270</v>
      </c>
      <c r="E2810" s="13" t="s">
        <v>2520</v>
      </c>
      <c r="F2810" s="13" t="s">
        <v>2536</v>
      </c>
      <c r="G2810" s="61" t="n">
        <v>0</v>
      </c>
      <c r="H2810" s="13" t="s">
        <v>2255</v>
      </c>
      <c r="I2810" s="13" t="s">
        <v>2517</v>
      </c>
      <c r="J2810" s="13" t="n">
        <v>6</v>
      </c>
      <c r="K2810" s="13" t="s">
        <v>2478</v>
      </c>
      <c r="L2810" s="13" t="s">
        <v>2263</v>
      </c>
      <c r="M2810" s="13" t="s">
        <v>2518</v>
      </c>
    </row>
    <row r="2811" customFormat="false" ht="15" hidden="false" customHeight="false" outlineLevel="0" collapsed="false">
      <c r="A2811" s="13" t="s">
        <v>628</v>
      </c>
      <c r="B2811" s="13" t="s">
        <v>627</v>
      </c>
      <c r="C2811" s="13" t="s">
        <v>2261</v>
      </c>
      <c r="D2811" s="13" t="s">
        <v>2270</v>
      </c>
      <c r="E2811" s="13" t="s">
        <v>2521</v>
      </c>
      <c r="F2811" s="13" t="s">
        <v>2536</v>
      </c>
      <c r="G2811" s="61" t="n">
        <v>7446955455</v>
      </c>
      <c r="H2811" s="13" t="s">
        <v>2255</v>
      </c>
      <c r="I2811" s="13" t="s">
        <v>2517</v>
      </c>
      <c r="J2811" s="13" t="n">
        <v>6</v>
      </c>
      <c r="K2811" s="13" t="s">
        <v>2478</v>
      </c>
      <c r="L2811" s="13" t="s">
        <v>2263</v>
      </c>
      <c r="M2811" s="13" t="s">
        <v>2518</v>
      </c>
    </row>
    <row r="2812" customFormat="false" ht="15" hidden="false" customHeight="false" outlineLevel="0" collapsed="false">
      <c r="A2812" s="13" t="s">
        <v>628</v>
      </c>
      <c r="B2812" s="13" t="s">
        <v>627</v>
      </c>
      <c r="C2812" s="13" t="s">
        <v>2261</v>
      </c>
      <c r="D2812" s="13" t="s">
        <v>2270</v>
      </c>
      <c r="E2812" s="13" t="s">
        <v>2522</v>
      </c>
      <c r="F2812" s="13" t="s">
        <v>2536</v>
      </c>
      <c r="G2812" s="61" t="n">
        <v>-34036009009</v>
      </c>
      <c r="H2812" s="13" t="s">
        <v>2255</v>
      </c>
      <c r="I2812" s="13" t="s">
        <v>2517</v>
      </c>
      <c r="J2812" s="13" t="n">
        <v>6</v>
      </c>
      <c r="K2812" s="13" t="s">
        <v>2478</v>
      </c>
      <c r="L2812" s="13" t="s">
        <v>2263</v>
      </c>
      <c r="M2812" s="13" t="s">
        <v>2518</v>
      </c>
    </row>
    <row r="2813" customFormat="false" ht="15" hidden="false" customHeight="false" outlineLevel="0" collapsed="false">
      <c r="A2813" s="13" t="s">
        <v>628</v>
      </c>
      <c r="B2813" s="13" t="s">
        <v>627</v>
      </c>
      <c r="C2813" s="13" t="s">
        <v>2261</v>
      </c>
      <c r="D2813" s="13" t="s">
        <v>2270</v>
      </c>
      <c r="E2813" s="13" t="s">
        <v>2523</v>
      </c>
      <c r="F2813" s="13" t="s">
        <v>2536</v>
      </c>
      <c r="G2813" s="61" t="n">
        <v>755549807</v>
      </c>
      <c r="H2813" s="13" t="s">
        <v>2255</v>
      </c>
      <c r="I2813" s="13" t="s">
        <v>2517</v>
      </c>
      <c r="J2813" s="13" t="n">
        <v>6</v>
      </c>
      <c r="K2813" s="13" t="s">
        <v>2478</v>
      </c>
      <c r="L2813" s="13" t="s">
        <v>2263</v>
      </c>
      <c r="M2813" s="13" t="s">
        <v>2518</v>
      </c>
    </row>
    <row r="2814" customFormat="false" ht="15" hidden="false" customHeight="false" outlineLevel="0" collapsed="false">
      <c r="A2814" s="13" t="s">
        <v>628</v>
      </c>
      <c r="B2814" s="13" t="s">
        <v>627</v>
      </c>
      <c r="C2814" s="13" t="s">
        <v>2261</v>
      </c>
      <c r="D2814" s="13" t="s">
        <v>2270</v>
      </c>
      <c r="E2814" s="13" t="s">
        <v>2524</v>
      </c>
      <c r="F2814" s="13" t="s">
        <v>2536</v>
      </c>
      <c r="G2814" s="61" t="n">
        <v>70764969936</v>
      </c>
      <c r="H2814" s="13" t="s">
        <v>2255</v>
      </c>
      <c r="I2814" s="13" t="s">
        <v>2517</v>
      </c>
      <c r="J2814" s="13" t="n">
        <v>6</v>
      </c>
      <c r="K2814" s="13" t="s">
        <v>2478</v>
      </c>
      <c r="L2814" s="13" t="s">
        <v>2263</v>
      </c>
      <c r="M2814" s="13" t="s">
        <v>2518</v>
      </c>
    </row>
    <row r="2815" customFormat="false" ht="15" hidden="false" customHeight="false" outlineLevel="0" collapsed="false">
      <c r="A2815" s="13" t="s">
        <v>628</v>
      </c>
      <c r="B2815" s="13" t="s">
        <v>627</v>
      </c>
      <c r="C2815" s="13" t="s">
        <v>2261</v>
      </c>
      <c r="D2815" s="13" t="s">
        <v>2270</v>
      </c>
      <c r="E2815" s="13" t="s">
        <v>2515</v>
      </c>
      <c r="F2815" s="13" t="s">
        <v>2290</v>
      </c>
      <c r="G2815" s="61" t="n">
        <v>245476312053</v>
      </c>
      <c r="H2815" s="13" t="s">
        <v>2255</v>
      </c>
      <c r="I2815" s="13" t="s">
        <v>2517</v>
      </c>
      <c r="J2815" s="13" t="n">
        <v>6</v>
      </c>
      <c r="K2815" s="13" t="s">
        <v>2478</v>
      </c>
      <c r="L2815" s="13" t="s">
        <v>2263</v>
      </c>
      <c r="M2815" s="13" t="s">
        <v>2518</v>
      </c>
    </row>
    <row r="2816" customFormat="false" ht="15" hidden="false" customHeight="false" outlineLevel="0" collapsed="false">
      <c r="A2816" s="13" t="s">
        <v>628</v>
      </c>
      <c r="B2816" s="13" t="s">
        <v>627</v>
      </c>
      <c r="C2816" s="13" t="s">
        <v>2261</v>
      </c>
      <c r="D2816" s="13" t="s">
        <v>2270</v>
      </c>
      <c r="E2816" s="13" t="s">
        <v>2519</v>
      </c>
      <c r="F2816" s="13" t="s">
        <v>2290</v>
      </c>
      <c r="G2816" s="61" t="n">
        <v>9459052002</v>
      </c>
      <c r="H2816" s="13" t="s">
        <v>2255</v>
      </c>
      <c r="I2816" s="13" t="s">
        <v>2517</v>
      </c>
      <c r="J2816" s="13" t="n">
        <v>6</v>
      </c>
      <c r="K2816" s="13" t="s">
        <v>2478</v>
      </c>
      <c r="L2816" s="13" t="s">
        <v>2263</v>
      </c>
      <c r="M2816" s="13" t="s">
        <v>2518</v>
      </c>
    </row>
    <row r="2817" customFormat="false" ht="15" hidden="false" customHeight="false" outlineLevel="0" collapsed="false">
      <c r="A2817" s="13" t="s">
        <v>628</v>
      </c>
      <c r="B2817" s="13" t="s">
        <v>627</v>
      </c>
      <c r="C2817" s="13" t="s">
        <v>2261</v>
      </c>
      <c r="D2817" s="13" t="s">
        <v>2270</v>
      </c>
      <c r="E2817" s="13" t="s">
        <v>2520</v>
      </c>
      <c r="F2817" s="13" t="s">
        <v>2290</v>
      </c>
      <c r="G2817" s="61" t="n">
        <v>5816400369</v>
      </c>
      <c r="H2817" s="13" t="s">
        <v>2255</v>
      </c>
      <c r="I2817" s="13" t="s">
        <v>2517</v>
      </c>
      <c r="J2817" s="13" t="n">
        <v>6</v>
      </c>
      <c r="K2817" s="13" t="s">
        <v>2478</v>
      </c>
      <c r="L2817" s="13" t="s">
        <v>2263</v>
      </c>
      <c r="M2817" s="13" t="s">
        <v>2518</v>
      </c>
    </row>
    <row r="2818" customFormat="false" ht="15" hidden="false" customHeight="false" outlineLevel="0" collapsed="false">
      <c r="A2818" s="13" t="s">
        <v>628</v>
      </c>
      <c r="B2818" s="13" t="s">
        <v>627</v>
      </c>
      <c r="C2818" s="13" t="s">
        <v>2261</v>
      </c>
      <c r="D2818" s="13" t="s">
        <v>2270</v>
      </c>
      <c r="E2818" s="13" t="s">
        <v>2521</v>
      </c>
      <c r="F2818" s="13" t="s">
        <v>2290</v>
      </c>
      <c r="G2818" s="61" t="n">
        <v>45704128489</v>
      </c>
      <c r="H2818" s="13" t="s">
        <v>2255</v>
      </c>
      <c r="I2818" s="13" t="s">
        <v>2517</v>
      </c>
      <c r="J2818" s="13" t="n">
        <v>6</v>
      </c>
      <c r="K2818" s="13" t="s">
        <v>2478</v>
      </c>
      <c r="L2818" s="13" t="s">
        <v>2263</v>
      </c>
      <c r="M2818" s="13" t="s">
        <v>2518</v>
      </c>
    </row>
    <row r="2819" customFormat="false" ht="15" hidden="false" customHeight="false" outlineLevel="0" collapsed="false">
      <c r="A2819" s="13" t="s">
        <v>628</v>
      </c>
      <c r="B2819" s="13" t="s">
        <v>627</v>
      </c>
      <c r="C2819" s="13" t="s">
        <v>2261</v>
      </c>
      <c r="D2819" s="13" t="s">
        <v>2270</v>
      </c>
      <c r="E2819" s="13" t="s">
        <v>2522</v>
      </c>
      <c r="F2819" s="13" t="s">
        <v>2290</v>
      </c>
      <c r="G2819" s="61" t="n">
        <v>-92597283889</v>
      </c>
      <c r="H2819" s="13" t="s">
        <v>2255</v>
      </c>
      <c r="I2819" s="13" t="s">
        <v>2517</v>
      </c>
      <c r="J2819" s="13" t="n">
        <v>6</v>
      </c>
      <c r="K2819" s="13" t="s">
        <v>2478</v>
      </c>
      <c r="L2819" s="13" t="s">
        <v>2263</v>
      </c>
      <c r="M2819" s="13" t="s">
        <v>2518</v>
      </c>
    </row>
    <row r="2820" customFormat="false" ht="15" hidden="false" customHeight="false" outlineLevel="0" collapsed="false">
      <c r="A2820" s="13" t="s">
        <v>628</v>
      </c>
      <c r="B2820" s="13" t="s">
        <v>627</v>
      </c>
      <c r="C2820" s="13" t="s">
        <v>2261</v>
      </c>
      <c r="D2820" s="13" t="s">
        <v>2270</v>
      </c>
      <c r="E2820" s="13" t="s">
        <v>2523</v>
      </c>
      <c r="F2820" s="13" t="s">
        <v>2290</v>
      </c>
      <c r="G2820" s="61" t="n">
        <v>-1776961235</v>
      </c>
      <c r="H2820" s="13" t="s">
        <v>2255</v>
      </c>
      <c r="I2820" s="13" t="s">
        <v>2517</v>
      </c>
      <c r="J2820" s="13" t="n">
        <v>6</v>
      </c>
      <c r="K2820" s="13" t="s">
        <v>2478</v>
      </c>
      <c r="L2820" s="13" t="s">
        <v>2263</v>
      </c>
      <c r="M2820" s="13" t="s">
        <v>2518</v>
      </c>
    </row>
    <row r="2821" customFormat="false" ht="15" hidden="false" customHeight="false" outlineLevel="0" collapsed="false">
      <c r="A2821" s="13" t="s">
        <v>628</v>
      </c>
      <c r="B2821" s="13" t="s">
        <v>627</v>
      </c>
      <c r="C2821" s="13" t="s">
        <v>2261</v>
      </c>
      <c r="D2821" s="13" t="s">
        <v>2270</v>
      </c>
      <c r="E2821" s="13" t="s">
        <v>2524</v>
      </c>
      <c r="F2821" s="13" t="s">
        <v>2290</v>
      </c>
      <c r="G2821" s="61" t="n">
        <v>212081647789</v>
      </c>
      <c r="H2821" s="13" t="s">
        <v>2255</v>
      </c>
      <c r="I2821" s="13" t="s">
        <v>2517</v>
      </c>
      <c r="J2821" s="13" t="n">
        <v>6</v>
      </c>
      <c r="K2821" s="13" t="s">
        <v>2478</v>
      </c>
      <c r="L2821" s="13" t="s">
        <v>2263</v>
      </c>
      <c r="M2821" s="13" t="s">
        <v>2518</v>
      </c>
    </row>
    <row r="2822" customFormat="false" ht="15" hidden="false" customHeight="false" outlineLevel="0" collapsed="false">
      <c r="A2822" s="13" t="s">
        <v>628</v>
      </c>
      <c r="B2822" s="13" t="s">
        <v>627</v>
      </c>
      <c r="C2822" s="13" t="s">
        <v>2264</v>
      </c>
      <c r="D2822" s="13" t="s">
        <v>2270</v>
      </c>
      <c r="E2822" s="13" t="s">
        <v>2515</v>
      </c>
      <c r="F2822" s="13" t="s">
        <v>2516</v>
      </c>
      <c r="G2822" s="61" t="n">
        <v>74250629269</v>
      </c>
      <c r="H2822" s="13" t="s">
        <v>2255</v>
      </c>
      <c r="I2822" s="13" t="s">
        <v>2517</v>
      </c>
      <c r="J2822" s="13" t="n">
        <v>6</v>
      </c>
      <c r="K2822" s="13" t="s">
        <v>2478</v>
      </c>
      <c r="L2822" s="13" t="s">
        <v>2265</v>
      </c>
      <c r="M2822" s="13" t="s">
        <v>2518</v>
      </c>
    </row>
    <row r="2823" customFormat="false" ht="15" hidden="false" customHeight="false" outlineLevel="0" collapsed="false">
      <c r="A2823" s="13" t="s">
        <v>628</v>
      </c>
      <c r="B2823" s="13" t="s">
        <v>627</v>
      </c>
      <c r="C2823" s="13" t="s">
        <v>2264</v>
      </c>
      <c r="D2823" s="13" t="s">
        <v>2270</v>
      </c>
      <c r="E2823" s="13" t="s">
        <v>2519</v>
      </c>
      <c r="F2823" s="13" t="s">
        <v>2516</v>
      </c>
      <c r="G2823" s="61" t="n">
        <v>0</v>
      </c>
      <c r="H2823" s="13" t="s">
        <v>2255</v>
      </c>
      <c r="I2823" s="13" t="s">
        <v>2517</v>
      </c>
      <c r="J2823" s="13" t="n">
        <v>6</v>
      </c>
      <c r="K2823" s="13" t="s">
        <v>2478</v>
      </c>
      <c r="L2823" s="13" t="s">
        <v>2265</v>
      </c>
      <c r="M2823" s="13" t="s">
        <v>2518</v>
      </c>
    </row>
    <row r="2824" customFormat="false" ht="15" hidden="false" customHeight="false" outlineLevel="0" collapsed="false">
      <c r="A2824" s="13" t="s">
        <v>628</v>
      </c>
      <c r="B2824" s="13" t="s">
        <v>627</v>
      </c>
      <c r="C2824" s="13" t="s">
        <v>2264</v>
      </c>
      <c r="D2824" s="13" t="s">
        <v>2270</v>
      </c>
      <c r="E2824" s="13" t="s">
        <v>2520</v>
      </c>
      <c r="F2824" s="13" t="s">
        <v>2516</v>
      </c>
      <c r="G2824" s="61" t="n">
        <v>0</v>
      </c>
      <c r="H2824" s="13" t="s">
        <v>2255</v>
      </c>
      <c r="I2824" s="13" t="s">
        <v>2517</v>
      </c>
      <c r="J2824" s="13" t="n">
        <v>6</v>
      </c>
      <c r="K2824" s="13" t="s">
        <v>2478</v>
      </c>
      <c r="L2824" s="13" t="s">
        <v>2265</v>
      </c>
      <c r="M2824" s="13" t="s">
        <v>2518</v>
      </c>
    </row>
    <row r="2825" customFormat="false" ht="15" hidden="false" customHeight="false" outlineLevel="0" collapsed="false">
      <c r="A2825" s="13" t="s">
        <v>628</v>
      </c>
      <c r="B2825" s="13" t="s">
        <v>627</v>
      </c>
      <c r="C2825" s="13" t="s">
        <v>2264</v>
      </c>
      <c r="D2825" s="13" t="s">
        <v>2270</v>
      </c>
      <c r="E2825" s="13" t="s">
        <v>2521</v>
      </c>
      <c r="F2825" s="13" t="s">
        <v>2516</v>
      </c>
      <c r="G2825" s="61" t="n">
        <v>10331306583</v>
      </c>
      <c r="H2825" s="13" t="s">
        <v>2255</v>
      </c>
      <c r="I2825" s="13" t="s">
        <v>2517</v>
      </c>
      <c r="J2825" s="13" t="n">
        <v>6</v>
      </c>
      <c r="K2825" s="13" t="s">
        <v>2478</v>
      </c>
      <c r="L2825" s="13" t="s">
        <v>2265</v>
      </c>
      <c r="M2825" s="13" t="s">
        <v>2518</v>
      </c>
    </row>
    <row r="2826" customFormat="false" ht="15" hidden="false" customHeight="false" outlineLevel="0" collapsed="false">
      <c r="A2826" s="13" t="s">
        <v>628</v>
      </c>
      <c r="B2826" s="13" t="s">
        <v>627</v>
      </c>
      <c r="C2826" s="13" t="s">
        <v>2264</v>
      </c>
      <c r="D2826" s="13" t="s">
        <v>2270</v>
      </c>
      <c r="E2826" s="13" t="s">
        <v>2522</v>
      </c>
      <c r="F2826" s="13" t="s">
        <v>2516</v>
      </c>
      <c r="G2826" s="61" t="n">
        <v>-7294281630</v>
      </c>
      <c r="H2826" s="13" t="s">
        <v>2255</v>
      </c>
      <c r="I2826" s="13" t="s">
        <v>2517</v>
      </c>
      <c r="J2826" s="13" t="n">
        <v>6</v>
      </c>
      <c r="K2826" s="13" t="s">
        <v>2478</v>
      </c>
      <c r="L2826" s="13" t="s">
        <v>2265</v>
      </c>
      <c r="M2826" s="13" t="s">
        <v>2518</v>
      </c>
    </row>
    <row r="2827" customFormat="false" ht="15" hidden="false" customHeight="false" outlineLevel="0" collapsed="false">
      <c r="A2827" s="13" t="s">
        <v>628</v>
      </c>
      <c r="B2827" s="13" t="s">
        <v>627</v>
      </c>
      <c r="C2827" s="13" t="s">
        <v>2264</v>
      </c>
      <c r="D2827" s="13" t="s">
        <v>2270</v>
      </c>
      <c r="E2827" s="13" t="s">
        <v>2523</v>
      </c>
      <c r="F2827" s="13" t="s">
        <v>2516</v>
      </c>
      <c r="G2827" s="61" t="n">
        <v>-220848614</v>
      </c>
      <c r="H2827" s="13" t="s">
        <v>2255</v>
      </c>
      <c r="I2827" s="13" t="s">
        <v>2517</v>
      </c>
      <c r="J2827" s="13" t="n">
        <v>6</v>
      </c>
      <c r="K2827" s="13" t="s">
        <v>2478</v>
      </c>
      <c r="L2827" s="13" t="s">
        <v>2265</v>
      </c>
      <c r="M2827" s="13" t="s">
        <v>2518</v>
      </c>
    </row>
    <row r="2828" customFormat="false" ht="15" hidden="false" customHeight="false" outlineLevel="0" collapsed="false">
      <c r="A2828" s="13" t="s">
        <v>628</v>
      </c>
      <c r="B2828" s="13" t="s">
        <v>627</v>
      </c>
      <c r="C2828" s="13" t="s">
        <v>2264</v>
      </c>
      <c r="D2828" s="13" t="s">
        <v>2270</v>
      </c>
      <c r="E2828" s="13" t="s">
        <v>2524</v>
      </c>
      <c r="F2828" s="13" t="s">
        <v>2516</v>
      </c>
      <c r="G2828" s="61" t="n">
        <v>77066805608</v>
      </c>
      <c r="H2828" s="13" t="s">
        <v>2255</v>
      </c>
      <c r="I2828" s="13" t="s">
        <v>2517</v>
      </c>
      <c r="J2828" s="13" t="n">
        <v>6</v>
      </c>
      <c r="K2828" s="13" t="s">
        <v>2478</v>
      </c>
      <c r="L2828" s="13" t="s">
        <v>2265</v>
      </c>
      <c r="M2828" s="13" t="s">
        <v>2518</v>
      </c>
    </row>
    <row r="2829" customFormat="false" ht="15" hidden="false" customHeight="false" outlineLevel="0" collapsed="false">
      <c r="A2829" s="13" t="s">
        <v>628</v>
      </c>
      <c r="B2829" s="13" t="s">
        <v>627</v>
      </c>
      <c r="C2829" s="13" t="s">
        <v>2264</v>
      </c>
      <c r="D2829" s="13" t="s">
        <v>2270</v>
      </c>
      <c r="E2829" s="13" t="s">
        <v>2515</v>
      </c>
      <c r="F2829" s="13" t="s">
        <v>2525</v>
      </c>
      <c r="G2829" s="61" t="n">
        <v>86021165325</v>
      </c>
      <c r="H2829" s="13" t="s">
        <v>2255</v>
      </c>
      <c r="I2829" s="13" t="s">
        <v>2517</v>
      </c>
      <c r="J2829" s="13" t="n">
        <v>6</v>
      </c>
      <c r="K2829" s="13" t="s">
        <v>2478</v>
      </c>
      <c r="L2829" s="13" t="s">
        <v>2265</v>
      </c>
      <c r="M2829" s="13" t="s">
        <v>2518</v>
      </c>
    </row>
    <row r="2830" customFormat="false" ht="15" hidden="false" customHeight="false" outlineLevel="0" collapsed="false">
      <c r="A2830" s="13" t="s">
        <v>628</v>
      </c>
      <c r="B2830" s="13" t="s">
        <v>627</v>
      </c>
      <c r="C2830" s="13" t="s">
        <v>2264</v>
      </c>
      <c r="D2830" s="13" t="s">
        <v>2270</v>
      </c>
      <c r="E2830" s="13" t="s">
        <v>2519</v>
      </c>
      <c r="F2830" s="13" t="s">
        <v>2525</v>
      </c>
      <c r="G2830" s="61" t="n">
        <v>0</v>
      </c>
      <c r="H2830" s="13" t="s">
        <v>2255</v>
      </c>
      <c r="I2830" s="13" t="s">
        <v>2517</v>
      </c>
      <c r="J2830" s="13" t="n">
        <v>6</v>
      </c>
      <c r="K2830" s="13" t="s">
        <v>2478</v>
      </c>
      <c r="L2830" s="13" t="s">
        <v>2265</v>
      </c>
      <c r="M2830" s="13" t="s">
        <v>2518</v>
      </c>
    </row>
    <row r="2831" customFormat="false" ht="15" hidden="false" customHeight="false" outlineLevel="0" collapsed="false">
      <c r="A2831" s="13" t="s">
        <v>628</v>
      </c>
      <c r="B2831" s="13" t="s">
        <v>627</v>
      </c>
      <c r="C2831" s="13" t="s">
        <v>2264</v>
      </c>
      <c r="D2831" s="13" t="s">
        <v>2270</v>
      </c>
      <c r="E2831" s="13" t="s">
        <v>2520</v>
      </c>
      <c r="F2831" s="13" t="s">
        <v>2525</v>
      </c>
      <c r="G2831" s="61" t="n">
        <v>0</v>
      </c>
      <c r="H2831" s="13" t="s">
        <v>2255</v>
      </c>
      <c r="I2831" s="13" t="s">
        <v>2517</v>
      </c>
      <c r="J2831" s="13" t="n">
        <v>6</v>
      </c>
      <c r="K2831" s="13" t="s">
        <v>2478</v>
      </c>
      <c r="L2831" s="13" t="s">
        <v>2265</v>
      </c>
      <c r="M2831" s="13" t="s">
        <v>2518</v>
      </c>
    </row>
    <row r="2832" customFormat="false" ht="15" hidden="false" customHeight="false" outlineLevel="0" collapsed="false">
      <c r="A2832" s="13" t="s">
        <v>628</v>
      </c>
      <c r="B2832" s="13" t="s">
        <v>627</v>
      </c>
      <c r="C2832" s="13" t="s">
        <v>2264</v>
      </c>
      <c r="D2832" s="13" t="s">
        <v>2270</v>
      </c>
      <c r="E2832" s="13" t="s">
        <v>2521</v>
      </c>
      <c r="F2832" s="13" t="s">
        <v>2525</v>
      </c>
      <c r="G2832" s="61" t="n">
        <v>6159578102</v>
      </c>
      <c r="H2832" s="13" t="s">
        <v>2255</v>
      </c>
      <c r="I2832" s="13" t="s">
        <v>2517</v>
      </c>
      <c r="J2832" s="13" t="n">
        <v>6</v>
      </c>
      <c r="K2832" s="13" t="s">
        <v>2478</v>
      </c>
      <c r="L2832" s="13" t="s">
        <v>2265</v>
      </c>
      <c r="M2832" s="13" t="s">
        <v>2518</v>
      </c>
    </row>
    <row r="2833" customFormat="false" ht="15" hidden="false" customHeight="false" outlineLevel="0" collapsed="false">
      <c r="A2833" s="13" t="s">
        <v>628</v>
      </c>
      <c r="B2833" s="13" t="s">
        <v>627</v>
      </c>
      <c r="C2833" s="13" t="s">
        <v>2264</v>
      </c>
      <c r="D2833" s="13" t="s">
        <v>2270</v>
      </c>
      <c r="E2833" s="13" t="s">
        <v>2522</v>
      </c>
      <c r="F2833" s="13" t="s">
        <v>2525</v>
      </c>
      <c r="G2833" s="61" t="n">
        <v>-3000000000</v>
      </c>
      <c r="H2833" s="13" t="s">
        <v>2255</v>
      </c>
      <c r="I2833" s="13" t="s">
        <v>2517</v>
      </c>
      <c r="J2833" s="13" t="n">
        <v>6</v>
      </c>
      <c r="K2833" s="13" t="s">
        <v>2478</v>
      </c>
      <c r="L2833" s="13" t="s">
        <v>2265</v>
      </c>
      <c r="M2833" s="13" t="s">
        <v>2518</v>
      </c>
    </row>
    <row r="2834" customFormat="false" ht="15" hidden="false" customHeight="false" outlineLevel="0" collapsed="false">
      <c r="A2834" s="13" t="s">
        <v>628</v>
      </c>
      <c r="B2834" s="13" t="s">
        <v>627</v>
      </c>
      <c r="C2834" s="13" t="s">
        <v>2264</v>
      </c>
      <c r="D2834" s="13" t="s">
        <v>2270</v>
      </c>
      <c r="E2834" s="13" t="s">
        <v>2523</v>
      </c>
      <c r="F2834" s="13" t="s">
        <v>2525</v>
      </c>
      <c r="G2834" s="61" t="n">
        <v>676863530</v>
      </c>
      <c r="H2834" s="13" t="s">
        <v>2255</v>
      </c>
      <c r="I2834" s="13" t="s">
        <v>2517</v>
      </c>
      <c r="J2834" s="13" t="n">
        <v>6</v>
      </c>
      <c r="K2834" s="13" t="s">
        <v>2478</v>
      </c>
      <c r="L2834" s="13" t="s">
        <v>2265</v>
      </c>
      <c r="M2834" s="13" t="s">
        <v>2518</v>
      </c>
    </row>
    <row r="2835" customFormat="false" ht="15" hidden="false" customHeight="false" outlineLevel="0" collapsed="false">
      <c r="A2835" s="13" t="s">
        <v>628</v>
      </c>
      <c r="B2835" s="13" t="s">
        <v>627</v>
      </c>
      <c r="C2835" s="13" t="s">
        <v>2264</v>
      </c>
      <c r="D2835" s="13" t="s">
        <v>2270</v>
      </c>
      <c r="E2835" s="13" t="s">
        <v>2524</v>
      </c>
      <c r="F2835" s="13" t="s">
        <v>2525</v>
      </c>
      <c r="G2835" s="61" t="n">
        <v>89857606957</v>
      </c>
      <c r="H2835" s="13" t="s">
        <v>2255</v>
      </c>
      <c r="I2835" s="13" t="s">
        <v>2517</v>
      </c>
      <c r="J2835" s="13" t="n">
        <v>6</v>
      </c>
      <c r="K2835" s="13" t="s">
        <v>2478</v>
      </c>
      <c r="L2835" s="13" t="s">
        <v>2265</v>
      </c>
      <c r="M2835" s="13" t="s">
        <v>2518</v>
      </c>
    </row>
    <row r="2836" customFormat="false" ht="15" hidden="false" customHeight="false" outlineLevel="0" collapsed="false">
      <c r="A2836" s="13" t="s">
        <v>628</v>
      </c>
      <c r="B2836" s="13" t="s">
        <v>627</v>
      </c>
      <c r="C2836" s="13" t="s">
        <v>2264</v>
      </c>
      <c r="D2836" s="13" t="s">
        <v>2270</v>
      </c>
      <c r="E2836" s="13" t="s">
        <v>2515</v>
      </c>
      <c r="F2836" s="13" t="s">
        <v>2526</v>
      </c>
      <c r="G2836" s="61" t="n">
        <v>4529221245</v>
      </c>
      <c r="H2836" s="13" t="s">
        <v>2255</v>
      </c>
      <c r="I2836" s="13" t="s">
        <v>2517</v>
      </c>
      <c r="J2836" s="13" t="n">
        <v>6</v>
      </c>
      <c r="K2836" s="13" t="s">
        <v>2478</v>
      </c>
      <c r="L2836" s="13" t="s">
        <v>2265</v>
      </c>
      <c r="M2836" s="13" t="s">
        <v>2518</v>
      </c>
    </row>
    <row r="2837" customFormat="false" ht="15" hidden="false" customHeight="false" outlineLevel="0" collapsed="false">
      <c r="A2837" s="13" t="s">
        <v>628</v>
      </c>
      <c r="B2837" s="13" t="s">
        <v>627</v>
      </c>
      <c r="C2837" s="13" t="s">
        <v>2264</v>
      </c>
      <c r="D2837" s="13" t="s">
        <v>2270</v>
      </c>
      <c r="E2837" s="13" t="s">
        <v>2519</v>
      </c>
      <c r="F2837" s="13" t="s">
        <v>2526</v>
      </c>
      <c r="G2837" s="61" t="n">
        <v>0</v>
      </c>
      <c r="H2837" s="13" t="s">
        <v>2255</v>
      </c>
      <c r="I2837" s="13" t="s">
        <v>2517</v>
      </c>
      <c r="J2837" s="13" t="n">
        <v>6</v>
      </c>
      <c r="K2837" s="13" t="s">
        <v>2478</v>
      </c>
      <c r="L2837" s="13" t="s">
        <v>2265</v>
      </c>
      <c r="M2837" s="13" t="s">
        <v>2518</v>
      </c>
    </row>
    <row r="2838" customFormat="false" ht="15" hidden="false" customHeight="false" outlineLevel="0" collapsed="false">
      <c r="A2838" s="13" t="s">
        <v>628</v>
      </c>
      <c r="B2838" s="13" t="s">
        <v>627</v>
      </c>
      <c r="C2838" s="13" t="s">
        <v>2264</v>
      </c>
      <c r="D2838" s="13" t="s">
        <v>2270</v>
      </c>
      <c r="E2838" s="13" t="s">
        <v>2520</v>
      </c>
      <c r="F2838" s="13" t="s">
        <v>2526</v>
      </c>
      <c r="G2838" s="61" t="n">
        <v>0</v>
      </c>
      <c r="H2838" s="13" t="s">
        <v>2255</v>
      </c>
      <c r="I2838" s="13" t="s">
        <v>2517</v>
      </c>
      <c r="J2838" s="13" t="n">
        <v>6</v>
      </c>
      <c r="K2838" s="13" t="s">
        <v>2478</v>
      </c>
      <c r="L2838" s="13" t="s">
        <v>2265</v>
      </c>
      <c r="M2838" s="13" t="s">
        <v>2518</v>
      </c>
    </row>
    <row r="2839" customFormat="false" ht="15" hidden="false" customHeight="false" outlineLevel="0" collapsed="false">
      <c r="A2839" s="13" t="s">
        <v>628</v>
      </c>
      <c r="B2839" s="13" t="s">
        <v>627</v>
      </c>
      <c r="C2839" s="13" t="s">
        <v>2264</v>
      </c>
      <c r="D2839" s="13" t="s">
        <v>2270</v>
      </c>
      <c r="E2839" s="13" t="s">
        <v>2521</v>
      </c>
      <c r="F2839" s="13" t="s">
        <v>2526</v>
      </c>
      <c r="G2839" s="61" t="n">
        <v>-44948296</v>
      </c>
      <c r="H2839" s="13" t="s">
        <v>2255</v>
      </c>
      <c r="I2839" s="13" t="s">
        <v>2517</v>
      </c>
      <c r="J2839" s="13" t="n">
        <v>6</v>
      </c>
      <c r="K2839" s="13" t="s">
        <v>2478</v>
      </c>
      <c r="L2839" s="13" t="s">
        <v>2265</v>
      </c>
      <c r="M2839" s="13" t="s">
        <v>2518</v>
      </c>
    </row>
    <row r="2840" customFormat="false" ht="15" hidden="false" customHeight="false" outlineLevel="0" collapsed="false">
      <c r="A2840" s="13" t="s">
        <v>628</v>
      </c>
      <c r="B2840" s="13" t="s">
        <v>627</v>
      </c>
      <c r="C2840" s="13" t="s">
        <v>2264</v>
      </c>
      <c r="D2840" s="13" t="s">
        <v>2270</v>
      </c>
      <c r="E2840" s="13" t="s">
        <v>2522</v>
      </c>
      <c r="F2840" s="13" t="s">
        <v>2526</v>
      </c>
      <c r="G2840" s="61" t="n">
        <v>46437662</v>
      </c>
      <c r="H2840" s="13" t="s">
        <v>2255</v>
      </c>
      <c r="I2840" s="13" t="s">
        <v>2517</v>
      </c>
      <c r="J2840" s="13" t="n">
        <v>6</v>
      </c>
      <c r="K2840" s="13" t="s">
        <v>2478</v>
      </c>
      <c r="L2840" s="13" t="s">
        <v>2265</v>
      </c>
      <c r="M2840" s="13" t="s">
        <v>2518</v>
      </c>
    </row>
    <row r="2841" customFormat="false" ht="15" hidden="false" customHeight="false" outlineLevel="0" collapsed="false">
      <c r="A2841" s="13" t="s">
        <v>628</v>
      </c>
      <c r="B2841" s="13" t="s">
        <v>627</v>
      </c>
      <c r="C2841" s="13" t="s">
        <v>2264</v>
      </c>
      <c r="D2841" s="13" t="s">
        <v>2270</v>
      </c>
      <c r="E2841" s="13" t="s">
        <v>2523</v>
      </c>
      <c r="F2841" s="13" t="s">
        <v>2526</v>
      </c>
      <c r="G2841" s="61" t="n">
        <v>-215866140</v>
      </c>
      <c r="H2841" s="13" t="s">
        <v>2255</v>
      </c>
      <c r="I2841" s="13" t="s">
        <v>2517</v>
      </c>
      <c r="J2841" s="13" t="n">
        <v>6</v>
      </c>
      <c r="K2841" s="13" t="s">
        <v>2478</v>
      </c>
      <c r="L2841" s="13" t="s">
        <v>2265</v>
      </c>
      <c r="M2841" s="13" t="s">
        <v>2518</v>
      </c>
    </row>
    <row r="2842" customFormat="false" ht="15" hidden="false" customHeight="false" outlineLevel="0" collapsed="false">
      <c r="A2842" s="13" t="s">
        <v>628</v>
      </c>
      <c r="B2842" s="13" t="s">
        <v>627</v>
      </c>
      <c r="C2842" s="13" t="s">
        <v>2264</v>
      </c>
      <c r="D2842" s="13" t="s">
        <v>2270</v>
      </c>
      <c r="E2842" s="13" t="s">
        <v>2524</v>
      </c>
      <c r="F2842" s="13" t="s">
        <v>2526</v>
      </c>
      <c r="G2842" s="61" t="n">
        <v>4314844471</v>
      </c>
      <c r="H2842" s="13" t="s">
        <v>2255</v>
      </c>
      <c r="I2842" s="13" t="s">
        <v>2517</v>
      </c>
      <c r="J2842" s="13" t="n">
        <v>6</v>
      </c>
      <c r="K2842" s="13" t="s">
        <v>2478</v>
      </c>
      <c r="L2842" s="13" t="s">
        <v>2265</v>
      </c>
      <c r="M2842" s="13" t="s">
        <v>2518</v>
      </c>
    </row>
    <row r="2843" customFormat="false" ht="15" hidden="false" customHeight="false" outlineLevel="0" collapsed="false">
      <c r="A2843" s="13" t="s">
        <v>628</v>
      </c>
      <c r="B2843" s="13" t="s">
        <v>627</v>
      </c>
      <c r="C2843" s="13" t="s">
        <v>2264</v>
      </c>
      <c r="D2843" s="13" t="s">
        <v>2270</v>
      </c>
      <c r="E2843" s="13" t="s">
        <v>2515</v>
      </c>
      <c r="F2843" s="13" t="s">
        <v>2527</v>
      </c>
      <c r="G2843" s="61" t="n">
        <v>10638618874</v>
      </c>
      <c r="H2843" s="13" t="s">
        <v>2255</v>
      </c>
      <c r="I2843" s="13" t="s">
        <v>2517</v>
      </c>
      <c r="J2843" s="13" t="n">
        <v>6</v>
      </c>
      <c r="K2843" s="13" t="s">
        <v>2478</v>
      </c>
      <c r="L2843" s="13" t="s">
        <v>2265</v>
      </c>
      <c r="M2843" s="13" t="s">
        <v>2518</v>
      </c>
    </row>
    <row r="2844" customFormat="false" ht="15" hidden="false" customHeight="false" outlineLevel="0" collapsed="false">
      <c r="A2844" s="13" t="s">
        <v>628</v>
      </c>
      <c r="B2844" s="13" t="s">
        <v>627</v>
      </c>
      <c r="C2844" s="13" t="s">
        <v>2264</v>
      </c>
      <c r="D2844" s="13" t="s">
        <v>2270</v>
      </c>
      <c r="E2844" s="13" t="s">
        <v>2519</v>
      </c>
      <c r="F2844" s="13" t="s">
        <v>2527</v>
      </c>
      <c r="G2844" s="61" t="n">
        <v>0</v>
      </c>
      <c r="H2844" s="13" t="s">
        <v>2255</v>
      </c>
      <c r="I2844" s="13" t="s">
        <v>2517</v>
      </c>
      <c r="J2844" s="13" t="n">
        <v>6</v>
      </c>
      <c r="K2844" s="13" t="s">
        <v>2478</v>
      </c>
      <c r="L2844" s="13" t="s">
        <v>2265</v>
      </c>
      <c r="M2844" s="13" t="s">
        <v>2518</v>
      </c>
    </row>
    <row r="2845" customFormat="false" ht="15" hidden="false" customHeight="false" outlineLevel="0" collapsed="false">
      <c r="A2845" s="13" t="s">
        <v>628</v>
      </c>
      <c r="B2845" s="13" t="s">
        <v>627</v>
      </c>
      <c r="C2845" s="13" t="s">
        <v>2264</v>
      </c>
      <c r="D2845" s="13" t="s">
        <v>2270</v>
      </c>
      <c r="E2845" s="13" t="s">
        <v>2520</v>
      </c>
      <c r="F2845" s="13" t="s">
        <v>2527</v>
      </c>
      <c r="G2845" s="61" t="n">
        <v>0</v>
      </c>
      <c r="H2845" s="13" t="s">
        <v>2255</v>
      </c>
      <c r="I2845" s="13" t="s">
        <v>2517</v>
      </c>
      <c r="J2845" s="13" t="n">
        <v>6</v>
      </c>
      <c r="K2845" s="13" t="s">
        <v>2478</v>
      </c>
      <c r="L2845" s="13" t="s">
        <v>2265</v>
      </c>
      <c r="M2845" s="13" t="s">
        <v>2518</v>
      </c>
    </row>
    <row r="2846" customFormat="false" ht="15" hidden="false" customHeight="false" outlineLevel="0" collapsed="false">
      <c r="A2846" s="13" t="s">
        <v>628</v>
      </c>
      <c r="B2846" s="13" t="s">
        <v>627</v>
      </c>
      <c r="C2846" s="13" t="s">
        <v>2264</v>
      </c>
      <c r="D2846" s="13" t="s">
        <v>2270</v>
      </c>
      <c r="E2846" s="13" t="s">
        <v>2521</v>
      </c>
      <c r="F2846" s="13" t="s">
        <v>2527</v>
      </c>
      <c r="G2846" s="61" t="n">
        <v>435778537</v>
      </c>
      <c r="H2846" s="13" t="s">
        <v>2255</v>
      </c>
      <c r="I2846" s="13" t="s">
        <v>2517</v>
      </c>
      <c r="J2846" s="13" t="n">
        <v>6</v>
      </c>
      <c r="K2846" s="13" t="s">
        <v>2478</v>
      </c>
      <c r="L2846" s="13" t="s">
        <v>2265</v>
      </c>
      <c r="M2846" s="13" t="s">
        <v>2518</v>
      </c>
    </row>
    <row r="2847" customFormat="false" ht="15" hidden="false" customHeight="false" outlineLevel="0" collapsed="false">
      <c r="A2847" s="13" t="s">
        <v>628</v>
      </c>
      <c r="B2847" s="13" t="s">
        <v>627</v>
      </c>
      <c r="C2847" s="13" t="s">
        <v>2264</v>
      </c>
      <c r="D2847" s="13" t="s">
        <v>2270</v>
      </c>
      <c r="E2847" s="13" t="s">
        <v>2522</v>
      </c>
      <c r="F2847" s="13" t="s">
        <v>2527</v>
      </c>
      <c r="G2847" s="61" t="n">
        <v>0</v>
      </c>
      <c r="H2847" s="13" t="s">
        <v>2255</v>
      </c>
      <c r="I2847" s="13" t="s">
        <v>2517</v>
      </c>
      <c r="J2847" s="13" t="n">
        <v>6</v>
      </c>
      <c r="K2847" s="13" t="s">
        <v>2478</v>
      </c>
      <c r="L2847" s="13" t="s">
        <v>2265</v>
      </c>
      <c r="M2847" s="13" t="s">
        <v>2518</v>
      </c>
    </row>
    <row r="2848" customFormat="false" ht="15" hidden="false" customHeight="false" outlineLevel="0" collapsed="false">
      <c r="A2848" s="13" t="s">
        <v>628</v>
      </c>
      <c r="B2848" s="13" t="s">
        <v>627</v>
      </c>
      <c r="C2848" s="13" t="s">
        <v>2264</v>
      </c>
      <c r="D2848" s="13" t="s">
        <v>2270</v>
      </c>
      <c r="E2848" s="13" t="s">
        <v>2523</v>
      </c>
      <c r="F2848" s="13" t="s">
        <v>2527</v>
      </c>
      <c r="G2848" s="61" t="n">
        <v>20230706</v>
      </c>
      <c r="H2848" s="13" t="s">
        <v>2255</v>
      </c>
      <c r="I2848" s="13" t="s">
        <v>2517</v>
      </c>
      <c r="J2848" s="13" t="n">
        <v>6</v>
      </c>
      <c r="K2848" s="13" t="s">
        <v>2478</v>
      </c>
      <c r="L2848" s="13" t="s">
        <v>2265</v>
      </c>
      <c r="M2848" s="13" t="s">
        <v>2518</v>
      </c>
    </row>
    <row r="2849" customFormat="false" ht="15" hidden="false" customHeight="false" outlineLevel="0" collapsed="false">
      <c r="A2849" s="13" t="s">
        <v>628</v>
      </c>
      <c r="B2849" s="13" t="s">
        <v>627</v>
      </c>
      <c r="C2849" s="13" t="s">
        <v>2264</v>
      </c>
      <c r="D2849" s="13" t="s">
        <v>2270</v>
      </c>
      <c r="E2849" s="13" t="s">
        <v>2524</v>
      </c>
      <c r="F2849" s="13" t="s">
        <v>2527</v>
      </c>
      <c r="G2849" s="61" t="n">
        <v>11094628117</v>
      </c>
      <c r="H2849" s="13" t="s">
        <v>2255</v>
      </c>
      <c r="I2849" s="13" t="s">
        <v>2517</v>
      </c>
      <c r="J2849" s="13" t="n">
        <v>6</v>
      </c>
      <c r="K2849" s="13" t="s">
        <v>2478</v>
      </c>
      <c r="L2849" s="13" t="s">
        <v>2265</v>
      </c>
      <c r="M2849" s="13" t="s">
        <v>2518</v>
      </c>
    </row>
    <row r="2850" customFormat="false" ht="15" hidden="false" customHeight="false" outlineLevel="0" collapsed="false">
      <c r="A2850" s="13" t="s">
        <v>628</v>
      </c>
      <c r="B2850" s="13" t="s">
        <v>627</v>
      </c>
      <c r="C2850" s="13" t="s">
        <v>2264</v>
      </c>
      <c r="D2850" s="13" t="s">
        <v>2270</v>
      </c>
      <c r="E2850" s="13" t="s">
        <v>2515</v>
      </c>
      <c r="F2850" s="13" t="s">
        <v>2528</v>
      </c>
      <c r="G2850" s="61" t="n">
        <v>313158821</v>
      </c>
      <c r="H2850" s="13" t="s">
        <v>2255</v>
      </c>
      <c r="I2850" s="13" t="s">
        <v>2517</v>
      </c>
      <c r="J2850" s="13" t="n">
        <v>6</v>
      </c>
      <c r="K2850" s="13" t="s">
        <v>2478</v>
      </c>
      <c r="L2850" s="13" t="s">
        <v>2265</v>
      </c>
      <c r="M2850" s="13" t="s">
        <v>2518</v>
      </c>
    </row>
    <row r="2851" customFormat="false" ht="15" hidden="false" customHeight="false" outlineLevel="0" collapsed="false">
      <c r="A2851" s="13" t="s">
        <v>628</v>
      </c>
      <c r="B2851" s="13" t="s">
        <v>627</v>
      </c>
      <c r="C2851" s="13" t="s">
        <v>2264</v>
      </c>
      <c r="D2851" s="13" t="s">
        <v>2270</v>
      </c>
      <c r="E2851" s="13" t="s">
        <v>2519</v>
      </c>
      <c r="F2851" s="13" t="s">
        <v>2528</v>
      </c>
      <c r="G2851" s="61" t="n">
        <v>0</v>
      </c>
      <c r="H2851" s="13" t="s">
        <v>2255</v>
      </c>
      <c r="I2851" s="13" t="s">
        <v>2517</v>
      </c>
      <c r="J2851" s="13" t="n">
        <v>6</v>
      </c>
      <c r="K2851" s="13" t="s">
        <v>2478</v>
      </c>
      <c r="L2851" s="13" t="s">
        <v>2265</v>
      </c>
      <c r="M2851" s="13" t="s">
        <v>2518</v>
      </c>
    </row>
    <row r="2852" customFormat="false" ht="15" hidden="false" customHeight="false" outlineLevel="0" collapsed="false">
      <c r="A2852" s="13" t="s">
        <v>628</v>
      </c>
      <c r="B2852" s="13" t="s">
        <v>627</v>
      </c>
      <c r="C2852" s="13" t="s">
        <v>2264</v>
      </c>
      <c r="D2852" s="13" t="s">
        <v>2270</v>
      </c>
      <c r="E2852" s="13" t="s">
        <v>2520</v>
      </c>
      <c r="F2852" s="13" t="s">
        <v>2528</v>
      </c>
      <c r="G2852" s="61" t="n">
        <v>0</v>
      </c>
      <c r="H2852" s="13" t="s">
        <v>2255</v>
      </c>
      <c r="I2852" s="13" t="s">
        <v>2517</v>
      </c>
      <c r="J2852" s="13" t="n">
        <v>6</v>
      </c>
      <c r="K2852" s="13" t="s">
        <v>2478</v>
      </c>
      <c r="L2852" s="13" t="s">
        <v>2265</v>
      </c>
      <c r="M2852" s="13" t="s">
        <v>2518</v>
      </c>
    </row>
    <row r="2853" customFormat="false" ht="15" hidden="false" customHeight="false" outlineLevel="0" collapsed="false">
      <c r="A2853" s="13" t="s">
        <v>628</v>
      </c>
      <c r="B2853" s="13" t="s">
        <v>627</v>
      </c>
      <c r="C2853" s="13" t="s">
        <v>2264</v>
      </c>
      <c r="D2853" s="13" t="s">
        <v>2270</v>
      </c>
      <c r="E2853" s="13" t="s">
        <v>2521</v>
      </c>
      <c r="F2853" s="13" t="s">
        <v>2528</v>
      </c>
      <c r="G2853" s="61" t="n">
        <v>-140882225</v>
      </c>
      <c r="H2853" s="13" t="s">
        <v>2255</v>
      </c>
      <c r="I2853" s="13" t="s">
        <v>2517</v>
      </c>
      <c r="J2853" s="13" t="n">
        <v>6</v>
      </c>
      <c r="K2853" s="13" t="s">
        <v>2478</v>
      </c>
      <c r="L2853" s="13" t="s">
        <v>2265</v>
      </c>
      <c r="M2853" s="13" t="s">
        <v>2518</v>
      </c>
    </row>
    <row r="2854" customFormat="false" ht="15" hidden="false" customHeight="false" outlineLevel="0" collapsed="false">
      <c r="A2854" s="13" t="s">
        <v>628</v>
      </c>
      <c r="B2854" s="13" t="s">
        <v>627</v>
      </c>
      <c r="C2854" s="13" t="s">
        <v>2264</v>
      </c>
      <c r="D2854" s="13" t="s">
        <v>2270</v>
      </c>
      <c r="E2854" s="13" t="s">
        <v>2522</v>
      </c>
      <c r="F2854" s="13" t="s">
        <v>2528</v>
      </c>
      <c r="G2854" s="61" t="n">
        <v>0</v>
      </c>
      <c r="H2854" s="13" t="s">
        <v>2255</v>
      </c>
      <c r="I2854" s="13" t="s">
        <v>2517</v>
      </c>
      <c r="J2854" s="13" t="n">
        <v>6</v>
      </c>
      <c r="K2854" s="13" t="s">
        <v>2478</v>
      </c>
      <c r="L2854" s="13" t="s">
        <v>2265</v>
      </c>
      <c r="M2854" s="13" t="s">
        <v>2518</v>
      </c>
    </row>
    <row r="2855" customFormat="false" ht="15" hidden="false" customHeight="false" outlineLevel="0" collapsed="false">
      <c r="A2855" s="13" t="s">
        <v>628</v>
      </c>
      <c r="B2855" s="13" t="s">
        <v>627</v>
      </c>
      <c r="C2855" s="13" t="s">
        <v>2264</v>
      </c>
      <c r="D2855" s="13" t="s">
        <v>2270</v>
      </c>
      <c r="E2855" s="13" t="s">
        <v>2523</v>
      </c>
      <c r="F2855" s="13" t="s">
        <v>2528</v>
      </c>
      <c r="G2855" s="61" t="n">
        <v>-50803882</v>
      </c>
      <c r="H2855" s="13" t="s">
        <v>2255</v>
      </c>
      <c r="I2855" s="13" t="s">
        <v>2517</v>
      </c>
      <c r="J2855" s="13" t="n">
        <v>6</v>
      </c>
      <c r="K2855" s="13" t="s">
        <v>2478</v>
      </c>
      <c r="L2855" s="13" t="s">
        <v>2265</v>
      </c>
      <c r="M2855" s="13" t="s">
        <v>2518</v>
      </c>
    </row>
    <row r="2856" customFormat="false" ht="15" hidden="false" customHeight="false" outlineLevel="0" collapsed="false">
      <c r="A2856" s="13" t="s">
        <v>628</v>
      </c>
      <c r="B2856" s="13" t="s">
        <v>627</v>
      </c>
      <c r="C2856" s="13" t="s">
        <v>2264</v>
      </c>
      <c r="D2856" s="13" t="s">
        <v>2270</v>
      </c>
      <c r="E2856" s="13" t="s">
        <v>2524</v>
      </c>
      <c r="F2856" s="13" t="s">
        <v>2528</v>
      </c>
      <c r="G2856" s="61" t="n">
        <v>121472714</v>
      </c>
      <c r="H2856" s="13" t="s">
        <v>2255</v>
      </c>
      <c r="I2856" s="13" t="s">
        <v>2517</v>
      </c>
      <c r="J2856" s="13" t="n">
        <v>6</v>
      </c>
      <c r="K2856" s="13" t="s">
        <v>2478</v>
      </c>
      <c r="L2856" s="13" t="s">
        <v>2265</v>
      </c>
      <c r="M2856" s="13" t="s">
        <v>2518</v>
      </c>
    </row>
    <row r="2857" customFormat="false" ht="15" hidden="false" customHeight="false" outlineLevel="0" collapsed="false">
      <c r="A2857" s="13" t="s">
        <v>628</v>
      </c>
      <c r="B2857" s="13" t="s">
        <v>627</v>
      </c>
      <c r="C2857" s="13" t="s">
        <v>2264</v>
      </c>
      <c r="D2857" s="13" t="s">
        <v>2270</v>
      </c>
      <c r="E2857" s="13" t="s">
        <v>2515</v>
      </c>
      <c r="F2857" s="13" t="s">
        <v>2529</v>
      </c>
      <c r="G2857" s="61" t="n">
        <v>187803471</v>
      </c>
      <c r="H2857" s="13" t="s">
        <v>2255</v>
      </c>
      <c r="I2857" s="13" t="s">
        <v>2517</v>
      </c>
      <c r="J2857" s="13" t="n">
        <v>6</v>
      </c>
      <c r="K2857" s="13" t="s">
        <v>2478</v>
      </c>
      <c r="L2857" s="13" t="s">
        <v>2265</v>
      </c>
      <c r="M2857" s="13" t="s">
        <v>2518</v>
      </c>
    </row>
    <row r="2858" customFormat="false" ht="15" hidden="false" customHeight="false" outlineLevel="0" collapsed="false">
      <c r="A2858" s="13" t="s">
        <v>628</v>
      </c>
      <c r="B2858" s="13" t="s">
        <v>627</v>
      </c>
      <c r="C2858" s="13" t="s">
        <v>2264</v>
      </c>
      <c r="D2858" s="13" t="s">
        <v>2270</v>
      </c>
      <c r="E2858" s="13" t="s">
        <v>2519</v>
      </c>
      <c r="F2858" s="13" t="s">
        <v>2529</v>
      </c>
      <c r="G2858" s="61" t="n">
        <v>0</v>
      </c>
      <c r="H2858" s="13" t="s">
        <v>2255</v>
      </c>
      <c r="I2858" s="13" t="s">
        <v>2517</v>
      </c>
      <c r="J2858" s="13" t="n">
        <v>6</v>
      </c>
      <c r="K2858" s="13" t="s">
        <v>2478</v>
      </c>
      <c r="L2858" s="13" t="s">
        <v>2265</v>
      </c>
      <c r="M2858" s="13" t="s">
        <v>2518</v>
      </c>
    </row>
    <row r="2859" customFormat="false" ht="15" hidden="false" customHeight="false" outlineLevel="0" collapsed="false">
      <c r="A2859" s="13" t="s">
        <v>628</v>
      </c>
      <c r="B2859" s="13" t="s">
        <v>627</v>
      </c>
      <c r="C2859" s="13" t="s">
        <v>2264</v>
      </c>
      <c r="D2859" s="13" t="s">
        <v>2270</v>
      </c>
      <c r="E2859" s="13" t="s">
        <v>2520</v>
      </c>
      <c r="F2859" s="13" t="s">
        <v>2529</v>
      </c>
      <c r="G2859" s="61" t="n">
        <v>0</v>
      </c>
      <c r="H2859" s="13" t="s">
        <v>2255</v>
      </c>
      <c r="I2859" s="13" t="s">
        <v>2517</v>
      </c>
      <c r="J2859" s="13" t="n">
        <v>6</v>
      </c>
      <c r="K2859" s="13" t="s">
        <v>2478</v>
      </c>
      <c r="L2859" s="13" t="s">
        <v>2265</v>
      </c>
      <c r="M2859" s="13" t="s">
        <v>2518</v>
      </c>
    </row>
    <row r="2860" customFormat="false" ht="15" hidden="false" customHeight="false" outlineLevel="0" collapsed="false">
      <c r="A2860" s="13" t="s">
        <v>628</v>
      </c>
      <c r="B2860" s="13" t="s">
        <v>627</v>
      </c>
      <c r="C2860" s="13" t="s">
        <v>2264</v>
      </c>
      <c r="D2860" s="13" t="s">
        <v>2270</v>
      </c>
      <c r="E2860" s="13" t="s">
        <v>2521</v>
      </c>
      <c r="F2860" s="13" t="s">
        <v>2529</v>
      </c>
      <c r="G2860" s="61" t="n">
        <v>54942945</v>
      </c>
      <c r="H2860" s="13" t="s">
        <v>2255</v>
      </c>
      <c r="I2860" s="13" t="s">
        <v>2517</v>
      </c>
      <c r="J2860" s="13" t="n">
        <v>6</v>
      </c>
      <c r="K2860" s="13" t="s">
        <v>2478</v>
      </c>
      <c r="L2860" s="13" t="s">
        <v>2265</v>
      </c>
      <c r="M2860" s="13" t="s">
        <v>2518</v>
      </c>
    </row>
    <row r="2861" customFormat="false" ht="15" hidden="false" customHeight="false" outlineLevel="0" collapsed="false">
      <c r="A2861" s="13" t="s">
        <v>628</v>
      </c>
      <c r="B2861" s="13" t="s">
        <v>627</v>
      </c>
      <c r="C2861" s="13" t="s">
        <v>2264</v>
      </c>
      <c r="D2861" s="13" t="s">
        <v>2270</v>
      </c>
      <c r="E2861" s="13" t="s">
        <v>2522</v>
      </c>
      <c r="F2861" s="13" t="s">
        <v>2529</v>
      </c>
      <c r="G2861" s="61" t="n">
        <v>0</v>
      </c>
      <c r="H2861" s="13" t="s">
        <v>2255</v>
      </c>
      <c r="I2861" s="13" t="s">
        <v>2517</v>
      </c>
      <c r="J2861" s="13" t="n">
        <v>6</v>
      </c>
      <c r="K2861" s="13" t="s">
        <v>2478</v>
      </c>
      <c r="L2861" s="13" t="s">
        <v>2265</v>
      </c>
      <c r="M2861" s="13" t="s">
        <v>2518</v>
      </c>
    </row>
    <row r="2862" customFormat="false" ht="15" hidden="false" customHeight="false" outlineLevel="0" collapsed="false">
      <c r="A2862" s="13" t="s">
        <v>628</v>
      </c>
      <c r="B2862" s="13" t="s">
        <v>627</v>
      </c>
      <c r="C2862" s="13" t="s">
        <v>2264</v>
      </c>
      <c r="D2862" s="13" t="s">
        <v>2270</v>
      </c>
      <c r="E2862" s="13" t="s">
        <v>2523</v>
      </c>
      <c r="F2862" s="13" t="s">
        <v>2529</v>
      </c>
      <c r="G2862" s="61" t="n">
        <v>170583</v>
      </c>
      <c r="H2862" s="13" t="s">
        <v>2255</v>
      </c>
      <c r="I2862" s="13" t="s">
        <v>2517</v>
      </c>
      <c r="J2862" s="13" t="n">
        <v>6</v>
      </c>
      <c r="K2862" s="13" t="s">
        <v>2478</v>
      </c>
      <c r="L2862" s="13" t="s">
        <v>2265</v>
      </c>
      <c r="M2862" s="13" t="s">
        <v>2518</v>
      </c>
    </row>
    <row r="2863" customFormat="false" ht="15" hidden="false" customHeight="false" outlineLevel="0" collapsed="false">
      <c r="A2863" s="13" t="s">
        <v>628</v>
      </c>
      <c r="B2863" s="13" t="s">
        <v>627</v>
      </c>
      <c r="C2863" s="13" t="s">
        <v>2264</v>
      </c>
      <c r="D2863" s="13" t="s">
        <v>2270</v>
      </c>
      <c r="E2863" s="13" t="s">
        <v>2524</v>
      </c>
      <c r="F2863" s="13" t="s">
        <v>2529</v>
      </c>
      <c r="G2863" s="61" t="n">
        <v>242916999</v>
      </c>
      <c r="H2863" s="13" t="s">
        <v>2255</v>
      </c>
      <c r="I2863" s="13" t="s">
        <v>2517</v>
      </c>
      <c r="J2863" s="13" t="n">
        <v>6</v>
      </c>
      <c r="K2863" s="13" t="s">
        <v>2478</v>
      </c>
      <c r="L2863" s="13" t="s">
        <v>2265</v>
      </c>
      <c r="M2863" s="13" t="s">
        <v>2518</v>
      </c>
    </row>
    <row r="2864" customFormat="false" ht="15" hidden="false" customHeight="false" outlineLevel="0" collapsed="false">
      <c r="A2864" s="13" t="s">
        <v>628</v>
      </c>
      <c r="B2864" s="13" t="s">
        <v>627</v>
      </c>
      <c r="C2864" s="13" t="s">
        <v>2264</v>
      </c>
      <c r="D2864" s="13" t="s">
        <v>2270</v>
      </c>
      <c r="E2864" s="13" t="s">
        <v>2515</v>
      </c>
      <c r="F2864" s="13" t="s">
        <v>2530</v>
      </c>
      <c r="G2864" s="61" t="n">
        <v>457651314</v>
      </c>
      <c r="H2864" s="13" t="s">
        <v>2255</v>
      </c>
      <c r="I2864" s="13" t="s">
        <v>2517</v>
      </c>
      <c r="J2864" s="13" t="n">
        <v>6</v>
      </c>
      <c r="K2864" s="13" t="s">
        <v>2478</v>
      </c>
      <c r="L2864" s="13" t="s">
        <v>2265</v>
      </c>
      <c r="M2864" s="13" t="s">
        <v>2518</v>
      </c>
    </row>
    <row r="2865" customFormat="false" ht="15" hidden="false" customHeight="false" outlineLevel="0" collapsed="false">
      <c r="A2865" s="13" t="s">
        <v>628</v>
      </c>
      <c r="B2865" s="13" t="s">
        <v>627</v>
      </c>
      <c r="C2865" s="13" t="s">
        <v>2264</v>
      </c>
      <c r="D2865" s="13" t="s">
        <v>2270</v>
      </c>
      <c r="E2865" s="13" t="s">
        <v>2519</v>
      </c>
      <c r="F2865" s="13" t="s">
        <v>2530</v>
      </c>
      <c r="G2865" s="61" t="n">
        <v>0</v>
      </c>
      <c r="H2865" s="13" t="s">
        <v>2255</v>
      </c>
      <c r="I2865" s="13" t="s">
        <v>2517</v>
      </c>
      <c r="J2865" s="13" t="n">
        <v>6</v>
      </c>
      <c r="K2865" s="13" t="s">
        <v>2478</v>
      </c>
      <c r="L2865" s="13" t="s">
        <v>2265</v>
      </c>
      <c r="M2865" s="13" t="s">
        <v>2518</v>
      </c>
    </row>
    <row r="2866" customFormat="false" ht="15" hidden="false" customHeight="false" outlineLevel="0" collapsed="false">
      <c r="A2866" s="13" t="s">
        <v>628</v>
      </c>
      <c r="B2866" s="13" t="s">
        <v>627</v>
      </c>
      <c r="C2866" s="13" t="s">
        <v>2264</v>
      </c>
      <c r="D2866" s="13" t="s">
        <v>2270</v>
      </c>
      <c r="E2866" s="13" t="s">
        <v>2520</v>
      </c>
      <c r="F2866" s="13" t="s">
        <v>2530</v>
      </c>
      <c r="G2866" s="61" t="n">
        <v>0</v>
      </c>
      <c r="H2866" s="13" t="s">
        <v>2255</v>
      </c>
      <c r="I2866" s="13" t="s">
        <v>2517</v>
      </c>
      <c r="J2866" s="13" t="n">
        <v>6</v>
      </c>
      <c r="K2866" s="13" t="s">
        <v>2478</v>
      </c>
      <c r="L2866" s="13" t="s">
        <v>2265</v>
      </c>
      <c r="M2866" s="13" t="s">
        <v>2518</v>
      </c>
    </row>
    <row r="2867" customFormat="false" ht="15" hidden="false" customHeight="false" outlineLevel="0" collapsed="false">
      <c r="A2867" s="13" t="s">
        <v>628</v>
      </c>
      <c r="B2867" s="13" t="s">
        <v>627</v>
      </c>
      <c r="C2867" s="13" t="s">
        <v>2264</v>
      </c>
      <c r="D2867" s="13" t="s">
        <v>2270</v>
      </c>
      <c r="E2867" s="13" t="s">
        <v>2521</v>
      </c>
      <c r="F2867" s="13" t="s">
        <v>2530</v>
      </c>
      <c r="G2867" s="61" t="n">
        <v>-7087619</v>
      </c>
      <c r="H2867" s="13" t="s">
        <v>2255</v>
      </c>
      <c r="I2867" s="13" t="s">
        <v>2517</v>
      </c>
      <c r="J2867" s="13" t="n">
        <v>6</v>
      </c>
      <c r="K2867" s="13" t="s">
        <v>2478</v>
      </c>
      <c r="L2867" s="13" t="s">
        <v>2265</v>
      </c>
      <c r="M2867" s="13" t="s">
        <v>2518</v>
      </c>
    </row>
    <row r="2868" customFormat="false" ht="15" hidden="false" customHeight="false" outlineLevel="0" collapsed="false">
      <c r="A2868" s="13" t="s">
        <v>628</v>
      </c>
      <c r="B2868" s="13" t="s">
        <v>627</v>
      </c>
      <c r="C2868" s="13" t="s">
        <v>2264</v>
      </c>
      <c r="D2868" s="13" t="s">
        <v>2270</v>
      </c>
      <c r="E2868" s="13" t="s">
        <v>2522</v>
      </c>
      <c r="F2868" s="13" t="s">
        <v>2530</v>
      </c>
      <c r="G2868" s="61" t="n">
        <v>0</v>
      </c>
      <c r="H2868" s="13" t="s">
        <v>2255</v>
      </c>
      <c r="I2868" s="13" t="s">
        <v>2517</v>
      </c>
      <c r="J2868" s="13" t="n">
        <v>6</v>
      </c>
      <c r="K2868" s="13" t="s">
        <v>2478</v>
      </c>
      <c r="L2868" s="13" t="s">
        <v>2265</v>
      </c>
      <c r="M2868" s="13" t="s">
        <v>2518</v>
      </c>
    </row>
    <row r="2869" customFormat="false" ht="15" hidden="false" customHeight="false" outlineLevel="0" collapsed="false">
      <c r="A2869" s="13" t="s">
        <v>628</v>
      </c>
      <c r="B2869" s="13" t="s">
        <v>627</v>
      </c>
      <c r="C2869" s="13" t="s">
        <v>2264</v>
      </c>
      <c r="D2869" s="13" t="s">
        <v>2270</v>
      </c>
      <c r="E2869" s="13" t="s">
        <v>2523</v>
      </c>
      <c r="F2869" s="13" t="s">
        <v>2530</v>
      </c>
      <c r="G2869" s="61" t="n">
        <v>0</v>
      </c>
      <c r="H2869" s="13" t="s">
        <v>2255</v>
      </c>
      <c r="I2869" s="13" t="s">
        <v>2517</v>
      </c>
      <c r="J2869" s="13" t="n">
        <v>6</v>
      </c>
      <c r="K2869" s="13" t="s">
        <v>2478</v>
      </c>
      <c r="L2869" s="13" t="s">
        <v>2265</v>
      </c>
      <c r="M2869" s="13" t="s">
        <v>2518</v>
      </c>
    </row>
    <row r="2870" customFormat="false" ht="15" hidden="false" customHeight="false" outlineLevel="0" collapsed="false">
      <c r="A2870" s="13" t="s">
        <v>628</v>
      </c>
      <c r="B2870" s="13" t="s">
        <v>627</v>
      </c>
      <c r="C2870" s="13" t="s">
        <v>2264</v>
      </c>
      <c r="D2870" s="13" t="s">
        <v>2270</v>
      </c>
      <c r="E2870" s="13" t="s">
        <v>2524</v>
      </c>
      <c r="F2870" s="13" t="s">
        <v>2530</v>
      </c>
      <c r="G2870" s="61" t="n">
        <v>450563695</v>
      </c>
      <c r="H2870" s="13" t="s">
        <v>2255</v>
      </c>
      <c r="I2870" s="13" t="s">
        <v>2517</v>
      </c>
      <c r="J2870" s="13" t="n">
        <v>6</v>
      </c>
      <c r="K2870" s="13" t="s">
        <v>2478</v>
      </c>
      <c r="L2870" s="13" t="s">
        <v>2265</v>
      </c>
      <c r="M2870" s="13" t="s">
        <v>2518</v>
      </c>
    </row>
    <row r="2871" customFormat="false" ht="15" hidden="false" customHeight="false" outlineLevel="0" collapsed="false">
      <c r="A2871" s="13" t="s">
        <v>628</v>
      </c>
      <c r="B2871" s="13" t="s">
        <v>627</v>
      </c>
      <c r="C2871" s="13" t="s">
        <v>2264</v>
      </c>
      <c r="D2871" s="13" t="s">
        <v>2270</v>
      </c>
      <c r="E2871" s="13" t="s">
        <v>2515</v>
      </c>
      <c r="F2871" s="13" t="s">
        <v>2531</v>
      </c>
      <c r="G2871" s="61" t="n">
        <v>666428664</v>
      </c>
      <c r="H2871" s="13" t="s">
        <v>2255</v>
      </c>
      <c r="I2871" s="13" t="s">
        <v>2517</v>
      </c>
      <c r="J2871" s="13" t="n">
        <v>6</v>
      </c>
      <c r="K2871" s="13" t="s">
        <v>2478</v>
      </c>
      <c r="L2871" s="13" t="s">
        <v>2265</v>
      </c>
      <c r="M2871" s="13" t="s">
        <v>2518</v>
      </c>
    </row>
    <row r="2872" customFormat="false" ht="15" hidden="false" customHeight="false" outlineLevel="0" collapsed="false">
      <c r="A2872" s="13" t="s">
        <v>628</v>
      </c>
      <c r="B2872" s="13" t="s">
        <v>627</v>
      </c>
      <c r="C2872" s="13" t="s">
        <v>2264</v>
      </c>
      <c r="D2872" s="13" t="s">
        <v>2270</v>
      </c>
      <c r="E2872" s="13" t="s">
        <v>2519</v>
      </c>
      <c r="F2872" s="13" t="s">
        <v>2531</v>
      </c>
      <c r="G2872" s="61" t="n">
        <v>0</v>
      </c>
      <c r="H2872" s="13" t="s">
        <v>2255</v>
      </c>
      <c r="I2872" s="13" t="s">
        <v>2517</v>
      </c>
      <c r="J2872" s="13" t="n">
        <v>6</v>
      </c>
      <c r="K2872" s="13" t="s">
        <v>2478</v>
      </c>
      <c r="L2872" s="13" t="s">
        <v>2265</v>
      </c>
      <c r="M2872" s="13" t="s">
        <v>2518</v>
      </c>
    </row>
    <row r="2873" customFormat="false" ht="15" hidden="false" customHeight="false" outlineLevel="0" collapsed="false">
      <c r="A2873" s="13" t="s">
        <v>628</v>
      </c>
      <c r="B2873" s="13" t="s">
        <v>627</v>
      </c>
      <c r="C2873" s="13" t="s">
        <v>2264</v>
      </c>
      <c r="D2873" s="13" t="s">
        <v>2270</v>
      </c>
      <c r="E2873" s="13" t="s">
        <v>2520</v>
      </c>
      <c r="F2873" s="13" t="s">
        <v>2531</v>
      </c>
      <c r="G2873" s="61" t="n">
        <v>0</v>
      </c>
      <c r="H2873" s="13" t="s">
        <v>2255</v>
      </c>
      <c r="I2873" s="13" t="s">
        <v>2517</v>
      </c>
      <c r="J2873" s="13" t="n">
        <v>6</v>
      </c>
      <c r="K2873" s="13" t="s">
        <v>2478</v>
      </c>
      <c r="L2873" s="13" t="s">
        <v>2265</v>
      </c>
      <c r="M2873" s="13" t="s">
        <v>2518</v>
      </c>
    </row>
    <row r="2874" customFormat="false" ht="15" hidden="false" customHeight="false" outlineLevel="0" collapsed="false">
      <c r="A2874" s="13" t="s">
        <v>628</v>
      </c>
      <c r="B2874" s="13" t="s">
        <v>627</v>
      </c>
      <c r="C2874" s="13" t="s">
        <v>2264</v>
      </c>
      <c r="D2874" s="13" t="s">
        <v>2270</v>
      </c>
      <c r="E2874" s="13" t="s">
        <v>2521</v>
      </c>
      <c r="F2874" s="13" t="s">
        <v>2531</v>
      </c>
      <c r="G2874" s="61" t="n">
        <v>404938446</v>
      </c>
      <c r="H2874" s="13" t="s">
        <v>2255</v>
      </c>
      <c r="I2874" s="13" t="s">
        <v>2517</v>
      </c>
      <c r="J2874" s="13" t="n">
        <v>6</v>
      </c>
      <c r="K2874" s="13" t="s">
        <v>2478</v>
      </c>
      <c r="L2874" s="13" t="s">
        <v>2265</v>
      </c>
      <c r="M2874" s="13" t="s">
        <v>2518</v>
      </c>
    </row>
    <row r="2875" customFormat="false" ht="15" hidden="false" customHeight="false" outlineLevel="0" collapsed="false">
      <c r="A2875" s="13" t="s">
        <v>628</v>
      </c>
      <c r="B2875" s="13" t="s">
        <v>627</v>
      </c>
      <c r="C2875" s="13" t="s">
        <v>2264</v>
      </c>
      <c r="D2875" s="13" t="s">
        <v>2270</v>
      </c>
      <c r="E2875" s="13" t="s">
        <v>2522</v>
      </c>
      <c r="F2875" s="13" t="s">
        <v>2531</v>
      </c>
      <c r="G2875" s="61" t="n">
        <v>-55646848</v>
      </c>
      <c r="H2875" s="13" t="s">
        <v>2255</v>
      </c>
      <c r="I2875" s="13" t="s">
        <v>2517</v>
      </c>
      <c r="J2875" s="13" t="n">
        <v>6</v>
      </c>
      <c r="K2875" s="13" t="s">
        <v>2478</v>
      </c>
      <c r="L2875" s="13" t="s">
        <v>2265</v>
      </c>
      <c r="M2875" s="13" t="s">
        <v>2518</v>
      </c>
    </row>
    <row r="2876" customFormat="false" ht="15" hidden="false" customHeight="false" outlineLevel="0" collapsed="false">
      <c r="A2876" s="13" t="s">
        <v>628</v>
      </c>
      <c r="B2876" s="13" t="s">
        <v>627</v>
      </c>
      <c r="C2876" s="13" t="s">
        <v>2264</v>
      </c>
      <c r="D2876" s="13" t="s">
        <v>2270</v>
      </c>
      <c r="E2876" s="13" t="s">
        <v>2523</v>
      </c>
      <c r="F2876" s="13" t="s">
        <v>2531</v>
      </c>
      <c r="G2876" s="61" t="n">
        <v>22123532</v>
      </c>
      <c r="H2876" s="13" t="s">
        <v>2255</v>
      </c>
      <c r="I2876" s="13" t="s">
        <v>2517</v>
      </c>
      <c r="J2876" s="13" t="n">
        <v>6</v>
      </c>
      <c r="K2876" s="13" t="s">
        <v>2478</v>
      </c>
      <c r="L2876" s="13" t="s">
        <v>2265</v>
      </c>
      <c r="M2876" s="13" t="s">
        <v>2518</v>
      </c>
    </row>
    <row r="2877" customFormat="false" ht="15" hidden="false" customHeight="false" outlineLevel="0" collapsed="false">
      <c r="A2877" s="13" t="s">
        <v>628</v>
      </c>
      <c r="B2877" s="13" t="s">
        <v>627</v>
      </c>
      <c r="C2877" s="13" t="s">
        <v>2264</v>
      </c>
      <c r="D2877" s="13" t="s">
        <v>2270</v>
      </c>
      <c r="E2877" s="13" t="s">
        <v>2524</v>
      </c>
      <c r="F2877" s="13" t="s">
        <v>2531</v>
      </c>
      <c r="G2877" s="61" t="n">
        <v>1037843794</v>
      </c>
      <c r="H2877" s="13" t="s">
        <v>2255</v>
      </c>
      <c r="I2877" s="13" t="s">
        <v>2517</v>
      </c>
      <c r="J2877" s="13" t="n">
        <v>6</v>
      </c>
      <c r="K2877" s="13" t="s">
        <v>2478</v>
      </c>
      <c r="L2877" s="13" t="s">
        <v>2265</v>
      </c>
      <c r="M2877" s="13" t="s">
        <v>2518</v>
      </c>
    </row>
    <row r="2878" customFormat="false" ht="15" hidden="false" customHeight="false" outlineLevel="0" collapsed="false">
      <c r="A2878" s="13" t="s">
        <v>628</v>
      </c>
      <c r="B2878" s="13" t="s">
        <v>627</v>
      </c>
      <c r="C2878" s="13" t="s">
        <v>2264</v>
      </c>
      <c r="D2878" s="13" t="s">
        <v>2270</v>
      </c>
      <c r="E2878" s="13" t="s">
        <v>2515</v>
      </c>
      <c r="F2878" s="13" t="s">
        <v>2532</v>
      </c>
      <c r="G2878" s="61" t="n">
        <v>-167821470</v>
      </c>
      <c r="H2878" s="13" t="s">
        <v>2255</v>
      </c>
      <c r="I2878" s="13" t="s">
        <v>2517</v>
      </c>
      <c r="J2878" s="13" t="n">
        <v>6</v>
      </c>
      <c r="K2878" s="13" t="s">
        <v>2478</v>
      </c>
      <c r="L2878" s="13" t="s">
        <v>2265</v>
      </c>
      <c r="M2878" s="13" t="s">
        <v>2518</v>
      </c>
    </row>
    <row r="2879" customFormat="false" ht="15" hidden="false" customHeight="false" outlineLevel="0" collapsed="false">
      <c r="A2879" s="13" t="s">
        <v>628</v>
      </c>
      <c r="B2879" s="13" t="s">
        <v>627</v>
      </c>
      <c r="C2879" s="13" t="s">
        <v>2264</v>
      </c>
      <c r="D2879" s="13" t="s">
        <v>2270</v>
      </c>
      <c r="E2879" s="13" t="s">
        <v>2519</v>
      </c>
      <c r="F2879" s="13" t="s">
        <v>2532</v>
      </c>
      <c r="G2879" s="61" t="n">
        <v>0</v>
      </c>
      <c r="H2879" s="13" t="s">
        <v>2255</v>
      </c>
      <c r="I2879" s="13" t="s">
        <v>2517</v>
      </c>
      <c r="J2879" s="13" t="n">
        <v>6</v>
      </c>
      <c r="K2879" s="13" t="s">
        <v>2478</v>
      </c>
      <c r="L2879" s="13" t="s">
        <v>2265</v>
      </c>
      <c r="M2879" s="13" t="s">
        <v>2518</v>
      </c>
    </row>
    <row r="2880" customFormat="false" ht="15" hidden="false" customHeight="false" outlineLevel="0" collapsed="false">
      <c r="A2880" s="13" t="s">
        <v>628</v>
      </c>
      <c r="B2880" s="13" t="s">
        <v>627</v>
      </c>
      <c r="C2880" s="13" t="s">
        <v>2264</v>
      </c>
      <c r="D2880" s="13" t="s">
        <v>2270</v>
      </c>
      <c r="E2880" s="13" t="s">
        <v>2520</v>
      </c>
      <c r="F2880" s="13" t="s">
        <v>2532</v>
      </c>
      <c r="G2880" s="61" t="n">
        <v>0</v>
      </c>
      <c r="H2880" s="13" t="s">
        <v>2255</v>
      </c>
      <c r="I2880" s="13" t="s">
        <v>2517</v>
      </c>
      <c r="J2880" s="13" t="n">
        <v>6</v>
      </c>
      <c r="K2880" s="13" t="s">
        <v>2478</v>
      </c>
      <c r="L2880" s="13" t="s">
        <v>2265</v>
      </c>
      <c r="M2880" s="13" t="s">
        <v>2518</v>
      </c>
    </row>
    <row r="2881" customFormat="false" ht="15" hidden="false" customHeight="false" outlineLevel="0" collapsed="false">
      <c r="A2881" s="13" t="s">
        <v>628</v>
      </c>
      <c r="B2881" s="13" t="s">
        <v>627</v>
      </c>
      <c r="C2881" s="13" t="s">
        <v>2264</v>
      </c>
      <c r="D2881" s="13" t="s">
        <v>2270</v>
      </c>
      <c r="E2881" s="13" t="s">
        <v>2521</v>
      </c>
      <c r="F2881" s="13" t="s">
        <v>2532</v>
      </c>
      <c r="G2881" s="61" t="n">
        <v>-282786992</v>
      </c>
      <c r="H2881" s="13" t="s">
        <v>2255</v>
      </c>
      <c r="I2881" s="13" t="s">
        <v>2517</v>
      </c>
      <c r="J2881" s="13" t="n">
        <v>6</v>
      </c>
      <c r="K2881" s="13" t="s">
        <v>2478</v>
      </c>
      <c r="L2881" s="13" t="s">
        <v>2265</v>
      </c>
      <c r="M2881" s="13" t="s">
        <v>2518</v>
      </c>
    </row>
    <row r="2882" customFormat="false" ht="15" hidden="false" customHeight="false" outlineLevel="0" collapsed="false">
      <c r="A2882" s="13" t="s">
        <v>628</v>
      </c>
      <c r="B2882" s="13" t="s">
        <v>627</v>
      </c>
      <c r="C2882" s="13" t="s">
        <v>2264</v>
      </c>
      <c r="D2882" s="13" t="s">
        <v>2270</v>
      </c>
      <c r="E2882" s="13" t="s">
        <v>2522</v>
      </c>
      <c r="F2882" s="13" t="s">
        <v>2532</v>
      </c>
      <c r="G2882" s="61" t="n">
        <v>0</v>
      </c>
      <c r="H2882" s="13" t="s">
        <v>2255</v>
      </c>
      <c r="I2882" s="13" t="s">
        <v>2517</v>
      </c>
      <c r="J2882" s="13" t="n">
        <v>6</v>
      </c>
      <c r="K2882" s="13" t="s">
        <v>2478</v>
      </c>
      <c r="L2882" s="13" t="s">
        <v>2265</v>
      </c>
      <c r="M2882" s="13" t="s">
        <v>2518</v>
      </c>
    </row>
    <row r="2883" customFormat="false" ht="15" hidden="false" customHeight="false" outlineLevel="0" collapsed="false">
      <c r="A2883" s="13" t="s">
        <v>628</v>
      </c>
      <c r="B2883" s="13" t="s">
        <v>627</v>
      </c>
      <c r="C2883" s="13" t="s">
        <v>2264</v>
      </c>
      <c r="D2883" s="13" t="s">
        <v>2270</v>
      </c>
      <c r="E2883" s="13" t="s">
        <v>2523</v>
      </c>
      <c r="F2883" s="13" t="s">
        <v>2532</v>
      </c>
      <c r="G2883" s="61" t="n">
        <v>3669597</v>
      </c>
      <c r="H2883" s="13" t="s">
        <v>2255</v>
      </c>
      <c r="I2883" s="13" t="s">
        <v>2517</v>
      </c>
      <c r="J2883" s="13" t="n">
        <v>6</v>
      </c>
      <c r="K2883" s="13" t="s">
        <v>2478</v>
      </c>
      <c r="L2883" s="13" t="s">
        <v>2265</v>
      </c>
      <c r="M2883" s="13" t="s">
        <v>2518</v>
      </c>
    </row>
    <row r="2884" customFormat="false" ht="15" hidden="false" customHeight="false" outlineLevel="0" collapsed="false">
      <c r="A2884" s="13" t="s">
        <v>628</v>
      </c>
      <c r="B2884" s="13" t="s">
        <v>627</v>
      </c>
      <c r="C2884" s="13" t="s">
        <v>2264</v>
      </c>
      <c r="D2884" s="13" t="s">
        <v>2270</v>
      </c>
      <c r="E2884" s="13" t="s">
        <v>2524</v>
      </c>
      <c r="F2884" s="13" t="s">
        <v>2532</v>
      </c>
      <c r="G2884" s="61" t="n">
        <v>-446938865</v>
      </c>
      <c r="H2884" s="13" t="s">
        <v>2255</v>
      </c>
      <c r="I2884" s="13" t="s">
        <v>2517</v>
      </c>
      <c r="J2884" s="13" t="n">
        <v>6</v>
      </c>
      <c r="K2884" s="13" t="s">
        <v>2478</v>
      </c>
      <c r="L2884" s="13" t="s">
        <v>2265</v>
      </c>
      <c r="M2884" s="13" t="s">
        <v>2518</v>
      </c>
    </row>
    <row r="2885" customFormat="false" ht="15" hidden="false" customHeight="false" outlineLevel="0" collapsed="false">
      <c r="A2885" s="13" t="s">
        <v>628</v>
      </c>
      <c r="B2885" s="13" t="s">
        <v>627</v>
      </c>
      <c r="C2885" s="13" t="s">
        <v>2264</v>
      </c>
      <c r="D2885" s="13" t="s">
        <v>2270</v>
      </c>
      <c r="E2885" s="13" t="s">
        <v>2515</v>
      </c>
      <c r="F2885" s="13" t="s">
        <v>2533</v>
      </c>
      <c r="G2885" s="61" t="n">
        <v>2298588822</v>
      </c>
      <c r="H2885" s="13" t="s">
        <v>2255</v>
      </c>
      <c r="I2885" s="13" t="s">
        <v>2517</v>
      </c>
      <c r="J2885" s="13" t="n">
        <v>6</v>
      </c>
      <c r="K2885" s="13" t="s">
        <v>2478</v>
      </c>
      <c r="L2885" s="13" t="s">
        <v>2265</v>
      </c>
      <c r="M2885" s="13" t="s">
        <v>2518</v>
      </c>
    </row>
    <row r="2886" customFormat="false" ht="15" hidden="false" customHeight="false" outlineLevel="0" collapsed="false">
      <c r="A2886" s="13" t="s">
        <v>628</v>
      </c>
      <c r="B2886" s="13" t="s">
        <v>627</v>
      </c>
      <c r="C2886" s="13" t="s">
        <v>2264</v>
      </c>
      <c r="D2886" s="13" t="s">
        <v>2270</v>
      </c>
      <c r="E2886" s="13" t="s">
        <v>2519</v>
      </c>
      <c r="F2886" s="13" t="s">
        <v>2533</v>
      </c>
      <c r="G2886" s="61" t="n">
        <v>0</v>
      </c>
      <c r="H2886" s="13" t="s">
        <v>2255</v>
      </c>
      <c r="I2886" s="13" t="s">
        <v>2517</v>
      </c>
      <c r="J2886" s="13" t="n">
        <v>6</v>
      </c>
      <c r="K2886" s="13" t="s">
        <v>2478</v>
      </c>
      <c r="L2886" s="13" t="s">
        <v>2265</v>
      </c>
      <c r="M2886" s="13" t="s">
        <v>2518</v>
      </c>
    </row>
    <row r="2887" customFormat="false" ht="15" hidden="false" customHeight="false" outlineLevel="0" collapsed="false">
      <c r="A2887" s="13" t="s">
        <v>628</v>
      </c>
      <c r="B2887" s="13" t="s">
        <v>627</v>
      </c>
      <c r="C2887" s="13" t="s">
        <v>2264</v>
      </c>
      <c r="D2887" s="13" t="s">
        <v>2270</v>
      </c>
      <c r="E2887" s="13" t="s">
        <v>2520</v>
      </c>
      <c r="F2887" s="13" t="s">
        <v>2533</v>
      </c>
      <c r="G2887" s="61" t="n">
        <v>0</v>
      </c>
      <c r="H2887" s="13" t="s">
        <v>2255</v>
      </c>
      <c r="I2887" s="13" t="s">
        <v>2517</v>
      </c>
      <c r="J2887" s="13" t="n">
        <v>6</v>
      </c>
      <c r="K2887" s="13" t="s">
        <v>2478</v>
      </c>
      <c r="L2887" s="13" t="s">
        <v>2265</v>
      </c>
      <c r="M2887" s="13" t="s">
        <v>2518</v>
      </c>
    </row>
    <row r="2888" customFormat="false" ht="15" hidden="false" customHeight="false" outlineLevel="0" collapsed="false">
      <c r="A2888" s="13" t="s">
        <v>628</v>
      </c>
      <c r="B2888" s="13" t="s">
        <v>627</v>
      </c>
      <c r="C2888" s="13" t="s">
        <v>2264</v>
      </c>
      <c r="D2888" s="13" t="s">
        <v>2270</v>
      </c>
      <c r="E2888" s="13" t="s">
        <v>2521</v>
      </c>
      <c r="F2888" s="13" t="s">
        <v>2533</v>
      </c>
      <c r="G2888" s="61" t="n">
        <v>-40665707</v>
      </c>
      <c r="H2888" s="13" t="s">
        <v>2255</v>
      </c>
      <c r="I2888" s="13" t="s">
        <v>2517</v>
      </c>
      <c r="J2888" s="13" t="n">
        <v>6</v>
      </c>
      <c r="K2888" s="13" t="s">
        <v>2478</v>
      </c>
      <c r="L2888" s="13" t="s">
        <v>2265</v>
      </c>
      <c r="M2888" s="13" t="s">
        <v>2518</v>
      </c>
    </row>
    <row r="2889" customFormat="false" ht="15" hidden="false" customHeight="false" outlineLevel="0" collapsed="false">
      <c r="A2889" s="13" t="s">
        <v>628</v>
      </c>
      <c r="B2889" s="13" t="s">
        <v>627</v>
      </c>
      <c r="C2889" s="13" t="s">
        <v>2264</v>
      </c>
      <c r="D2889" s="13" t="s">
        <v>2270</v>
      </c>
      <c r="E2889" s="13" t="s">
        <v>2522</v>
      </c>
      <c r="F2889" s="13" t="s">
        <v>2533</v>
      </c>
      <c r="G2889" s="61" t="n">
        <v>0</v>
      </c>
      <c r="H2889" s="13" t="s">
        <v>2255</v>
      </c>
      <c r="I2889" s="13" t="s">
        <v>2517</v>
      </c>
      <c r="J2889" s="13" t="n">
        <v>6</v>
      </c>
      <c r="K2889" s="13" t="s">
        <v>2478</v>
      </c>
      <c r="L2889" s="13" t="s">
        <v>2265</v>
      </c>
      <c r="M2889" s="13" t="s">
        <v>2518</v>
      </c>
    </row>
    <row r="2890" customFormat="false" ht="15" hidden="false" customHeight="false" outlineLevel="0" collapsed="false">
      <c r="A2890" s="13" t="s">
        <v>628</v>
      </c>
      <c r="B2890" s="13" t="s">
        <v>627</v>
      </c>
      <c r="C2890" s="13" t="s">
        <v>2264</v>
      </c>
      <c r="D2890" s="13" t="s">
        <v>2270</v>
      </c>
      <c r="E2890" s="13" t="s">
        <v>2523</v>
      </c>
      <c r="F2890" s="13" t="s">
        <v>2533</v>
      </c>
      <c r="G2890" s="61" t="n">
        <v>44975471</v>
      </c>
      <c r="H2890" s="13" t="s">
        <v>2255</v>
      </c>
      <c r="I2890" s="13" t="s">
        <v>2517</v>
      </c>
      <c r="J2890" s="13" t="n">
        <v>6</v>
      </c>
      <c r="K2890" s="13" t="s">
        <v>2478</v>
      </c>
      <c r="L2890" s="13" t="s">
        <v>2265</v>
      </c>
      <c r="M2890" s="13" t="s">
        <v>2518</v>
      </c>
    </row>
    <row r="2891" customFormat="false" ht="15" hidden="false" customHeight="false" outlineLevel="0" collapsed="false">
      <c r="A2891" s="13" t="s">
        <v>628</v>
      </c>
      <c r="B2891" s="13" t="s">
        <v>627</v>
      </c>
      <c r="C2891" s="13" t="s">
        <v>2264</v>
      </c>
      <c r="D2891" s="13" t="s">
        <v>2270</v>
      </c>
      <c r="E2891" s="13" t="s">
        <v>2524</v>
      </c>
      <c r="F2891" s="13" t="s">
        <v>2533</v>
      </c>
      <c r="G2891" s="61" t="n">
        <v>2302898586</v>
      </c>
      <c r="H2891" s="13" t="s">
        <v>2255</v>
      </c>
      <c r="I2891" s="13" t="s">
        <v>2517</v>
      </c>
      <c r="J2891" s="13" t="n">
        <v>6</v>
      </c>
      <c r="K2891" s="13" t="s">
        <v>2478</v>
      </c>
      <c r="L2891" s="13" t="s">
        <v>2265</v>
      </c>
      <c r="M2891" s="13" t="s">
        <v>2518</v>
      </c>
    </row>
    <row r="2892" customFormat="false" ht="15" hidden="false" customHeight="false" outlineLevel="0" collapsed="false">
      <c r="A2892" s="13" t="s">
        <v>628</v>
      </c>
      <c r="B2892" s="13" t="s">
        <v>627</v>
      </c>
      <c r="C2892" s="13" t="s">
        <v>2264</v>
      </c>
      <c r="D2892" s="13" t="s">
        <v>2270</v>
      </c>
      <c r="E2892" s="13" t="s">
        <v>2515</v>
      </c>
      <c r="F2892" s="13" t="s">
        <v>2534</v>
      </c>
      <c r="G2892" s="61" t="n">
        <v>-76908346</v>
      </c>
      <c r="H2892" s="13" t="s">
        <v>2255</v>
      </c>
      <c r="I2892" s="13" t="s">
        <v>2517</v>
      </c>
      <c r="J2892" s="13" t="n">
        <v>6</v>
      </c>
      <c r="K2892" s="13" t="s">
        <v>2478</v>
      </c>
      <c r="L2892" s="13" t="s">
        <v>2265</v>
      </c>
      <c r="M2892" s="13" t="s">
        <v>2518</v>
      </c>
    </row>
    <row r="2893" customFormat="false" ht="15" hidden="false" customHeight="false" outlineLevel="0" collapsed="false">
      <c r="A2893" s="13" t="s">
        <v>628</v>
      </c>
      <c r="B2893" s="13" t="s">
        <v>627</v>
      </c>
      <c r="C2893" s="13" t="s">
        <v>2264</v>
      </c>
      <c r="D2893" s="13" t="s">
        <v>2270</v>
      </c>
      <c r="E2893" s="13" t="s">
        <v>2519</v>
      </c>
      <c r="F2893" s="13" t="s">
        <v>2534</v>
      </c>
      <c r="G2893" s="61" t="n">
        <v>0</v>
      </c>
      <c r="H2893" s="13" t="s">
        <v>2255</v>
      </c>
      <c r="I2893" s="13" t="s">
        <v>2517</v>
      </c>
      <c r="J2893" s="13" t="n">
        <v>6</v>
      </c>
      <c r="K2893" s="13" t="s">
        <v>2478</v>
      </c>
      <c r="L2893" s="13" t="s">
        <v>2265</v>
      </c>
      <c r="M2893" s="13" t="s">
        <v>2518</v>
      </c>
    </row>
    <row r="2894" customFormat="false" ht="15" hidden="false" customHeight="false" outlineLevel="0" collapsed="false">
      <c r="A2894" s="13" t="s">
        <v>628</v>
      </c>
      <c r="B2894" s="13" t="s">
        <v>627</v>
      </c>
      <c r="C2894" s="13" t="s">
        <v>2264</v>
      </c>
      <c r="D2894" s="13" t="s">
        <v>2270</v>
      </c>
      <c r="E2894" s="13" t="s">
        <v>2520</v>
      </c>
      <c r="F2894" s="13" t="s">
        <v>2534</v>
      </c>
      <c r="G2894" s="61" t="n">
        <v>0</v>
      </c>
      <c r="H2894" s="13" t="s">
        <v>2255</v>
      </c>
      <c r="I2894" s="13" t="s">
        <v>2517</v>
      </c>
      <c r="J2894" s="13" t="n">
        <v>6</v>
      </c>
      <c r="K2894" s="13" t="s">
        <v>2478</v>
      </c>
      <c r="L2894" s="13" t="s">
        <v>2265</v>
      </c>
      <c r="M2894" s="13" t="s">
        <v>2518</v>
      </c>
    </row>
    <row r="2895" customFormat="false" ht="15" hidden="false" customHeight="false" outlineLevel="0" collapsed="false">
      <c r="A2895" s="13" t="s">
        <v>628</v>
      </c>
      <c r="B2895" s="13" t="s">
        <v>627</v>
      </c>
      <c r="C2895" s="13" t="s">
        <v>2264</v>
      </c>
      <c r="D2895" s="13" t="s">
        <v>2270</v>
      </c>
      <c r="E2895" s="13" t="s">
        <v>2521</v>
      </c>
      <c r="F2895" s="13" t="s">
        <v>2534</v>
      </c>
      <c r="G2895" s="61" t="n">
        <v>-53724609</v>
      </c>
      <c r="H2895" s="13" t="s">
        <v>2255</v>
      </c>
      <c r="I2895" s="13" t="s">
        <v>2517</v>
      </c>
      <c r="J2895" s="13" t="n">
        <v>6</v>
      </c>
      <c r="K2895" s="13" t="s">
        <v>2478</v>
      </c>
      <c r="L2895" s="13" t="s">
        <v>2265</v>
      </c>
      <c r="M2895" s="13" t="s">
        <v>2518</v>
      </c>
    </row>
    <row r="2896" customFormat="false" ht="15" hidden="false" customHeight="false" outlineLevel="0" collapsed="false">
      <c r="A2896" s="13" t="s">
        <v>628</v>
      </c>
      <c r="B2896" s="13" t="s">
        <v>627</v>
      </c>
      <c r="C2896" s="13" t="s">
        <v>2264</v>
      </c>
      <c r="D2896" s="13" t="s">
        <v>2270</v>
      </c>
      <c r="E2896" s="13" t="s">
        <v>2522</v>
      </c>
      <c r="F2896" s="13" t="s">
        <v>2534</v>
      </c>
      <c r="G2896" s="61" t="n">
        <v>0</v>
      </c>
      <c r="H2896" s="13" t="s">
        <v>2255</v>
      </c>
      <c r="I2896" s="13" t="s">
        <v>2517</v>
      </c>
      <c r="J2896" s="13" t="n">
        <v>6</v>
      </c>
      <c r="K2896" s="13" t="s">
        <v>2478</v>
      </c>
      <c r="L2896" s="13" t="s">
        <v>2265</v>
      </c>
      <c r="M2896" s="13" t="s">
        <v>2518</v>
      </c>
    </row>
    <row r="2897" customFormat="false" ht="15" hidden="false" customHeight="false" outlineLevel="0" collapsed="false">
      <c r="A2897" s="13" t="s">
        <v>628</v>
      </c>
      <c r="B2897" s="13" t="s">
        <v>627</v>
      </c>
      <c r="C2897" s="13" t="s">
        <v>2264</v>
      </c>
      <c r="D2897" s="13" t="s">
        <v>2270</v>
      </c>
      <c r="E2897" s="13" t="s">
        <v>2523</v>
      </c>
      <c r="F2897" s="13" t="s">
        <v>2534</v>
      </c>
      <c r="G2897" s="61" t="n">
        <v>1159835</v>
      </c>
      <c r="H2897" s="13" t="s">
        <v>2255</v>
      </c>
      <c r="I2897" s="13" t="s">
        <v>2517</v>
      </c>
      <c r="J2897" s="13" t="n">
        <v>6</v>
      </c>
      <c r="K2897" s="13" t="s">
        <v>2478</v>
      </c>
      <c r="L2897" s="13" t="s">
        <v>2265</v>
      </c>
      <c r="M2897" s="13" t="s">
        <v>2518</v>
      </c>
    </row>
    <row r="2898" customFormat="false" ht="15" hidden="false" customHeight="false" outlineLevel="0" collapsed="false">
      <c r="A2898" s="13" t="s">
        <v>628</v>
      </c>
      <c r="B2898" s="13" t="s">
        <v>627</v>
      </c>
      <c r="C2898" s="13" t="s">
        <v>2264</v>
      </c>
      <c r="D2898" s="13" t="s">
        <v>2270</v>
      </c>
      <c r="E2898" s="13" t="s">
        <v>2524</v>
      </c>
      <c r="F2898" s="13" t="s">
        <v>2534</v>
      </c>
      <c r="G2898" s="61" t="n">
        <v>-129473120</v>
      </c>
      <c r="H2898" s="13" t="s">
        <v>2255</v>
      </c>
      <c r="I2898" s="13" t="s">
        <v>2517</v>
      </c>
      <c r="J2898" s="13" t="n">
        <v>6</v>
      </c>
      <c r="K2898" s="13" t="s">
        <v>2478</v>
      </c>
      <c r="L2898" s="13" t="s">
        <v>2265</v>
      </c>
      <c r="M2898" s="13" t="s">
        <v>2518</v>
      </c>
    </row>
    <row r="2899" customFormat="false" ht="15" hidden="false" customHeight="false" outlineLevel="0" collapsed="false">
      <c r="A2899" s="13" t="s">
        <v>628</v>
      </c>
      <c r="B2899" s="13" t="s">
        <v>627</v>
      </c>
      <c r="C2899" s="13" t="s">
        <v>2264</v>
      </c>
      <c r="D2899" s="13" t="s">
        <v>2270</v>
      </c>
      <c r="E2899" s="13" t="s">
        <v>2515</v>
      </c>
      <c r="F2899" s="13" t="s">
        <v>2535</v>
      </c>
      <c r="G2899" s="61" t="n">
        <v>16747178</v>
      </c>
      <c r="H2899" s="13" t="s">
        <v>2255</v>
      </c>
      <c r="I2899" s="13" t="s">
        <v>2517</v>
      </c>
      <c r="J2899" s="13" t="n">
        <v>6</v>
      </c>
      <c r="K2899" s="13" t="s">
        <v>2478</v>
      </c>
      <c r="L2899" s="13" t="s">
        <v>2265</v>
      </c>
      <c r="M2899" s="13" t="s">
        <v>2518</v>
      </c>
    </row>
    <row r="2900" customFormat="false" ht="15" hidden="false" customHeight="false" outlineLevel="0" collapsed="false">
      <c r="A2900" s="13" t="s">
        <v>628</v>
      </c>
      <c r="B2900" s="13" t="s">
        <v>627</v>
      </c>
      <c r="C2900" s="13" t="s">
        <v>2264</v>
      </c>
      <c r="D2900" s="13" t="s">
        <v>2270</v>
      </c>
      <c r="E2900" s="13" t="s">
        <v>2519</v>
      </c>
      <c r="F2900" s="13" t="s">
        <v>2535</v>
      </c>
      <c r="G2900" s="61" t="n">
        <v>0</v>
      </c>
      <c r="H2900" s="13" t="s">
        <v>2255</v>
      </c>
      <c r="I2900" s="13" t="s">
        <v>2517</v>
      </c>
      <c r="J2900" s="13" t="n">
        <v>6</v>
      </c>
      <c r="K2900" s="13" t="s">
        <v>2478</v>
      </c>
      <c r="L2900" s="13" t="s">
        <v>2265</v>
      </c>
      <c r="M2900" s="13" t="s">
        <v>2518</v>
      </c>
    </row>
    <row r="2901" customFormat="false" ht="15" hidden="false" customHeight="false" outlineLevel="0" collapsed="false">
      <c r="A2901" s="13" t="s">
        <v>628</v>
      </c>
      <c r="B2901" s="13" t="s">
        <v>627</v>
      </c>
      <c r="C2901" s="13" t="s">
        <v>2264</v>
      </c>
      <c r="D2901" s="13" t="s">
        <v>2270</v>
      </c>
      <c r="E2901" s="13" t="s">
        <v>2520</v>
      </c>
      <c r="F2901" s="13" t="s">
        <v>2535</v>
      </c>
      <c r="G2901" s="61" t="n">
        <v>35000000</v>
      </c>
      <c r="H2901" s="13" t="s">
        <v>2255</v>
      </c>
      <c r="I2901" s="13" t="s">
        <v>2517</v>
      </c>
      <c r="J2901" s="13" t="n">
        <v>6</v>
      </c>
      <c r="K2901" s="13" t="s">
        <v>2478</v>
      </c>
      <c r="L2901" s="13" t="s">
        <v>2265</v>
      </c>
      <c r="M2901" s="13" t="s">
        <v>2518</v>
      </c>
    </row>
    <row r="2902" customFormat="false" ht="15" hidden="false" customHeight="false" outlineLevel="0" collapsed="false">
      <c r="A2902" s="13" t="s">
        <v>628</v>
      </c>
      <c r="B2902" s="13" t="s">
        <v>627</v>
      </c>
      <c r="C2902" s="13" t="s">
        <v>2264</v>
      </c>
      <c r="D2902" s="13" t="s">
        <v>2270</v>
      </c>
      <c r="E2902" s="13" t="s">
        <v>2521</v>
      </c>
      <c r="F2902" s="13" t="s">
        <v>2535</v>
      </c>
      <c r="G2902" s="61" t="n">
        <v>-39219751</v>
      </c>
      <c r="H2902" s="13" t="s">
        <v>2255</v>
      </c>
      <c r="I2902" s="13" t="s">
        <v>2517</v>
      </c>
      <c r="J2902" s="13" t="n">
        <v>6</v>
      </c>
      <c r="K2902" s="13" t="s">
        <v>2478</v>
      </c>
      <c r="L2902" s="13" t="s">
        <v>2265</v>
      </c>
      <c r="M2902" s="13" t="s">
        <v>2518</v>
      </c>
    </row>
    <row r="2903" customFormat="false" ht="15" hidden="false" customHeight="false" outlineLevel="0" collapsed="false">
      <c r="A2903" s="13" t="s">
        <v>628</v>
      </c>
      <c r="B2903" s="13" t="s">
        <v>627</v>
      </c>
      <c r="C2903" s="13" t="s">
        <v>2264</v>
      </c>
      <c r="D2903" s="13" t="s">
        <v>2270</v>
      </c>
      <c r="E2903" s="13" t="s">
        <v>2522</v>
      </c>
      <c r="F2903" s="13" t="s">
        <v>2535</v>
      </c>
      <c r="G2903" s="61" t="n">
        <v>0</v>
      </c>
      <c r="H2903" s="13" t="s">
        <v>2255</v>
      </c>
      <c r="I2903" s="13" t="s">
        <v>2517</v>
      </c>
      <c r="J2903" s="13" t="n">
        <v>6</v>
      </c>
      <c r="K2903" s="13" t="s">
        <v>2478</v>
      </c>
      <c r="L2903" s="13" t="s">
        <v>2265</v>
      </c>
      <c r="M2903" s="13" t="s">
        <v>2518</v>
      </c>
    </row>
    <row r="2904" customFormat="false" ht="15" hidden="false" customHeight="false" outlineLevel="0" collapsed="false">
      <c r="A2904" s="13" t="s">
        <v>628</v>
      </c>
      <c r="B2904" s="13" t="s">
        <v>627</v>
      </c>
      <c r="C2904" s="13" t="s">
        <v>2264</v>
      </c>
      <c r="D2904" s="13" t="s">
        <v>2270</v>
      </c>
      <c r="E2904" s="13" t="s">
        <v>2523</v>
      </c>
      <c r="F2904" s="13" t="s">
        <v>2535</v>
      </c>
      <c r="G2904" s="61" t="n">
        <v>475</v>
      </c>
      <c r="H2904" s="13" t="s">
        <v>2255</v>
      </c>
      <c r="I2904" s="13" t="s">
        <v>2517</v>
      </c>
      <c r="J2904" s="13" t="n">
        <v>6</v>
      </c>
      <c r="K2904" s="13" t="s">
        <v>2478</v>
      </c>
      <c r="L2904" s="13" t="s">
        <v>2265</v>
      </c>
      <c r="M2904" s="13" t="s">
        <v>2518</v>
      </c>
    </row>
    <row r="2905" customFormat="false" ht="15" hidden="false" customHeight="false" outlineLevel="0" collapsed="false">
      <c r="A2905" s="13" t="s">
        <v>628</v>
      </c>
      <c r="B2905" s="13" t="s">
        <v>627</v>
      </c>
      <c r="C2905" s="13" t="s">
        <v>2264</v>
      </c>
      <c r="D2905" s="13" t="s">
        <v>2270</v>
      </c>
      <c r="E2905" s="13" t="s">
        <v>2524</v>
      </c>
      <c r="F2905" s="13" t="s">
        <v>2535</v>
      </c>
      <c r="G2905" s="61" t="n">
        <v>12527902</v>
      </c>
      <c r="H2905" s="13" t="s">
        <v>2255</v>
      </c>
      <c r="I2905" s="13" t="s">
        <v>2517</v>
      </c>
      <c r="J2905" s="13" t="n">
        <v>6</v>
      </c>
      <c r="K2905" s="13" t="s">
        <v>2478</v>
      </c>
      <c r="L2905" s="13" t="s">
        <v>2265</v>
      </c>
      <c r="M2905" s="13" t="s">
        <v>2518</v>
      </c>
    </row>
    <row r="2906" customFormat="false" ht="15" hidden="false" customHeight="false" outlineLevel="0" collapsed="false">
      <c r="A2906" s="13" t="s">
        <v>628</v>
      </c>
      <c r="B2906" s="13" t="s">
        <v>627</v>
      </c>
      <c r="C2906" s="13" t="s">
        <v>2264</v>
      </c>
      <c r="D2906" s="13" t="s">
        <v>2270</v>
      </c>
      <c r="E2906" s="13" t="s">
        <v>2515</v>
      </c>
      <c r="F2906" s="13" t="s">
        <v>2537</v>
      </c>
      <c r="G2906" s="61" t="n">
        <v>1289087934</v>
      </c>
      <c r="H2906" s="13" t="s">
        <v>2255</v>
      </c>
      <c r="I2906" s="13" t="s">
        <v>2517</v>
      </c>
      <c r="J2906" s="13" t="n">
        <v>6</v>
      </c>
      <c r="K2906" s="13" t="s">
        <v>2478</v>
      </c>
      <c r="L2906" s="13" t="s">
        <v>2265</v>
      </c>
      <c r="M2906" s="13" t="s">
        <v>2518</v>
      </c>
    </row>
    <row r="2907" customFormat="false" ht="15" hidden="false" customHeight="false" outlineLevel="0" collapsed="false">
      <c r="A2907" s="13" t="s">
        <v>628</v>
      </c>
      <c r="B2907" s="13" t="s">
        <v>627</v>
      </c>
      <c r="C2907" s="13" t="s">
        <v>2264</v>
      </c>
      <c r="D2907" s="13" t="s">
        <v>2270</v>
      </c>
      <c r="E2907" s="13" t="s">
        <v>2519</v>
      </c>
      <c r="F2907" s="13" t="s">
        <v>2537</v>
      </c>
      <c r="G2907" s="61" t="n">
        <v>0</v>
      </c>
      <c r="H2907" s="13" t="s">
        <v>2255</v>
      </c>
      <c r="I2907" s="13" t="s">
        <v>2517</v>
      </c>
      <c r="J2907" s="13" t="n">
        <v>6</v>
      </c>
      <c r="K2907" s="13" t="s">
        <v>2478</v>
      </c>
      <c r="L2907" s="13" t="s">
        <v>2265</v>
      </c>
      <c r="M2907" s="13" t="s">
        <v>2518</v>
      </c>
    </row>
    <row r="2908" customFormat="false" ht="15" hidden="false" customHeight="false" outlineLevel="0" collapsed="false">
      <c r="A2908" s="13" t="s">
        <v>628</v>
      </c>
      <c r="B2908" s="13" t="s">
        <v>627</v>
      </c>
      <c r="C2908" s="13" t="s">
        <v>2264</v>
      </c>
      <c r="D2908" s="13" t="s">
        <v>2270</v>
      </c>
      <c r="E2908" s="13" t="s">
        <v>2520</v>
      </c>
      <c r="F2908" s="13" t="s">
        <v>2537</v>
      </c>
      <c r="G2908" s="61" t="n">
        <v>0</v>
      </c>
      <c r="H2908" s="13" t="s">
        <v>2255</v>
      </c>
      <c r="I2908" s="13" t="s">
        <v>2517</v>
      </c>
      <c r="J2908" s="13" t="n">
        <v>6</v>
      </c>
      <c r="K2908" s="13" t="s">
        <v>2478</v>
      </c>
      <c r="L2908" s="13" t="s">
        <v>2265</v>
      </c>
      <c r="M2908" s="13" t="s">
        <v>2518</v>
      </c>
    </row>
    <row r="2909" customFormat="false" ht="15" hidden="false" customHeight="false" outlineLevel="0" collapsed="false">
      <c r="A2909" s="13" t="s">
        <v>628</v>
      </c>
      <c r="B2909" s="13" t="s">
        <v>627</v>
      </c>
      <c r="C2909" s="13" t="s">
        <v>2264</v>
      </c>
      <c r="D2909" s="13" t="s">
        <v>2270</v>
      </c>
      <c r="E2909" s="13" t="s">
        <v>2521</v>
      </c>
      <c r="F2909" s="13" t="s">
        <v>2537</v>
      </c>
      <c r="G2909" s="61" t="n">
        <v>-26634753</v>
      </c>
      <c r="H2909" s="13" t="s">
        <v>2255</v>
      </c>
      <c r="I2909" s="13" t="s">
        <v>2517</v>
      </c>
      <c r="J2909" s="13" t="n">
        <v>6</v>
      </c>
      <c r="K2909" s="13" t="s">
        <v>2478</v>
      </c>
      <c r="L2909" s="13" t="s">
        <v>2265</v>
      </c>
      <c r="M2909" s="13" t="s">
        <v>2518</v>
      </c>
    </row>
    <row r="2910" customFormat="false" ht="15" hidden="false" customHeight="false" outlineLevel="0" collapsed="false">
      <c r="A2910" s="13" t="s">
        <v>628</v>
      </c>
      <c r="B2910" s="13" t="s">
        <v>627</v>
      </c>
      <c r="C2910" s="13" t="s">
        <v>2264</v>
      </c>
      <c r="D2910" s="13" t="s">
        <v>2270</v>
      </c>
      <c r="E2910" s="13" t="s">
        <v>2522</v>
      </c>
      <c r="F2910" s="13" t="s">
        <v>2537</v>
      </c>
      <c r="G2910" s="61" t="n">
        <v>0</v>
      </c>
      <c r="H2910" s="13" t="s">
        <v>2255</v>
      </c>
      <c r="I2910" s="13" t="s">
        <v>2517</v>
      </c>
      <c r="J2910" s="13" t="n">
        <v>6</v>
      </c>
      <c r="K2910" s="13" t="s">
        <v>2478</v>
      </c>
      <c r="L2910" s="13" t="s">
        <v>2265</v>
      </c>
      <c r="M2910" s="13" t="s">
        <v>2518</v>
      </c>
    </row>
    <row r="2911" customFormat="false" ht="15" hidden="false" customHeight="false" outlineLevel="0" collapsed="false">
      <c r="A2911" s="13" t="s">
        <v>628</v>
      </c>
      <c r="B2911" s="13" t="s">
        <v>627</v>
      </c>
      <c r="C2911" s="13" t="s">
        <v>2264</v>
      </c>
      <c r="D2911" s="13" t="s">
        <v>2270</v>
      </c>
      <c r="E2911" s="13" t="s">
        <v>2523</v>
      </c>
      <c r="F2911" s="13" t="s">
        <v>2537</v>
      </c>
      <c r="G2911" s="61" t="n">
        <v>0</v>
      </c>
      <c r="H2911" s="13" t="s">
        <v>2255</v>
      </c>
      <c r="I2911" s="13" t="s">
        <v>2517</v>
      </c>
      <c r="J2911" s="13" t="n">
        <v>6</v>
      </c>
      <c r="K2911" s="13" t="s">
        <v>2478</v>
      </c>
      <c r="L2911" s="13" t="s">
        <v>2265</v>
      </c>
      <c r="M2911" s="13" t="s">
        <v>2518</v>
      </c>
    </row>
    <row r="2912" customFormat="false" ht="15" hidden="false" customHeight="false" outlineLevel="0" collapsed="false">
      <c r="A2912" s="13" t="s">
        <v>628</v>
      </c>
      <c r="B2912" s="13" t="s">
        <v>627</v>
      </c>
      <c r="C2912" s="13" t="s">
        <v>2264</v>
      </c>
      <c r="D2912" s="13" t="s">
        <v>2270</v>
      </c>
      <c r="E2912" s="13" t="s">
        <v>2524</v>
      </c>
      <c r="F2912" s="13" t="s">
        <v>2537</v>
      </c>
      <c r="G2912" s="61" t="n">
        <v>1262453181</v>
      </c>
      <c r="H2912" s="13" t="s">
        <v>2255</v>
      </c>
      <c r="I2912" s="13" t="s">
        <v>2517</v>
      </c>
      <c r="J2912" s="13" t="n">
        <v>6</v>
      </c>
      <c r="K2912" s="13" t="s">
        <v>2478</v>
      </c>
      <c r="L2912" s="13" t="s">
        <v>2265</v>
      </c>
      <c r="M2912" s="13" t="s">
        <v>2518</v>
      </c>
    </row>
    <row r="2913" customFormat="false" ht="15" hidden="false" customHeight="false" outlineLevel="0" collapsed="false">
      <c r="A2913" s="13" t="s">
        <v>628</v>
      </c>
      <c r="B2913" s="13" t="s">
        <v>627</v>
      </c>
      <c r="C2913" s="13" t="s">
        <v>2264</v>
      </c>
      <c r="D2913" s="13" t="s">
        <v>2270</v>
      </c>
      <c r="E2913" s="13" t="s">
        <v>2515</v>
      </c>
      <c r="F2913" s="13" t="s">
        <v>2538</v>
      </c>
      <c r="G2913" s="61" t="n">
        <v>25000000</v>
      </c>
      <c r="H2913" s="13" t="s">
        <v>2255</v>
      </c>
      <c r="I2913" s="13" t="s">
        <v>2517</v>
      </c>
      <c r="J2913" s="13" t="n">
        <v>6</v>
      </c>
      <c r="K2913" s="13" t="s">
        <v>2478</v>
      </c>
      <c r="L2913" s="13" t="s">
        <v>2265</v>
      </c>
      <c r="M2913" s="13" t="s">
        <v>2518</v>
      </c>
    </row>
    <row r="2914" customFormat="false" ht="15" hidden="false" customHeight="false" outlineLevel="0" collapsed="false">
      <c r="A2914" s="13" t="s">
        <v>628</v>
      </c>
      <c r="B2914" s="13" t="s">
        <v>627</v>
      </c>
      <c r="C2914" s="13" t="s">
        <v>2264</v>
      </c>
      <c r="D2914" s="13" t="s">
        <v>2270</v>
      </c>
      <c r="E2914" s="13" t="s">
        <v>2519</v>
      </c>
      <c r="F2914" s="13" t="s">
        <v>2538</v>
      </c>
      <c r="G2914" s="61" t="n">
        <v>0</v>
      </c>
      <c r="H2914" s="13" t="s">
        <v>2255</v>
      </c>
      <c r="I2914" s="13" t="s">
        <v>2517</v>
      </c>
      <c r="J2914" s="13" t="n">
        <v>6</v>
      </c>
      <c r="K2914" s="13" t="s">
        <v>2478</v>
      </c>
      <c r="L2914" s="13" t="s">
        <v>2265</v>
      </c>
      <c r="M2914" s="13" t="s">
        <v>2518</v>
      </c>
    </row>
    <row r="2915" customFormat="false" ht="15" hidden="false" customHeight="false" outlineLevel="0" collapsed="false">
      <c r="A2915" s="13" t="s">
        <v>628</v>
      </c>
      <c r="B2915" s="13" t="s">
        <v>627</v>
      </c>
      <c r="C2915" s="13" t="s">
        <v>2264</v>
      </c>
      <c r="D2915" s="13" t="s">
        <v>2270</v>
      </c>
      <c r="E2915" s="13" t="s">
        <v>2520</v>
      </c>
      <c r="F2915" s="13" t="s">
        <v>2538</v>
      </c>
      <c r="G2915" s="61" t="n">
        <v>0</v>
      </c>
      <c r="H2915" s="13" t="s">
        <v>2255</v>
      </c>
      <c r="I2915" s="13" t="s">
        <v>2517</v>
      </c>
      <c r="J2915" s="13" t="n">
        <v>6</v>
      </c>
      <c r="K2915" s="13" t="s">
        <v>2478</v>
      </c>
      <c r="L2915" s="13" t="s">
        <v>2265</v>
      </c>
      <c r="M2915" s="13" t="s">
        <v>2518</v>
      </c>
    </row>
    <row r="2916" customFormat="false" ht="15" hidden="false" customHeight="false" outlineLevel="0" collapsed="false">
      <c r="A2916" s="13" t="s">
        <v>628</v>
      </c>
      <c r="B2916" s="13" t="s">
        <v>627</v>
      </c>
      <c r="C2916" s="13" t="s">
        <v>2264</v>
      </c>
      <c r="D2916" s="13" t="s">
        <v>2270</v>
      </c>
      <c r="E2916" s="13" t="s">
        <v>2521</v>
      </c>
      <c r="F2916" s="13" t="s">
        <v>2538</v>
      </c>
      <c r="G2916" s="61" t="n">
        <v>0</v>
      </c>
      <c r="H2916" s="13" t="s">
        <v>2255</v>
      </c>
      <c r="I2916" s="13" t="s">
        <v>2517</v>
      </c>
      <c r="J2916" s="13" t="n">
        <v>6</v>
      </c>
      <c r="K2916" s="13" t="s">
        <v>2478</v>
      </c>
      <c r="L2916" s="13" t="s">
        <v>2265</v>
      </c>
      <c r="M2916" s="13" t="s">
        <v>2518</v>
      </c>
    </row>
    <row r="2917" customFormat="false" ht="15" hidden="false" customHeight="false" outlineLevel="0" collapsed="false">
      <c r="A2917" s="13" t="s">
        <v>628</v>
      </c>
      <c r="B2917" s="13" t="s">
        <v>627</v>
      </c>
      <c r="C2917" s="13" t="s">
        <v>2264</v>
      </c>
      <c r="D2917" s="13" t="s">
        <v>2270</v>
      </c>
      <c r="E2917" s="13" t="s">
        <v>2522</v>
      </c>
      <c r="F2917" s="13" t="s">
        <v>2538</v>
      </c>
      <c r="G2917" s="61" t="n">
        <v>0</v>
      </c>
      <c r="H2917" s="13" t="s">
        <v>2255</v>
      </c>
      <c r="I2917" s="13" t="s">
        <v>2517</v>
      </c>
      <c r="J2917" s="13" t="n">
        <v>6</v>
      </c>
      <c r="K2917" s="13" t="s">
        <v>2478</v>
      </c>
      <c r="L2917" s="13" t="s">
        <v>2265</v>
      </c>
      <c r="M2917" s="13" t="s">
        <v>2518</v>
      </c>
    </row>
    <row r="2918" customFormat="false" ht="15" hidden="false" customHeight="false" outlineLevel="0" collapsed="false">
      <c r="A2918" s="13" t="s">
        <v>628</v>
      </c>
      <c r="B2918" s="13" t="s">
        <v>627</v>
      </c>
      <c r="C2918" s="13" t="s">
        <v>2264</v>
      </c>
      <c r="D2918" s="13" t="s">
        <v>2270</v>
      </c>
      <c r="E2918" s="13" t="s">
        <v>2523</v>
      </c>
      <c r="F2918" s="13" t="s">
        <v>2538</v>
      </c>
      <c r="G2918" s="61" t="n">
        <v>0</v>
      </c>
      <c r="H2918" s="13" t="s">
        <v>2255</v>
      </c>
      <c r="I2918" s="13" t="s">
        <v>2517</v>
      </c>
      <c r="J2918" s="13" t="n">
        <v>6</v>
      </c>
      <c r="K2918" s="13" t="s">
        <v>2478</v>
      </c>
      <c r="L2918" s="13" t="s">
        <v>2265</v>
      </c>
      <c r="M2918" s="13" t="s">
        <v>2518</v>
      </c>
    </row>
    <row r="2919" customFormat="false" ht="15" hidden="false" customHeight="false" outlineLevel="0" collapsed="false">
      <c r="A2919" s="13" t="s">
        <v>628</v>
      </c>
      <c r="B2919" s="13" t="s">
        <v>627</v>
      </c>
      <c r="C2919" s="13" t="s">
        <v>2264</v>
      </c>
      <c r="D2919" s="13" t="s">
        <v>2270</v>
      </c>
      <c r="E2919" s="13" t="s">
        <v>2524</v>
      </c>
      <c r="F2919" s="13" t="s">
        <v>2538</v>
      </c>
      <c r="G2919" s="61" t="n">
        <v>25000000</v>
      </c>
      <c r="H2919" s="13" t="s">
        <v>2255</v>
      </c>
      <c r="I2919" s="13" t="s">
        <v>2517</v>
      </c>
      <c r="J2919" s="13" t="n">
        <v>6</v>
      </c>
      <c r="K2919" s="13" t="s">
        <v>2478</v>
      </c>
      <c r="L2919" s="13" t="s">
        <v>2265</v>
      </c>
      <c r="M2919" s="13" t="s">
        <v>2518</v>
      </c>
    </row>
    <row r="2920" customFormat="false" ht="15" hidden="false" customHeight="false" outlineLevel="0" collapsed="false">
      <c r="A2920" s="13" t="s">
        <v>628</v>
      </c>
      <c r="B2920" s="13" t="s">
        <v>627</v>
      </c>
      <c r="C2920" s="13" t="s">
        <v>2264</v>
      </c>
      <c r="D2920" s="13" t="s">
        <v>2270</v>
      </c>
      <c r="E2920" s="13" t="s">
        <v>2515</v>
      </c>
      <c r="F2920" s="13" t="s">
        <v>2539</v>
      </c>
      <c r="G2920" s="61" t="n">
        <v>-39132693248</v>
      </c>
      <c r="H2920" s="13" t="s">
        <v>2255</v>
      </c>
      <c r="I2920" s="13" t="s">
        <v>2517</v>
      </c>
      <c r="J2920" s="13" t="n">
        <v>6</v>
      </c>
      <c r="K2920" s="13" t="s">
        <v>2478</v>
      </c>
      <c r="L2920" s="13" t="s">
        <v>2265</v>
      </c>
      <c r="M2920" s="13" t="s">
        <v>2518</v>
      </c>
    </row>
    <row r="2921" customFormat="false" ht="15" hidden="false" customHeight="false" outlineLevel="0" collapsed="false">
      <c r="A2921" s="13" t="s">
        <v>628</v>
      </c>
      <c r="B2921" s="13" t="s">
        <v>627</v>
      </c>
      <c r="C2921" s="13" t="s">
        <v>2264</v>
      </c>
      <c r="D2921" s="13" t="s">
        <v>2270</v>
      </c>
      <c r="E2921" s="13" t="s">
        <v>2519</v>
      </c>
      <c r="F2921" s="13" t="s">
        <v>2539</v>
      </c>
      <c r="G2921" s="61" t="n">
        <v>0</v>
      </c>
      <c r="H2921" s="13" t="s">
        <v>2255</v>
      </c>
      <c r="I2921" s="13" t="s">
        <v>2517</v>
      </c>
      <c r="J2921" s="13" t="n">
        <v>6</v>
      </c>
      <c r="K2921" s="13" t="s">
        <v>2478</v>
      </c>
      <c r="L2921" s="13" t="s">
        <v>2265</v>
      </c>
      <c r="M2921" s="13" t="s">
        <v>2518</v>
      </c>
    </row>
    <row r="2922" customFormat="false" ht="15" hidden="false" customHeight="false" outlineLevel="0" collapsed="false">
      <c r="A2922" s="13" t="s">
        <v>628</v>
      </c>
      <c r="B2922" s="13" t="s">
        <v>627</v>
      </c>
      <c r="C2922" s="13" t="s">
        <v>2264</v>
      </c>
      <c r="D2922" s="13" t="s">
        <v>2270</v>
      </c>
      <c r="E2922" s="13" t="s">
        <v>2520</v>
      </c>
      <c r="F2922" s="13" t="s">
        <v>2539</v>
      </c>
      <c r="G2922" s="61" t="n">
        <v>0</v>
      </c>
      <c r="H2922" s="13" t="s">
        <v>2255</v>
      </c>
      <c r="I2922" s="13" t="s">
        <v>2517</v>
      </c>
      <c r="J2922" s="13" t="n">
        <v>6</v>
      </c>
      <c r="K2922" s="13" t="s">
        <v>2478</v>
      </c>
      <c r="L2922" s="13" t="s">
        <v>2265</v>
      </c>
      <c r="M2922" s="13" t="s">
        <v>2518</v>
      </c>
    </row>
    <row r="2923" customFormat="false" ht="15" hidden="false" customHeight="false" outlineLevel="0" collapsed="false">
      <c r="A2923" s="13" t="s">
        <v>628</v>
      </c>
      <c r="B2923" s="13" t="s">
        <v>627</v>
      </c>
      <c r="C2923" s="13" t="s">
        <v>2264</v>
      </c>
      <c r="D2923" s="13" t="s">
        <v>2270</v>
      </c>
      <c r="E2923" s="13" t="s">
        <v>2521</v>
      </c>
      <c r="F2923" s="13" t="s">
        <v>2539</v>
      </c>
      <c r="G2923" s="61" t="n">
        <v>59245862</v>
      </c>
      <c r="H2923" s="13" t="s">
        <v>2255</v>
      </c>
      <c r="I2923" s="13" t="s">
        <v>2517</v>
      </c>
      <c r="J2923" s="13" t="n">
        <v>6</v>
      </c>
      <c r="K2923" s="13" t="s">
        <v>2478</v>
      </c>
      <c r="L2923" s="13" t="s">
        <v>2265</v>
      </c>
      <c r="M2923" s="13" t="s">
        <v>2518</v>
      </c>
    </row>
    <row r="2924" customFormat="false" ht="15" hidden="false" customHeight="false" outlineLevel="0" collapsed="false">
      <c r="A2924" s="13" t="s">
        <v>628</v>
      </c>
      <c r="B2924" s="13" t="s">
        <v>627</v>
      </c>
      <c r="C2924" s="13" t="s">
        <v>2264</v>
      </c>
      <c r="D2924" s="13" t="s">
        <v>2270</v>
      </c>
      <c r="E2924" s="13" t="s">
        <v>2522</v>
      </c>
      <c r="F2924" s="13" t="s">
        <v>2539</v>
      </c>
      <c r="G2924" s="61" t="n">
        <v>0</v>
      </c>
      <c r="H2924" s="13" t="s">
        <v>2255</v>
      </c>
      <c r="I2924" s="13" t="s">
        <v>2517</v>
      </c>
      <c r="J2924" s="13" t="n">
        <v>6</v>
      </c>
      <c r="K2924" s="13" t="s">
        <v>2478</v>
      </c>
      <c r="L2924" s="13" t="s">
        <v>2265</v>
      </c>
      <c r="M2924" s="13" t="s">
        <v>2518</v>
      </c>
    </row>
    <row r="2925" customFormat="false" ht="15" hidden="false" customHeight="false" outlineLevel="0" collapsed="false">
      <c r="A2925" s="13" t="s">
        <v>628</v>
      </c>
      <c r="B2925" s="13" t="s">
        <v>627</v>
      </c>
      <c r="C2925" s="13" t="s">
        <v>2264</v>
      </c>
      <c r="D2925" s="13" t="s">
        <v>2270</v>
      </c>
      <c r="E2925" s="13" t="s">
        <v>2523</v>
      </c>
      <c r="F2925" s="13" t="s">
        <v>2539</v>
      </c>
      <c r="G2925" s="61" t="n">
        <v>4621825</v>
      </c>
      <c r="H2925" s="13" t="s">
        <v>2255</v>
      </c>
      <c r="I2925" s="13" t="s">
        <v>2517</v>
      </c>
      <c r="J2925" s="13" t="n">
        <v>6</v>
      </c>
      <c r="K2925" s="13" t="s">
        <v>2478</v>
      </c>
      <c r="L2925" s="13" t="s">
        <v>2265</v>
      </c>
      <c r="M2925" s="13" t="s">
        <v>2518</v>
      </c>
    </row>
    <row r="2926" customFormat="false" ht="15" hidden="false" customHeight="false" outlineLevel="0" collapsed="false">
      <c r="A2926" s="13" t="s">
        <v>628</v>
      </c>
      <c r="B2926" s="13" t="s">
        <v>627</v>
      </c>
      <c r="C2926" s="13" t="s">
        <v>2264</v>
      </c>
      <c r="D2926" s="13" t="s">
        <v>2270</v>
      </c>
      <c r="E2926" s="13" t="s">
        <v>2524</v>
      </c>
      <c r="F2926" s="13" t="s">
        <v>2539</v>
      </c>
      <c r="G2926" s="61" t="n">
        <v>-39068825561</v>
      </c>
      <c r="H2926" s="13" t="s">
        <v>2255</v>
      </c>
      <c r="I2926" s="13" t="s">
        <v>2517</v>
      </c>
      <c r="J2926" s="13" t="n">
        <v>6</v>
      </c>
      <c r="K2926" s="13" t="s">
        <v>2478</v>
      </c>
      <c r="L2926" s="13" t="s">
        <v>2265</v>
      </c>
      <c r="M2926" s="13" t="s">
        <v>2518</v>
      </c>
    </row>
    <row r="2927" customFormat="false" ht="15" hidden="false" customHeight="false" outlineLevel="0" collapsed="false">
      <c r="A2927" s="13" t="s">
        <v>628</v>
      </c>
      <c r="B2927" s="13" t="s">
        <v>627</v>
      </c>
      <c r="C2927" s="13" t="s">
        <v>2264</v>
      </c>
      <c r="D2927" s="13" t="s">
        <v>2270</v>
      </c>
      <c r="E2927" s="13" t="s">
        <v>2515</v>
      </c>
      <c r="F2927" s="13" t="s">
        <v>2536</v>
      </c>
      <c r="G2927" s="61" t="n">
        <v>70764969936</v>
      </c>
      <c r="H2927" s="13" t="s">
        <v>2255</v>
      </c>
      <c r="I2927" s="13" t="s">
        <v>2517</v>
      </c>
      <c r="J2927" s="13" t="n">
        <v>6</v>
      </c>
      <c r="K2927" s="13" t="s">
        <v>2478</v>
      </c>
      <c r="L2927" s="13" t="s">
        <v>2265</v>
      </c>
      <c r="M2927" s="13" t="s">
        <v>2518</v>
      </c>
    </row>
    <row r="2928" customFormat="false" ht="15" hidden="false" customHeight="false" outlineLevel="0" collapsed="false">
      <c r="A2928" s="13" t="s">
        <v>628</v>
      </c>
      <c r="B2928" s="13" t="s">
        <v>627</v>
      </c>
      <c r="C2928" s="13" t="s">
        <v>2264</v>
      </c>
      <c r="D2928" s="13" t="s">
        <v>2270</v>
      </c>
      <c r="E2928" s="13" t="s">
        <v>2519</v>
      </c>
      <c r="F2928" s="13" t="s">
        <v>2536</v>
      </c>
      <c r="G2928" s="61" t="n">
        <v>0</v>
      </c>
      <c r="H2928" s="13" t="s">
        <v>2255</v>
      </c>
      <c r="I2928" s="13" t="s">
        <v>2517</v>
      </c>
      <c r="J2928" s="13" t="n">
        <v>6</v>
      </c>
      <c r="K2928" s="13" t="s">
        <v>2478</v>
      </c>
      <c r="L2928" s="13" t="s">
        <v>2265</v>
      </c>
      <c r="M2928" s="13" t="s">
        <v>2518</v>
      </c>
    </row>
    <row r="2929" customFormat="false" ht="15" hidden="false" customHeight="false" outlineLevel="0" collapsed="false">
      <c r="A2929" s="13" t="s">
        <v>628</v>
      </c>
      <c r="B2929" s="13" t="s">
        <v>627</v>
      </c>
      <c r="C2929" s="13" t="s">
        <v>2264</v>
      </c>
      <c r="D2929" s="13" t="s">
        <v>2270</v>
      </c>
      <c r="E2929" s="13" t="s">
        <v>2520</v>
      </c>
      <c r="F2929" s="13" t="s">
        <v>2536</v>
      </c>
      <c r="G2929" s="61" t="n">
        <v>0</v>
      </c>
      <c r="H2929" s="13" t="s">
        <v>2255</v>
      </c>
      <c r="I2929" s="13" t="s">
        <v>2517</v>
      </c>
      <c r="J2929" s="13" t="n">
        <v>6</v>
      </c>
      <c r="K2929" s="13" t="s">
        <v>2478</v>
      </c>
      <c r="L2929" s="13" t="s">
        <v>2265</v>
      </c>
      <c r="M2929" s="13" t="s">
        <v>2518</v>
      </c>
    </row>
    <row r="2930" customFormat="false" ht="15" hidden="false" customHeight="false" outlineLevel="0" collapsed="false">
      <c r="A2930" s="13" t="s">
        <v>628</v>
      </c>
      <c r="B2930" s="13" t="s">
        <v>627</v>
      </c>
      <c r="C2930" s="13" t="s">
        <v>2264</v>
      </c>
      <c r="D2930" s="13" t="s">
        <v>2270</v>
      </c>
      <c r="E2930" s="13" t="s">
        <v>2521</v>
      </c>
      <c r="F2930" s="13" t="s">
        <v>2536</v>
      </c>
      <c r="G2930" s="61" t="n">
        <v>-8029613799</v>
      </c>
      <c r="H2930" s="13" t="s">
        <v>2255</v>
      </c>
      <c r="I2930" s="13" t="s">
        <v>2517</v>
      </c>
      <c r="J2930" s="13" t="n">
        <v>6</v>
      </c>
      <c r="K2930" s="13" t="s">
        <v>2478</v>
      </c>
      <c r="L2930" s="13" t="s">
        <v>2265</v>
      </c>
      <c r="M2930" s="13" t="s">
        <v>2518</v>
      </c>
    </row>
    <row r="2931" customFormat="false" ht="15" hidden="false" customHeight="false" outlineLevel="0" collapsed="false">
      <c r="A2931" s="13" t="s">
        <v>628</v>
      </c>
      <c r="B2931" s="13" t="s">
        <v>627</v>
      </c>
      <c r="C2931" s="13" t="s">
        <v>2264</v>
      </c>
      <c r="D2931" s="13" t="s">
        <v>2270</v>
      </c>
      <c r="E2931" s="13" t="s">
        <v>2522</v>
      </c>
      <c r="F2931" s="13" t="s">
        <v>2536</v>
      </c>
      <c r="G2931" s="61" t="n">
        <v>0</v>
      </c>
      <c r="H2931" s="13" t="s">
        <v>2255</v>
      </c>
      <c r="I2931" s="13" t="s">
        <v>2517</v>
      </c>
      <c r="J2931" s="13" t="n">
        <v>6</v>
      </c>
      <c r="K2931" s="13" t="s">
        <v>2478</v>
      </c>
      <c r="L2931" s="13" t="s">
        <v>2265</v>
      </c>
      <c r="M2931" s="13" t="s">
        <v>2518</v>
      </c>
    </row>
    <row r="2932" customFormat="false" ht="15" hidden="false" customHeight="false" outlineLevel="0" collapsed="false">
      <c r="A2932" s="13" t="s">
        <v>628</v>
      </c>
      <c r="B2932" s="13" t="s">
        <v>627</v>
      </c>
      <c r="C2932" s="13" t="s">
        <v>2264</v>
      </c>
      <c r="D2932" s="13" t="s">
        <v>2270</v>
      </c>
      <c r="E2932" s="13" t="s">
        <v>2523</v>
      </c>
      <c r="F2932" s="13" t="s">
        <v>2536</v>
      </c>
      <c r="G2932" s="61" t="n">
        <v>-694987534</v>
      </c>
      <c r="H2932" s="13" t="s">
        <v>2255</v>
      </c>
      <c r="I2932" s="13" t="s">
        <v>2517</v>
      </c>
      <c r="J2932" s="13" t="n">
        <v>6</v>
      </c>
      <c r="K2932" s="13" t="s">
        <v>2478</v>
      </c>
      <c r="L2932" s="13" t="s">
        <v>2265</v>
      </c>
      <c r="M2932" s="13" t="s">
        <v>2518</v>
      </c>
    </row>
    <row r="2933" customFormat="false" ht="15" hidden="false" customHeight="false" outlineLevel="0" collapsed="false">
      <c r="A2933" s="13" t="s">
        <v>628</v>
      </c>
      <c r="B2933" s="13" t="s">
        <v>627</v>
      </c>
      <c r="C2933" s="13" t="s">
        <v>2264</v>
      </c>
      <c r="D2933" s="13" t="s">
        <v>2270</v>
      </c>
      <c r="E2933" s="13" t="s">
        <v>2524</v>
      </c>
      <c r="F2933" s="13" t="s">
        <v>2536</v>
      </c>
      <c r="G2933" s="61" t="n">
        <v>62040368603</v>
      </c>
      <c r="H2933" s="13" t="s">
        <v>2255</v>
      </c>
      <c r="I2933" s="13" t="s">
        <v>2517</v>
      </c>
      <c r="J2933" s="13" t="n">
        <v>6</v>
      </c>
      <c r="K2933" s="13" t="s">
        <v>2478</v>
      </c>
      <c r="L2933" s="13" t="s">
        <v>2265</v>
      </c>
      <c r="M2933" s="13" t="s">
        <v>2518</v>
      </c>
    </row>
    <row r="2934" customFormat="false" ht="15" hidden="false" customHeight="false" outlineLevel="0" collapsed="false">
      <c r="A2934" s="13" t="s">
        <v>628</v>
      </c>
      <c r="B2934" s="13" t="s">
        <v>627</v>
      </c>
      <c r="C2934" s="13" t="s">
        <v>2264</v>
      </c>
      <c r="D2934" s="13" t="s">
        <v>2270</v>
      </c>
      <c r="E2934" s="13" t="s">
        <v>2515</v>
      </c>
      <c r="F2934" s="13" t="s">
        <v>2540</v>
      </c>
      <c r="G2934" s="61" t="n">
        <v>0</v>
      </c>
      <c r="H2934" s="13" t="s">
        <v>2255</v>
      </c>
      <c r="I2934" s="13" t="s">
        <v>2517</v>
      </c>
      <c r="J2934" s="13" t="n">
        <v>6</v>
      </c>
      <c r="K2934" s="13" t="s">
        <v>2478</v>
      </c>
      <c r="L2934" s="13" t="s">
        <v>2265</v>
      </c>
      <c r="M2934" s="13" t="s">
        <v>2518</v>
      </c>
    </row>
    <row r="2935" customFormat="false" ht="15" hidden="false" customHeight="false" outlineLevel="0" collapsed="false">
      <c r="A2935" s="13" t="s">
        <v>628</v>
      </c>
      <c r="B2935" s="13" t="s">
        <v>627</v>
      </c>
      <c r="C2935" s="13" t="s">
        <v>2264</v>
      </c>
      <c r="D2935" s="13" t="s">
        <v>2270</v>
      </c>
      <c r="E2935" s="13" t="s">
        <v>2519</v>
      </c>
      <c r="F2935" s="13" t="s">
        <v>2540</v>
      </c>
      <c r="G2935" s="61" t="n">
        <v>0</v>
      </c>
      <c r="H2935" s="13" t="s">
        <v>2255</v>
      </c>
      <c r="I2935" s="13" t="s">
        <v>2517</v>
      </c>
      <c r="J2935" s="13" t="n">
        <v>6</v>
      </c>
      <c r="K2935" s="13" t="s">
        <v>2478</v>
      </c>
      <c r="L2935" s="13" t="s">
        <v>2265</v>
      </c>
      <c r="M2935" s="13" t="s">
        <v>2518</v>
      </c>
    </row>
    <row r="2936" customFormat="false" ht="15" hidden="false" customHeight="false" outlineLevel="0" collapsed="false">
      <c r="A2936" s="13" t="s">
        <v>628</v>
      </c>
      <c r="B2936" s="13" t="s">
        <v>627</v>
      </c>
      <c r="C2936" s="13" t="s">
        <v>2264</v>
      </c>
      <c r="D2936" s="13" t="s">
        <v>2270</v>
      </c>
      <c r="E2936" s="13" t="s">
        <v>2520</v>
      </c>
      <c r="F2936" s="13" t="s">
        <v>2540</v>
      </c>
      <c r="G2936" s="61" t="n">
        <v>50000000</v>
      </c>
      <c r="H2936" s="13" t="s">
        <v>2255</v>
      </c>
      <c r="I2936" s="13" t="s">
        <v>2517</v>
      </c>
      <c r="J2936" s="13" t="n">
        <v>6</v>
      </c>
      <c r="K2936" s="13" t="s">
        <v>2478</v>
      </c>
      <c r="L2936" s="13" t="s">
        <v>2265</v>
      </c>
      <c r="M2936" s="13" t="s">
        <v>2518</v>
      </c>
    </row>
    <row r="2937" customFormat="false" ht="15" hidden="false" customHeight="false" outlineLevel="0" collapsed="false">
      <c r="A2937" s="13" t="s">
        <v>628</v>
      </c>
      <c r="B2937" s="13" t="s">
        <v>627</v>
      </c>
      <c r="C2937" s="13" t="s">
        <v>2264</v>
      </c>
      <c r="D2937" s="13" t="s">
        <v>2270</v>
      </c>
      <c r="E2937" s="13" t="s">
        <v>2521</v>
      </c>
      <c r="F2937" s="13" t="s">
        <v>2540</v>
      </c>
      <c r="G2937" s="61" t="n">
        <v>-11932244</v>
      </c>
      <c r="H2937" s="13" t="s">
        <v>2255</v>
      </c>
      <c r="I2937" s="13" t="s">
        <v>2517</v>
      </c>
      <c r="J2937" s="13" t="n">
        <v>6</v>
      </c>
      <c r="K2937" s="13" t="s">
        <v>2478</v>
      </c>
      <c r="L2937" s="13" t="s">
        <v>2265</v>
      </c>
      <c r="M2937" s="13" t="s">
        <v>2518</v>
      </c>
    </row>
    <row r="2938" customFormat="false" ht="15" hidden="false" customHeight="false" outlineLevel="0" collapsed="false">
      <c r="A2938" s="13" t="s">
        <v>628</v>
      </c>
      <c r="B2938" s="13" t="s">
        <v>627</v>
      </c>
      <c r="C2938" s="13" t="s">
        <v>2264</v>
      </c>
      <c r="D2938" s="13" t="s">
        <v>2270</v>
      </c>
      <c r="E2938" s="13" t="s">
        <v>2522</v>
      </c>
      <c r="F2938" s="13" t="s">
        <v>2540</v>
      </c>
      <c r="G2938" s="61" t="n">
        <v>0</v>
      </c>
      <c r="H2938" s="13" t="s">
        <v>2255</v>
      </c>
      <c r="I2938" s="13" t="s">
        <v>2517</v>
      </c>
      <c r="J2938" s="13" t="n">
        <v>6</v>
      </c>
      <c r="K2938" s="13" t="s">
        <v>2478</v>
      </c>
      <c r="L2938" s="13" t="s">
        <v>2265</v>
      </c>
      <c r="M2938" s="13" t="s">
        <v>2518</v>
      </c>
    </row>
    <row r="2939" customFormat="false" ht="15" hidden="false" customHeight="false" outlineLevel="0" collapsed="false">
      <c r="A2939" s="13" t="s">
        <v>628</v>
      </c>
      <c r="B2939" s="13" t="s">
        <v>627</v>
      </c>
      <c r="C2939" s="13" t="s">
        <v>2264</v>
      </c>
      <c r="D2939" s="13" t="s">
        <v>2270</v>
      </c>
      <c r="E2939" s="13" t="s">
        <v>2523</v>
      </c>
      <c r="F2939" s="13" t="s">
        <v>2540</v>
      </c>
      <c r="G2939" s="61" t="n">
        <v>0</v>
      </c>
      <c r="H2939" s="13" t="s">
        <v>2255</v>
      </c>
      <c r="I2939" s="13" t="s">
        <v>2517</v>
      </c>
      <c r="J2939" s="13" t="n">
        <v>6</v>
      </c>
      <c r="K2939" s="13" t="s">
        <v>2478</v>
      </c>
      <c r="L2939" s="13" t="s">
        <v>2265</v>
      </c>
      <c r="M2939" s="13" t="s">
        <v>2518</v>
      </c>
    </row>
    <row r="2940" customFormat="false" ht="15" hidden="false" customHeight="false" outlineLevel="0" collapsed="false">
      <c r="A2940" s="13" t="s">
        <v>628</v>
      </c>
      <c r="B2940" s="13" t="s">
        <v>627</v>
      </c>
      <c r="C2940" s="13" t="s">
        <v>2264</v>
      </c>
      <c r="D2940" s="13" t="s">
        <v>2270</v>
      </c>
      <c r="E2940" s="13" t="s">
        <v>2524</v>
      </c>
      <c r="F2940" s="13" t="s">
        <v>2540</v>
      </c>
      <c r="G2940" s="61" t="n">
        <v>38067756</v>
      </c>
      <c r="H2940" s="13" t="s">
        <v>2255</v>
      </c>
      <c r="I2940" s="13" t="s">
        <v>2517</v>
      </c>
      <c r="J2940" s="13" t="n">
        <v>6</v>
      </c>
      <c r="K2940" s="13" t="s">
        <v>2478</v>
      </c>
      <c r="L2940" s="13" t="s">
        <v>2265</v>
      </c>
      <c r="M2940" s="13" t="s">
        <v>2518</v>
      </c>
    </row>
    <row r="2941" customFormat="false" ht="15" hidden="false" customHeight="false" outlineLevel="0" collapsed="false">
      <c r="A2941" s="13" t="s">
        <v>628</v>
      </c>
      <c r="B2941" s="13" t="s">
        <v>627</v>
      </c>
      <c r="C2941" s="13" t="s">
        <v>2264</v>
      </c>
      <c r="D2941" s="13" t="s">
        <v>2270</v>
      </c>
      <c r="E2941" s="13" t="s">
        <v>2515</v>
      </c>
      <c r="F2941" s="13" t="s">
        <v>2290</v>
      </c>
      <c r="G2941" s="61" t="n">
        <v>212081647789</v>
      </c>
      <c r="H2941" s="13" t="s">
        <v>2255</v>
      </c>
      <c r="I2941" s="13" t="s">
        <v>2517</v>
      </c>
      <c r="J2941" s="13" t="n">
        <v>6</v>
      </c>
      <c r="K2941" s="13" t="s">
        <v>2478</v>
      </c>
      <c r="L2941" s="13" t="s">
        <v>2265</v>
      </c>
      <c r="M2941" s="13" t="s">
        <v>2518</v>
      </c>
    </row>
    <row r="2942" customFormat="false" ht="15" hidden="false" customHeight="false" outlineLevel="0" collapsed="false">
      <c r="A2942" s="13" t="s">
        <v>628</v>
      </c>
      <c r="B2942" s="13" t="s">
        <v>627</v>
      </c>
      <c r="C2942" s="13" t="s">
        <v>2264</v>
      </c>
      <c r="D2942" s="13" t="s">
        <v>2270</v>
      </c>
      <c r="E2942" s="13" t="s">
        <v>2519</v>
      </c>
      <c r="F2942" s="13" t="s">
        <v>2290</v>
      </c>
      <c r="G2942" s="61" t="n">
        <v>0</v>
      </c>
      <c r="H2942" s="13" t="s">
        <v>2255</v>
      </c>
      <c r="I2942" s="13" t="s">
        <v>2517</v>
      </c>
      <c r="J2942" s="13" t="n">
        <v>6</v>
      </c>
      <c r="K2942" s="13" t="s">
        <v>2478</v>
      </c>
      <c r="L2942" s="13" t="s">
        <v>2265</v>
      </c>
      <c r="M2942" s="13" t="s">
        <v>2518</v>
      </c>
    </row>
    <row r="2943" customFormat="false" ht="15" hidden="false" customHeight="false" outlineLevel="0" collapsed="false">
      <c r="A2943" s="13" t="s">
        <v>628</v>
      </c>
      <c r="B2943" s="13" t="s">
        <v>627</v>
      </c>
      <c r="C2943" s="13" t="s">
        <v>2264</v>
      </c>
      <c r="D2943" s="13" t="s">
        <v>2270</v>
      </c>
      <c r="E2943" s="13" t="s">
        <v>2520</v>
      </c>
      <c r="F2943" s="13" t="s">
        <v>2290</v>
      </c>
      <c r="G2943" s="61" t="n">
        <v>85000000</v>
      </c>
      <c r="H2943" s="13" t="s">
        <v>2255</v>
      </c>
      <c r="I2943" s="13" t="s">
        <v>2517</v>
      </c>
      <c r="J2943" s="13" t="n">
        <v>6</v>
      </c>
      <c r="K2943" s="13" t="s">
        <v>2478</v>
      </c>
      <c r="L2943" s="13" t="s">
        <v>2265</v>
      </c>
      <c r="M2943" s="13" t="s">
        <v>2518</v>
      </c>
    </row>
    <row r="2944" customFormat="false" ht="15" hidden="false" customHeight="false" outlineLevel="0" collapsed="false">
      <c r="A2944" s="13" t="s">
        <v>628</v>
      </c>
      <c r="B2944" s="13" t="s">
        <v>627</v>
      </c>
      <c r="C2944" s="13" t="s">
        <v>2264</v>
      </c>
      <c r="D2944" s="13" t="s">
        <v>2270</v>
      </c>
      <c r="E2944" s="13" t="s">
        <v>2521</v>
      </c>
      <c r="F2944" s="13" t="s">
        <v>2290</v>
      </c>
      <c r="G2944" s="61" t="n">
        <v>8768294480</v>
      </c>
      <c r="H2944" s="13" t="s">
        <v>2255</v>
      </c>
      <c r="I2944" s="13" t="s">
        <v>2517</v>
      </c>
      <c r="J2944" s="13" t="n">
        <v>6</v>
      </c>
      <c r="K2944" s="13" t="s">
        <v>2478</v>
      </c>
      <c r="L2944" s="13" t="s">
        <v>2265</v>
      </c>
      <c r="M2944" s="13" t="s">
        <v>2518</v>
      </c>
    </row>
    <row r="2945" customFormat="false" ht="15" hidden="false" customHeight="false" outlineLevel="0" collapsed="false">
      <c r="A2945" s="13" t="s">
        <v>628</v>
      </c>
      <c r="B2945" s="13" t="s">
        <v>627</v>
      </c>
      <c r="C2945" s="13" t="s">
        <v>2264</v>
      </c>
      <c r="D2945" s="13" t="s">
        <v>2270</v>
      </c>
      <c r="E2945" s="13" t="s">
        <v>2522</v>
      </c>
      <c r="F2945" s="13" t="s">
        <v>2290</v>
      </c>
      <c r="G2945" s="61" t="n">
        <v>-10303490816</v>
      </c>
      <c r="H2945" s="13" t="s">
        <v>2255</v>
      </c>
      <c r="I2945" s="13" t="s">
        <v>2517</v>
      </c>
      <c r="J2945" s="13" t="n">
        <v>6</v>
      </c>
      <c r="K2945" s="13" t="s">
        <v>2478</v>
      </c>
      <c r="L2945" s="13" t="s">
        <v>2265</v>
      </c>
      <c r="M2945" s="13" t="s">
        <v>2518</v>
      </c>
    </row>
    <row r="2946" customFormat="false" ht="15" hidden="false" customHeight="false" outlineLevel="0" collapsed="false">
      <c r="A2946" s="13" t="s">
        <v>628</v>
      </c>
      <c r="B2946" s="13" t="s">
        <v>627</v>
      </c>
      <c r="C2946" s="13" t="s">
        <v>2264</v>
      </c>
      <c r="D2946" s="13" t="s">
        <v>2270</v>
      </c>
      <c r="E2946" s="13" t="s">
        <v>2523</v>
      </c>
      <c r="F2946" s="13" t="s">
        <v>2290</v>
      </c>
      <c r="G2946" s="61" t="n">
        <v>-408690616</v>
      </c>
      <c r="H2946" s="13" t="s">
        <v>2255</v>
      </c>
      <c r="I2946" s="13" t="s">
        <v>2517</v>
      </c>
      <c r="J2946" s="13" t="n">
        <v>6</v>
      </c>
      <c r="K2946" s="13" t="s">
        <v>2478</v>
      </c>
      <c r="L2946" s="13" t="s">
        <v>2265</v>
      </c>
      <c r="M2946" s="13" t="s">
        <v>2518</v>
      </c>
    </row>
    <row r="2947" customFormat="false" ht="15" hidden="false" customHeight="false" outlineLevel="0" collapsed="false">
      <c r="A2947" s="13" t="s">
        <v>628</v>
      </c>
      <c r="B2947" s="13" t="s">
        <v>627</v>
      </c>
      <c r="C2947" s="13" t="s">
        <v>2264</v>
      </c>
      <c r="D2947" s="13" t="s">
        <v>2270</v>
      </c>
      <c r="E2947" s="13" t="s">
        <v>2524</v>
      </c>
      <c r="F2947" s="13" t="s">
        <v>2290</v>
      </c>
      <c r="G2947" s="61" t="n">
        <v>210222760837</v>
      </c>
      <c r="H2947" s="13" t="s">
        <v>2255</v>
      </c>
      <c r="I2947" s="13" t="s">
        <v>2517</v>
      </c>
      <c r="J2947" s="13" t="n">
        <v>6</v>
      </c>
      <c r="K2947" s="13" t="s">
        <v>2478</v>
      </c>
      <c r="L2947" s="13" t="s">
        <v>2265</v>
      </c>
      <c r="M2947" s="13" t="s">
        <v>2518</v>
      </c>
    </row>
    <row r="2948" customFormat="false" ht="15" hidden="false" customHeight="false" outlineLevel="0" collapsed="false">
      <c r="A2948" s="13" t="s">
        <v>628</v>
      </c>
      <c r="B2948" s="13" t="s">
        <v>627</v>
      </c>
      <c r="C2948" s="13" t="s">
        <v>2266</v>
      </c>
      <c r="D2948" s="13" t="s">
        <v>2270</v>
      </c>
      <c r="E2948" s="13" t="s">
        <v>2515</v>
      </c>
      <c r="F2948" s="13" t="s">
        <v>2516</v>
      </c>
      <c r="G2948" s="61" t="n">
        <v>77066805608</v>
      </c>
      <c r="H2948" s="13" t="s">
        <v>2255</v>
      </c>
      <c r="I2948" s="13" t="s">
        <v>2517</v>
      </c>
      <c r="J2948" s="13" t="n">
        <v>80</v>
      </c>
      <c r="K2948" s="13" t="s">
        <v>2478</v>
      </c>
      <c r="L2948" s="13" t="s">
        <v>2265</v>
      </c>
      <c r="M2948" s="13" t="s">
        <v>2518</v>
      </c>
    </row>
    <row r="2949" customFormat="false" ht="15" hidden="false" customHeight="false" outlineLevel="0" collapsed="false">
      <c r="A2949" s="13" t="s">
        <v>628</v>
      </c>
      <c r="B2949" s="13" t="s">
        <v>627</v>
      </c>
      <c r="C2949" s="13" t="s">
        <v>2266</v>
      </c>
      <c r="D2949" s="13" t="s">
        <v>2270</v>
      </c>
      <c r="E2949" s="13" t="s">
        <v>2520</v>
      </c>
      <c r="F2949" s="13" t="s">
        <v>2516</v>
      </c>
      <c r="G2949" s="61" t="n">
        <v>103588000000</v>
      </c>
      <c r="H2949" s="13" t="s">
        <v>2255</v>
      </c>
      <c r="I2949" s="13" t="s">
        <v>2517</v>
      </c>
      <c r="J2949" s="13" t="n">
        <v>80</v>
      </c>
      <c r="K2949" s="13" t="s">
        <v>2478</v>
      </c>
      <c r="L2949" s="13" t="s">
        <v>2265</v>
      </c>
      <c r="M2949" s="13" t="s">
        <v>2518</v>
      </c>
    </row>
    <row r="2950" customFormat="false" ht="15" hidden="false" customHeight="false" outlineLevel="0" collapsed="false">
      <c r="A2950" s="13" t="s">
        <v>628</v>
      </c>
      <c r="B2950" s="13" t="s">
        <v>627</v>
      </c>
      <c r="C2950" s="13" t="s">
        <v>2266</v>
      </c>
      <c r="D2950" s="13" t="s">
        <v>2270</v>
      </c>
      <c r="E2950" s="13" t="s">
        <v>2521</v>
      </c>
      <c r="F2950" s="13" t="s">
        <v>2516</v>
      </c>
      <c r="G2950" s="61" t="n">
        <v>977710448</v>
      </c>
      <c r="H2950" s="13" t="s">
        <v>2255</v>
      </c>
      <c r="I2950" s="13" t="s">
        <v>2517</v>
      </c>
      <c r="J2950" s="13" t="n">
        <v>80</v>
      </c>
      <c r="K2950" s="13" t="s">
        <v>2478</v>
      </c>
      <c r="L2950" s="13" t="s">
        <v>2265</v>
      </c>
      <c r="M2950" s="13" t="s">
        <v>2518</v>
      </c>
    </row>
    <row r="2951" customFormat="false" ht="15" hidden="false" customHeight="false" outlineLevel="0" collapsed="false">
      <c r="A2951" s="13" t="s">
        <v>628</v>
      </c>
      <c r="B2951" s="13" t="s">
        <v>627</v>
      </c>
      <c r="C2951" s="13" t="s">
        <v>2266</v>
      </c>
      <c r="D2951" s="13" t="s">
        <v>2270</v>
      </c>
      <c r="E2951" s="13" t="s">
        <v>2522</v>
      </c>
      <c r="F2951" s="13" t="s">
        <v>2516</v>
      </c>
      <c r="G2951" s="61" t="n">
        <v>117809442890</v>
      </c>
      <c r="H2951" s="13" t="s">
        <v>2255</v>
      </c>
      <c r="I2951" s="13" t="s">
        <v>2517</v>
      </c>
      <c r="J2951" s="13" t="n">
        <v>80</v>
      </c>
      <c r="K2951" s="13" t="s">
        <v>2478</v>
      </c>
      <c r="L2951" s="13" t="s">
        <v>2265</v>
      </c>
      <c r="M2951" s="13" t="s">
        <v>2518</v>
      </c>
    </row>
    <row r="2952" customFormat="false" ht="15" hidden="false" customHeight="false" outlineLevel="0" collapsed="false">
      <c r="A2952" s="13" t="s">
        <v>628</v>
      </c>
      <c r="B2952" s="13" t="s">
        <v>627</v>
      </c>
      <c r="C2952" s="13" t="s">
        <v>2266</v>
      </c>
      <c r="D2952" s="13" t="s">
        <v>2270</v>
      </c>
      <c r="E2952" s="13" t="s">
        <v>2523</v>
      </c>
      <c r="F2952" s="13" t="s">
        <v>2516</v>
      </c>
      <c r="G2952" s="61" t="n">
        <v>-963896626</v>
      </c>
      <c r="H2952" s="13" t="s">
        <v>2255</v>
      </c>
      <c r="I2952" s="13" t="s">
        <v>2517</v>
      </c>
      <c r="J2952" s="13" t="n">
        <v>80</v>
      </c>
      <c r="K2952" s="13" t="s">
        <v>2478</v>
      </c>
      <c r="L2952" s="13" t="s">
        <v>2265</v>
      </c>
      <c r="M2952" s="13" t="s">
        <v>2518</v>
      </c>
    </row>
    <row r="2953" customFormat="false" ht="15" hidden="false" customHeight="false" outlineLevel="0" collapsed="false">
      <c r="A2953" s="13" t="s">
        <v>628</v>
      </c>
      <c r="B2953" s="13" t="s">
        <v>627</v>
      </c>
      <c r="C2953" s="13" t="s">
        <v>2266</v>
      </c>
      <c r="D2953" s="13" t="s">
        <v>2270</v>
      </c>
      <c r="E2953" s="13" t="s">
        <v>2524</v>
      </c>
      <c r="F2953" s="13" t="s">
        <v>2516</v>
      </c>
      <c r="G2953" s="61" t="n">
        <v>298478062320</v>
      </c>
      <c r="H2953" s="13" t="s">
        <v>2255</v>
      </c>
      <c r="I2953" s="13" t="s">
        <v>2517</v>
      </c>
      <c r="J2953" s="13" t="n">
        <v>80</v>
      </c>
      <c r="K2953" s="13" t="s">
        <v>2478</v>
      </c>
      <c r="L2953" s="13" t="s">
        <v>2265</v>
      </c>
      <c r="M2953" s="13" t="s">
        <v>2518</v>
      </c>
    </row>
    <row r="2954" customFormat="false" ht="15" hidden="false" customHeight="false" outlineLevel="0" collapsed="false">
      <c r="A2954" s="13" t="s">
        <v>628</v>
      </c>
      <c r="B2954" s="13" t="s">
        <v>627</v>
      </c>
      <c r="C2954" s="13" t="s">
        <v>2266</v>
      </c>
      <c r="D2954" s="13" t="s">
        <v>2270</v>
      </c>
      <c r="E2954" s="13" t="s">
        <v>2515</v>
      </c>
      <c r="F2954" s="13" t="s">
        <v>2525</v>
      </c>
      <c r="G2954" s="61" t="n">
        <v>89857606957</v>
      </c>
      <c r="H2954" s="13" t="s">
        <v>2255</v>
      </c>
      <c r="I2954" s="13" t="s">
        <v>2517</v>
      </c>
      <c r="J2954" s="13" t="n">
        <v>80</v>
      </c>
      <c r="K2954" s="13" t="s">
        <v>2478</v>
      </c>
      <c r="L2954" s="13" t="s">
        <v>2265</v>
      </c>
      <c r="M2954" s="13" t="s">
        <v>2518</v>
      </c>
    </row>
    <row r="2955" customFormat="false" ht="15" hidden="false" customHeight="false" outlineLevel="0" collapsed="false">
      <c r="A2955" s="13" t="s">
        <v>628</v>
      </c>
      <c r="B2955" s="13" t="s">
        <v>627</v>
      </c>
      <c r="C2955" s="13" t="s">
        <v>2266</v>
      </c>
      <c r="D2955" s="13" t="s">
        <v>2270</v>
      </c>
      <c r="E2955" s="13" t="s">
        <v>2520</v>
      </c>
      <c r="F2955" s="13" t="s">
        <v>2525</v>
      </c>
      <c r="G2955" s="61" t="n">
        <v>0</v>
      </c>
      <c r="H2955" s="13" t="s">
        <v>2255</v>
      </c>
      <c r="I2955" s="13" t="s">
        <v>2517</v>
      </c>
      <c r="J2955" s="13" t="n">
        <v>80</v>
      </c>
      <c r="K2955" s="13" t="s">
        <v>2478</v>
      </c>
      <c r="L2955" s="13" t="s">
        <v>2265</v>
      </c>
      <c r="M2955" s="13" t="s">
        <v>2518</v>
      </c>
    </row>
    <row r="2956" customFormat="false" ht="15" hidden="false" customHeight="false" outlineLevel="0" collapsed="false">
      <c r="A2956" s="13" t="s">
        <v>628</v>
      </c>
      <c r="B2956" s="13" t="s">
        <v>627</v>
      </c>
      <c r="C2956" s="13" t="s">
        <v>2266</v>
      </c>
      <c r="D2956" s="13" t="s">
        <v>2270</v>
      </c>
      <c r="E2956" s="13" t="s">
        <v>2521</v>
      </c>
      <c r="F2956" s="13" t="s">
        <v>2525</v>
      </c>
      <c r="G2956" s="61" t="n">
        <v>8097586484</v>
      </c>
      <c r="H2956" s="13" t="s">
        <v>2255</v>
      </c>
      <c r="I2956" s="13" t="s">
        <v>2517</v>
      </c>
      <c r="J2956" s="13" t="n">
        <v>80</v>
      </c>
      <c r="K2956" s="13" t="s">
        <v>2478</v>
      </c>
      <c r="L2956" s="13" t="s">
        <v>2265</v>
      </c>
      <c r="M2956" s="13" t="s">
        <v>2518</v>
      </c>
    </row>
    <row r="2957" customFormat="false" ht="15" hidden="false" customHeight="false" outlineLevel="0" collapsed="false">
      <c r="A2957" s="13" t="s">
        <v>628</v>
      </c>
      <c r="B2957" s="13" t="s">
        <v>627</v>
      </c>
      <c r="C2957" s="13" t="s">
        <v>2266</v>
      </c>
      <c r="D2957" s="13" t="s">
        <v>2270</v>
      </c>
      <c r="E2957" s="13" t="s">
        <v>2522</v>
      </c>
      <c r="F2957" s="13" t="s">
        <v>2525</v>
      </c>
      <c r="G2957" s="61" t="n">
        <v>-3000000000</v>
      </c>
      <c r="H2957" s="13" t="s">
        <v>2255</v>
      </c>
      <c r="I2957" s="13" t="s">
        <v>2517</v>
      </c>
      <c r="J2957" s="13" t="n">
        <v>80</v>
      </c>
      <c r="K2957" s="13" t="s">
        <v>2478</v>
      </c>
      <c r="L2957" s="13" t="s">
        <v>2265</v>
      </c>
      <c r="M2957" s="13" t="s">
        <v>2518</v>
      </c>
    </row>
    <row r="2958" customFormat="false" ht="15" hidden="false" customHeight="false" outlineLevel="0" collapsed="false">
      <c r="A2958" s="13" t="s">
        <v>628</v>
      </c>
      <c r="B2958" s="13" t="s">
        <v>627</v>
      </c>
      <c r="C2958" s="13" t="s">
        <v>2266</v>
      </c>
      <c r="D2958" s="13" t="s">
        <v>2270</v>
      </c>
      <c r="E2958" s="13" t="s">
        <v>2523</v>
      </c>
      <c r="F2958" s="13" t="s">
        <v>2525</v>
      </c>
      <c r="G2958" s="61" t="n">
        <v>19623763</v>
      </c>
      <c r="H2958" s="13" t="s">
        <v>2255</v>
      </c>
      <c r="I2958" s="13" t="s">
        <v>2517</v>
      </c>
      <c r="J2958" s="13" t="n">
        <v>80</v>
      </c>
      <c r="K2958" s="13" t="s">
        <v>2478</v>
      </c>
      <c r="L2958" s="13" t="s">
        <v>2265</v>
      </c>
      <c r="M2958" s="13" t="s">
        <v>2518</v>
      </c>
    </row>
    <row r="2959" customFormat="false" ht="15" hidden="false" customHeight="false" outlineLevel="0" collapsed="false">
      <c r="A2959" s="13" t="s">
        <v>628</v>
      </c>
      <c r="B2959" s="13" t="s">
        <v>627</v>
      </c>
      <c r="C2959" s="13" t="s">
        <v>2266</v>
      </c>
      <c r="D2959" s="13" t="s">
        <v>2270</v>
      </c>
      <c r="E2959" s="13" t="s">
        <v>2524</v>
      </c>
      <c r="F2959" s="13" t="s">
        <v>2525</v>
      </c>
      <c r="G2959" s="61" t="n">
        <v>94974817204</v>
      </c>
      <c r="H2959" s="13" t="s">
        <v>2255</v>
      </c>
      <c r="I2959" s="13" t="s">
        <v>2517</v>
      </c>
      <c r="J2959" s="13" t="n">
        <v>80</v>
      </c>
      <c r="K2959" s="13" t="s">
        <v>2478</v>
      </c>
      <c r="L2959" s="13" t="s">
        <v>2265</v>
      </c>
      <c r="M2959" s="13" t="s">
        <v>2518</v>
      </c>
    </row>
    <row r="2960" customFormat="false" ht="15" hidden="false" customHeight="false" outlineLevel="0" collapsed="false">
      <c r="A2960" s="13" t="s">
        <v>628</v>
      </c>
      <c r="B2960" s="13" t="s">
        <v>627</v>
      </c>
      <c r="C2960" s="13" t="s">
        <v>2266</v>
      </c>
      <c r="D2960" s="13" t="s">
        <v>2270</v>
      </c>
      <c r="E2960" s="13" t="s">
        <v>2515</v>
      </c>
      <c r="F2960" s="13" t="s">
        <v>2526</v>
      </c>
      <c r="G2960" s="61" t="n">
        <v>4314844471</v>
      </c>
      <c r="H2960" s="13" t="s">
        <v>2255</v>
      </c>
      <c r="I2960" s="13" t="s">
        <v>2517</v>
      </c>
      <c r="J2960" s="13" t="n">
        <v>80</v>
      </c>
      <c r="K2960" s="13" t="s">
        <v>2478</v>
      </c>
      <c r="L2960" s="13" t="s">
        <v>2265</v>
      </c>
      <c r="M2960" s="13" t="s">
        <v>2518</v>
      </c>
    </row>
    <row r="2961" customFormat="false" ht="15" hidden="false" customHeight="false" outlineLevel="0" collapsed="false">
      <c r="A2961" s="13" t="s">
        <v>628</v>
      </c>
      <c r="B2961" s="13" t="s">
        <v>627</v>
      </c>
      <c r="C2961" s="13" t="s">
        <v>2266</v>
      </c>
      <c r="D2961" s="13" t="s">
        <v>2270</v>
      </c>
      <c r="E2961" s="13" t="s">
        <v>2520</v>
      </c>
      <c r="F2961" s="13" t="s">
        <v>2526</v>
      </c>
      <c r="G2961" s="61" t="n">
        <v>0</v>
      </c>
      <c r="H2961" s="13" t="s">
        <v>2255</v>
      </c>
      <c r="I2961" s="13" t="s">
        <v>2517</v>
      </c>
      <c r="J2961" s="13" t="n">
        <v>80</v>
      </c>
      <c r="K2961" s="13" t="s">
        <v>2478</v>
      </c>
      <c r="L2961" s="13" t="s">
        <v>2265</v>
      </c>
      <c r="M2961" s="13" t="s">
        <v>2518</v>
      </c>
    </row>
    <row r="2962" customFormat="false" ht="15" hidden="false" customHeight="false" outlineLevel="0" collapsed="false">
      <c r="A2962" s="13" t="s">
        <v>628</v>
      </c>
      <c r="B2962" s="13" t="s">
        <v>627</v>
      </c>
      <c r="C2962" s="13" t="s">
        <v>2266</v>
      </c>
      <c r="D2962" s="13" t="s">
        <v>2270</v>
      </c>
      <c r="E2962" s="13" t="s">
        <v>2521</v>
      </c>
      <c r="F2962" s="13" t="s">
        <v>2526</v>
      </c>
      <c r="G2962" s="61" t="n">
        <v>-2656895362</v>
      </c>
      <c r="H2962" s="13" t="s">
        <v>2255</v>
      </c>
      <c r="I2962" s="13" t="s">
        <v>2517</v>
      </c>
      <c r="J2962" s="13" t="n">
        <v>80</v>
      </c>
      <c r="K2962" s="13" t="s">
        <v>2478</v>
      </c>
      <c r="L2962" s="13" t="s">
        <v>2265</v>
      </c>
      <c r="M2962" s="13" t="s">
        <v>2518</v>
      </c>
    </row>
    <row r="2963" customFormat="false" ht="15" hidden="false" customHeight="false" outlineLevel="0" collapsed="false">
      <c r="A2963" s="13" t="s">
        <v>628</v>
      </c>
      <c r="B2963" s="13" t="s">
        <v>627</v>
      </c>
      <c r="C2963" s="13" t="s">
        <v>2266</v>
      </c>
      <c r="D2963" s="13" t="s">
        <v>2270</v>
      </c>
      <c r="E2963" s="13" t="s">
        <v>2522</v>
      </c>
      <c r="F2963" s="13" t="s">
        <v>2526</v>
      </c>
      <c r="G2963" s="61" t="n">
        <v>0</v>
      </c>
      <c r="H2963" s="13" t="s">
        <v>2255</v>
      </c>
      <c r="I2963" s="13" t="s">
        <v>2517</v>
      </c>
      <c r="J2963" s="13" t="n">
        <v>80</v>
      </c>
      <c r="K2963" s="13" t="s">
        <v>2478</v>
      </c>
      <c r="L2963" s="13" t="s">
        <v>2265</v>
      </c>
      <c r="M2963" s="13" t="s">
        <v>2518</v>
      </c>
    </row>
    <row r="2964" customFormat="false" ht="15" hidden="false" customHeight="false" outlineLevel="0" collapsed="false">
      <c r="A2964" s="13" t="s">
        <v>628</v>
      </c>
      <c r="B2964" s="13" t="s">
        <v>627</v>
      </c>
      <c r="C2964" s="13" t="s">
        <v>2266</v>
      </c>
      <c r="D2964" s="13" t="s">
        <v>2270</v>
      </c>
      <c r="E2964" s="13" t="s">
        <v>2523</v>
      </c>
      <c r="F2964" s="13" t="s">
        <v>2526</v>
      </c>
      <c r="G2964" s="61" t="n">
        <v>-198779785</v>
      </c>
      <c r="H2964" s="13" t="s">
        <v>2255</v>
      </c>
      <c r="I2964" s="13" t="s">
        <v>2517</v>
      </c>
      <c r="J2964" s="13" t="n">
        <v>80</v>
      </c>
      <c r="K2964" s="13" t="s">
        <v>2478</v>
      </c>
      <c r="L2964" s="13" t="s">
        <v>2265</v>
      </c>
      <c r="M2964" s="13" t="s">
        <v>2518</v>
      </c>
    </row>
    <row r="2965" customFormat="false" ht="15" hidden="false" customHeight="false" outlineLevel="0" collapsed="false">
      <c r="A2965" s="13" t="s">
        <v>628</v>
      </c>
      <c r="B2965" s="13" t="s">
        <v>627</v>
      </c>
      <c r="C2965" s="13" t="s">
        <v>2266</v>
      </c>
      <c r="D2965" s="13" t="s">
        <v>2270</v>
      </c>
      <c r="E2965" s="13" t="s">
        <v>2524</v>
      </c>
      <c r="F2965" s="13" t="s">
        <v>2526</v>
      </c>
      <c r="G2965" s="61" t="n">
        <v>1459169324</v>
      </c>
      <c r="H2965" s="13" t="s">
        <v>2255</v>
      </c>
      <c r="I2965" s="13" t="s">
        <v>2517</v>
      </c>
      <c r="J2965" s="13" t="n">
        <v>80</v>
      </c>
      <c r="K2965" s="13" t="s">
        <v>2478</v>
      </c>
      <c r="L2965" s="13" t="s">
        <v>2265</v>
      </c>
      <c r="M2965" s="13" t="s">
        <v>2518</v>
      </c>
    </row>
    <row r="2966" customFormat="false" ht="15" hidden="false" customHeight="false" outlineLevel="0" collapsed="false">
      <c r="A2966" s="13" t="s">
        <v>628</v>
      </c>
      <c r="B2966" s="13" t="s">
        <v>627</v>
      </c>
      <c r="C2966" s="13" t="s">
        <v>2266</v>
      </c>
      <c r="D2966" s="13" t="s">
        <v>2270</v>
      </c>
      <c r="E2966" s="13" t="s">
        <v>2515</v>
      </c>
      <c r="F2966" s="13" t="s">
        <v>2527</v>
      </c>
      <c r="G2966" s="61" t="n">
        <v>11094628117</v>
      </c>
      <c r="H2966" s="13" t="s">
        <v>2255</v>
      </c>
      <c r="I2966" s="13" t="s">
        <v>2517</v>
      </c>
      <c r="J2966" s="13" t="n">
        <v>80</v>
      </c>
      <c r="K2966" s="13" t="s">
        <v>2478</v>
      </c>
      <c r="L2966" s="13" t="s">
        <v>2265</v>
      </c>
      <c r="M2966" s="13" t="s">
        <v>2518</v>
      </c>
    </row>
    <row r="2967" customFormat="false" ht="15" hidden="false" customHeight="false" outlineLevel="0" collapsed="false">
      <c r="A2967" s="13" t="s">
        <v>628</v>
      </c>
      <c r="B2967" s="13" t="s">
        <v>627</v>
      </c>
      <c r="C2967" s="13" t="s">
        <v>2266</v>
      </c>
      <c r="D2967" s="13" t="s">
        <v>2270</v>
      </c>
      <c r="E2967" s="13" t="s">
        <v>2520</v>
      </c>
      <c r="F2967" s="13" t="s">
        <v>2527</v>
      </c>
      <c r="G2967" s="61" t="n">
        <v>0</v>
      </c>
      <c r="H2967" s="13" t="s">
        <v>2255</v>
      </c>
      <c r="I2967" s="13" t="s">
        <v>2517</v>
      </c>
      <c r="J2967" s="13" t="n">
        <v>80</v>
      </c>
      <c r="K2967" s="13" t="s">
        <v>2478</v>
      </c>
      <c r="L2967" s="13" t="s">
        <v>2265</v>
      </c>
      <c r="M2967" s="13" t="s">
        <v>2518</v>
      </c>
    </row>
    <row r="2968" customFormat="false" ht="15" hidden="false" customHeight="false" outlineLevel="0" collapsed="false">
      <c r="A2968" s="13" t="s">
        <v>628</v>
      </c>
      <c r="B2968" s="13" t="s">
        <v>627</v>
      </c>
      <c r="C2968" s="13" t="s">
        <v>2266</v>
      </c>
      <c r="D2968" s="13" t="s">
        <v>2270</v>
      </c>
      <c r="E2968" s="13" t="s">
        <v>2521</v>
      </c>
      <c r="F2968" s="13" t="s">
        <v>2527</v>
      </c>
      <c r="G2968" s="61" t="n">
        <v>115216004</v>
      </c>
      <c r="H2968" s="13" t="s">
        <v>2255</v>
      </c>
      <c r="I2968" s="13" t="s">
        <v>2517</v>
      </c>
      <c r="J2968" s="13" t="n">
        <v>80</v>
      </c>
      <c r="K2968" s="13" t="s">
        <v>2478</v>
      </c>
      <c r="L2968" s="13" t="s">
        <v>2265</v>
      </c>
      <c r="M2968" s="13" t="s">
        <v>2518</v>
      </c>
    </row>
    <row r="2969" customFormat="false" ht="15" hidden="false" customHeight="false" outlineLevel="0" collapsed="false">
      <c r="A2969" s="13" t="s">
        <v>628</v>
      </c>
      <c r="B2969" s="13" t="s">
        <v>627</v>
      </c>
      <c r="C2969" s="13" t="s">
        <v>2266</v>
      </c>
      <c r="D2969" s="13" t="s">
        <v>2270</v>
      </c>
      <c r="E2969" s="13" t="s">
        <v>2522</v>
      </c>
      <c r="F2969" s="13" t="s">
        <v>2527</v>
      </c>
      <c r="G2969" s="61" t="n">
        <v>0</v>
      </c>
      <c r="H2969" s="13" t="s">
        <v>2255</v>
      </c>
      <c r="I2969" s="13" t="s">
        <v>2517</v>
      </c>
      <c r="J2969" s="13" t="n">
        <v>80</v>
      </c>
      <c r="K2969" s="13" t="s">
        <v>2478</v>
      </c>
      <c r="L2969" s="13" t="s">
        <v>2265</v>
      </c>
      <c r="M2969" s="13" t="s">
        <v>2518</v>
      </c>
    </row>
    <row r="2970" customFormat="false" ht="15" hidden="false" customHeight="false" outlineLevel="0" collapsed="false">
      <c r="A2970" s="13" t="s">
        <v>628</v>
      </c>
      <c r="B2970" s="13" t="s">
        <v>627</v>
      </c>
      <c r="C2970" s="13" t="s">
        <v>2266</v>
      </c>
      <c r="D2970" s="13" t="s">
        <v>2270</v>
      </c>
      <c r="E2970" s="13" t="s">
        <v>2523</v>
      </c>
      <c r="F2970" s="13" t="s">
        <v>2527</v>
      </c>
      <c r="G2970" s="61" t="n">
        <v>11499439</v>
      </c>
      <c r="H2970" s="13" t="s">
        <v>2255</v>
      </c>
      <c r="I2970" s="13" t="s">
        <v>2517</v>
      </c>
      <c r="J2970" s="13" t="n">
        <v>80</v>
      </c>
      <c r="K2970" s="13" t="s">
        <v>2478</v>
      </c>
      <c r="L2970" s="13" t="s">
        <v>2265</v>
      </c>
      <c r="M2970" s="13" t="s">
        <v>2518</v>
      </c>
    </row>
    <row r="2971" customFormat="false" ht="15" hidden="false" customHeight="false" outlineLevel="0" collapsed="false">
      <c r="A2971" s="13" t="s">
        <v>628</v>
      </c>
      <c r="B2971" s="13" t="s">
        <v>627</v>
      </c>
      <c r="C2971" s="13" t="s">
        <v>2266</v>
      </c>
      <c r="D2971" s="13" t="s">
        <v>2270</v>
      </c>
      <c r="E2971" s="13" t="s">
        <v>2524</v>
      </c>
      <c r="F2971" s="13" t="s">
        <v>2527</v>
      </c>
      <c r="G2971" s="61" t="n">
        <v>11221343560</v>
      </c>
      <c r="H2971" s="13" t="s">
        <v>2255</v>
      </c>
      <c r="I2971" s="13" t="s">
        <v>2517</v>
      </c>
      <c r="J2971" s="13" t="n">
        <v>80</v>
      </c>
      <c r="K2971" s="13" t="s">
        <v>2478</v>
      </c>
      <c r="L2971" s="13" t="s">
        <v>2265</v>
      </c>
      <c r="M2971" s="13" t="s">
        <v>2518</v>
      </c>
    </row>
    <row r="2972" customFormat="false" ht="15" hidden="false" customHeight="false" outlineLevel="0" collapsed="false">
      <c r="A2972" s="13" t="s">
        <v>628</v>
      </c>
      <c r="B2972" s="13" t="s">
        <v>627</v>
      </c>
      <c r="C2972" s="13" t="s">
        <v>2266</v>
      </c>
      <c r="D2972" s="13" t="s">
        <v>2270</v>
      </c>
      <c r="E2972" s="13" t="s">
        <v>2515</v>
      </c>
      <c r="F2972" s="13" t="s">
        <v>2528</v>
      </c>
      <c r="G2972" s="61" t="n">
        <v>121472714</v>
      </c>
      <c r="H2972" s="13" t="s">
        <v>2255</v>
      </c>
      <c r="I2972" s="13" t="s">
        <v>2517</v>
      </c>
      <c r="J2972" s="13" t="n">
        <v>80</v>
      </c>
      <c r="K2972" s="13" t="s">
        <v>2478</v>
      </c>
      <c r="L2972" s="13" t="s">
        <v>2265</v>
      </c>
      <c r="M2972" s="13" t="s">
        <v>2518</v>
      </c>
    </row>
    <row r="2973" customFormat="false" ht="15" hidden="false" customHeight="false" outlineLevel="0" collapsed="false">
      <c r="A2973" s="13" t="s">
        <v>628</v>
      </c>
      <c r="B2973" s="13" t="s">
        <v>627</v>
      </c>
      <c r="C2973" s="13" t="s">
        <v>2266</v>
      </c>
      <c r="D2973" s="13" t="s">
        <v>2270</v>
      </c>
      <c r="E2973" s="13" t="s">
        <v>2520</v>
      </c>
      <c r="F2973" s="13" t="s">
        <v>2528</v>
      </c>
      <c r="G2973" s="61" t="n">
        <v>0</v>
      </c>
      <c r="H2973" s="13" t="s">
        <v>2255</v>
      </c>
      <c r="I2973" s="13" t="s">
        <v>2517</v>
      </c>
      <c r="J2973" s="13" t="n">
        <v>80</v>
      </c>
      <c r="K2973" s="13" t="s">
        <v>2478</v>
      </c>
      <c r="L2973" s="13" t="s">
        <v>2265</v>
      </c>
      <c r="M2973" s="13" t="s">
        <v>2518</v>
      </c>
    </row>
    <row r="2974" customFormat="false" ht="15" hidden="false" customHeight="false" outlineLevel="0" collapsed="false">
      <c r="A2974" s="13" t="s">
        <v>628</v>
      </c>
      <c r="B2974" s="13" t="s">
        <v>627</v>
      </c>
      <c r="C2974" s="13" t="s">
        <v>2266</v>
      </c>
      <c r="D2974" s="13" t="s">
        <v>2270</v>
      </c>
      <c r="E2974" s="13" t="s">
        <v>2521</v>
      </c>
      <c r="F2974" s="13" t="s">
        <v>2528</v>
      </c>
      <c r="G2974" s="61" t="n">
        <v>-148902843</v>
      </c>
      <c r="H2974" s="13" t="s">
        <v>2255</v>
      </c>
      <c r="I2974" s="13" t="s">
        <v>2517</v>
      </c>
      <c r="J2974" s="13" t="n">
        <v>80</v>
      </c>
      <c r="K2974" s="13" t="s">
        <v>2478</v>
      </c>
      <c r="L2974" s="13" t="s">
        <v>2265</v>
      </c>
      <c r="M2974" s="13" t="s">
        <v>2518</v>
      </c>
    </row>
    <row r="2975" customFormat="false" ht="15" hidden="false" customHeight="false" outlineLevel="0" collapsed="false">
      <c r="A2975" s="13" t="s">
        <v>628</v>
      </c>
      <c r="B2975" s="13" t="s">
        <v>627</v>
      </c>
      <c r="C2975" s="13" t="s">
        <v>2266</v>
      </c>
      <c r="D2975" s="13" t="s">
        <v>2270</v>
      </c>
      <c r="E2975" s="13" t="s">
        <v>2522</v>
      </c>
      <c r="F2975" s="13" t="s">
        <v>2528</v>
      </c>
      <c r="G2975" s="61" t="n">
        <v>0</v>
      </c>
      <c r="H2975" s="13" t="s">
        <v>2255</v>
      </c>
      <c r="I2975" s="13" t="s">
        <v>2517</v>
      </c>
      <c r="J2975" s="13" t="n">
        <v>80</v>
      </c>
      <c r="K2975" s="13" t="s">
        <v>2478</v>
      </c>
      <c r="L2975" s="13" t="s">
        <v>2265</v>
      </c>
      <c r="M2975" s="13" t="s">
        <v>2518</v>
      </c>
    </row>
    <row r="2976" customFormat="false" ht="15" hidden="false" customHeight="false" outlineLevel="0" collapsed="false">
      <c r="A2976" s="13" t="s">
        <v>628</v>
      </c>
      <c r="B2976" s="13" t="s">
        <v>627</v>
      </c>
      <c r="C2976" s="13" t="s">
        <v>2266</v>
      </c>
      <c r="D2976" s="13" t="s">
        <v>2270</v>
      </c>
      <c r="E2976" s="13" t="s">
        <v>2523</v>
      </c>
      <c r="F2976" s="13" t="s">
        <v>2528</v>
      </c>
      <c r="G2976" s="61" t="n">
        <v>-44177605</v>
      </c>
      <c r="H2976" s="13" t="s">
        <v>2255</v>
      </c>
      <c r="I2976" s="13" t="s">
        <v>2517</v>
      </c>
      <c r="J2976" s="13" t="n">
        <v>80</v>
      </c>
      <c r="K2976" s="13" t="s">
        <v>2478</v>
      </c>
      <c r="L2976" s="13" t="s">
        <v>2265</v>
      </c>
      <c r="M2976" s="13" t="s">
        <v>2518</v>
      </c>
    </row>
    <row r="2977" customFormat="false" ht="15" hidden="false" customHeight="false" outlineLevel="0" collapsed="false">
      <c r="A2977" s="13" t="s">
        <v>628</v>
      </c>
      <c r="B2977" s="13" t="s">
        <v>627</v>
      </c>
      <c r="C2977" s="13" t="s">
        <v>2266</v>
      </c>
      <c r="D2977" s="13" t="s">
        <v>2270</v>
      </c>
      <c r="E2977" s="13" t="s">
        <v>2524</v>
      </c>
      <c r="F2977" s="13" t="s">
        <v>2528</v>
      </c>
      <c r="G2977" s="61" t="n">
        <v>-71607734</v>
      </c>
      <c r="H2977" s="13" t="s">
        <v>2255</v>
      </c>
      <c r="I2977" s="13" t="s">
        <v>2517</v>
      </c>
      <c r="J2977" s="13" t="n">
        <v>80</v>
      </c>
      <c r="K2977" s="13" t="s">
        <v>2478</v>
      </c>
      <c r="L2977" s="13" t="s">
        <v>2265</v>
      </c>
      <c r="M2977" s="13" t="s">
        <v>2518</v>
      </c>
    </row>
    <row r="2978" customFormat="false" ht="15" hidden="false" customHeight="false" outlineLevel="0" collapsed="false">
      <c r="A2978" s="13" t="s">
        <v>628</v>
      </c>
      <c r="B2978" s="13" t="s">
        <v>627</v>
      </c>
      <c r="C2978" s="13" t="s">
        <v>2266</v>
      </c>
      <c r="D2978" s="13" t="s">
        <v>2270</v>
      </c>
      <c r="E2978" s="13" t="s">
        <v>2515</v>
      </c>
      <c r="F2978" s="13" t="s">
        <v>2529</v>
      </c>
      <c r="G2978" s="61" t="n">
        <v>242916999</v>
      </c>
      <c r="H2978" s="13" t="s">
        <v>2255</v>
      </c>
      <c r="I2978" s="13" t="s">
        <v>2517</v>
      </c>
      <c r="J2978" s="13" t="n">
        <v>80</v>
      </c>
      <c r="K2978" s="13" t="s">
        <v>2478</v>
      </c>
      <c r="L2978" s="13" t="s">
        <v>2265</v>
      </c>
      <c r="M2978" s="13" t="s">
        <v>2518</v>
      </c>
    </row>
    <row r="2979" customFormat="false" ht="15" hidden="false" customHeight="false" outlineLevel="0" collapsed="false">
      <c r="A2979" s="13" t="s">
        <v>628</v>
      </c>
      <c r="B2979" s="13" t="s">
        <v>627</v>
      </c>
      <c r="C2979" s="13" t="s">
        <v>2266</v>
      </c>
      <c r="D2979" s="13" t="s">
        <v>2270</v>
      </c>
      <c r="E2979" s="13" t="s">
        <v>2520</v>
      </c>
      <c r="F2979" s="13" t="s">
        <v>2529</v>
      </c>
      <c r="G2979" s="61" t="n">
        <v>0</v>
      </c>
      <c r="H2979" s="13" t="s">
        <v>2255</v>
      </c>
      <c r="I2979" s="13" t="s">
        <v>2517</v>
      </c>
      <c r="J2979" s="13" t="n">
        <v>80</v>
      </c>
      <c r="K2979" s="13" t="s">
        <v>2478</v>
      </c>
      <c r="L2979" s="13" t="s">
        <v>2265</v>
      </c>
      <c r="M2979" s="13" t="s">
        <v>2518</v>
      </c>
    </row>
    <row r="2980" customFormat="false" ht="15" hidden="false" customHeight="false" outlineLevel="0" collapsed="false">
      <c r="A2980" s="13" t="s">
        <v>628</v>
      </c>
      <c r="B2980" s="13" t="s">
        <v>627</v>
      </c>
      <c r="C2980" s="13" t="s">
        <v>2266</v>
      </c>
      <c r="D2980" s="13" t="s">
        <v>2270</v>
      </c>
      <c r="E2980" s="13" t="s">
        <v>2521</v>
      </c>
      <c r="F2980" s="13" t="s">
        <v>2529</v>
      </c>
      <c r="G2980" s="61" t="n">
        <v>69865154</v>
      </c>
      <c r="H2980" s="13" t="s">
        <v>2255</v>
      </c>
      <c r="I2980" s="13" t="s">
        <v>2517</v>
      </c>
      <c r="J2980" s="13" t="n">
        <v>80</v>
      </c>
      <c r="K2980" s="13" t="s">
        <v>2478</v>
      </c>
      <c r="L2980" s="13" t="s">
        <v>2265</v>
      </c>
      <c r="M2980" s="13" t="s">
        <v>2518</v>
      </c>
    </row>
    <row r="2981" customFormat="false" ht="15" hidden="false" customHeight="false" outlineLevel="0" collapsed="false">
      <c r="A2981" s="13" t="s">
        <v>628</v>
      </c>
      <c r="B2981" s="13" t="s">
        <v>627</v>
      </c>
      <c r="C2981" s="13" t="s">
        <v>2266</v>
      </c>
      <c r="D2981" s="13" t="s">
        <v>2270</v>
      </c>
      <c r="E2981" s="13" t="s">
        <v>2522</v>
      </c>
      <c r="F2981" s="13" t="s">
        <v>2529</v>
      </c>
      <c r="G2981" s="61" t="n">
        <v>0</v>
      </c>
      <c r="H2981" s="13" t="s">
        <v>2255</v>
      </c>
      <c r="I2981" s="13" t="s">
        <v>2517</v>
      </c>
      <c r="J2981" s="13" t="n">
        <v>80</v>
      </c>
      <c r="K2981" s="13" t="s">
        <v>2478</v>
      </c>
      <c r="L2981" s="13" t="s">
        <v>2265</v>
      </c>
      <c r="M2981" s="13" t="s">
        <v>2518</v>
      </c>
    </row>
    <row r="2982" customFormat="false" ht="15" hidden="false" customHeight="false" outlineLevel="0" collapsed="false">
      <c r="A2982" s="13" t="s">
        <v>628</v>
      </c>
      <c r="B2982" s="13" t="s">
        <v>627</v>
      </c>
      <c r="C2982" s="13" t="s">
        <v>2266</v>
      </c>
      <c r="D2982" s="13" t="s">
        <v>2270</v>
      </c>
      <c r="E2982" s="13" t="s">
        <v>2523</v>
      </c>
      <c r="F2982" s="13" t="s">
        <v>2529</v>
      </c>
      <c r="G2982" s="61" t="n">
        <v>-175122</v>
      </c>
      <c r="H2982" s="13" t="s">
        <v>2255</v>
      </c>
      <c r="I2982" s="13" t="s">
        <v>2517</v>
      </c>
      <c r="J2982" s="13" t="n">
        <v>80</v>
      </c>
      <c r="K2982" s="13" t="s">
        <v>2478</v>
      </c>
      <c r="L2982" s="13" t="s">
        <v>2265</v>
      </c>
      <c r="M2982" s="13" t="s">
        <v>2518</v>
      </c>
    </row>
    <row r="2983" customFormat="false" ht="15" hidden="false" customHeight="false" outlineLevel="0" collapsed="false">
      <c r="A2983" s="13" t="s">
        <v>628</v>
      </c>
      <c r="B2983" s="13" t="s">
        <v>627</v>
      </c>
      <c r="C2983" s="13" t="s">
        <v>2266</v>
      </c>
      <c r="D2983" s="13" t="s">
        <v>2270</v>
      </c>
      <c r="E2983" s="13" t="s">
        <v>2524</v>
      </c>
      <c r="F2983" s="13" t="s">
        <v>2529</v>
      </c>
      <c r="G2983" s="61" t="n">
        <v>312607031</v>
      </c>
      <c r="H2983" s="13" t="s">
        <v>2255</v>
      </c>
      <c r="I2983" s="13" t="s">
        <v>2517</v>
      </c>
      <c r="J2983" s="13" t="n">
        <v>80</v>
      </c>
      <c r="K2983" s="13" t="s">
        <v>2478</v>
      </c>
      <c r="L2983" s="13" t="s">
        <v>2265</v>
      </c>
      <c r="M2983" s="13" t="s">
        <v>2518</v>
      </c>
    </row>
    <row r="2984" customFormat="false" ht="15" hidden="false" customHeight="false" outlineLevel="0" collapsed="false">
      <c r="A2984" s="13" t="s">
        <v>628</v>
      </c>
      <c r="B2984" s="13" t="s">
        <v>627</v>
      </c>
      <c r="C2984" s="13" t="s">
        <v>2266</v>
      </c>
      <c r="D2984" s="13" t="s">
        <v>2270</v>
      </c>
      <c r="E2984" s="13" t="s">
        <v>2515</v>
      </c>
      <c r="F2984" s="13" t="s">
        <v>2530</v>
      </c>
      <c r="G2984" s="61" t="n">
        <v>450563695</v>
      </c>
      <c r="H2984" s="13" t="s">
        <v>2255</v>
      </c>
      <c r="I2984" s="13" t="s">
        <v>2517</v>
      </c>
      <c r="J2984" s="13" t="n">
        <v>80</v>
      </c>
      <c r="K2984" s="13" t="s">
        <v>2478</v>
      </c>
      <c r="L2984" s="13" t="s">
        <v>2265</v>
      </c>
      <c r="M2984" s="13" t="s">
        <v>2518</v>
      </c>
    </row>
    <row r="2985" customFormat="false" ht="15" hidden="false" customHeight="false" outlineLevel="0" collapsed="false">
      <c r="A2985" s="13" t="s">
        <v>628</v>
      </c>
      <c r="B2985" s="13" t="s">
        <v>627</v>
      </c>
      <c r="C2985" s="13" t="s">
        <v>2266</v>
      </c>
      <c r="D2985" s="13" t="s">
        <v>2270</v>
      </c>
      <c r="E2985" s="13" t="s">
        <v>2520</v>
      </c>
      <c r="F2985" s="13" t="s">
        <v>2530</v>
      </c>
      <c r="G2985" s="61" t="n">
        <v>0</v>
      </c>
      <c r="H2985" s="13" t="s">
        <v>2255</v>
      </c>
      <c r="I2985" s="13" t="s">
        <v>2517</v>
      </c>
      <c r="J2985" s="13" t="n">
        <v>80</v>
      </c>
      <c r="K2985" s="13" t="s">
        <v>2478</v>
      </c>
      <c r="L2985" s="13" t="s">
        <v>2265</v>
      </c>
      <c r="M2985" s="13" t="s">
        <v>2518</v>
      </c>
    </row>
    <row r="2986" customFormat="false" ht="15" hidden="false" customHeight="false" outlineLevel="0" collapsed="false">
      <c r="A2986" s="13" t="s">
        <v>628</v>
      </c>
      <c r="B2986" s="13" t="s">
        <v>627</v>
      </c>
      <c r="C2986" s="13" t="s">
        <v>2266</v>
      </c>
      <c r="D2986" s="13" t="s">
        <v>2270</v>
      </c>
      <c r="E2986" s="13" t="s">
        <v>2521</v>
      </c>
      <c r="F2986" s="13" t="s">
        <v>2530</v>
      </c>
      <c r="G2986" s="61" t="n">
        <v>-27230</v>
      </c>
      <c r="H2986" s="13" t="s">
        <v>2255</v>
      </c>
      <c r="I2986" s="13" t="s">
        <v>2517</v>
      </c>
      <c r="J2986" s="13" t="n">
        <v>80</v>
      </c>
      <c r="K2986" s="13" t="s">
        <v>2478</v>
      </c>
      <c r="L2986" s="13" t="s">
        <v>2265</v>
      </c>
      <c r="M2986" s="13" t="s">
        <v>2518</v>
      </c>
    </row>
    <row r="2987" customFormat="false" ht="15" hidden="false" customHeight="false" outlineLevel="0" collapsed="false">
      <c r="A2987" s="13" t="s">
        <v>628</v>
      </c>
      <c r="B2987" s="13" t="s">
        <v>627</v>
      </c>
      <c r="C2987" s="13" t="s">
        <v>2266</v>
      </c>
      <c r="D2987" s="13" t="s">
        <v>2270</v>
      </c>
      <c r="E2987" s="13" t="s">
        <v>2522</v>
      </c>
      <c r="F2987" s="13" t="s">
        <v>2530</v>
      </c>
      <c r="G2987" s="61" t="n">
        <v>0</v>
      </c>
      <c r="H2987" s="13" t="s">
        <v>2255</v>
      </c>
      <c r="I2987" s="13" t="s">
        <v>2517</v>
      </c>
      <c r="J2987" s="13" t="n">
        <v>80</v>
      </c>
      <c r="K2987" s="13" t="s">
        <v>2478</v>
      </c>
      <c r="L2987" s="13" t="s">
        <v>2265</v>
      </c>
      <c r="M2987" s="13" t="s">
        <v>2518</v>
      </c>
    </row>
    <row r="2988" customFormat="false" ht="15" hidden="false" customHeight="false" outlineLevel="0" collapsed="false">
      <c r="A2988" s="13" t="s">
        <v>628</v>
      </c>
      <c r="B2988" s="13" t="s">
        <v>627</v>
      </c>
      <c r="C2988" s="13" t="s">
        <v>2266</v>
      </c>
      <c r="D2988" s="13" t="s">
        <v>2270</v>
      </c>
      <c r="E2988" s="13" t="s">
        <v>2523</v>
      </c>
      <c r="F2988" s="13" t="s">
        <v>2530</v>
      </c>
      <c r="G2988" s="61" t="n">
        <v>0</v>
      </c>
      <c r="H2988" s="13" t="s">
        <v>2255</v>
      </c>
      <c r="I2988" s="13" t="s">
        <v>2517</v>
      </c>
      <c r="J2988" s="13" t="n">
        <v>80</v>
      </c>
      <c r="K2988" s="13" t="s">
        <v>2478</v>
      </c>
      <c r="L2988" s="13" t="s">
        <v>2265</v>
      </c>
      <c r="M2988" s="13" t="s">
        <v>2518</v>
      </c>
    </row>
    <row r="2989" customFormat="false" ht="15" hidden="false" customHeight="false" outlineLevel="0" collapsed="false">
      <c r="A2989" s="13" t="s">
        <v>628</v>
      </c>
      <c r="B2989" s="13" t="s">
        <v>627</v>
      </c>
      <c r="C2989" s="13" t="s">
        <v>2266</v>
      </c>
      <c r="D2989" s="13" t="s">
        <v>2270</v>
      </c>
      <c r="E2989" s="13" t="s">
        <v>2524</v>
      </c>
      <c r="F2989" s="13" t="s">
        <v>2530</v>
      </c>
      <c r="G2989" s="61" t="n">
        <v>450536465</v>
      </c>
      <c r="H2989" s="13" t="s">
        <v>2255</v>
      </c>
      <c r="I2989" s="13" t="s">
        <v>2517</v>
      </c>
      <c r="J2989" s="13" t="n">
        <v>80</v>
      </c>
      <c r="K2989" s="13" t="s">
        <v>2478</v>
      </c>
      <c r="L2989" s="13" t="s">
        <v>2265</v>
      </c>
      <c r="M2989" s="13" t="s">
        <v>2518</v>
      </c>
    </row>
    <row r="2990" customFormat="false" ht="15" hidden="false" customHeight="false" outlineLevel="0" collapsed="false">
      <c r="A2990" s="13" t="s">
        <v>628</v>
      </c>
      <c r="B2990" s="13" t="s">
        <v>627</v>
      </c>
      <c r="C2990" s="13" t="s">
        <v>2266</v>
      </c>
      <c r="D2990" s="13" t="s">
        <v>2270</v>
      </c>
      <c r="E2990" s="13" t="s">
        <v>2515</v>
      </c>
      <c r="F2990" s="13" t="s">
        <v>2531</v>
      </c>
      <c r="G2990" s="61" t="n">
        <v>1037843794</v>
      </c>
      <c r="H2990" s="13" t="s">
        <v>2255</v>
      </c>
      <c r="I2990" s="13" t="s">
        <v>2517</v>
      </c>
      <c r="J2990" s="13" t="n">
        <v>80</v>
      </c>
      <c r="K2990" s="13" t="s">
        <v>2478</v>
      </c>
      <c r="L2990" s="13" t="s">
        <v>2265</v>
      </c>
      <c r="M2990" s="13" t="s">
        <v>2518</v>
      </c>
    </row>
    <row r="2991" customFormat="false" ht="15" hidden="false" customHeight="false" outlineLevel="0" collapsed="false">
      <c r="A2991" s="13" t="s">
        <v>628</v>
      </c>
      <c r="B2991" s="13" t="s">
        <v>627</v>
      </c>
      <c r="C2991" s="13" t="s">
        <v>2266</v>
      </c>
      <c r="D2991" s="13" t="s">
        <v>2270</v>
      </c>
      <c r="E2991" s="13" t="s">
        <v>2520</v>
      </c>
      <c r="F2991" s="13" t="s">
        <v>2531</v>
      </c>
      <c r="G2991" s="61" t="n">
        <v>0</v>
      </c>
      <c r="H2991" s="13" t="s">
        <v>2255</v>
      </c>
      <c r="I2991" s="13" t="s">
        <v>2517</v>
      </c>
      <c r="J2991" s="13" t="n">
        <v>80</v>
      </c>
      <c r="K2991" s="13" t="s">
        <v>2478</v>
      </c>
      <c r="L2991" s="13" t="s">
        <v>2265</v>
      </c>
      <c r="M2991" s="13" t="s">
        <v>2518</v>
      </c>
    </row>
    <row r="2992" customFormat="false" ht="15" hidden="false" customHeight="false" outlineLevel="0" collapsed="false">
      <c r="A2992" s="13" t="s">
        <v>628</v>
      </c>
      <c r="B2992" s="13" t="s">
        <v>627</v>
      </c>
      <c r="C2992" s="13" t="s">
        <v>2266</v>
      </c>
      <c r="D2992" s="13" t="s">
        <v>2270</v>
      </c>
      <c r="E2992" s="13" t="s">
        <v>2521</v>
      </c>
      <c r="F2992" s="13" t="s">
        <v>2531</v>
      </c>
      <c r="G2992" s="61" t="n">
        <v>535809373</v>
      </c>
      <c r="H2992" s="13" t="s">
        <v>2255</v>
      </c>
      <c r="I2992" s="13" t="s">
        <v>2517</v>
      </c>
      <c r="J2992" s="13" t="n">
        <v>80</v>
      </c>
      <c r="K2992" s="13" t="s">
        <v>2478</v>
      </c>
      <c r="L2992" s="13" t="s">
        <v>2265</v>
      </c>
      <c r="M2992" s="13" t="s">
        <v>2518</v>
      </c>
    </row>
    <row r="2993" customFormat="false" ht="15" hidden="false" customHeight="false" outlineLevel="0" collapsed="false">
      <c r="A2993" s="13" t="s">
        <v>628</v>
      </c>
      <c r="B2993" s="13" t="s">
        <v>627</v>
      </c>
      <c r="C2993" s="13" t="s">
        <v>2266</v>
      </c>
      <c r="D2993" s="13" t="s">
        <v>2270</v>
      </c>
      <c r="E2993" s="13" t="s">
        <v>2522</v>
      </c>
      <c r="F2993" s="13" t="s">
        <v>2531</v>
      </c>
      <c r="G2993" s="61" t="n">
        <v>-85412396</v>
      </c>
      <c r="H2993" s="13" t="s">
        <v>2255</v>
      </c>
      <c r="I2993" s="13" t="s">
        <v>2517</v>
      </c>
      <c r="J2993" s="13" t="n">
        <v>80</v>
      </c>
      <c r="K2993" s="13" t="s">
        <v>2478</v>
      </c>
      <c r="L2993" s="13" t="s">
        <v>2265</v>
      </c>
      <c r="M2993" s="13" t="s">
        <v>2518</v>
      </c>
    </row>
    <row r="2994" customFormat="false" ht="15" hidden="false" customHeight="false" outlineLevel="0" collapsed="false">
      <c r="A2994" s="13" t="s">
        <v>628</v>
      </c>
      <c r="B2994" s="13" t="s">
        <v>627</v>
      </c>
      <c r="C2994" s="13" t="s">
        <v>2266</v>
      </c>
      <c r="D2994" s="13" t="s">
        <v>2270</v>
      </c>
      <c r="E2994" s="13" t="s">
        <v>2523</v>
      </c>
      <c r="F2994" s="13" t="s">
        <v>2531</v>
      </c>
      <c r="G2994" s="61" t="n">
        <v>5699430</v>
      </c>
      <c r="H2994" s="13" t="s">
        <v>2255</v>
      </c>
      <c r="I2994" s="13" t="s">
        <v>2517</v>
      </c>
      <c r="J2994" s="13" t="n">
        <v>80</v>
      </c>
      <c r="K2994" s="13" t="s">
        <v>2478</v>
      </c>
      <c r="L2994" s="13" t="s">
        <v>2265</v>
      </c>
      <c r="M2994" s="13" t="s">
        <v>2518</v>
      </c>
    </row>
    <row r="2995" customFormat="false" ht="15" hidden="false" customHeight="false" outlineLevel="0" collapsed="false">
      <c r="A2995" s="13" t="s">
        <v>628</v>
      </c>
      <c r="B2995" s="13" t="s">
        <v>627</v>
      </c>
      <c r="C2995" s="13" t="s">
        <v>2266</v>
      </c>
      <c r="D2995" s="13" t="s">
        <v>2270</v>
      </c>
      <c r="E2995" s="13" t="s">
        <v>2524</v>
      </c>
      <c r="F2995" s="13" t="s">
        <v>2531</v>
      </c>
      <c r="G2995" s="61" t="n">
        <v>1493940201</v>
      </c>
      <c r="H2995" s="13" t="s">
        <v>2255</v>
      </c>
      <c r="I2995" s="13" t="s">
        <v>2517</v>
      </c>
      <c r="J2995" s="13" t="n">
        <v>80</v>
      </c>
      <c r="K2995" s="13" t="s">
        <v>2478</v>
      </c>
      <c r="L2995" s="13" t="s">
        <v>2265</v>
      </c>
      <c r="M2995" s="13" t="s">
        <v>2518</v>
      </c>
    </row>
    <row r="2996" customFormat="false" ht="15" hidden="false" customHeight="false" outlineLevel="0" collapsed="false">
      <c r="A2996" s="13" t="s">
        <v>628</v>
      </c>
      <c r="B2996" s="13" t="s">
        <v>627</v>
      </c>
      <c r="C2996" s="13" t="s">
        <v>2266</v>
      </c>
      <c r="D2996" s="13" t="s">
        <v>2270</v>
      </c>
      <c r="E2996" s="13" t="s">
        <v>2515</v>
      </c>
      <c r="F2996" s="13" t="s">
        <v>2532</v>
      </c>
      <c r="G2996" s="61" t="n">
        <v>-446938865</v>
      </c>
      <c r="H2996" s="13" t="s">
        <v>2255</v>
      </c>
      <c r="I2996" s="13" t="s">
        <v>2517</v>
      </c>
      <c r="J2996" s="13" t="n">
        <v>80</v>
      </c>
      <c r="K2996" s="13" t="s">
        <v>2478</v>
      </c>
      <c r="L2996" s="13" t="s">
        <v>2265</v>
      </c>
      <c r="M2996" s="13" t="s">
        <v>2518</v>
      </c>
    </row>
    <row r="2997" customFormat="false" ht="15" hidden="false" customHeight="false" outlineLevel="0" collapsed="false">
      <c r="A2997" s="13" t="s">
        <v>628</v>
      </c>
      <c r="B2997" s="13" t="s">
        <v>627</v>
      </c>
      <c r="C2997" s="13" t="s">
        <v>2266</v>
      </c>
      <c r="D2997" s="13" t="s">
        <v>2270</v>
      </c>
      <c r="E2997" s="13" t="s">
        <v>2520</v>
      </c>
      <c r="F2997" s="13" t="s">
        <v>2532</v>
      </c>
      <c r="G2997" s="61" t="n">
        <v>0</v>
      </c>
      <c r="H2997" s="13" t="s">
        <v>2255</v>
      </c>
      <c r="I2997" s="13" t="s">
        <v>2517</v>
      </c>
      <c r="J2997" s="13" t="n">
        <v>80</v>
      </c>
      <c r="K2997" s="13" t="s">
        <v>2478</v>
      </c>
      <c r="L2997" s="13" t="s">
        <v>2265</v>
      </c>
      <c r="M2997" s="13" t="s">
        <v>2518</v>
      </c>
    </row>
    <row r="2998" customFormat="false" ht="15" hidden="false" customHeight="false" outlineLevel="0" collapsed="false">
      <c r="A2998" s="13" t="s">
        <v>628</v>
      </c>
      <c r="B2998" s="13" t="s">
        <v>627</v>
      </c>
      <c r="C2998" s="13" t="s">
        <v>2266</v>
      </c>
      <c r="D2998" s="13" t="s">
        <v>2270</v>
      </c>
      <c r="E2998" s="13" t="s">
        <v>2521</v>
      </c>
      <c r="F2998" s="13" t="s">
        <v>2532</v>
      </c>
      <c r="G2998" s="61" t="n">
        <v>-116141311</v>
      </c>
      <c r="H2998" s="13" t="s">
        <v>2255</v>
      </c>
      <c r="I2998" s="13" t="s">
        <v>2517</v>
      </c>
      <c r="J2998" s="13" t="n">
        <v>80</v>
      </c>
      <c r="K2998" s="13" t="s">
        <v>2478</v>
      </c>
      <c r="L2998" s="13" t="s">
        <v>2265</v>
      </c>
      <c r="M2998" s="13" t="s">
        <v>2518</v>
      </c>
    </row>
    <row r="2999" customFormat="false" ht="15" hidden="false" customHeight="false" outlineLevel="0" collapsed="false">
      <c r="A2999" s="13" t="s">
        <v>628</v>
      </c>
      <c r="B2999" s="13" t="s">
        <v>627</v>
      </c>
      <c r="C2999" s="13" t="s">
        <v>2266</v>
      </c>
      <c r="D2999" s="13" t="s">
        <v>2270</v>
      </c>
      <c r="E2999" s="13" t="s">
        <v>2522</v>
      </c>
      <c r="F2999" s="13" t="s">
        <v>2532</v>
      </c>
      <c r="G2999" s="61" t="n">
        <v>0</v>
      </c>
      <c r="H2999" s="13" t="s">
        <v>2255</v>
      </c>
      <c r="I2999" s="13" t="s">
        <v>2517</v>
      </c>
      <c r="J2999" s="13" t="n">
        <v>80</v>
      </c>
      <c r="K2999" s="13" t="s">
        <v>2478</v>
      </c>
      <c r="L2999" s="13" t="s">
        <v>2265</v>
      </c>
      <c r="M2999" s="13" t="s">
        <v>2518</v>
      </c>
    </row>
    <row r="3000" customFormat="false" ht="15" hidden="false" customHeight="false" outlineLevel="0" collapsed="false">
      <c r="A3000" s="13" t="s">
        <v>628</v>
      </c>
      <c r="B3000" s="13" t="s">
        <v>627</v>
      </c>
      <c r="C3000" s="13" t="s">
        <v>2266</v>
      </c>
      <c r="D3000" s="13" t="s">
        <v>2270</v>
      </c>
      <c r="E3000" s="13" t="s">
        <v>2523</v>
      </c>
      <c r="F3000" s="13" t="s">
        <v>2532</v>
      </c>
      <c r="G3000" s="61" t="n">
        <v>6932255</v>
      </c>
      <c r="H3000" s="13" t="s">
        <v>2255</v>
      </c>
      <c r="I3000" s="13" t="s">
        <v>2517</v>
      </c>
      <c r="J3000" s="13" t="n">
        <v>80</v>
      </c>
      <c r="K3000" s="13" t="s">
        <v>2478</v>
      </c>
      <c r="L3000" s="13" t="s">
        <v>2265</v>
      </c>
      <c r="M3000" s="13" t="s">
        <v>2518</v>
      </c>
    </row>
    <row r="3001" customFormat="false" ht="15" hidden="false" customHeight="false" outlineLevel="0" collapsed="false">
      <c r="A3001" s="13" t="s">
        <v>628</v>
      </c>
      <c r="B3001" s="13" t="s">
        <v>627</v>
      </c>
      <c r="C3001" s="13" t="s">
        <v>2266</v>
      </c>
      <c r="D3001" s="13" t="s">
        <v>2270</v>
      </c>
      <c r="E3001" s="13" t="s">
        <v>2524</v>
      </c>
      <c r="F3001" s="13" t="s">
        <v>2532</v>
      </c>
      <c r="G3001" s="61" t="n">
        <v>-556147921</v>
      </c>
      <c r="H3001" s="13" t="s">
        <v>2255</v>
      </c>
      <c r="I3001" s="13" t="s">
        <v>2517</v>
      </c>
      <c r="J3001" s="13" t="n">
        <v>80</v>
      </c>
      <c r="K3001" s="13" t="s">
        <v>2478</v>
      </c>
      <c r="L3001" s="13" t="s">
        <v>2265</v>
      </c>
      <c r="M3001" s="13" t="s">
        <v>2518</v>
      </c>
    </row>
    <row r="3002" customFormat="false" ht="15" hidden="false" customHeight="false" outlineLevel="0" collapsed="false">
      <c r="A3002" s="13" t="s">
        <v>628</v>
      </c>
      <c r="B3002" s="13" t="s">
        <v>627</v>
      </c>
      <c r="C3002" s="13" t="s">
        <v>2266</v>
      </c>
      <c r="D3002" s="13" t="s">
        <v>2270</v>
      </c>
      <c r="E3002" s="13" t="s">
        <v>2515</v>
      </c>
      <c r="F3002" s="13" t="s">
        <v>2533</v>
      </c>
      <c r="G3002" s="61" t="n">
        <v>2302898586</v>
      </c>
      <c r="H3002" s="13" t="s">
        <v>2255</v>
      </c>
      <c r="I3002" s="13" t="s">
        <v>2517</v>
      </c>
      <c r="J3002" s="13" t="n">
        <v>80</v>
      </c>
      <c r="K3002" s="13" t="s">
        <v>2478</v>
      </c>
      <c r="L3002" s="13" t="s">
        <v>2265</v>
      </c>
      <c r="M3002" s="13" t="s">
        <v>2518</v>
      </c>
    </row>
    <row r="3003" customFormat="false" ht="15" hidden="false" customHeight="false" outlineLevel="0" collapsed="false">
      <c r="A3003" s="13" t="s">
        <v>628</v>
      </c>
      <c r="B3003" s="13" t="s">
        <v>627</v>
      </c>
      <c r="C3003" s="13" t="s">
        <v>2266</v>
      </c>
      <c r="D3003" s="13" t="s">
        <v>2270</v>
      </c>
      <c r="E3003" s="13" t="s">
        <v>2520</v>
      </c>
      <c r="F3003" s="13" t="s">
        <v>2533</v>
      </c>
      <c r="G3003" s="61" t="n">
        <v>0</v>
      </c>
      <c r="H3003" s="13" t="s">
        <v>2255</v>
      </c>
      <c r="I3003" s="13" t="s">
        <v>2517</v>
      </c>
      <c r="J3003" s="13" t="n">
        <v>80</v>
      </c>
      <c r="K3003" s="13" t="s">
        <v>2478</v>
      </c>
      <c r="L3003" s="13" t="s">
        <v>2265</v>
      </c>
      <c r="M3003" s="13" t="s">
        <v>2518</v>
      </c>
    </row>
    <row r="3004" customFormat="false" ht="15" hidden="false" customHeight="false" outlineLevel="0" collapsed="false">
      <c r="A3004" s="13" t="s">
        <v>628</v>
      </c>
      <c r="B3004" s="13" t="s">
        <v>627</v>
      </c>
      <c r="C3004" s="13" t="s">
        <v>2266</v>
      </c>
      <c r="D3004" s="13" t="s">
        <v>2270</v>
      </c>
      <c r="E3004" s="13" t="s">
        <v>2521</v>
      </c>
      <c r="F3004" s="13" t="s">
        <v>2533</v>
      </c>
      <c r="G3004" s="61" t="n">
        <v>-300159768</v>
      </c>
      <c r="H3004" s="13" t="s">
        <v>2255</v>
      </c>
      <c r="I3004" s="13" t="s">
        <v>2517</v>
      </c>
      <c r="J3004" s="13" t="n">
        <v>80</v>
      </c>
      <c r="K3004" s="13" t="s">
        <v>2478</v>
      </c>
      <c r="L3004" s="13" t="s">
        <v>2265</v>
      </c>
      <c r="M3004" s="13" t="s">
        <v>2518</v>
      </c>
    </row>
    <row r="3005" customFormat="false" ht="15" hidden="false" customHeight="false" outlineLevel="0" collapsed="false">
      <c r="A3005" s="13" t="s">
        <v>628</v>
      </c>
      <c r="B3005" s="13" t="s">
        <v>627</v>
      </c>
      <c r="C3005" s="13" t="s">
        <v>2266</v>
      </c>
      <c r="D3005" s="13" t="s">
        <v>2270</v>
      </c>
      <c r="E3005" s="13" t="s">
        <v>2522</v>
      </c>
      <c r="F3005" s="13" t="s">
        <v>2533</v>
      </c>
      <c r="G3005" s="61" t="n">
        <v>0</v>
      </c>
      <c r="H3005" s="13" t="s">
        <v>2255</v>
      </c>
      <c r="I3005" s="13" t="s">
        <v>2517</v>
      </c>
      <c r="J3005" s="13" t="n">
        <v>80</v>
      </c>
      <c r="K3005" s="13" t="s">
        <v>2478</v>
      </c>
      <c r="L3005" s="13" t="s">
        <v>2265</v>
      </c>
      <c r="M3005" s="13" t="s">
        <v>2518</v>
      </c>
    </row>
    <row r="3006" customFormat="false" ht="15" hidden="false" customHeight="false" outlineLevel="0" collapsed="false">
      <c r="A3006" s="13" t="s">
        <v>628</v>
      </c>
      <c r="B3006" s="13" t="s">
        <v>627</v>
      </c>
      <c r="C3006" s="13" t="s">
        <v>2266</v>
      </c>
      <c r="D3006" s="13" t="s">
        <v>2270</v>
      </c>
      <c r="E3006" s="13" t="s">
        <v>2523</v>
      </c>
      <c r="F3006" s="13" t="s">
        <v>2533</v>
      </c>
      <c r="G3006" s="61" t="n">
        <v>4339940</v>
      </c>
      <c r="H3006" s="13" t="s">
        <v>2255</v>
      </c>
      <c r="I3006" s="13" t="s">
        <v>2517</v>
      </c>
      <c r="J3006" s="13" t="n">
        <v>80</v>
      </c>
      <c r="K3006" s="13" t="s">
        <v>2478</v>
      </c>
      <c r="L3006" s="13" t="s">
        <v>2265</v>
      </c>
      <c r="M3006" s="13" t="s">
        <v>2518</v>
      </c>
    </row>
    <row r="3007" customFormat="false" ht="15" hidden="false" customHeight="false" outlineLevel="0" collapsed="false">
      <c r="A3007" s="13" t="s">
        <v>628</v>
      </c>
      <c r="B3007" s="13" t="s">
        <v>627</v>
      </c>
      <c r="C3007" s="13" t="s">
        <v>2266</v>
      </c>
      <c r="D3007" s="13" t="s">
        <v>2270</v>
      </c>
      <c r="E3007" s="13" t="s">
        <v>2524</v>
      </c>
      <c r="F3007" s="13" t="s">
        <v>2533</v>
      </c>
      <c r="G3007" s="61" t="n">
        <v>2007078758</v>
      </c>
      <c r="H3007" s="13" t="s">
        <v>2255</v>
      </c>
      <c r="I3007" s="13" t="s">
        <v>2517</v>
      </c>
      <c r="J3007" s="13" t="n">
        <v>80</v>
      </c>
      <c r="K3007" s="13" t="s">
        <v>2478</v>
      </c>
      <c r="L3007" s="13" t="s">
        <v>2265</v>
      </c>
      <c r="M3007" s="13" t="s">
        <v>2518</v>
      </c>
    </row>
    <row r="3008" customFormat="false" ht="15" hidden="false" customHeight="false" outlineLevel="0" collapsed="false">
      <c r="A3008" s="13" t="s">
        <v>628</v>
      </c>
      <c r="B3008" s="13" t="s">
        <v>627</v>
      </c>
      <c r="C3008" s="13" t="s">
        <v>2266</v>
      </c>
      <c r="D3008" s="13" t="s">
        <v>2270</v>
      </c>
      <c r="E3008" s="13" t="s">
        <v>2515</v>
      </c>
      <c r="F3008" s="13" t="s">
        <v>2534</v>
      </c>
      <c r="G3008" s="61" t="n">
        <v>-129473120</v>
      </c>
      <c r="H3008" s="13" t="s">
        <v>2255</v>
      </c>
      <c r="I3008" s="13" t="s">
        <v>2517</v>
      </c>
      <c r="J3008" s="13" t="n">
        <v>80</v>
      </c>
      <c r="K3008" s="13" t="s">
        <v>2478</v>
      </c>
      <c r="L3008" s="13" t="s">
        <v>2265</v>
      </c>
      <c r="M3008" s="13" t="s">
        <v>2518</v>
      </c>
    </row>
    <row r="3009" customFormat="false" ht="15" hidden="false" customHeight="false" outlineLevel="0" collapsed="false">
      <c r="A3009" s="13" t="s">
        <v>628</v>
      </c>
      <c r="B3009" s="13" t="s">
        <v>627</v>
      </c>
      <c r="C3009" s="13" t="s">
        <v>2266</v>
      </c>
      <c r="D3009" s="13" t="s">
        <v>2270</v>
      </c>
      <c r="E3009" s="13" t="s">
        <v>2520</v>
      </c>
      <c r="F3009" s="13" t="s">
        <v>2534</v>
      </c>
      <c r="G3009" s="61" t="n">
        <v>0</v>
      </c>
      <c r="H3009" s="13" t="s">
        <v>2255</v>
      </c>
      <c r="I3009" s="13" t="s">
        <v>2517</v>
      </c>
      <c r="J3009" s="13" t="n">
        <v>80</v>
      </c>
      <c r="K3009" s="13" t="s">
        <v>2478</v>
      </c>
      <c r="L3009" s="13" t="s">
        <v>2265</v>
      </c>
      <c r="M3009" s="13" t="s">
        <v>2518</v>
      </c>
    </row>
    <row r="3010" customFormat="false" ht="15" hidden="false" customHeight="false" outlineLevel="0" collapsed="false">
      <c r="A3010" s="13" t="s">
        <v>628</v>
      </c>
      <c r="B3010" s="13" t="s">
        <v>627</v>
      </c>
      <c r="C3010" s="13" t="s">
        <v>2266</v>
      </c>
      <c r="D3010" s="13" t="s">
        <v>2270</v>
      </c>
      <c r="E3010" s="13" t="s">
        <v>2521</v>
      </c>
      <c r="F3010" s="13" t="s">
        <v>2534</v>
      </c>
      <c r="G3010" s="61" t="n">
        <v>-80892181</v>
      </c>
      <c r="H3010" s="13" t="s">
        <v>2255</v>
      </c>
      <c r="I3010" s="13" t="s">
        <v>2517</v>
      </c>
      <c r="J3010" s="13" t="n">
        <v>80</v>
      </c>
      <c r="K3010" s="13" t="s">
        <v>2478</v>
      </c>
      <c r="L3010" s="13" t="s">
        <v>2265</v>
      </c>
      <c r="M3010" s="13" t="s">
        <v>2518</v>
      </c>
    </row>
    <row r="3011" customFormat="false" ht="15" hidden="false" customHeight="false" outlineLevel="0" collapsed="false">
      <c r="A3011" s="13" t="s">
        <v>628</v>
      </c>
      <c r="B3011" s="13" t="s">
        <v>627</v>
      </c>
      <c r="C3011" s="13" t="s">
        <v>2266</v>
      </c>
      <c r="D3011" s="13" t="s">
        <v>2270</v>
      </c>
      <c r="E3011" s="13" t="s">
        <v>2522</v>
      </c>
      <c r="F3011" s="13" t="s">
        <v>2534</v>
      </c>
      <c r="G3011" s="61" t="n">
        <v>0</v>
      </c>
      <c r="H3011" s="13" t="s">
        <v>2255</v>
      </c>
      <c r="I3011" s="13" t="s">
        <v>2517</v>
      </c>
      <c r="J3011" s="13" t="n">
        <v>80</v>
      </c>
      <c r="K3011" s="13" t="s">
        <v>2478</v>
      </c>
      <c r="L3011" s="13" t="s">
        <v>2265</v>
      </c>
      <c r="M3011" s="13" t="s">
        <v>2518</v>
      </c>
    </row>
    <row r="3012" customFormat="false" ht="15" hidden="false" customHeight="false" outlineLevel="0" collapsed="false">
      <c r="A3012" s="13" t="s">
        <v>628</v>
      </c>
      <c r="B3012" s="13" t="s">
        <v>627</v>
      </c>
      <c r="C3012" s="13" t="s">
        <v>2266</v>
      </c>
      <c r="D3012" s="13" t="s">
        <v>2270</v>
      </c>
      <c r="E3012" s="13" t="s">
        <v>2523</v>
      </c>
      <c r="F3012" s="13" t="s">
        <v>2534</v>
      </c>
      <c r="G3012" s="61" t="n">
        <v>-136140</v>
      </c>
      <c r="H3012" s="13" t="s">
        <v>2255</v>
      </c>
      <c r="I3012" s="13" t="s">
        <v>2517</v>
      </c>
      <c r="J3012" s="13" t="n">
        <v>80</v>
      </c>
      <c r="K3012" s="13" t="s">
        <v>2478</v>
      </c>
      <c r="L3012" s="13" t="s">
        <v>2265</v>
      </c>
      <c r="M3012" s="13" t="s">
        <v>2518</v>
      </c>
    </row>
    <row r="3013" customFormat="false" ht="15" hidden="false" customHeight="false" outlineLevel="0" collapsed="false">
      <c r="A3013" s="13" t="s">
        <v>628</v>
      </c>
      <c r="B3013" s="13" t="s">
        <v>627</v>
      </c>
      <c r="C3013" s="13" t="s">
        <v>2266</v>
      </c>
      <c r="D3013" s="13" t="s">
        <v>2270</v>
      </c>
      <c r="E3013" s="13" t="s">
        <v>2524</v>
      </c>
      <c r="F3013" s="13" t="s">
        <v>2534</v>
      </c>
      <c r="G3013" s="61" t="n">
        <v>-210501441</v>
      </c>
      <c r="H3013" s="13" t="s">
        <v>2255</v>
      </c>
      <c r="I3013" s="13" t="s">
        <v>2517</v>
      </c>
      <c r="J3013" s="13" t="n">
        <v>80</v>
      </c>
      <c r="K3013" s="13" t="s">
        <v>2478</v>
      </c>
      <c r="L3013" s="13" t="s">
        <v>2265</v>
      </c>
      <c r="M3013" s="13" t="s">
        <v>2518</v>
      </c>
    </row>
    <row r="3014" customFormat="false" ht="15" hidden="false" customHeight="false" outlineLevel="0" collapsed="false">
      <c r="A3014" s="13" t="s">
        <v>628</v>
      </c>
      <c r="B3014" s="13" t="s">
        <v>627</v>
      </c>
      <c r="C3014" s="13" t="s">
        <v>2266</v>
      </c>
      <c r="D3014" s="13" t="s">
        <v>2270</v>
      </c>
      <c r="E3014" s="13" t="s">
        <v>2515</v>
      </c>
      <c r="F3014" s="13" t="s">
        <v>2535</v>
      </c>
      <c r="G3014" s="61" t="n">
        <v>12527902</v>
      </c>
      <c r="H3014" s="13" t="s">
        <v>2255</v>
      </c>
      <c r="I3014" s="13" t="s">
        <v>2517</v>
      </c>
      <c r="J3014" s="13" t="n">
        <v>80</v>
      </c>
      <c r="K3014" s="13" t="s">
        <v>2478</v>
      </c>
      <c r="L3014" s="13" t="s">
        <v>2265</v>
      </c>
      <c r="M3014" s="13" t="s">
        <v>2518</v>
      </c>
    </row>
    <row r="3015" customFormat="false" ht="15" hidden="false" customHeight="false" outlineLevel="0" collapsed="false">
      <c r="A3015" s="13" t="s">
        <v>628</v>
      </c>
      <c r="B3015" s="13" t="s">
        <v>627</v>
      </c>
      <c r="C3015" s="13" t="s">
        <v>2266</v>
      </c>
      <c r="D3015" s="13" t="s">
        <v>2270</v>
      </c>
      <c r="E3015" s="13" t="s">
        <v>2520</v>
      </c>
      <c r="F3015" s="13" t="s">
        <v>2535</v>
      </c>
      <c r="G3015" s="61" t="n">
        <v>50000000</v>
      </c>
      <c r="H3015" s="13" t="s">
        <v>2255</v>
      </c>
      <c r="I3015" s="13" t="s">
        <v>2517</v>
      </c>
      <c r="J3015" s="13" t="n">
        <v>80</v>
      </c>
      <c r="K3015" s="13" t="s">
        <v>2478</v>
      </c>
      <c r="L3015" s="13" t="s">
        <v>2265</v>
      </c>
      <c r="M3015" s="13" t="s">
        <v>2518</v>
      </c>
    </row>
    <row r="3016" customFormat="false" ht="15" hidden="false" customHeight="false" outlineLevel="0" collapsed="false">
      <c r="A3016" s="13" t="s">
        <v>628</v>
      </c>
      <c r="B3016" s="13" t="s">
        <v>627</v>
      </c>
      <c r="C3016" s="13" t="s">
        <v>2266</v>
      </c>
      <c r="D3016" s="13" t="s">
        <v>2270</v>
      </c>
      <c r="E3016" s="13" t="s">
        <v>2521</v>
      </c>
      <c r="F3016" s="13" t="s">
        <v>2535</v>
      </c>
      <c r="G3016" s="61" t="n">
        <v>-48176641</v>
      </c>
      <c r="H3016" s="13" t="s">
        <v>2255</v>
      </c>
      <c r="I3016" s="13" t="s">
        <v>2517</v>
      </c>
      <c r="J3016" s="13" t="n">
        <v>80</v>
      </c>
      <c r="K3016" s="13" t="s">
        <v>2478</v>
      </c>
      <c r="L3016" s="13" t="s">
        <v>2265</v>
      </c>
      <c r="M3016" s="13" t="s">
        <v>2518</v>
      </c>
    </row>
    <row r="3017" customFormat="false" ht="15" hidden="false" customHeight="false" outlineLevel="0" collapsed="false">
      <c r="A3017" s="13" t="s">
        <v>628</v>
      </c>
      <c r="B3017" s="13" t="s">
        <v>627</v>
      </c>
      <c r="C3017" s="13" t="s">
        <v>2266</v>
      </c>
      <c r="D3017" s="13" t="s">
        <v>2270</v>
      </c>
      <c r="E3017" s="13" t="s">
        <v>2522</v>
      </c>
      <c r="F3017" s="13" t="s">
        <v>2535</v>
      </c>
      <c r="G3017" s="61" t="n">
        <v>0</v>
      </c>
      <c r="H3017" s="13" t="s">
        <v>2255</v>
      </c>
      <c r="I3017" s="13" t="s">
        <v>2517</v>
      </c>
      <c r="J3017" s="13" t="n">
        <v>80</v>
      </c>
      <c r="K3017" s="13" t="s">
        <v>2478</v>
      </c>
      <c r="L3017" s="13" t="s">
        <v>2265</v>
      </c>
      <c r="M3017" s="13" t="s">
        <v>2518</v>
      </c>
    </row>
    <row r="3018" customFormat="false" ht="15" hidden="false" customHeight="false" outlineLevel="0" collapsed="false">
      <c r="A3018" s="13" t="s">
        <v>628</v>
      </c>
      <c r="B3018" s="13" t="s">
        <v>627</v>
      </c>
      <c r="C3018" s="13" t="s">
        <v>2266</v>
      </c>
      <c r="D3018" s="13" t="s">
        <v>2270</v>
      </c>
      <c r="E3018" s="13" t="s">
        <v>2523</v>
      </c>
      <c r="F3018" s="13" t="s">
        <v>2535</v>
      </c>
      <c r="G3018" s="61" t="n">
        <v>192</v>
      </c>
      <c r="H3018" s="13" t="s">
        <v>2255</v>
      </c>
      <c r="I3018" s="13" t="s">
        <v>2517</v>
      </c>
      <c r="J3018" s="13" t="n">
        <v>80</v>
      </c>
      <c r="K3018" s="13" t="s">
        <v>2478</v>
      </c>
      <c r="L3018" s="13" t="s">
        <v>2265</v>
      </c>
      <c r="M3018" s="13" t="s">
        <v>2518</v>
      </c>
    </row>
    <row r="3019" customFormat="false" ht="15" hidden="false" customHeight="false" outlineLevel="0" collapsed="false">
      <c r="A3019" s="13" t="s">
        <v>628</v>
      </c>
      <c r="B3019" s="13" t="s">
        <v>627</v>
      </c>
      <c r="C3019" s="13" t="s">
        <v>2266</v>
      </c>
      <c r="D3019" s="13" t="s">
        <v>2270</v>
      </c>
      <c r="E3019" s="13" t="s">
        <v>2524</v>
      </c>
      <c r="F3019" s="13" t="s">
        <v>2535</v>
      </c>
      <c r="G3019" s="61" t="n">
        <v>14351453</v>
      </c>
      <c r="H3019" s="13" t="s">
        <v>2255</v>
      </c>
      <c r="I3019" s="13" t="s">
        <v>2517</v>
      </c>
      <c r="J3019" s="13" t="n">
        <v>80</v>
      </c>
      <c r="K3019" s="13" t="s">
        <v>2478</v>
      </c>
      <c r="L3019" s="13" t="s">
        <v>2265</v>
      </c>
      <c r="M3019" s="13" t="s">
        <v>2518</v>
      </c>
    </row>
    <row r="3020" customFormat="false" ht="15" hidden="false" customHeight="false" outlineLevel="0" collapsed="false">
      <c r="A3020" s="13" t="s">
        <v>628</v>
      </c>
      <c r="B3020" s="13" t="s">
        <v>627</v>
      </c>
      <c r="C3020" s="13" t="s">
        <v>2266</v>
      </c>
      <c r="D3020" s="13" t="s">
        <v>2270</v>
      </c>
      <c r="E3020" s="13" t="s">
        <v>2515</v>
      </c>
      <c r="F3020" s="13" t="s">
        <v>2537</v>
      </c>
      <c r="G3020" s="61" t="n">
        <v>1262453181</v>
      </c>
      <c r="H3020" s="13" t="s">
        <v>2255</v>
      </c>
      <c r="I3020" s="13" t="s">
        <v>2517</v>
      </c>
      <c r="J3020" s="13" t="n">
        <v>80</v>
      </c>
      <c r="K3020" s="13" t="s">
        <v>2478</v>
      </c>
      <c r="L3020" s="13" t="s">
        <v>2265</v>
      </c>
      <c r="M3020" s="13" t="s">
        <v>2518</v>
      </c>
    </row>
    <row r="3021" customFormat="false" ht="15" hidden="false" customHeight="false" outlineLevel="0" collapsed="false">
      <c r="A3021" s="13" t="s">
        <v>628</v>
      </c>
      <c r="B3021" s="13" t="s">
        <v>627</v>
      </c>
      <c r="C3021" s="13" t="s">
        <v>2266</v>
      </c>
      <c r="D3021" s="13" t="s">
        <v>2270</v>
      </c>
      <c r="E3021" s="13" t="s">
        <v>2520</v>
      </c>
      <c r="F3021" s="13" t="s">
        <v>2537</v>
      </c>
      <c r="G3021" s="61" t="n">
        <v>0</v>
      </c>
      <c r="H3021" s="13" t="s">
        <v>2255</v>
      </c>
      <c r="I3021" s="13" t="s">
        <v>2517</v>
      </c>
      <c r="J3021" s="13" t="n">
        <v>80</v>
      </c>
      <c r="K3021" s="13" t="s">
        <v>2478</v>
      </c>
      <c r="L3021" s="13" t="s">
        <v>2265</v>
      </c>
      <c r="M3021" s="13" t="s">
        <v>2518</v>
      </c>
    </row>
    <row r="3022" customFormat="false" ht="15" hidden="false" customHeight="false" outlineLevel="0" collapsed="false">
      <c r="A3022" s="13" t="s">
        <v>628</v>
      </c>
      <c r="B3022" s="13" t="s">
        <v>627</v>
      </c>
      <c r="C3022" s="13" t="s">
        <v>2266</v>
      </c>
      <c r="D3022" s="13" t="s">
        <v>2270</v>
      </c>
      <c r="E3022" s="13" t="s">
        <v>2521</v>
      </c>
      <c r="F3022" s="13" t="s">
        <v>2537</v>
      </c>
      <c r="G3022" s="61" t="n">
        <v>119295</v>
      </c>
      <c r="H3022" s="13" t="s">
        <v>2255</v>
      </c>
      <c r="I3022" s="13" t="s">
        <v>2517</v>
      </c>
      <c r="J3022" s="13" t="n">
        <v>80</v>
      </c>
      <c r="K3022" s="13" t="s">
        <v>2478</v>
      </c>
      <c r="L3022" s="13" t="s">
        <v>2265</v>
      </c>
      <c r="M3022" s="13" t="s">
        <v>2518</v>
      </c>
    </row>
    <row r="3023" customFormat="false" ht="15" hidden="false" customHeight="false" outlineLevel="0" collapsed="false">
      <c r="A3023" s="13" t="s">
        <v>628</v>
      </c>
      <c r="B3023" s="13" t="s">
        <v>627</v>
      </c>
      <c r="C3023" s="13" t="s">
        <v>2266</v>
      </c>
      <c r="D3023" s="13" t="s">
        <v>2270</v>
      </c>
      <c r="E3023" s="13" t="s">
        <v>2522</v>
      </c>
      <c r="F3023" s="13" t="s">
        <v>2537</v>
      </c>
      <c r="G3023" s="61" t="n">
        <v>0</v>
      </c>
      <c r="H3023" s="13" t="s">
        <v>2255</v>
      </c>
      <c r="I3023" s="13" t="s">
        <v>2517</v>
      </c>
      <c r="J3023" s="13" t="n">
        <v>80</v>
      </c>
      <c r="K3023" s="13" t="s">
        <v>2478</v>
      </c>
      <c r="L3023" s="13" t="s">
        <v>2265</v>
      </c>
      <c r="M3023" s="13" t="s">
        <v>2518</v>
      </c>
    </row>
    <row r="3024" customFormat="false" ht="15" hidden="false" customHeight="false" outlineLevel="0" collapsed="false">
      <c r="A3024" s="13" t="s">
        <v>628</v>
      </c>
      <c r="B3024" s="13" t="s">
        <v>627</v>
      </c>
      <c r="C3024" s="13" t="s">
        <v>2266</v>
      </c>
      <c r="D3024" s="13" t="s">
        <v>2270</v>
      </c>
      <c r="E3024" s="13" t="s">
        <v>2523</v>
      </c>
      <c r="F3024" s="13" t="s">
        <v>2537</v>
      </c>
      <c r="G3024" s="61" t="n">
        <v>0</v>
      </c>
      <c r="H3024" s="13" t="s">
        <v>2255</v>
      </c>
      <c r="I3024" s="13" t="s">
        <v>2517</v>
      </c>
      <c r="J3024" s="13" t="n">
        <v>80</v>
      </c>
      <c r="K3024" s="13" t="s">
        <v>2478</v>
      </c>
      <c r="L3024" s="13" t="s">
        <v>2265</v>
      </c>
      <c r="M3024" s="13" t="s">
        <v>2518</v>
      </c>
    </row>
    <row r="3025" customFormat="false" ht="15" hidden="false" customHeight="false" outlineLevel="0" collapsed="false">
      <c r="A3025" s="13" t="s">
        <v>628</v>
      </c>
      <c r="B3025" s="13" t="s">
        <v>627</v>
      </c>
      <c r="C3025" s="13" t="s">
        <v>2266</v>
      </c>
      <c r="D3025" s="13" t="s">
        <v>2270</v>
      </c>
      <c r="E3025" s="13" t="s">
        <v>2524</v>
      </c>
      <c r="F3025" s="13" t="s">
        <v>2537</v>
      </c>
      <c r="G3025" s="61" t="n">
        <v>1262572476</v>
      </c>
      <c r="H3025" s="13" t="s">
        <v>2255</v>
      </c>
      <c r="I3025" s="13" t="s">
        <v>2517</v>
      </c>
      <c r="J3025" s="13" t="n">
        <v>80</v>
      </c>
      <c r="K3025" s="13" t="s">
        <v>2478</v>
      </c>
      <c r="L3025" s="13" t="s">
        <v>2265</v>
      </c>
      <c r="M3025" s="13" t="s">
        <v>2518</v>
      </c>
    </row>
    <row r="3026" customFormat="false" ht="15" hidden="false" customHeight="false" outlineLevel="0" collapsed="false">
      <c r="A3026" s="13" t="s">
        <v>628</v>
      </c>
      <c r="B3026" s="13" t="s">
        <v>627</v>
      </c>
      <c r="C3026" s="13" t="s">
        <v>2266</v>
      </c>
      <c r="D3026" s="13" t="s">
        <v>2270</v>
      </c>
      <c r="E3026" s="13" t="s">
        <v>2515</v>
      </c>
      <c r="F3026" s="13" t="s">
        <v>2538</v>
      </c>
      <c r="G3026" s="61" t="n">
        <v>25000000</v>
      </c>
      <c r="H3026" s="13" t="s">
        <v>2255</v>
      </c>
      <c r="I3026" s="13" t="s">
        <v>2517</v>
      </c>
      <c r="J3026" s="13" t="n">
        <v>80</v>
      </c>
      <c r="K3026" s="13" t="s">
        <v>2478</v>
      </c>
      <c r="L3026" s="13" t="s">
        <v>2265</v>
      </c>
      <c r="M3026" s="13" t="s">
        <v>2518</v>
      </c>
    </row>
    <row r="3027" customFormat="false" ht="15" hidden="false" customHeight="false" outlineLevel="0" collapsed="false">
      <c r="A3027" s="13" t="s">
        <v>628</v>
      </c>
      <c r="B3027" s="13" t="s">
        <v>627</v>
      </c>
      <c r="C3027" s="13" t="s">
        <v>2266</v>
      </c>
      <c r="D3027" s="13" t="s">
        <v>2270</v>
      </c>
      <c r="E3027" s="13" t="s">
        <v>2520</v>
      </c>
      <c r="F3027" s="13" t="s">
        <v>2538</v>
      </c>
      <c r="G3027" s="61" t="n">
        <v>0</v>
      </c>
      <c r="H3027" s="13" t="s">
        <v>2255</v>
      </c>
      <c r="I3027" s="13" t="s">
        <v>2517</v>
      </c>
      <c r="J3027" s="13" t="n">
        <v>80</v>
      </c>
      <c r="K3027" s="13" t="s">
        <v>2478</v>
      </c>
      <c r="L3027" s="13" t="s">
        <v>2265</v>
      </c>
      <c r="M3027" s="13" t="s">
        <v>2518</v>
      </c>
    </row>
    <row r="3028" customFormat="false" ht="15" hidden="false" customHeight="false" outlineLevel="0" collapsed="false">
      <c r="A3028" s="13" t="s">
        <v>628</v>
      </c>
      <c r="B3028" s="13" t="s">
        <v>627</v>
      </c>
      <c r="C3028" s="13" t="s">
        <v>2266</v>
      </c>
      <c r="D3028" s="13" t="s">
        <v>2270</v>
      </c>
      <c r="E3028" s="13" t="s">
        <v>2521</v>
      </c>
      <c r="F3028" s="13" t="s">
        <v>2538</v>
      </c>
      <c r="G3028" s="61" t="n">
        <v>0</v>
      </c>
      <c r="H3028" s="13" t="s">
        <v>2255</v>
      </c>
      <c r="I3028" s="13" t="s">
        <v>2517</v>
      </c>
      <c r="J3028" s="13" t="n">
        <v>80</v>
      </c>
      <c r="K3028" s="13" t="s">
        <v>2478</v>
      </c>
      <c r="L3028" s="13" t="s">
        <v>2265</v>
      </c>
      <c r="M3028" s="13" t="s">
        <v>2518</v>
      </c>
    </row>
    <row r="3029" customFormat="false" ht="15" hidden="false" customHeight="false" outlineLevel="0" collapsed="false">
      <c r="A3029" s="13" t="s">
        <v>628</v>
      </c>
      <c r="B3029" s="13" t="s">
        <v>627</v>
      </c>
      <c r="C3029" s="13" t="s">
        <v>2266</v>
      </c>
      <c r="D3029" s="13" t="s">
        <v>2270</v>
      </c>
      <c r="E3029" s="13" t="s">
        <v>2522</v>
      </c>
      <c r="F3029" s="13" t="s">
        <v>2538</v>
      </c>
      <c r="G3029" s="61" t="n">
        <v>0</v>
      </c>
      <c r="H3029" s="13" t="s">
        <v>2255</v>
      </c>
      <c r="I3029" s="13" t="s">
        <v>2517</v>
      </c>
      <c r="J3029" s="13" t="n">
        <v>80</v>
      </c>
      <c r="K3029" s="13" t="s">
        <v>2478</v>
      </c>
      <c r="L3029" s="13" t="s">
        <v>2265</v>
      </c>
      <c r="M3029" s="13" t="s">
        <v>2518</v>
      </c>
    </row>
    <row r="3030" customFormat="false" ht="15" hidden="false" customHeight="false" outlineLevel="0" collapsed="false">
      <c r="A3030" s="13" t="s">
        <v>628</v>
      </c>
      <c r="B3030" s="13" t="s">
        <v>627</v>
      </c>
      <c r="C3030" s="13" t="s">
        <v>2266</v>
      </c>
      <c r="D3030" s="13" t="s">
        <v>2270</v>
      </c>
      <c r="E3030" s="13" t="s">
        <v>2523</v>
      </c>
      <c r="F3030" s="13" t="s">
        <v>2538</v>
      </c>
      <c r="G3030" s="61" t="n">
        <v>0</v>
      </c>
      <c r="H3030" s="13" t="s">
        <v>2255</v>
      </c>
      <c r="I3030" s="13" t="s">
        <v>2517</v>
      </c>
      <c r="J3030" s="13" t="n">
        <v>80</v>
      </c>
      <c r="K3030" s="13" t="s">
        <v>2478</v>
      </c>
      <c r="L3030" s="13" t="s">
        <v>2265</v>
      </c>
      <c r="M3030" s="13" t="s">
        <v>2518</v>
      </c>
    </row>
    <row r="3031" customFormat="false" ht="15" hidden="false" customHeight="false" outlineLevel="0" collapsed="false">
      <c r="A3031" s="13" t="s">
        <v>628</v>
      </c>
      <c r="B3031" s="13" t="s">
        <v>627</v>
      </c>
      <c r="C3031" s="13" t="s">
        <v>2266</v>
      </c>
      <c r="D3031" s="13" t="s">
        <v>2270</v>
      </c>
      <c r="E3031" s="13" t="s">
        <v>2524</v>
      </c>
      <c r="F3031" s="13" t="s">
        <v>2538</v>
      </c>
      <c r="G3031" s="61" t="n">
        <v>25000000</v>
      </c>
      <c r="H3031" s="13" t="s">
        <v>2255</v>
      </c>
      <c r="I3031" s="13" t="s">
        <v>2517</v>
      </c>
      <c r="J3031" s="13" t="n">
        <v>80</v>
      </c>
      <c r="K3031" s="13" t="s">
        <v>2478</v>
      </c>
      <c r="L3031" s="13" t="s">
        <v>2265</v>
      </c>
      <c r="M3031" s="13" t="s">
        <v>2518</v>
      </c>
    </row>
    <row r="3032" customFormat="false" ht="15" hidden="false" customHeight="false" outlineLevel="0" collapsed="false">
      <c r="A3032" s="13" t="s">
        <v>628</v>
      </c>
      <c r="B3032" s="13" t="s">
        <v>627</v>
      </c>
      <c r="C3032" s="13" t="s">
        <v>2266</v>
      </c>
      <c r="D3032" s="13" t="s">
        <v>2270</v>
      </c>
      <c r="E3032" s="13" t="s">
        <v>2515</v>
      </c>
      <c r="F3032" s="13" t="s">
        <v>2539</v>
      </c>
      <c r="G3032" s="61" t="n">
        <v>-39068825561</v>
      </c>
      <c r="H3032" s="13" t="s">
        <v>2255</v>
      </c>
      <c r="I3032" s="13" t="s">
        <v>2517</v>
      </c>
      <c r="J3032" s="13" t="n">
        <v>80</v>
      </c>
      <c r="K3032" s="13" t="s">
        <v>2478</v>
      </c>
      <c r="L3032" s="13" t="s">
        <v>2265</v>
      </c>
      <c r="M3032" s="13" t="s">
        <v>2518</v>
      </c>
    </row>
    <row r="3033" customFormat="false" ht="15" hidden="false" customHeight="false" outlineLevel="0" collapsed="false">
      <c r="A3033" s="13" t="s">
        <v>628</v>
      </c>
      <c r="B3033" s="13" t="s">
        <v>627</v>
      </c>
      <c r="C3033" s="13" t="s">
        <v>2266</v>
      </c>
      <c r="D3033" s="13" t="s">
        <v>2270</v>
      </c>
      <c r="E3033" s="13" t="s">
        <v>2520</v>
      </c>
      <c r="F3033" s="13" t="s">
        <v>2539</v>
      </c>
      <c r="G3033" s="61" t="n">
        <v>0</v>
      </c>
      <c r="H3033" s="13" t="s">
        <v>2255</v>
      </c>
      <c r="I3033" s="13" t="s">
        <v>2517</v>
      </c>
      <c r="J3033" s="13" t="n">
        <v>80</v>
      </c>
      <c r="K3033" s="13" t="s">
        <v>2478</v>
      </c>
      <c r="L3033" s="13" t="s">
        <v>2265</v>
      </c>
      <c r="M3033" s="13" t="s">
        <v>2518</v>
      </c>
    </row>
    <row r="3034" customFormat="false" ht="15" hidden="false" customHeight="false" outlineLevel="0" collapsed="false">
      <c r="A3034" s="13" t="s">
        <v>628</v>
      </c>
      <c r="B3034" s="13" t="s">
        <v>627</v>
      </c>
      <c r="C3034" s="13" t="s">
        <v>2266</v>
      </c>
      <c r="D3034" s="13" t="s">
        <v>2270</v>
      </c>
      <c r="E3034" s="13" t="s">
        <v>2521</v>
      </c>
      <c r="F3034" s="13" t="s">
        <v>2539</v>
      </c>
      <c r="G3034" s="61" t="n">
        <v>77335031</v>
      </c>
      <c r="H3034" s="13" t="s">
        <v>2255</v>
      </c>
      <c r="I3034" s="13" t="s">
        <v>2517</v>
      </c>
      <c r="J3034" s="13" t="n">
        <v>80</v>
      </c>
      <c r="K3034" s="13" t="s">
        <v>2478</v>
      </c>
      <c r="L3034" s="13" t="s">
        <v>2265</v>
      </c>
      <c r="M3034" s="13" t="s">
        <v>2518</v>
      </c>
    </row>
    <row r="3035" customFormat="false" ht="15" hidden="false" customHeight="false" outlineLevel="0" collapsed="false">
      <c r="A3035" s="13" t="s">
        <v>628</v>
      </c>
      <c r="B3035" s="13" t="s">
        <v>627</v>
      </c>
      <c r="C3035" s="13" t="s">
        <v>2266</v>
      </c>
      <c r="D3035" s="13" t="s">
        <v>2270</v>
      </c>
      <c r="E3035" s="13" t="s">
        <v>2522</v>
      </c>
      <c r="F3035" s="13" t="s">
        <v>2539</v>
      </c>
      <c r="G3035" s="61" t="n">
        <v>0</v>
      </c>
      <c r="H3035" s="13" t="s">
        <v>2255</v>
      </c>
      <c r="I3035" s="13" t="s">
        <v>2517</v>
      </c>
      <c r="J3035" s="13" t="n">
        <v>80</v>
      </c>
      <c r="K3035" s="13" t="s">
        <v>2478</v>
      </c>
      <c r="L3035" s="13" t="s">
        <v>2265</v>
      </c>
      <c r="M3035" s="13" t="s">
        <v>2518</v>
      </c>
    </row>
    <row r="3036" customFormat="false" ht="15" hidden="false" customHeight="false" outlineLevel="0" collapsed="false">
      <c r="A3036" s="13" t="s">
        <v>628</v>
      </c>
      <c r="B3036" s="13" t="s">
        <v>627</v>
      </c>
      <c r="C3036" s="13" t="s">
        <v>2266</v>
      </c>
      <c r="D3036" s="13" t="s">
        <v>2270</v>
      </c>
      <c r="E3036" s="13" t="s">
        <v>2523</v>
      </c>
      <c r="F3036" s="13" t="s">
        <v>2539</v>
      </c>
      <c r="G3036" s="61" t="n">
        <v>-667505</v>
      </c>
      <c r="H3036" s="13" t="s">
        <v>2255</v>
      </c>
      <c r="I3036" s="13" t="s">
        <v>2517</v>
      </c>
      <c r="J3036" s="13" t="n">
        <v>80</v>
      </c>
      <c r="K3036" s="13" t="s">
        <v>2478</v>
      </c>
      <c r="L3036" s="13" t="s">
        <v>2265</v>
      </c>
      <c r="M3036" s="13" t="s">
        <v>2518</v>
      </c>
    </row>
    <row r="3037" customFormat="false" ht="15" hidden="false" customHeight="false" outlineLevel="0" collapsed="false">
      <c r="A3037" s="13" t="s">
        <v>628</v>
      </c>
      <c r="B3037" s="13" t="s">
        <v>627</v>
      </c>
      <c r="C3037" s="13" t="s">
        <v>2266</v>
      </c>
      <c r="D3037" s="13" t="s">
        <v>2270</v>
      </c>
      <c r="E3037" s="13" t="s">
        <v>2524</v>
      </c>
      <c r="F3037" s="13" t="s">
        <v>2539</v>
      </c>
      <c r="G3037" s="61" t="n">
        <v>-38992158035</v>
      </c>
      <c r="H3037" s="13" t="s">
        <v>2255</v>
      </c>
      <c r="I3037" s="13" t="s">
        <v>2517</v>
      </c>
      <c r="J3037" s="13" t="n">
        <v>80</v>
      </c>
      <c r="K3037" s="13" t="s">
        <v>2478</v>
      </c>
      <c r="L3037" s="13" t="s">
        <v>2265</v>
      </c>
      <c r="M3037" s="13" t="s">
        <v>2518</v>
      </c>
    </row>
    <row r="3038" customFormat="false" ht="15" hidden="false" customHeight="false" outlineLevel="0" collapsed="false">
      <c r="A3038" s="13" t="s">
        <v>628</v>
      </c>
      <c r="B3038" s="13" t="s">
        <v>627</v>
      </c>
      <c r="C3038" s="13" t="s">
        <v>2266</v>
      </c>
      <c r="D3038" s="13" t="s">
        <v>2270</v>
      </c>
      <c r="E3038" s="13" t="s">
        <v>2515</v>
      </c>
      <c r="F3038" s="13" t="s">
        <v>2536</v>
      </c>
      <c r="G3038" s="61" t="n">
        <v>62040368603</v>
      </c>
      <c r="H3038" s="13" t="s">
        <v>2255</v>
      </c>
      <c r="I3038" s="13" t="s">
        <v>2517</v>
      </c>
      <c r="J3038" s="13" t="n">
        <v>80</v>
      </c>
      <c r="K3038" s="13" t="s">
        <v>2478</v>
      </c>
      <c r="L3038" s="13" t="s">
        <v>2265</v>
      </c>
      <c r="M3038" s="13" t="s">
        <v>2518</v>
      </c>
    </row>
    <row r="3039" customFormat="false" ht="15" hidden="false" customHeight="false" outlineLevel="0" collapsed="false">
      <c r="A3039" s="13" t="s">
        <v>628</v>
      </c>
      <c r="B3039" s="13" t="s">
        <v>627</v>
      </c>
      <c r="C3039" s="13" t="s">
        <v>2266</v>
      </c>
      <c r="D3039" s="13" t="s">
        <v>2270</v>
      </c>
      <c r="E3039" s="13" t="s">
        <v>2520</v>
      </c>
      <c r="F3039" s="13" t="s">
        <v>2536</v>
      </c>
      <c r="G3039" s="61" t="n">
        <v>0</v>
      </c>
      <c r="H3039" s="13" t="s">
        <v>2255</v>
      </c>
      <c r="I3039" s="13" t="s">
        <v>2517</v>
      </c>
      <c r="J3039" s="13" t="n">
        <v>80</v>
      </c>
      <c r="K3039" s="13" t="s">
        <v>2478</v>
      </c>
      <c r="L3039" s="13" t="s">
        <v>2265</v>
      </c>
      <c r="M3039" s="13" t="s">
        <v>2518</v>
      </c>
    </row>
    <row r="3040" customFormat="false" ht="15" hidden="false" customHeight="false" outlineLevel="0" collapsed="false">
      <c r="A3040" s="13" t="s">
        <v>628</v>
      </c>
      <c r="B3040" s="13" t="s">
        <v>627</v>
      </c>
      <c r="C3040" s="13" t="s">
        <v>2266</v>
      </c>
      <c r="D3040" s="13" t="s">
        <v>2270</v>
      </c>
      <c r="E3040" s="13" t="s">
        <v>2521</v>
      </c>
      <c r="F3040" s="13" t="s">
        <v>2536</v>
      </c>
      <c r="G3040" s="61" t="n">
        <v>439496930</v>
      </c>
      <c r="H3040" s="13" t="s">
        <v>2255</v>
      </c>
      <c r="I3040" s="13" t="s">
        <v>2517</v>
      </c>
      <c r="J3040" s="13" t="n">
        <v>80</v>
      </c>
      <c r="K3040" s="13" t="s">
        <v>2478</v>
      </c>
      <c r="L3040" s="13" t="s">
        <v>2265</v>
      </c>
      <c r="M3040" s="13" t="s">
        <v>2518</v>
      </c>
    </row>
    <row r="3041" customFormat="false" ht="15" hidden="false" customHeight="false" outlineLevel="0" collapsed="false">
      <c r="A3041" s="13" t="s">
        <v>628</v>
      </c>
      <c r="B3041" s="13" t="s">
        <v>627</v>
      </c>
      <c r="C3041" s="13" t="s">
        <v>2266</v>
      </c>
      <c r="D3041" s="13" t="s">
        <v>2270</v>
      </c>
      <c r="E3041" s="13" t="s">
        <v>2522</v>
      </c>
      <c r="F3041" s="13" t="s">
        <v>2536</v>
      </c>
      <c r="G3041" s="61" t="n">
        <v>0</v>
      </c>
      <c r="H3041" s="13" t="s">
        <v>2255</v>
      </c>
      <c r="I3041" s="13" t="s">
        <v>2517</v>
      </c>
      <c r="J3041" s="13" t="n">
        <v>80</v>
      </c>
      <c r="K3041" s="13" t="s">
        <v>2478</v>
      </c>
      <c r="L3041" s="13" t="s">
        <v>2265</v>
      </c>
      <c r="M3041" s="13" t="s">
        <v>2518</v>
      </c>
    </row>
    <row r="3042" customFormat="false" ht="15" hidden="false" customHeight="false" outlineLevel="0" collapsed="false">
      <c r="A3042" s="13" t="s">
        <v>628</v>
      </c>
      <c r="B3042" s="13" t="s">
        <v>627</v>
      </c>
      <c r="C3042" s="13" t="s">
        <v>2266</v>
      </c>
      <c r="D3042" s="13" t="s">
        <v>2270</v>
      </c>
      <c r="E3042" s="13" t="s">
        <v>2523</v>
      </c>
      <c r="F3042" s="13" t="s">
        <v>2536</v>
      </c>
      <c r="G3042" s="61" t="n">
        <v>-120905784</v>
      </c>
      <c r="H3042" s="13" t="s">
        <v>2255</v>
      </c>
      <c r="I3042" s="13" t="s">
        <v>2517</v>
      </c>
      <c r="J3042" s="13" t="n">
        <v>80</v>
      </c>
      <c r="K3042" s="13" t="s">
        <v>2478</v>
      </c>
      <c r="L3042" s="13" t="s">
        <v>2265</v>
      </c>
      <c r="M3042" s="13" t="s">
        <v>2518</v>
      </c>
    </row>
    <row r="3043" customFormat="false" ht="15" hidden="false" customHeight="false" outlineLevel="0" collapsed="false">
      <c r="A3043" s="13" t="s">
        <v>628</v>
      </c>
      <c r="B3043" s="13" t="s">
        <v>627</v>
      </c>
      <c r="C3043" s="13" t="s">
        <v>2266</v>
      </c>
      <c r="D3043" s="13" t="s">
        <v>2270</v>
      </c>
      <c r="E3043" s="13" t="s">
        <v>2524</v>
      </c>
      <c r="F3043" s="13" t="s">
        <v>2536</v>
      </c>
      <c r="G3043" s="61" t="n">
        <v>62358959749</v>
      </c>
      <c r="H3043" s="13" t="s">
        <v>2255</v>
      </c>
      <c r="I3043" s="13" t="s">
        <v>2517</v>
      </c>
      <c r="J3043" s="13" t="n">
        <v>80</v>
      </c>
      <c r="K3043" s="13" t="s">
        <v>2478</v>
      </c>
      <c r="L3043" s="13" t="s">
        <v>2265</v>
      </c>
      <c r="M3043" s="13" t="s">
        <v>2518</v>
      </c>
    </row>
    <row r="3044" customFormat="false" ht="15" hidden="false" customHeight="false" outlineLevel="0" collapsed="false">
      <c r="A3044" s="13" t="s">
        <v>628</v>
      </c>
      <c r="B3044" s="13" t="s">
        <v>627</v>
      </c>
      <c r="C3044" s="13" t="s">
        <v>2266</v>
      </c>
      <c r="D3044" s="13" t="s">
        <v>2270</v>
      </c>
      <c r="E3044" s="13" t="s">
        <v>2515</v>
      </c>
      <c r="F3044" s="13" t="s">
        <v>2540</v>
      </c>
      <c r="G3044" s="61" t="n">
        <v>38067756</v>
      </c>
      <c r="H3044" s="13" t="s">
        <v>2255</v>
      </c>
      <c r="I3044" s="13" t="s">
        <v>2517</v>
      </c>
      <c r="J3044" s="13" t="n">
        <v>80</v>
      </c>
      <c r="K3044" s="13" t="s">
        <v>2478</v>
      </c>
      <c r="L3044" s="13" t="s">
        <v>2265</v>
      </c>
      <c r="M3044" s="13" t="s">
        <v>2518</v>
      </c>
    </row>
    <row r="3045" customFormat="false" ht="15" hidden="false" customHeight="false" outlineLevel="0" collapsed="false">
      <c r="A3045" s="13" t="s">
        <v>628</v>
      </c>
      <c r="B3045" s="13" t="s">
        <v>627</v>
      </c>
      <c r="C3045" s="13" t="s">
        <v>2266</v>
      </c>
      <c r="D3045" s="13" t="s">
        <v>2270</v>
      </c>
      <c r="E3045" s="13" t="s">
        <v>2520</v>
      </c>
      <c r="F3045" s="13" t="s">
        <v>2540</v>
      </c>
      <c r="G3045" s="61" t="n">
        <v>0</v>
      </c>
      <c r="H3045" s="13" t="s">
        <v>2255</v>
      </c>
      <c r="I3045" s="13" t="s">
        <v>2517</v>
      </c>
      <c r="J3045" s="13" t="n">
        <v>80</v>
      </c>
      <c r="K3045" s="13" t="s">
        <v>2478</v>
      </c>
      <c r="L3045" s="13" t="s">
        <v>2265</v>
      </c>
      <c r="M3045" s="13" t="s">
        <v>2518</v>
      </c>
    </row>
    <row r="3046" customFormat="false" ht="15" hidden="false" customHeight="false" outlineLevel="0" collapsed="false">
      <c r="A3046" s="13" t="s">
        <v>628</v>
      </c>
      <c r="B3046" s="13" t="s">
        <v>627</v>
      </c>
      <c r="C3046" s="13" t="s">
        <v>2266</v>
      </c>
      <c r="D3046" s="13" t="s">
        <v>2270</v>
      </c>
      <c r="E3046" s="13" t="s">
        <v>2521</v>
      </c>
      <c r="F3046" s="13" t="s">
        <v>2540</v>
      </c>
      <c r="G3046" s="61" t="n">
        <v>-9674440</v>
      </c>
      <c r="H3046" s="13" t="s">
        <v>2255</v>
      </c>
      <c r="I3046" s="13" t="s">
        <v>2517</v>
      </c>
      <c r="J3046" s="13" t="n">
        <v>80</v>
      </c>
      <c r="K3046" s="13" t="s">
        <v>2478</v>
      </c>
      <c r="L3046" s="13" t="s">
        <v>2265</v>
      </c>
      <c r="M3046" s="13" t="s">
        <v>2518</v>
      </c>
    </row>
    <row r="3047" customFormat="false" ht="15" hidden="false" customHeight="false" outlineLevel="0" collapsed="false">
      <c r="A3047" s="13" t="s">
        <v>628</v>
      </c>
      <c r="B3047" s="13" t="s">
        <v>627</v>
      </c>
      <c r="C3047" s="13" t="s">
        <v>2266</v>
      </c>
      <c r="D3047" s="13" t="s">
        <v>2270</v>
      </c>
      <c r="E3047" s="13" t="s">
        <v>2522</v>
      </c>
      <c r="F3047" s="13" t="s">
        <v>2540</v>
      </c>
      <c r="G3047" s="61" t="n">
        <v>0</v>
      </c>
      <c r="H3047" s="13" t="s">
        <v>2255</v>
      </c>
      <c r="I3047" s="13" t="s">
        <v>2517</v>
      </c>
      <c r="J3047" s="13" t="n">
        <v>80</v>
      </c>
      <c r="K3047" s="13" t="s">
        <v>2478</v>
      </c>
      <c r="L3047" s="13" t="s">
        <v>2265</v>
      </c>
      <c r="M3047" s="13" t="s">
        <v>2518</v>
      </c>
    </row>
    <row r="3048" customFormat="false" ht="15" hidden="false" customHeight="false" outlineLevel="0" collapsed="false">
      <c r="A3048" s="13" t="s">
        <v>628</v>
      </c>
      <c r="B3048" s="13" t="s">
        <v>627</v>
      </c>
      <c r="C3048" s="13" t="s">
        <v>2266</v>
      </c>
      <c r="D3048" s="13" t="s">
        <v>2270</v>
      </c>
      <c r="E3048" s="13" t="s">
        <v>2523</v>
      </c>
      <c r="F3048" s="13" t="s">
        <v>2540</v>
      </c>
      <c r="G3048" s="61" t="n">
        <v>-18018</v>
      </c>
      <c r="H3048" s="13" t="s">
        <v>2255</v>
      </c>
      <c r="I3048" s="13" t="s">
        <v>2517</v>
      </c>
      <c r="J3048" s="13" t="n">
        <v>80</v>
      </c>
      <c r="K3048" s="13" t="s">
        <v>2478</v>
      </c>
      <c r="L3048" s="13" t="s">
        <v>2265</v>
      </c>
      <c r="M3048" s="13" t="s">
        <v>2518</v>
      </c>
    </row>
    <row r="3049" customFormat="false" ht="15" hidden="false" customHeight="false" outlineLevel="0" collapsed="false">
      <c r="A3049" s="13" t="s">
        <v>628</v>
      </c>
      <c r="B3049" s="13" t="s">
        <v>627</v>
      </c>
      <c r="C3049" s="13" t="s">
        <v>2266</v>
      </c>
      <c r="D3049" s="13" t="s">
        <v>2270</v>
      </c>
      <c r="E3049" s="13" t="s">
        <v>2524</v>
      </c>
      <c r="F3049" s="13" t="s">
        <v>2540</v>
      </c>
      <c r="G3049" s="61" t="n">
        <v>28375298</v>
      </c>
      <c r="H3049" s="13" t="s">
        <v>2255</v>
      </c>
      <c r="I3049" s="13" t="s">
        <v>2517</v>
      </c>
      <c r="J3049" s="13" t="n">
        <v>80</v>
      </c>
      <c r="K3049" s="13" t="s">
        <v>2478</v>
      </c>
      <c r="L3049" s="13" t="s">
        <v>2265</v>
      </c>
      <c r="M3049" s="13" t="s">
        <v>2518</v>
      </c>
    </row>
    <row r="3050" customFormat="false" ht="15" hidden="false" customHeight="false" outlineLevel="0" collapsed="false">
      <c r="A3050" s="13" t="s">
        <v>628</v>
      </c>
      <c r="B3050" s="13" t="s">
        <v>627</v>
      </c>
      <c r="C3050" s="13" t="s">
        <v>2266</v>
      </c>
      <c r="D3050" s="13" t="s">
        <v>2270</v>
      </c>
      <c r="E3050" s="13" t="s">
        <v>2515</v>
      </c>
      <c r="F3050" s="13" t="s">
        <v>2290</v>
      </c>
      <c r="G3050" s="61" t="n">
        <v>210222760837</v>
      </c>
      <c r="H3050" s="13" t="s">
        <v>2255</v>
      </c>
      <c r="I3050" s="13" t="s">
        <v>2517</v>
      </c>
      <c r="J3050" s="13" t="n">
        <v>80</v>
      </c>
      <c r="K3050" s="13" t="s">
        <v>2478</v>
      </c>
      <c r="L3050" s="13" t="s">
        <v>2265</v>
      </c>
      <c r="M3050" s="13" t="s">
        <v>2518</v>
      </c>
    </row>
    <row r="3051" customFormat="false" ht="15" hidden="false" customHeight="false" outlineLevel="0" collapsed="false">
      <c r="A3051" s="13" t="s">
        <v>628</v>
      </c>
      <c r="B3051" s="13" t="s">
        <v>627</v>
      </c>
      <c r="C3051" s="13" t="s">
        <v>2266</v>
      </c>
      <c r="D3051" s="13" t="s">
        <v>2270</v>
      </c>
      <c r="E3051" s="13" t="s">
        <v>2520</v>
      </c>
      <c r="F3051" s="13" t="s">
        <v>2290</v>
      </c>
      <c r="G3051" s="61" t="n">
        <v>103638000000</v>
      </c>
      <c r="H3051" s="13" t="s">
        <v>2255</v>
      </c>
      <c r="I3051" s="13" t="s">
        <v>2517</v>
      </c>
      <c r="J3051" s="13" t="n">
        <v>80</v>
      </c>
      <c r="K3051" s="13" t="s">
        <v>2478</v>
      </c>
      <c r="L3051" s="13" t="s">
        <v>2265</v>
      </c>
      <c r="M3051" s="13" t="s">
        <v>2518</v>
      </c>
    </row>
    <row r="3052" customFormat="false" ht="15" hidden="false" customHeight="false" outlineLevel="0" collapsed="false">
      <c r="A3052" s="13" t="s">
        <v>628</v>
      </c>
      <c r="B3052" s="13" t="s">
        <v>627</v>
      </c>
      <c r="C3052" s="13" t="s">
        <v>2266</v>
      </c>
      <c r="D3052" s="13" t="s">
        <v>2270</v>
      </c>
      <c r="E3052" s="13" t="s">
        <v>2521</v>
      </c>
      <c r="F3052" s="13" t="s">
        <v>2290</v>
      </c>
      <c r="G3052" s="61" t="n">
        <v>6952268943</v>
      </c>
      <c r="H3052" s="13" t="s">
        <v>2255</v>
      </c>
      <c r="I3052" s="13" t="s">
        <v>2517</v>
      </c>
      <c r="J3052" s="13" t="n">
        <v>80</v>
      </c>
      <c r="K3052" s="13" t="s">
        <v>2478</v>
      </c>
      <c r="L3052" s="13" t="s">
        <v>2265</v>
      </c>
      <c r="M3052" s="13" t="s">
        <v>2518</v>
      </c>
    </row>
    <row r="3053" customFormat="false" ht="15" hidden="false" customHeight="false" outlineLevel="0" collapsed="false">
      <c r="A3053" s="13" t="s">
        <v>628</v>
      </c>
      <c r="B3053" s="13" t="s">
        <v>627</v>
      </c>
      <c r="C3053" s="13" t="s">
        <v>2266</v>
      </c>
      <c r="D3053" s="13" t="s">
        <v>2270</v>
      </c>
      <c r="E3053" s="13" t="s">
        <v>2522</v>
      </c>
      <c r="F3053" s="13" t="s">
        <v>2290</v>
      </c>
      <c r="G3053" s="61" t="n">
        <v>114724030494</v>
      </c>
      <c r="H3053" s="13" t="s">
        <v>2255</v>
      </c>
      <c r="I3053" s="13" t="s">
        <v>2517</v>
      </c>
      <c r="J3053" s="13" t="n">
        <v>80</v>
      </c>
      <c r="K3053" s="13" t="s">
        <v>2478</v>
      </c>
      <c r="L3053" s="13" t="s">
        <v>2265</v>
      </c>
      <c r="M3053" s="13" t="s">
        <v>2518</v>
      </c>
    </row>
    <row r="3054" customFormat="false" ht="15" hidden="false" customHeight="false" outlineLevel="0" collapsed="false">
      <c r="A3054" s="13" t="s">
        <v>628</v>
      </c>
      <c r="B3054" s="13" t="s">
        <v>627</v>
      </c>
      <c r="C3054" s="13" t="s">
        <v>2266</v>
      </c>
      <c r="D3054" s="13" t="s">
        <v>2270</v>
      </c>
      <c r="E3054" s="13" t="s">
        <v>2523</v>
      </c>
      <c r="F3054" s="13" t="s">
        <v>2290</v>
      </c>
      <c r="G3054" s="61" t="n">
        <v>-1280661566</v>
      </c>
      <c r="H3054" s="13" t="s">
        <v>2255</v>
      </c>
      <c r="I3054" s="13" t="s">
        <v>2517</v>
      </c>
      <c r="J3054" s="13" t="n">
        <v>80</v>
      </c>
      <c r="K3054" s="13" t="s">
        <v>2478</v>
      </c>
      <c r="L3054" s="13" t="s">
        <v>2265</v>
      </c>
      <c r="M3054" s="13" t="s">
        <v>2518</v>
      </c>
    </row>
    <row r="3055" customFormat="false" ht="15" hidden="false" customHeight="false" outlineLevel="0" collapsed="false">
      <c r="A3055" s="13" t="s">
        <v>628</v>
      </c>
      <c r="B3055" s="13" t="s">
        <v>627</v>
      </c>
      <c r="C3055" s="13" t="s">
        <v>2266</v>
      </c>
      <c r="D3055" s="13" t="s">
        <v>2270</v>
      </c>
      <c r="E3055" s="13" t="s">
        <v>2524</v>
      </c>
      <c r="F3055" s="13" t="s">
        <v>2290</v>
      </c>
      <c r="G3055" s="61" t="n">
        <v>434256398708</v>
      </c>
      <c r="H3055" s="13" t="s">
        <v>2255</v>
      </c>
      <c r="I3055" s="13" t="s">
        <v>2517</v>
      </c>
      <c r="J3055" s="13" t="n">
        <v>80</v>
      </c>
      <c r="K3055" s="13" t="s">
        <v>2478</v>
      </c>
      <c r="L3055" s="13" t="s">
        <v>2265</v>
      </c>
      <c r="M3055" s="13" t="s">
        <v>2518</v>
      </c>
    </row>
    <row r="3056" customFormat="false" ht="15" hidden="false" customHeight="false" outlineLevel="0" collapsed="false">
      <c r="A3056" s="13" t="s">
        <v>628</v>
      </c>
      <c r="B3056" s="13" t="s">
        <v>627</v>
      </c>
      <c r="C3056" s="13" t="s">
        <v>2267</v>
      </c>
      <c r="D3056" s="13" t="s">
        <v>2270</v>
      </c>
      <c r="E3056" s="13" t="s">
        <v>2515</v>
      </c>
      <c r="F3056" s="13" t="s">
        <v>2516</v>
      </c>
      <c r="G3056" s="61" t="n">
        <v>298478062320</v>
      </c>
      <c r="H3056" s="13" t="s">
        <v>2255</v>
      </c>
      <c r="I3056" s="13" t="s">
        <v>2517</v>
      </c>
      <c r="J3056" s="13" t="n">
        <v>79</v>
      </c>
      <c r="K3056" s="13" t="s">
        <v>2478</v>
      </c>
      <c r="L3056" s="13" t="s">
        <v>2265</v>
      </c>
      <c r="M3056" s="13" t="s">
        <v>2518</v>
      </c>
    </row>
    <row r="3057" customFormat="false" ht="15" hidden="false" customHeight="false" outlineLevel="0" collapsed="false">
      <c r="A3057" s="13" t="s">
        <v>628</v>
      </c>
      <c r="B3057" s="13" t="s">
        <v>627</v>
      </c>
      <c r="C3057" s="13" t="s">
        <v>2267</v>
      </c>
      <c r="D3057" s="13" t="s">
        <v>2270</v>
      </c>
      <c r="E3057" s="13" t="s">
        <v>2520</v>
      </c>
      <c r="F3057" s="13" t="s">
        <v>2516</v>
      </c>
      <c r="G3057" s="61" t="n">
        <v>0</v>
      </c>
      <c r="H3057" s="13" t="s">
        <v>2255</v>
      </c>
      <c r="I3057" s="13" t="s">
        <v>2517</v>
      </c>
      <c r="J3057" s="13" t="n">
        <v>79</v>
      </c>
      <c r="K3057" s="13" t="s">
        <v>2478</v>
      </c>
      <c r="L3057" s="13" t="s">
        <v>2265</v>
      </c>
      <c r="M3057" s="13" t="s">
        <v>2518</v>
      </c>
    </row>
    <row r="3058" customFormat="false" ht="15" hidden="false" customHeight="false" outlineLevel="0" collapsed="false">
      <c r="A3058" s="13" t="s">
        <v>628</v>
      </c>
      <c r="B3058" s="13" t="s">
        <v>627</v>
      </c>
      <c r="C3058" s="13" t="s">
        <v>2267</v>
      </c>
      <c r="D3058" s="13" t="s">
        <v>2270</v>
      </c>
      <c r="E3058" s="13" t="s">
        <v>2521</v>
      </c>
      <c r="F3058" s="13" t="s">
        <v>2516</v>
      </c>
      <c r="G3058" s="61" t="n">
        <v>7835390913</v>
      </c>
      <c r="H3058" s="13" t="s">
        <v>2255</v>
      </c>
      <c r="I3058" s="13" t="s">
        <v>2517</v>
      </c>
      <c r="J3058" s="13" t="n">
        <v>79</v>
      </c>
      <c r="K3058" s="13" t="s">
        <v>2478</v>
      </c>
      <c r="L3058" s="13" t="s">
        <v>2265</v>
      </c>
      <c r="M3058" s="13" t="s">
        <v>2518</v>
      </c>
    </row>
    <row r="3059" customFormat="false" ht="15" hidden="false" customHeight="false" outlineLevel="0" collapsed="false">
      <c r="A3059" s="13" t="s">
        <v>628</v>
      </c>
      <c r="B3059" s="13" t="s">
        <v>627</v>
      </c>
      <c r="C3059" s="13" t="s">
        <v>2267</v>
      </c>
      <c r="D3059" s="13" t="s">
        <v>2270</v>
      </c>
      <c r="E3059" s="13" t="s">
        <v>2522</v>
      </c>
      <c r="F3059" s="13" t="s">
        <v>2516</v>
      </c>
      <c r="G3059" s="61" t="n">
        <v>-4556642000</v>
      </c>
      <c r="H3059" s="13" t="s">
        <v>2255</v>
      </c>
      <c r="I3059" s="13" t="s">
        <v>2517</v>
      </c>
      <c r="J3059" s="13" t="n">
        <v>79</v>
      </c>
      <c r="K3059" s="13" t="s">
        <v>2478</v>
      </c>
      <c r="L3059" s="13" t="s">
        <v>2265</v>
      </c>
      <c r="M3059" s="13" t="s">
        <v>2518</v>
      </c>
    </row>
    <row r="3060" customFormat="false" ht="15" hidden="false" customHeight="false" outlineLevel="0" collapsed="false">
      <c r="A3060" s="13" t="s">
        <v>628</v>
      </c>
      <c r="B3060" s="13" t="s">
        <v>627</v>
      </c>
      <c r="C3060" s="13" t="s">
        <v>2267</v>
      </c>
      <c r="D3060" s="13" t="s">
        <v>2270</v>
      </c>
      <c r="E3060" s="13" t="s">
        <v>2523</v>
      </c>
      <c r="F3060" s="13" t="s">
        <v>2516</v>
      </c>
      <c r="G3060" s="61" t="n">
        <v>513931867</v>
      </c>
      <c r="H3060" s="13" t="s">
        <v>2255</v>
      </c>
      <c r="I3060" s="13" t="s">
        <v>2517</v>
      </c>
      <c r="J3060" s="13" t="n">
        <v>79</v>
      </c>
      <c r="K3060" s="13" t="s">
        <v>2478</v>
      </c>
      <c r="L3060" s="13" t="s">
        <v>2265</v>
      </c>
      <c r="M3060" s="13" t="s">
        <v>2518</v>
      </c>
    </row>
    <row r="3061" customFormat="false" ht="15" hidden="false" customHeight="false" outlineLevel="0" collapsed="false">
      <c r="A3061" s="13" t="s">
        <v>628</v>
      </c>
      <c r="B3061" s="13" t="s">
        <v>627</v>
      </c>
      <c r="C3061" s="13" t="s">
        <v>2267</v>
      </c>
      <c r="D3061" s="13" t="s">
        <v>2270</v>
      </c>
      <c r="E3061" s="13" t="s">
        <v>2524</v>
      </c>
      <c r="F3061" s="13" t="s">
        <v>2516</v>
      </c>
      <c r="G3061" s="61" t="n">
        <v>302270743100</v>
      </c>
      <c r="H3061" s="13" t="s">
        <v>2255</v>
      </c>
      <c r="I3061" s="13" t="s">
        <v>2517</v>
      </c>
      <c r="J3061" s="13" t="n">
        <v>79</v>
      </c>
      <c r="K3061" s="13" t="s">
        <v>2478</v>
      </c>
      <c r="L3061" s="13" t="s">
        <v>2265</v>
      </c>
      <c r="M3061" s="13" t="s">
        <v>2518</v>
      </c>
    </row>
    <row r="3062" customFormat="false" ht="15" hidden="false" customHeight="false" outlineLevel="0" collapsed="false">
      <c r="A3062" s="13" t="s">
        <v>628</v>
      </c>
      <c r="B3062" s="13" t="s">
        <v>627</v>
      </c>
      <c r="C3062" s="13" t="s">
        <v>2267</v>
      </c>
      <c r="D3062" s="13" t="s">
        <v>2270</v>
      </c>
      <c r="E3062" s="13" t="s">
        <v>2515</v>
      </c>
      <c r="F3062" s="13" t="s">
        <v>2525</v>
      </c>
      <c r="G3062" s="61" t="n">
        <v>94974817204</v>
      </c>
      <c r="H3062" s="13" t="s">
        <v>2255</v>
      </c>
      <c r="I3062" s="13" t="s">
        <v>2517</v>
      </c>
      <c r="J3062" s="13" t="n">
        <v>79</v>
      </c>
      <c r="K3062" s="13" t="s">
        <v>2478</v>
      </c>
      <c r="L3062" s="13" t="s">
        <v>2265</v>
      </c>
      <c r="M3062" s="13" t="s">
        <v>2518</v>
      </c>
    </row>
    <row r="3063" customFormat="false" ht="15" hidden="false" customHeight="false" outlineLevel="0" collapsed="false">
      <c r="A3063" s="13" t="s">
        <v>628</v>
      </c>
      <c r="B3063" s="13" t="s">
        <v>627</v>
      </c>
      <c r="C3063" s="13" t="s">
        <v>2267</v>
      </c>
      <c r="D3063" s="13" t="s">
        <v>2270</v>
      </c>
      <c r="E3063" s="13" t="s">
        <v>2520</v>
      </c>
      <c r="F3063" s="13" t="s">
        <v>2525</v>
      </c>
      <c r="G3063" s="61" t="n">
        <v>0</v>
      </c>
      <c r="H3063" s="13" t="s">
        <v>2255</v>
      </c>
      <c r="I3063" s="13" t="s">
        <v>2517</v>
      </c>
      <c r="J3063" s="13" t="n">
        <v>79</v>
      </c>
      <c r="K3063" s="13" t="s">
        <v>2478</v>
      </c>
      <c r="L3063" s="13" t="s">
        <v>2265</v>
      </c>
      <c r="M3063" s="13" t="s">
        <v>2518</v>
      </c>
    </row>
    <row r="3064" customFormat="false" ht="15" hidden="false" customHeight="false" outlineLevel="0" collapsed="false">
      <c r="A3064" s="13" t="s">
        <v>628</v>
      </c>
      <c r="B3064" s="13" t="s">
        <v>627</v>
      </c>
      <c r="C3064" s="13" t="s">
        <v>2267</v>
      </c>
      <c r="D3064" s="13" t="s">
        <v>2270</v>
      </c>
      <c r="E3064" s="13" t="s">
        <v>2521</v>
      </c>
      <c r="F3064" s="13" t="s">
        <v>2525</v>
      </c>
      <c r="G3064" s="61" t="n">
        <v>6674741556</v>
      </c>
      <c r="H3064" s="13" t="s">
        <v>2255</v>
      </c>
      <c r="I3064" s="13" t="s">
        <v>2517</v>
      </c>
      <c r="J3064" s="13" t="n">
        <v>79</v>
      </c>
      <c r="K3064" s="13" t="s">
        <v>2478</v>
      </c>
      <c r="L3064" s="13" t="s">
        <v>2265</v>
      </c>
      <c r="M3064" s="13" t="s">
        <v>2518</v>
      </c>
    </row>
    <row r="3065" customFormat="false" ht="15" hidden="false" customHeight="false" outlineLevel="0" collapsed="false">
      <c r="A3065" s="13" t="s">
        <v>628</v>
      </c>
      <c r="B3065" s="13" t="s">
        <v>627</v>
      </c>
      <c r="C3065" s="13" t="s">
        <v>2267</v>
      </c>
      <c r="D3065" s="13" t="s">
        <v>2270</v>
      </c>
      <c r="E3065" s="13" t="s">
        <v>2522</v>
      </c>
      <c r="F3065" s="13" t="s">
        <v>2525</v>
      </c>
      <c r="G3065" s="61" t="n">
        <v>-5400000000</v>
      </c>
      <c r="H3065" s="13" t="s">
        <v>2255</v>
      </c>
      <c r="I3065" s="13" t="s">
        <v>2517</v>
      </c>
      <c r="J3065" s="13" t="n">
        <v>79</v>
      </c>
      <c r="K3065" s="13" t="s">
        <v>2478</v>
      </c>
      <c r="L3065" s="13" t="s">
        <v>2265</v>
      </c>
      <c r="M3065" s="13" t="s">
        <v>2518</v>
      </c>
    </row>
    <row r="3066" customFormat="false" ht="15" hidden="false" customHeight="false" outlineLevel="0" collapsed="false">
      <c r="A3066" s="13" t="s">
        <v>628</v>
      </c>
      <c r="B3066" s="13" t="s">
        <v>627</v>
      </c>
      <c r="C3066" s="13" t="s">
        <v>2267</v>
      </c>
      <c r="D3066" s="13" t="s">
        <v>2270</v>
      </c>
      <c r="E3066" s="13" t="s">
        <v>2523</v>
      </c>
      <c r="F3066" s="13" t="s">
        <v>2525</v>
      </c>
      <c r="G3066" s="61" t="n">
        <v>1077256576</v>
      </c>
      <c r="H3066" s="13" t="s">
        <v>2255</v>
      </c>
      <c r="I3066" s="13" t="s">
        <v>2517</v>
      </c>
      <c r="J3066" s="13" t="n">
        <v>79</v>
      </c>
      <c r="K3066" s="13" t="s">
        <v>2478</v>
      </c>
      <c r="L3066" s="13" t="s">
        <v>2265</v>
      </c>
      <c r="M3066" s="13" t="s">
        <v>2518</v>
      </c>
    </row>
    <row r="3067" customFormat="false" ht="15" hidden="false" customHeight="false" outlineLevel="0" collapsed="false">
      <c r="A3067" s="13" t="s">
        <v>628</v>
      </c>
      <c r="B3067" s="13" t="s">
        <v>627</v>
      </c>
      <c r="C3067" s="13" t="s">
        <v>2267</v>
      </c>
      <c r="D3067" s="13" t="s">
        <v>2270</v>
      </c>
      <c r="E3067" s="13" t="s">
        <v>2524</v>
      </c>
      <c r="F3067" s="13" t="s">
        <v>2525</v>
      </c>
      <c r="G3067" s="61" t="n">
        <v>97326815337</v>
      </c>
      <c r="H3067" s="13" t="s">
        <v>2255</v>
      </c>
      <c r="I3067" s="13" t="s">
        <v>2517</v>
      </c>
      <c r="J3067" s="13" t="n">
        <v>79</v>
      </c>
      <c r="K3067" s="13" t="s">
        <v>2478</v>
      </c>
      <c r="L3067" s="13" t="s">
        <v>2265</v>
      </c>
      <c r="M3067" s="13" t="s">
        <v>2518</v>
      </c>
    </row>
    <row r="3068" customFormat="false" ht="15" hidden="false" customHeight="false" outlineLevel="0" collapsed="false">
      <c r="A3068" s="13" t="s">
        <v>628</v>
      </c>
      <c r="B3068" s="13" t="s">
        <v>627</v>
      </c>
      <c r="C3068" s="13" t="s">
        <v>2267</v>
      </c>
      <c r="D3068" s="13" t="s">
        <v>2270</v>
      </c>
      <c r="E3068" s="13" t="s">
        <v>2515</v>
      </c>
      <c r="F3068" s="13" t="s">
        <v>2526</v>
      </c>
      <c r="G3068" s="61" t="n">
        <v>1459169324</v>
      </c>
      <c r="H3068" s="13" t="s">
        <v>2255</v>
      </c>
      <c r="I3068" s="13" t="s">
        <v>2517</v>
      </c>
      <c r="J3068" s="13" t="n">
        <v>79</v>
      </c>
      <c r="K3068" s="13" t="s">
        <v>2478</v>
      </c>
      <c r="L3068" s="13" t="s">
        <v>2265</v>
      </c>
      <c r="M3068" s="13" t="s">
        <v>2518</v>
      </c>
    </row>
    <row r="3069" customFormat="false" ht="15" hidden="false" customHeight="false" outlineLevel="0" collapsed="false">
      <c r="A3069" s="13" t="s">
        <v>628</v>
      </c>
      <c r="B3069" s="13" t="s">
        <v>627</v>
      </c>
      <c r="C3069" s="13" t="s">
        <v>2267</v>
      </c>
      <c r="D3069" s="13" t="s">
        <v>2270</v>
      </c>
      <c r="E3069" s="13" t="s">
        <v>2520</v>
      </c>
      <c r="F3069" s="13" t="s">
        <v>2526</v>
      </c>
      <c r="G3069" s="61" t="n">
        <v>0</v>
      </c>
      <c r="H3069" s="13" t="s">
        <v>2255</v>
      </c>
      <c r="I3069" s="13" t="s">
        <v>2517</v>
      </c>
      <c r="J3069" s="13" t="n">
        <v>79</v>
      </c>
      <c r="K3069" s="13" t="s">
        <v>2478</v>
      </c>
      <c r="L3069" s="13" t="s">
        <v>2265</v>
      </c>
      <c r="M3069" s="13" t="s">
        <v>2518</v>
      </c>
    </row>
    <row r="3070" customFormat="false" ht="15" hidden="false" customHeight="false" outlineLevel="0" collapsed="false">
      <c r="A3070" s="13" t="s">
        <v>628</v>
      </c>
      <c r="B3070" s="13" t="s">
        <v>627</v>
      </c>
      <c r="C3070" s="13" t="s">
        <v>2267</v>
      </c>
      <c r="D3070" s="13" t="s">
        <v>2270</v>
      </c>
      <c r="E3070" s="13" t="s">
        <v>2521</v>
      </c>
      <c r="F3070" s="13" t="s">
        <v>2526</v>
      </c>
      <c r="G3070" s="61" t="n">
        <v>966573063</v>
      </c>
      <c r="H3070" s="13" t="s">
        <v>2255</v>
      </c>
      <c r="I3070" s="13" t="s">
        <v>2517</v>
      </c>
      <c r="J3070" s="13" t="n">
        <v>79</v>
      </c>
      <c r="K3070" s="13" t="s">
        <v>2478</v>
      </c>
      <c r="L3070" s="13" t="s">
        <v>2265</v>
      </c>
      <c r="M3070" s="13" t="s">
        <v>2518</v>
      </c>
    </row>
    <row r="3071" customFormat="false" ht="15" hidden="false" customHeight="false" outlineLevel="0" collapsed="false">
      <c r="A3071" s="13" t="s">
        <v>628</v>
      </c>
      <c r="B3071" s="13" t="s">
        <v>627</v>
      </c>
      <c r="C3071" s="13" t="s">
        <v>2267</v>
      </c>
      <c r="D3071" s="13" t="s">
        <v>2270</v>
      </c>
      <c r="E3071" s="13" t="s">
        <v>2522</v>
      </c>
      <c r="F3071" s="13" t="s">
        <v>2526</v>
      </c>
      <c r="G3071" s="61" t="n">
        <v>0</v>
      </c>
      <c r="H3071" s="13" t="s">
        <v>2255</v>
      </c>
      <c r="I3071" s="13" t="s">
        <v>2517</v>
      </c>
      <c r="J3071" s="13" t="n">
        <v>79</v>
      </c>
      <c r="K3071" s="13" t="s">
        <v>2478</v>
      </c>
      <c r="L3071" s="13" t="s">
        <v>2265</v>
      </c>
      <c r="M3071" s="13" t="s">
        <v>2518</v>
      </c>
    </row>
    <row r="3072" customFormat="false" ht="15" hidden="false" customHeight="false" outlineLevel="0" collapsed="false">
      <c r="A3072" s="13" t="s">
        <v>628</v>
      </c>
      <c r="B3072" s="13" t="s">
        <v>627</v>
      </c>
      <c r="C3072" s="13" t="s">
        <v>2267</v>
      </c>
      <c r="D3072" s="13" t="s">
        <v>2270</v>
      </c>
      <c r="E3072" s="13" t="s">
        <v>2523</v>
      </c>
      <c r="F3072" s="13" t="s">
        <v>2526</v>
      </c>
      <c r="G3072" s="61" t="n">
        <v>-203489757</v>
      </c>
      <c r="H3072" s="13" t="s">
        <v>2255</v>
      </c>
      <c r="I3072" s="13" t="s">
        <v>2517</v>
      </c>
      <c r="J3072" s="13" t="n">
        <v>79</v>
      </c>
      <c r="K3072" s="13" t="s">
        <v>2478</v>
      </c>
      <c r="L3072" s="13" t="s">
        <v>2265</v>
      </c>
      <c r="M3072" s="13" t="s">
        <v>2518</v>
      </c>
    </row>
    <row r="3073" customFormat="false" ht="15" hidden="false" customHeight="false" outlineLevel="0" collapsed="false">
      <c r="A3073" s="13" t="s">
        <v>628</v>
      </c>
      <c r="B3073" s="13" t="s">
        <v>627</v>
      </c>
      <c r="C3073" s="13" t="s">
        <v>2267</v>
      </c>
      <c r="D3073" s="13" t="s">
        <v>2270</v>
      </c>
      <c r="E3073" s="13" t="s">
        <v>2524</v>
      </c>
      <c r="F3073" s="13" t="s">
        <v>2526</v>
      </c>
      <c r="G3073" s="61" t="n">
        <v>2222252629</v>
      </c>
      <c r="H3073" s="13" t="s">
        <v>2255</v>
      </c>
      <c r="I3073" s="13" t="s">
        <v>2517</v>
      </c>
      <c r="J3073" s="13" t="n">
        <v>79</v>
      </c>
      <c r="K3073" s="13" t="s">
        <v>2478</v>
      </c>
      <c r="L3073" s="13" t="s">
        <v>2265</v>
      </c>
      <c r="M3073" s="13" t="s">
        <v>2518</v>
      </c>
    </row>
    <row r="3074" customFormat="false" ht="15" hidden="false" customHeight="false" outlineLevel="0" collapsed="false">
      <c r="A3074" s="13" t="s">
        <v>628</v>
      </c>
      <c r="B3074" s="13" t="s">
        <v>627</v>
      </c>
      <c r="C3074" s="13" t="s">
        <v>2267</v>
      </c>
      <c r="D3074" s="13" t="s">
        <v>2270</v>
      </c>
      <c r="E3074" s="13" t="s">
        <v>2515</v>
      </c>
      <c r="F3074" s="13" t="s">
        <v>2527</v>
      </c>
      <c r="G3074" s="61" t="n">
        <v>11221343560</v>
      </c>
      <c r="H3074" s="13" t="s">
        <v>2255</v>
      </c>
      <c r="I3074" s="13" t="s">
        <v>2517</v>
      </c>
      <c r="J3074" s="13" t="n">
        <v>79</v>
      </c>
      <c r="K3074" s="13" t="s">
        <v>2478</v>
      </c>
      <c r="L3074" s="13" t="s">
        <v>2265</v>
      </c>
      <c r="M3074" s="13" t="s">
        <v>2518</v>
      </c>
    </row>
    <row r="3075" customFormat="false" ht="15" hidden="false" customHeight="false" outlineLevel="0" collapsed="false">
      <c r="A3075" s="13" t="s">
        <v>628</v>
      </c>
      <c r="B3075" s="13" t="s">
        <v>627</v>
      </c>
      <c r="C3075" s="13" t="s">
        <v>2267</v>
      </c>
      <c r="D3075" s="13" t="s">
        <v>2270</v>
      </c>
      <c r="E3075" s="13" t="s">
        <v>2520</v>
      </c>
      <c r="F3075" s="13" t="s">
        <v>2527</v>
      </c>
      <c r="G3075" s="61" t="n">
        <v>0</v>
      </c>
      <c r="H3075" s="13" t="s">
        <v>2255</v>
      </c>
      <c r="I3075" s="13" t="s">
        <v>2517</v>
      </c>
      <c r="J3075" s="13" t="n">
        <v>79</v>
      </c>
      <c r="K3075" s="13" t="s">
        <v>2478</v>
      </c>
      <c r="L3075" s="13" t="s">
        <v>2265</v>
      </c>
      <c r="M3075" s="13" t="s">
        <v>2518</v>
      </c>
    </row>
    <row r="3076" customFormat="false" ht="15" hidden="false" customHeight="false" outlineLevel="0" collapsed="false">
      <c r="A3076" s="13" t="s">
        <v>628</v>
      </c>
      <c r="B3076" s="13" t="s">
        <v>627</v>
      </c>
      <c r="C3076" s="13" t="s">
        <v>2267</v>
      </c>
      <c r="D3076" s="13" t="s">
        <v>2270</v>
      </c>
      <c r="E3076" s="13" t="s">
        <v>2521</v>
      </c>
      <c r="F3076" s="13" t="s">
        <v>2527</v>
      </c>
      <c r="G3076" s="61" t="n">
        <v>331035904</v>
      </c>
      <c r="H3076" s="13" t="s">
        <v>2255</v>
      </c>
      <c r="I3076" s="13" t="s">
        <v>2517</v>
      </c>
      <c r="J3076" s="13" t="n">
        <v>79</v>
      </c>
      <c r="K3076" s="13" t="s">
        <v>2478</v>
      </c>
      <c r="L3076" s="13" t="s">
        <v>2265</v>
      </c>
      <c r="M3076" s="13" t="s">
        <v>2518</v>
      </c>
    </row>
    <row r="3077" customFormat="false" ht="15" hidden="false" customHeight="false" outlineLevel="0" collapsed="false">
      <c r="A3077" s="13" t="s">
        <v>628</v>
      </c>
      <c r="B3077" s="13" t="s">
        <v>627</v>
      </c>
      <c r="C3077" s="13" t="s">
        <v>2267</v>
      </c>
      <c r="D3077" s="13" t="s">
        <v>2270</v>
      </c>
      <c r="E3077" s="13" t="s">
        <v>2522</v>
      </c>
      <c r="F3077" s="13" t="s">
        <v>2527</v>
      </c>
      <c r="G3077" s="61" t="n">
        <v>0</v>
      </c>
      <c r="H3077" s="13" t="s">
        <v>2255</v>
      </c>
      <c r="I3077" s="13" t="s">
        <v>2517</v>
      </c>
      <c r="J3077" s="13" t="n">
        <v>79</v>
      </c>
      <c r="K3077" s="13" t="s">
        <v>2478</v>
      </c>
      <c r="L3077" s="13" t="s">
        <v>2265</v>
      </c>
      <c r="M3077" s="13" t="s">
        <v>2518</v>
      </c>
    </row>
    <row r="3078" customFormat="false" ht="15" hidden="false" customHeight="false" outlineLevel="0" collapsed="false">
      <c r="A3078" s="13" t="s">
        <v>628</v>
      </c>
      <c r="B3078" s="13" t="s">
        <v>627</v>
      </c>
      <c r="C3078" s="13" t="s">
        <v>2267</v>
      </c>
      <c r="D3078" s="13" t="s">
        <v>2270</v>
      </c>
      <c r="E3078" s="13" t="s">
        <v>2523</v>
      </c>
      <c r="F3078" s="13" t="s">
        <v>2527</v>
      </c>
      <c r="G3078" s="61" t="n">
        <v>-803315857</v>
      </c>
      <c r="H3078" s="13" t="s">
        <v>2255</v>
      </c>
      <c r="I3078" s="13" t="s">
        <v>2517</v>
      </c>
      <c r="J3078" s="13" t="n">
        <v>79</v>
      </c>
      <c r="K3078" s="13" t="s">
        <v>2478</v>
      </c>
      <c r="L3078" s="13" t="s">
        <v>2265</v>
      </c>
      <c r="M3078" s="13" t="s">
        <v>2518</v>
      </c>
    </row>
    <row r="3079" customFormat="false" ht="15" hidden="false" customHeight="false" outlineLevel="0" collapsed="false">
      <c r="A3079" s="13" t="s">
        <v>628</v>
      </c>
      <c r="B3079" s="13" t="s">
        <v>627</v>
      </c>
      <c r="C3079" s="13" t="s">
        <v>2267</v>
      </c>
      <c r="D3079" s="13" t="s">
        <v>2270</v>
      </c>
      <c r="E3079" s="13" t="s">
        <v>2524</v>
      </c>
      <c r="F3079" s="13" t="s">
        <v>2527</v>
      </c>
      <c r="G3079" s="61" t="n">
        <v>10749063607</v>
      </c>
      <c r="H3079" s="13" t="s">
        <v>2255</v>
      </c>
      <c r="I3079" s="13" t="s">
        <v>2517</v>
      </c>
      <c r="J3079" s="13" t="n">
        <v>79</v>
      </c>
      <c r="K3079" s="13" t="s">
        <v>2478</v>
      </c>
      <c r="L3079" s="13" t="s">
        <v>2265</v>
      </c>
      <c r="M3079" s="13" t="s">
        <v>2518</v>
      </c>
    </row>
    <row r="3080" customFormat="false" ht="15" hidden="false" customHeight="false" outlineLevel="0" collapsed="false">
      <c r="A3080" s="13" t="s">
        <v>628</v>
      </c>
      <c r="B3080" s="13" t="s">
        <v>627</v>
      </c>
      <c r="C3080" s="13" t="s">
        <v>2267</v>
      </c>
      <c r="D3080" s="13" t="s">
        <v>2270</v>
      </c>
      <c r="E3080" s="13" t="s">
        <v>2515</v>
      </c>
      <c r="F3080" s="13" t="s">
        <v>2528</v>
      </c>
      <c r="G3080" s="61" t="n">
        <v>-71607734</v>
      </c>
      <c r="H3080" s="13" t="s">
        <v>2255</v>
      </c>
      <c r="I3080" s="13" t="s">
        <v>2517</v>
      </c>
      <c r="J3080" s="13" t="n">
        <v>79</v>
      </c>
      <c r="K3080" s="13" t="s">
        <v>2478</v>
      </c>
      <c r="L3080" s="13" t="s">
        <v>2265</v>
      </c>
      <c r="M3080" s="13" t="s">
        <v>2518</v>
      </c>
    </row>
    <row r="3081" customFormat="false" ht="15" hidden="false" customHeight="false" outlineLevel="0" collapsed="false">
      <c r="A3081" s="13" t="s">
        <v>628</v>
      </c>
      <c r="B3081" s="13" t="s">
        <v>627</v>
      </c>
      <c r="C3081" s="13" t="s">
        <v>2267</v>
      </c>
      <c r="D3081" s="13" t="s">
        <v>2270</v>
      </c>
      <c r="E3081" s="13" t="s">
        <v>2520</v>
      </c>
      <c r="F3081" s="13" t="s">
        <v>2528</v>
      </c>
      <c r="G3081" s="61" t="n">
        <v>0</v>
      </c>
      <c r="H3081" s="13" t="s">
        <v>2255</v>
      </c>
      <c r="I3081" s="13" t="s">
        <v>2517</v>
      </c>
      <c r="J3081" s="13" t="n">
        <v>79</v>
      </c>
      <c r="K3081" s="13" t="s">
        <v>2478</v>
      </c>
      <c r="L3081" s="13" t="s">
        <v>2265</v>
      </c>
      <c r="M3081" s="13" t="s">
        <v>2518</v>
      </c>
    </row>
    <row r="3082" customFormat="false" ht="15" hidden="false" customHeight="false" outlineLevel="0" collapsed="false">
      <c r="A3082" s="13" t="s">
        <v>628</v>
      </c>
      <c r="B3082" s="13" t="s">
        <v>627</v>
      </c>
      <c r="C3082" s="13" t="s">
        <v>2267</v>
      </c>
      <c r="D3082" s="13" t="s">
        <v>2270</v>
      </c>
      <c r="E3082" s="13" t="s">
        <v>2521</v>
      </c>
      <c r="F3082" s="13" t="s">
        <v>2528</v>
      </c>
      <c r="G3082" s="61" t="n">
        <v>-166720490</v>
      </c>
      <c r="H3082" s="13" t="s">
        <v>2255</v>
      </c>
      <c r="I3082" s="13" t="s">
        <v>2517</v>
      </c>
      <c r="J3082" s="13" t="n">
        <v>79</v>
      </c>
      <c r="K3082" s="13" t="s">
        <v>2478</v>
      </c>
      <c r="L3082" s="13" t="s">
        <v>2265</v>
      </c>
      <c r="M3082" s="13" t="s">
        <v>2518</v>
      </c>
    </row>
    <row r="3083" customFormat="false" ht="15" hidden="false" customHeight="false" outlineLevel="0" collapsed="false">
      <c r="A3083" s="13" t="s">
        <v>628</v>
      </c>
      <c r="B3083" s="13" t="s">
        <v>627</v>
      </c>
      <c r="C3083" s="13" t="s">
        <v>2267</v>
      </c>
      <c r="D3083" s="13" t="s">
        <v>2270</v>
      </c>
      <c r="E3083" s="13" t="s">
        <v>2522</v>
      </c>
      <c r="F3083" s="13" t="s">
        <v>2528</v>
      </c>
      <c r="G3083" s="61" t="n">
        <v>0</v>
      </c>
      <c r="H3083" s="13" t="s">
        <v>2255</v>
      </c>
      <c r="I3083" s="13" t="s">
        <v>2517</v>
      </c>
      <c r="J3083" s="13" t="n">
        <v>79</v>
      </c>
      <c r="K3083" s="13" t="s">
        <v>2478</v>
      </c>
      <c r="L3083" s="13" t="s">
        <v>2265</v>
      </c>
      <c r="M3083" s="13" t="s">
        <v>2518</v>
      </c>
    </row>
    <row r="3084" customFormat="false" ht="15" hidden="false" customHeight="false" outlineLevel="0" collapsed="false">
      <c r="A3084" s="13" t="s">
        <v>628</v>
      </c>
      <c r="B3084" s="13" t="s">
        <v>627</v>
      </c>
      <c r="C3084" s="13" t="s">
        <v>2267</v>
      </c>
      <c r="D3084" s="13" t="s">
        <v>2270</v>
      </c>
      <c r="E3084" s="13" t="s">
        <v>2523</v>
      </c>
      <c r="F3084" s="13" t="s">
        <v>2528</v>
      </c>
      <c r="G3084" s="61" t="n">
        <v>29915436</v>
      </c>
      <c r="H3084" s="13" t="s">
        <v>2255</v>
      </c>
      <c r="I3084" s="13" t="s">
        <v>2517</v>
      </c>
      <c r="J3084" s="13" t="n">
        <v>79</v>
      </c>
      <c r="K3084" s="13" t="s">
        <v>2478</v>
      </c>
      <c r="L3084" s="13" t="s">
        <v>2265</v>
      </c>
      <c r="M3084" s="13" t="s">
        <v>2518</v>
      </c>
    </row>
    <row r="3085" customFormat="false" ht="15" hidden="false" customHeight="false" outlineLevel="0" collapsed="false">
      <c r="A3085" s="13" t="s">
        <v>628</v>
      </c>
      <c r="B3085" s="13" t="s">
        <v>627</v>
      </c>
      <c r="C3085" s="13" t="s">
        <v>2267</v>
      </c>
      <c r="D3085" s="13" t="s">
        <v>2270</v>
      </c>
      <c r="E3085" s="13" t="s">
        <v>2524</v>
      </c>
      <c r="F3085" s="13" t="s">
        <v>2528</v>
      </c>
      <c r="G3085" s="61" t="n">
        <v>-208412788</v>
      </c>
      <c r="H3085" s="13" t="s">
        <v>2255</v>
      </c>
      <c r="I3085" s="13" t="s">
        <v>2517</v>
      </c>
      <c r="J3085" s="13" t="n">
        <v>79</v>
      </c>
      <c r="K3085" s="13" t="s">
        <v>2478</v>
      </c>
      <c r="L3085" s="13" t="s">
        <v>2265</v>
      </c>
      <c r="M3085" s="13" t="s">
        <v>2518</v>
      </c>
    </row>
    <row r="3086" customFormat="false" ht="15" hidden="false" customHeight="false" outlineLevel="0" collapsed="false">
      <c r="A3086" s="13" t="s">
        <v>628</v>
      </c>
      <c r="B3086" s="13" t="s">
        <v>627</v>
      </c>
      <c r="C3086" s="13" t="s">
        <v>2267</v>
      </c>
      <c r="D3086" s="13" t="s">
        <v>2270</v>
      </c>
      <c r="E3086" s="13" t="s">
        <v>2515</v>
      </c>
      <c r="F3086" s="13" t="s">
        <v>2529</v>
      </c>
      <c r="G3086" s="61" t="n">
        <v>312607031</v>
      </c>
      <c r="H3086" s="13" t="s">
        <v>2255</v>
      </c>
      <c r="I3086" s="13" t="s">
        <v>2517</v>
      </c>
      <c r="J3086" s="13" t="n">
        <v>79</v>
      </c>
      <c r="K3086" s="13" t="s">
        <v>2478</v>
      </c>
      <c r="L3086" s="13" t="s">
        <v>2265</v>
      </c>
      <c r="M3086" s="13" t="s">
        <v>2518</v>
      </c>
    </row>
    <row r="3087" customFormat="false" ht="15" hidden="false" customHeight="false" outlineLevel="0" collapsed="false">
      <c r="A3087" s="13" t="s">
        <v>628</v>
      </c>
      <c r="B3087" s="13" t="s">
        <v>627</v>
      </c>
      <c r="C3087" s="13" t="s">
        <v>2267</v>
      </c>
      <c r="D3087" s="13" t="s">
        <v>2270</v>
      </c>
      <c r="E3087" s="13" t="s">
        <v>2520</v>
      </c>
      <c r="F3087" s="13" t="s">
        <v>2529</v>
      </c>
      <c r="G3087" s="61" t="n">
        <v>0</v>
      </c>
      <c r="H3087" s="13" t="s">
        <v>2255</v>
      </c>
      <c r="I3087" s="13" t="s">
        <v>2517</v>
      </c>
      <c r="J3087" s="13" t="n">
        <v>79</v>
      </c>
      <c r="K3087" s="13" t="s">
        <v>2478</v>
      </c>
      <c r="L3087" s="13" t="s">
        <v>2265</v>
      </c>
      <c r="M3087" s="13" t="s">
        <v>2518</v>
      </c>
    </row>
    <row r="3088" customFormat="false" ht="15" hidden="false" customHeight="false" outlineLevel="0" collapsed="false">
      <c r="A3088" s="13" t="s">
        <v>628</v>
      </c>
      <c r="B3088" s="13" t="s">
        <v>627</v>
      </c>
      <c r="C3088" s="13" t="s">
        <v>2267</v>
      </c>
      <c r="D3088" s="13" t="s">
        <v>2270</v>
      </c>
      <c r="E3088" s="13" t="s">
        <v>2521</v>
      </c>
      <c r="F3088" s="13" t="s">
        <v>2529</v>
      </c>
      <c r="G3088" s="61" t="n">
        <v>64236355</v>
      </c>
      <c r="H3088" s="13" t="s">
        <v>2255</v>
      </c>
      <c r="I3088" s="13" t="s">
        <v>2517</v>
      </c>
      <c r="J3088" s="13" t="n">
        <v>79</v>
      </c>
      <c r="K3088" s="13" t="s">
        <v>2478</v>
      </c>
      <c r="L3088" s="13" t="s">
        <v>2265</v>
      </c>
      <c r="M3088" s="13" t="s">
        <v>2518</v>
      </c>
    </row>
    <row r="3089" customFormat="false" ht="15" hidden="false" customHeight="false" outlineLevel="0" collapsed="false">
      <c r="A3089" s="13" t="s">
        <v>628</v>
      </c>
      <c r="B3089" s="13" t="s">
        <v>627</v>
      </c>
      <c r="C3089" s="13" t="s">
        <v>2267</v>
      </c>
      <c r="D3089" s="13" t="s">
        <v>2270</v>
      </c>
      <c r="E3089" s="13" t="s">
        <v>2522</v>
      </c>
      <c r="F3089" s="13" t="s">
        <v>2529</v>
      </c>
      <c r="G3089" s="61" t="n">
        <v>-62878639</v>
      </c>
      <c r="H3089" s="13" t="s">
        <v>2255</v>
      </c>
      <c r="I3089" s="13" t="s">
        <v>2517</v>
      </c>
      <c r="J3089" s="13" t="n">
        <v>79</v>
      </c>
      <c r="K3089" s="13" t="s">
        <v>2478</v>
      </c>
      <c r="L3089" s="13" t="s">
        <v>2265</v>
      </c>
      <c r="M3089" s="13" t="s">
        <v>2518</v>
      </c>
    </row>
    <row r="3090" customFormat="false" ht="15" hidden="false" customHeight="false" outlineLevel="0" collapsed="false">
      <c r="A3090" s="13" t="s">
        <v>628</v>
      </c>
      <c r="B3090" s="13" t="s">
        <v>627</v>
      </c>
      <c r="C3090" s="13" t="s">
        <v>2267</v>
      </c>
      <c r="D3090" s="13" t="s">
        <v>2270</v>
      </c>
      <c r="E3090" s="13" t="s">
        <v>2523</v>
      </c>
      <c r="F3090" s="13" t="s">
        <v>2529</v>
      </c>
      <c r="G3090" s="61" t="n">
        <v>-135270</v>
      </c>
      <c r="H3090" s="13" t="s">
        <v>2255</v>
      </c>
      <c r="I3090" s="13" t="s">
        <v>2517</v>
      </c>
      <c r="J3090" s="13" t="n">
        <v>79</v>
      </c>
      <c r="K3090" s="13" t="s">
        <v>2478</v>
      </c>
      <c r="L3090" s="13" t="s">
        <v>2265</v>
      </c>
      <c r="M3090" s="13" t="s">
        <v>2518</v>
      </c>
    </row>
    <row r="3091" customFormat="false" ht="15" hidden="false" customHeight="false" outlineLevel="0" collapsed="false">
      <c r="A3091" s="13" t="s">
        <v>628</v>
      </c>
      <c r="B3091" s="13" t="s">
        <v>627</v>
      </c>
      <c r="C3091" s="13" t="s">
        <v>2267</v>
      </c>
      <c r="D3091" s="13" t="s">
        <v>2270</v>
      </c>
      <c r="E3091" s="13" t="s">
        <v>2524</v>
      </c>
      <c r="F3091" s="13" t="s">
        <v>2529</v>
      </c>
      <c r="G3091" s="61" t="n">
        <v>313829477</v>
      </c>
      <c r="H3091" s="13" t="s">
        <v>2255</v>
      </c>
      <c r="I3091" s="13" t="s">
        <v>2517</v>
      </c>
      <c r="J3091" s="13" t="n">
        <v>79</v>
      </c>
      <c r="K3091" s="13" t="s">
        <v>2478</v>
      </c>
      <c r="L3091" s="13" t="s">
        <v>2265</v>
      </c>
      <c r="M3091" s="13" t="s">
        <v>2518</v>
      </c>
    </row>
    <row r="3092" customFormat="false" ht="15" hidden="false" customHeight="false" outlineLevel="0" collapsed="false">
      <c r="A3092" s="13" t="s">
        <v>628</v>
      </c>
      <c r="B3092" s="13" t="s">
        <v>627</v>
      </c>
      <c r="C3092" s="13" t="s">
        <v>2267</v>
      </c>
      <c r="D3092" s="13" t="s">
        <v>2270</v>
      </c>
      <c r="E3092" s="13" t="s">
        <v>2515</v>
      </c>
      <c r="F3092" s="13" t="s">
        <v>2530</v>
      </c>
      <c r="G3092" s="61" t="n">
        <v>450536465</v>
      </c>
      <c r="H3092" s="13" t="s">
        <v>2255</v>
      </c>
      <c r="I3092" s="13" t="s">
        <v>2517</v>
      </c>
      <c r="J3092" s="13" t="n">
        <v>79</v>
      </c>
      <c r="K3092" s="13" t="s">
        <v>2478</v>
      </c>
      <c r="L3092" s="13" t="s">
        <v>2265</v>
      </c>
      <c r="M3092" s="13" t="s">
        <v>2518</v>
      </c>
    </row>
    <row r="3093" customFormat="false" ht="15" hidden="false" customHeight="false" outlineLevel="0" collapsed="false">
      <c r="A3093" s="13" t="s">
        <v>628</v>
      </c>
      <c r="B3093" s="13" t="s">
        <v>627</v>
      </c>
      <c r="C3093" s="13" t="s">
        <v>2267</v>
      </c>
      <c r="D3093" s="13" t="s">
        <v>2270</v>
      </c>
      <c r="E3093" s="13" t="s">
        <v>2520</v>
      </c>
      <c r="F3093" s="13" t="s">
        <v>2530</v>
      </c>
      <c r="G3093" s="61" t="n">
        <v>0</v>
      </c>
      <c r="H3093" s="13" t="s">
        <v>2255</v>
      </c>
      <c r="I3093" s="13" t="s">
        <v>2517</v>
      </c>
      <c r="J3093" s="13" t="n">
        <v>79</v>
      </c>
      <c r="K3093" s="13" t="s">
        <v>2478</v>
      </c>
      <c r="L3093" s="13" t="s">
        <v>2265</v>
      </c>
      <c r="M3093" s="13" t="s">
        <v>2518</v>
      </c>
    </row>
    <row r="3094" customFormat="false" ht="15" hidden="false" customHeight="false" outlineLevel="0" collapsed="false">
      <c r="A3094" s="13" t="s">
        <v>628</v>
      </c>
      <c r="B3094" s="13" t="s">
        <v>627</v>
      </c>
      <c r="C3094" s="13" t="s">
        <v>2267</v>
      </c>
      <c r="D3094" s="13" t="s">
        <v>2270</v>
      </c>
      <c r="E3094" s="13" t="s">
        <v>2521</v>
      </c>
      <c r="F3094" s="13" t="s">
        <v>2530</v>
      </c>
      <c r="G3094" s="61" t="n">
        <v>-27230</v>
      </c>
      <c r="H3094" s="13" t="s">
        <v>2255</v>
      </c>
      <c r="I3094" s="13" t="s">
        <v>2517</v>
      </c>
      <c r="J3094" s="13" t="n">
        <v>79</v>
      </c>
      <c r="K3094" s="13" t="s">
        <v>2478</v>
      </c>
      <c r="L3094" s="13" t="s">
        <v>2265</v>
      </c>
      <c r="M3094" s="13" t="s">
        <v>2518</v>
      </c>
    </row>
    <row r="3095" customFormat="false" ht="15" hidden="false" customHeight="false" outlineLevel="0" collapsed="false">
      <c r="A3095" s="13" t="s">
        <v>628</v>
      </c>
      <c r="B3095" s="13" t="s">
        <v>627</v>
      </c>
      <c r="C3095" s="13" t="s">
        <v>2267</v>
      </c>
      <c r="D3095" s="13" t="s">
        <v>2270</v>
      </c>
      <c r="E3095" s="13" t="s">
        <v>2522</v>
      </c>
      <c r="F3095" s="13" t="s">
        <v>2530</v>
      </c>
      <c r="G3095" s="61" t="n">
        <v>0</v>
      </c>
      <c r="H3095" s="13" t="s">
        <v>2255</v>
      </c>
      <c r="I3095" s="13" t="s">
        <v>2517</v>
      </c>
      <c r="J3095" s="13" t="n">
        <v>79</v>
      </c>
      <c r="K3095" s="13" t="s">
        <v>2478</v>
      </c>
      <c r="L3095" s="13" t="s">
        <v>2265</v>
      </c>
      <c r="M3095" s="13" t="s">
        <v>2518</v>
      </c>
    </row>
    <row r="3096" customFormat="false" ht="15" hidden="false" customHeight="false" outlineLevel="0" collapsed="false">
      <c r="A3096" s="13" t="s">
        <v>628</v>
      </c>
      <c r="B3096" s="13" t="s">
        <v>627</v>
      </c>
      <c r="C3096" s="13" t="s">
        <v>2267</v>
      </c>
      <c r="D3096" s="13" t="s">
        <v>2270</v>
      </c>
      <c r="E3096" s="13" t="s">
        <v>2523</v>
      </c>
      <c r="F3096" s="13" t="s">
        <v>2530</v>
      </c>
      <c r="G3096" s="61" t="n">
        <v>0</v>
      </c>
      <c r="H3096" s="13" t="s">
        <v>2255</v>
      </c>
      <c r="I3096" s="13" t="s">
        <v>2517</v>
      </c>
      <c r="J3096" s="13" t="n">
        <v>79</v>
      </c>
      <c r="K3096" s="13" t="s">
        <v>2478</v>
      </c>
      <c r="L3096" s="13" t="s">
        <v>2265</v>
      </c>
      <c r="M3096" s="13" t="s">
        <v>2518</v>
      </c>
    </row>
    <row r="3097" customFormat="false" ht="15" hidden="false" customHeight="false" outlineLevel="0" collapsed="false">
      <c r="A3097" s="13" t="s">
        <v>628</v>
      </c>
      <c r="B3097" s="13" t="s">
        <v>627</v>
      </c>
      <c r="C3097" s="13" t="s">
        <v>2267</v>
      </c>
      <c r="D3097" s="13" t="s">
        <v>2270</v>
      </c>
      <c r="E3097" s="13" t="s">
        <v>2524</v>
      </c>
      <c r="F3097" s="13" t="s">
        <v>2530</v>
      </c>
      <c r="G3097" s="61" t="n">
        <v>450509235</v>
      </c>
      <c r="H3097" s="13" t="s">
        <v>2255</v>
      </c>
      <c r="I3097" s="13" t="s">
        <v>2517</v>
      </c>
      <c r="J3097" s="13" t="n">
        <v>79</v>
      </c>
      <c r="K3097" s="13" t="s">
        <v>2478</v>
      </c>
      <c r="L3097" s="13" t="s">
        <v>2265</v>
      </c>
      <c r="M3097" s="13" t="s">
        <v>2518</v>
      </c>
    </row>
    <row r="3098" customFormat="false" ht="15" hidden="false" customHeight="false" outlineLevel="0" collapsed="false">
      <c r="A3098" s="13" t="s">
        <v>628</v>
      </c>
      <c r="B3098" s="13" t="s">
        <v>627</v>
      </c>
      <c r="C3098" s="13" t="s">
        <v>2267</v>
      </c>
      <c r="D3098" s="13" t="s">
        <v>2270</v>
      </c>
      <c r="E3098" s="13" t="s">
        <v>2515</v>
      </c>
      <c r="F3098" s="13" t="s">
        <v>2531</v>
      </c>
      <c r="G3098" s="61" t="n">
        <v>1493940201</v>
      </c>
      <c r="H3098" s="13" t="s">
        <v>2255</v>
      </c>
      <c r="I3098" s="13" t="s">
        <v>2517</v>
      </c>
      <c r="J3098" s="13" t="n">
        <v>79</v>
      </c>
      <c r="K3098" s="13" t="s">
        <v>2478</v>
      </c>
      <c r="L3098" s="13" t="s">
        <v>2265</v>
      </c>
      <c r="M3098" s="13" t="s">
        <v>2518</v>
      </c>
    </row>
    <row r="3099" customFormat="false" ht="15" hidden="false" customHeight="false" outlineLevel="0" collapsed="false">
      <c r="A3099" s="13" t="s">
        <v>628</v>
      </c>
      <c r="B3099" s="13" t="s">
        <v>627</v>
      </c>
      <c r="C3099" s="13" t="s">
        <v>2267</v>
      </c>
      <c r="D3099" s="13" t="s">
        <v>2270</v>
      </c>
      <c r="E3099" s="13" t="s">
        <v>2520</v>
      </c>
      <c r="F3099" s="13" t="s">
        <v>2531</v>
      </c>
      <c r="G3099" s="61" t="n">
        <v>0</v>
      </c>
      <c r="H3099" s="13" t="s">
        <v>2255</v>
      </c>
      <c r="I3099" s="13" t="s">
        <v>2517</v>
      </c>
      <c r="J3099" s="13" t="n">
        <v>79</v>
      </c>
      <c r="K3099" s="13" t="s">
        <v>2478</v>
      </c>
      <c r="L3099" s="13" t="s">
        <v>2265</v>
      </c>
      <c r="M3099" s="13" t="s">
        <v>2518</v>
      </c>
    </row>
    <row r="3100" customFormat="false" ht="15" hidden="false" customHeight="false" outlineLevel="0" collapsed="false">
      <c r="A3100" s="13" t="s">
        <v>628</v>
      </c>
      <c r="B3100" s="13" t="s">
        <v>627</v>
      </c>
      <c r="C3100" s="13" t="s">
        <v>2267</v>
      </c>
      <c r="D3100" s="13" t="s">
        <v>2270</v>
      </c>
      <c r="E3100" s="13" t="s">
        <v>2521</v>
      </c>
      <c r="F3100" s="13" t="s">
        <v>2531</v>
      </c>
      <c r="G3100" s="61" t="n">
        <v>443815475</v>
      </c>
      <c r="H3100" s="13" t="s">
        <v>2255</v>
      </c>
      <c r="I3100" s="13" t="s">
        <v>2517</v>
      </c>
      <c r="J3100" s="13" t="n">
        <v>79</v>
      </c>
      <c r="K3100" s="13" t="s">
        <v>2478</v>
      </c>
      <c r="L3100" s="13" t="s">
        <v>2265</v>
      </c>
      <c r="M3100" s="13" t="s">
        <v>2518</v>
      </c>
    </row>
    <row r="3101" customFormat="false" ht="15" hidden="false" customHeight="false" outlineLevel="0" collapsed="false">
      <c r="A3101" s="13" t="s">
        <v>628</v>
      </c>
      <c r="B3101" s="13" t="s">
        <v>627</v>
      </c>
      <c r="C3101" s="13" t="s">
        <v>2267</v>
      </c>
      <c r="D3101" s="13" t="s">
        <v>2270</v>
      </c>
      <c r="E3101" s="13" t="s">
        <v>2522</v>
      </c>
      <c r="F3101" s="13" t="s">
        <v>2531</v>
      </c>
      <c r="G3101" s="61" t="n">
        <v>-428647498</v>
      </c>
      <c r="H3101" s="13" t="s">
        <v>2255</v>
      </c>
      <c r="I3101" s="13" t="s">
        <v>2517</v>
      </c>
      <c r="J3101" s="13" t="n">
        <v>79</v>
      </c>
      <c r="K3101" s="13" t="s">
        <v>2478</v>
      </c>
      <c r="L3101" s="13" t="s">
        <v>2265</v>
      </c>
      <c r="M3101" s="13" t="s">
        <v>2518</v>
      </c>
    </row>
    <row r="3102" customFormat="false" ht="15" hidden="false" customHeight="false" outlineLevel="0" collapsed="false">
      <c r="A3102" s="13" t="s">
        <v>628</v>
      </c>
      <c r="B3102" s="13" t="s">
        <v>627</v>
      </c>
      <c r="C3102" s="13" t="s">
        <v>2267</v>
      </c>
      <c r="D3102" s="13" t="s">
        <v>2270</v>
      </c>
      <c r="E3102" s="13" t="s">
        <v>2523</v>
      </c>
      <c r="F3102" s="13" t="s">
        <v>2531</v>
      </c>
      <c r="G3102" s="61" t="n">
        <v>-4704060</v>
      </c>
      <c r="H3102" s="13" t="s">
        <v>2255</v>
      </c>
      <c r="I3102" s="13" t="s">
        <v>2517</v>
      </c>
      <c r="J3102" s="13" t="n">
        <v>79</v>
      </c>
      <c r="K3102" s="13" t="s">
        <v>2478</v>
      </c>
      <c r="L3102" s="13" t="s">
        <v>2265</v>
      </c>
      <c r="M3102" s="13" t="s">
        <v>2518</v>
      </c>
    </row>
    <row r="3103" customFormat="false" ht="15" hidden="false" customHeight="false" outlineLevel="0" collapsed="false">
      <c r="A3103" s="13" t="s">
        <v>628</v>
      </c>
      <c r="B3103" s="13" t="s">
        <v>627</v>
      </c>
      <c r="C3103" s="13" t="s">
        <v>2267</v>
      </c>
      <c r="D3103" s="13" t="s">
        <v>2270</v>
      </c>
      <c r="E3103" s="13" t="s">
        <v>2524</v>
      </c>
      <c r="F3103" s="13" t="s">
        <v>2531</v>
      </c>
      <c r="G3103" s="61" t="n">
        <v>1504404120</v>
      </c>
      <c r="H3103" s="13" t="s">
        <v>2255</v>
      </c>
      <c r="I3103" s="13" t="s">
        <v>2517</v>
      </c>
      <c r="J3103" s="13" t="n">
        <v>79</v>
      </c>
      <c r="K3103" s="13" t="s">
        <v>2478</v>
      </c>
      <c r="L3103" s="13" t="s">
        <v>2265</v>
      </c>
      <c r="M3103" s="13" t="s">
        <v>2518</v>
      </c>
    </row>
    <row r="3104" customFormat="false" ht="15" hidden="false" customHeight="false" outlineLevel="0" collapsed="false">
      <c r="A3104" s="13" t="s">
        <v>628</v>
      </c>
      <c r="B3104" s="13" t="s">
        <v>627</v>
      </c>
      <c r="C3104" s="13" t="s">
        <v>2267</v>
      </c>
      <c r="D3104" s="13" t="s">
        <v>2270</v>
      </c>
      <c r="E3104" s="13" t="s">
        <v>2515</v>
      </c>
      <c r="F3104" s="13" t="s">
        <v>2532</v>
      </c>
      <c r="G3104" s="61" t="n">
        <v>-556147921</v>
      </c>
      <c r="H3104" s="13" t="s">
        <v>2255</v>
      </c>
      <c r="I3104" s="13" t="s">
        <v>2517</v>
      </c>
      <c r="J3104" s="13" t="n">
        <v>79</v>
      </c>
      <c r="K3104" s="13" t="s">
        <v>2478</v>
      </c>
      <c r="L3104" s="13" t="s">
        <v>2265</v>
      </c>
      <c r="M3104" s="13" t="s">
        <v>2518</v>
      </c>
    </row>
    <row r="3105" customFormat="false" ht="15" hidden="false" customHeight="false" outlineLevel="0" collapsed="false">
      <c r="A3105" s="13" t="s">
        <v>628</v>
      </c>
      <c r="B3105" s="13" t="s">
        <v>627</v>
      </c>
      <c r="C3105" s="13" t="s">
        <v>2267</v>
      </c>
      <c r="D3105" s="13" t="s">
        <v>2270</v>
      </c>
      <c r="E3105" s="13" t="s">
        <v>2520</v>
      </c>
      <c r="F3105" s="13" t="s">
        <v>2532</v>
      </c>
      <c r="G3105" s="61" t="n">
        <v>0</v>
      </c>
      <c r="H3105" s="13" t="s">
        <v>2255</v>
      </c>
      <c r="I3105" s="13" t="s">
        <v>2517</v>
      </c>
      <c r="J3105" s="13" t="n">
        <v>79</v>
      </c>
      <c r="K3105" s="13" t="s">
        <v>2478</v>
      </c>
      <c r="L3105" s="13" t="s">
        <v>2265</v>
      </c>
      <c r="M3105" s="13" t="s">
        <v>2518</v>
      </c>
    </row>
    <row r="3106" customFormat="false" ht="15" hidden="false" customHeight="false" outlineLevel="0" collapsed="false">
      <c r="A3106" s="13" t="s">
        <v>628</v>
      </c>
      <c r="B3106" s="13" t="s">
        <v>627</v>
      </c>
      <c r="C3106" s="13" t="s">
        <v>2267</v>
      </c>
      <c r="D3106" s="13" t="s">
        <v>2270</v>
      </c>
      <c r="E3106" s="13" t="s">
        <v>2521</v>
      </c>
      <c r="F3106" s="13" t="s">
        <v>2532</v>
      </c>
      <c r="G3106" s="61" t="n">
        <v>-236893077</v>
      </c>
      <c r="H3106" s="13" t="s">
        <v>2255</v>
      </c>
      <c r="I3106" s="13" t="s">
        <v>2517</v>
      </c>
      <c r="J3106" s="13" t="n">
        <v>79</v>
      </c>
      <c r="K3106" s="13" t="s">
        <v>2478</v>
      </c>
      <c r="L3106" s="13" t="s">
        <v>2265</v>
      </c>
      <c r="M3106" s="13" t="s">
        <v>2518</v>
      </c>
    </row>
    <row r="3107" customFormat="false" ht="15" hidden="false" customHeight="false" outlineLevel="0" collapsed="false">
      <c r="A3107" s="13" t="s">
        <v>628</v>
      </c>
      <c r="B3107" s="13" t="s">
        <v>627</v>
      </c>
      <c r="C3107" s="13" t="s">
        <v>2267</v>
      </c>
      <c r="D3107" s="13" t="s">
        <v>2270</v>
      </c>
      <c r="E3107" s="13" t="s">
        <v>2522</v>
      </c>
      <c r="F3107" s="13" t="s">
        <v>2532</v>
      </c>
      <c r="G3107" s="61" t="n">
        <v>0</v>
      </c>
      <c r="H3107" s="13" t="s">
        <v>2255</v>
      </c>
      <c r="I3107" s="13" t="s">
        <v>2517</v>
      </c>
      <c r="J3107" s="13" t="n">
        <v>79</v>
      </c>
      <c r="K3107" s="13" t="s">
        <v>2478</v>
      </c>
      <c r="L3107" s="13" t="s">
        <v>2265</v>
      </c>
      <c r="M3107" s="13" t="s">
        <v>2518</v>
      </c>
    </row>
    <row r="3108" customFormat="false" ht="15" hidden="false" customHeight="false" outlineLevel="0" collapsed="false">
      <c r="A3108" s="13" t="s">
        <v>628</v>
      </c>
      <c r="B3108" s="13" t="s">
        <v>627</v>
      </c>
      <c r="C3108" s="13" t="s">
        <v>2267</v>
      </c>
      <c r="D3108" s="13" t="s">
        <v>2270</v>
      </c>
      <c r="E3108" s="13" t="s">
        <v>2523</v>
      </c>
      <c r="F3108" s="13" t="s">
        <v>2532</v>
      </c>
      <c r="G3108" s="61" t="n">
        <v>-17042433</v>
      </c>
      <c r="H3108" s="13" t="s">
        <v>2255</v>
      </c>
      <c r="I3108" s="13" t="s">
        <v>2517</v>
      </c>
      <c r="J3108" s="13" t="n">
        <v>79</v>
      </c>
      <c r="K3108" s="13" t="s">
        <v>2478</v>
      </c>
      <c r="L3108" s="13" t="s">
        <v>2265</v>
      </c>
      <c r="M3108" s="13" t="s">
        <v>2518</v>
      </c>
    </row>
    <row r="3109" customFormat="false" ht="15" hidden="false" customHeight="false" outlineLevel="0" collapsed="false">
      <c r="A3109" s="13" t="s">
        <v>628</v>
      </c>
      <c r="B3109" s="13" t="s">
        <v>627</v>
      </c>
      <c r="C3109" s="13" t="s">
        <v>2267</v>
      </c>
      <c r="D3109" s="13" t="s">
        <v>2270</v>
      </c>
      <c r="E3109" s="13" t="s">
        <v>2524</v>
      </c>
      <c r="F3109" s="13" t="s">
        <v>2532</v>
      </c>
      <c r="G3109" s="61" t="n">
        <v>-810083431</v>
      </c>
      <c r="H3109" s="13" t="s">
        <v>2255</v>
      </c>
      <c r="I3109" s="13" t="s">
        <v>2517</v>
      </c>
      <c r="J3109" s="13" t="n">
        <v>79</v>
      </c>
      <c r="K3109" s="13" t="s">
        <v>2478</v>
      </c>
      <c r="L3109" s="13" t="s">
        <v>2265</v>
      </c>
      <c r="M3109" s="13" t="s">
        <v>2518</v>
      </c>
    </row>
    <row r="3110" customFormat="false" ht="15" hidden="false" customHeight="false" outlineLevel="0" collapsed="false">
      <c r="A3110" s="13" t="s">
        <v>628</v>
      </c>
      <c r="B3110" s="13" t="s">
        <v>627</v>
      </c>
      <c r="C3110" s="13" t="s">
        <v>2267</v>
      </c>
      <c r="D3110" s="13" t="s">
        <v>2270</v>
      </c>
      <c r="E3110" s="13" t="s">
        <v>2515</v>
      </c>
      <c r="F3110" s="13" t="s">
        <v>2533</v>
      </c>
      <c r="G3110" s="61" t="n">
        <v>2007078758</v>
      </c>
      <c r="H3110" s="13" t="s">
        <v>2255</v>
      </c>
      <c r="I3110" s="13" t="s">
        <v>2517</v>
      </c>
      <c r="J3110" s="13" t="n">
        <v>79</v>
      </c>
      <c r="K3110" s="13" t="s">
        <v>2478</v>
      </c>
      <c r="L3110" s="13" t="s">
        <v>2265</v>
      </c>
      <c r="M3110" s="13" t="s">
        <v>2518</v>
      </c>
    </row>
    <row r="3111" customFormat="false" ht="15" hidden="false" customHeight="false" outlineLevel="0" collapsed="false">
      <c r="A3111" s="13" t="s">
        <v>628</v>
      </c>
      <c r="B3111" s="13" t="s">
        <v>627</v>
      </c>
      <c r="C3111" s="13" t="s">
        <v>2267</v>
      </c>
      <c r="D3111" s="13" t="s">
        <v>2270</v>
      </c>
      <c r="E3111" s="13" t="s">
        <v>2520</v>
      </c>
      <c r="F3111" s="13" t="s">
        <v>2533</v>
      </c>
      <c r="G3111" s="61" t="n">
        <v>0</v>
      </c>
      <c r="H3111" s="13" t="s">
        <v>2255</v>
      </c>
      <c r="I3111" s="13" t="s">
        <v>2517</v>
      </c>
      <c r="J3111" s="13" t="n">
        <v>79</v>
      </c>
      <c r="K3111" s="13" t="s">
        <v>2478</v>
      </c>
      <c r="L3111" s="13" t="s">
        <v>2265</v>
      </c>
      <c r="M3111" s="13" t="s">
        <v>2518</v>
      </c>
    </row>
    <row r="3112" customFormat="false" ht="15" hidden="false" customHeight="false" outlineLevel="0" collapsed="false">
      <c r="A3112" s="13" t="s">
        <v>628</v>
      </c>
      <c r="B3112" s="13" t="s">
        <v>627</v>
      </c>
      <c r="C3112" s="13" t="s">
        <v>2267</v>
      </c>
      <c r="D3112" s="13" t="s">
        <v>2270</v>
      </c>
      <c r="E3112" s="13" t="s">
        <v>2521</v>
      </c>
      <c r="F3112" s="13" t="s">
        <v>2533</v>
      </c>
      <c r="G3112" s="61" t="n">
        <v>-329280129</v>
      </c>
      <c r="H3112" s="13" t="s">
        <v>2255</v>
      </c>
      <c r="I3112" s="13" t="s">
        <v>2517</v>
      </c>
      <c r="J3112" s="13" t="n">
        <v>79</v>
      </c>
      <c r="K3112" s="13" t="s">
        <v>2478</v>
      </c>
      <c r="L3112" s="13" t="s">
        <v>2265</v>
      </c>
      <c r="M3112" s="13" t="s">
        <v>2518</v>
      </c>
    </row>
    <row r="3113" customFormat="false" ht="15" hidden="false" customHeight="false" outlineLevel="0" collapsed="false">
      <c r="A3113" s="13" t="s">
        <v>628</v>
      </c>
      <c r="B3113" s="13" t="s">
        <v>627</v>
      </c>
      <c r="C3113" s="13" t="s">
        <v>2267</v>
      </c>
      <c r="D3113" s="13" t="s">
        <v>2270</v>
      </c>
      <c r="E3113" s="13" t="s">
        <v>2522</v>
      </c>
      <c r="F3113" s="13" t="s">
        <v>2533</v>
      </c>
      <c r="G3113" s="61" t="n">
        <v>0</v>
      </c>
      <c r="H3113" s="13" t="s">
        <v>2255</v>
      </c>
      <c r="I3113" s="13" t="s">
        <v>2517</v>
      </c>
      <c r="J3113" s="13" t="n">
        <v>79</v>
      </c>
      <c r="K3113" s="13" t="s">
        <v>2478</v>
      </c>
      <c r="L3113" s="13" t="s">
        <v>2265</v>
      </c>
      <c r="M3113" s="13" t="s">
        <v>2518</v>
      </c>
    </row>
    <row r="3114" customFormat="false" ht="15" hidden="false" customHeight="false" outlineLevel="0" collapsed="false">
      <c r="A3114" s="13" t="s">
        <v>628</v>
      </c>
      <c r="B3114" s="13" t="s">
        <v>627</v>
      </c>
      <c r="C3114" s="13" t="s">
        <v>2267</v>
      </c>
      <c r="D3114" s="13" t="s">
        <v>2270</v>
      </c>
      <c r="E3114" s="13" t="s">
        <v>2523</v>
      </c>
      <c r="F3114" s="13" t="s">
        <v>2533</v>
      </c>
      <c r="G3114" s="61" t="n">
        <v>6185689</v>
      </c>
      <c r="H3114" s="13" t="s">
        <v>2255</v>
      </c>
      <c r="I3114" s="13" t="s">
        <v>2517</v>
      </c>
      <c r="J3114" s="13" t="n">
        <v>79</v>
      </c>
      <c r="K3114" s="13" t="s">
        <v>2478</v>
      </c>
      <c r="L3114" s="13" t="s">
        <v>2265</v>
      </c>
      <c r="M3114" s="13" t="s">
        <v>2518</v>
      </c>
    </row>
    <row r="3115" customFormat="false" ht="15" hidden="false" customHeight="false" outlineLevel="0" collapsed="false">
      <c r="A3115" s="13" t="s">
        <v>628</v>
      </c>
      <c r="B3115" s="13" t="s">
        <v>627</v>
      </c>
      <c r="C3115" s="13" t="s">
        <v>2267</v>
      </c>
      <c r="D3115" s="13" t="s">
        <v>2270</v>
      </c>
      <c r="E3115" s="13" t="s">
        <v>2524</v>
      </c>
      <c r="F3115" s="13" t="s">
        <v>2533</v>
      </c>
      <c r="G3115" s="61" t="n">
        <v>1683984320</v>
      </c>
      <c r="H3115" s="13" t="s">
        <v>2255</v>
      </c>
      <c r="I3115" s="13" t="s">
        <v>2517</v>
      </c>
      <c r="J3115" s="13" t="n">
        <v>79</v>
      </c>
      <c r="K3115" s="13" t="s">
        <v>2478</v>
      </c>
      <c r="L3115" s="13" t="s">
        <v>2265</v>
      </c>
      <c r="M3115" s="13" t="s">
        <v>2518</v>
      </c>
    </row>
    <row r="3116" customFormat="false" ht="15" hidden="false" customHeight="false" outlineLevel="0" collapsed="false">
      <c r="A3116" s="13" t="s">
        <v>628</v>
      </c>
      <c r="B3116" s="13" t="s">
        <v>627</v>
      </c>
      <c r="C3116" s="13" t="s">
        <v>2267</v>
      </c>
      <c r="D3116" s="13" t="s">
        <v>2270</v>
      </c>
      <c r="E3116" s="13" t="s">
        <v>2515</v>
      </c>
      <c r="F3116" s="13" t="s">
        <v>2534</v>
      </c>
      <c r="G3116" s="61" t="n">
        <v>-210501441</v>
      </c>
      <c r="H3116" s="13" t="s">
        <v>2255</v>
      </c>
      <c r="I3116" s="13" t="s">
        <v>2517</v>
      </c>
      <c r="J3116" s="13" t="n">
        <v>79</v>
      </c>
      <c r="K3116" s="13" t="s">
        <v>2478</v>
      </c>
      <c r="L3116" s="13" t="s">
        <v>2265</v>
      </c>
      <c r="M3116" s="13" t="s">
        <v>2518</v>
      </c>
    </row>
    <row r="3117" customFormat="false" ht="15" hidden="false" customHeight="false" outlineLevel="0" collapsed="false">
      <c r="A3117" s="13" t="s">
        <v>628</v>
      </c>
      <c r="B3117" s="13" t="s">
        <v>627</v>
      </c>
      <c r="C3117" s="13" t="s">
        <v>2267</v>
      </c>
      <c r="D3117" s="13" t="s">
        <v>2270</v>
      </c>
      <c r="E3117" s="13" t="s">
        <v>2520</v>
      </c>
      <c r="F3117" s="13" t="s">
        <v>2534</v>
      </c>
      <c r="G3117" s="61" t="n">
        <v>0</v>
      </c>
      <c r="H3117" s="13" t="s">
        <v>2255</v>
      </c>
      <c r="I3117" s="13" t="s">
        <v>2517</v>
      </c>
      <c r="J3117" s="13" t="n">
        <v>79</v>
      </c>
      <c r="K3117" s="13" t="s">
        <v>2478</v>
      </c>
      <c r="L3117" s="13" t="s">
        <v>2265</v>
      </c>
      <c r="M3117" s="13" t="s">
        <v>2518</v>
      </c>
    </row>
    <row r="3118" customFormat="false" ht="15" hidden="false" customHeight="false" outlineLevel="0" collapsed="false">
      <c r="A3118" s="13" t="s">
        <v>628</v>
      </c>
      <c r="B3118" s="13" t="s">
        <v>627</v>
      </c>
      <c r="C3118" s="13" t="s">
        <v>2267</v>
      </c>
      <c r="D3118" s="13" t="s">
        <v>2270</v>
      </c>
      <c r="E3118" s="13" t="s">
        <v>2521</v>
      </c>
      <c r="F3118" s="13" t="s">
        <v>2534</v>
      </c>
      <c r="G3118" s="61" t="n">
        <v>-12407577</v>
      </c>
      <c r="H3118" s="13" t="s">
        <v>2255</v>
      </c>
      <c r="I3118" s="13" t="s">
        <v>2517</v>
      </c>
      <c r="J3118" s="13" t="n">
        <v>79</v>
      </c>
      <c r="K3118" s="13" t="s">
        <v>2478</v>
      </c>
      <c r="L3118" s="13" t="s">
        <v>2265</v>
      </c>
      <c r="M3118" s="13" t="s">
        <v>2518</v>
      </c>
    </row>
    <row r="3119" customFormat="false" ht="15" hidden="false" customHeight="false" outlineLevel="0" collapsed="false">
      <c r="A3119" s="13" t="s">
        <v>628</v>
      </c>
      <c r="B3119" s="13" t="s">
        <v>627</v>
      </c>
      <c r="C3119" s="13" t="s">
        <v>2267</v>
      </c>
      <c r="D3119" s="13" t="s">
        <v>2270</v>
      </c>
      <c r="E3119" s="13" t="s">
        <v>2522</v>
      </c>
      <c r="F3119" s="13" t="s">
        <v>2534</v>
      </c>
      <c r="G3119" s="61" t="n">
        <v>0</v>
      </c>
      <c r="H3119" s="13" t="s">
        <v>2255</v>
      </c>
      <c r="I3119" s="13" t="s">
        <v>2517</v>
      </c>
      <c r="J3119" s="13" t="n">
        <v>79</v>
      </c>
      <c r="K3119" s="13" t="s">
        <v>2478</v>
      </c>
      <c r="L3119" s="13" t="s">
        <v>2265</v>
      </c>
      <c r="M3119" s="13" t="s">
        <v>2518</v>
      </c>
    </row>
    <row r="3120" customFormat="false" ht="15" hidden="false" customHeight="false" outlineLevel="0" collapsed="false">
      <c r="A3120" s="13" t="s">
        <v>628</v>
      </c>
      <c r="B3120" s="13" t="s">
        <v>627</v>
      </c>
      <c r="C3120" s="13" t="s">
        <v>2267</v>
      </c>
      <c r="D3120" s="13" t="s">
        <v>2270</v>
      </c>
      <c r="E3120" s="13" t="s">
        <v>2523</v>
      </c>
      <c r="F3120" s="13" t="s">
        <v>2534</v>
      </c>
      <c r="G3120" s="61" t="n">
        <v>799501</v>
      </c>
      <c r="H3120" s="13" t="s">
        <v>2255</v>
      </c>
      <c r="I3120" s="13" t="s">
        <v>2517</v>
      </c>
      <c r="J3120" s="13" t="n">
        <v>79</v>
      </c>
      <c r="K3120" s="13" t="s">
        <v>2478</v>
      </c>
      <c r="L3120" s="13" t="s">
        <v>2265</v>
      </c>
      <c r="M3120" s="13" t="s">
        <v>2518</v>
      </c>
    </row>
    <row r="3121" customFormat="false" ht="15" hidden="false" customHeight="false" outlineLevel="0" collapsed="false">
      <c r="A3121" s="13" t="s">
        <v>628</v>
      </c>
      <c r="B3121" s="13" t="s">
        <v>627</v>
      </c>
      <c r="C3121" s="13" t="s">
        <v>2267</v>
      </c>
      <c r="D3121" s="13" t="s">
        <v>2270</v>
      </c>
      <c r="E3121" s="13" t="s">
        <v>2524</v>
      </c>
      <c r="F3121" s="13" t="s">
        <v>2534</v>
      </c>
      <c r="G3121" s="61" t="n">
        <v>-222109523</v>
      </c>
      <c r="H3121" s="13" t="s">
        <v>2255</v>
      </c>
      <c r="I3121" s="13" t="s">
        <v>2517</v>
      </c>
      <c r="J3121" s="13" t="n">
        <v>79</v>
      </c>
      <c r="K3121" s="13" t="s">
        <v>2478</v>
      </c>
      <c r="L3121" s="13" t="s">
        <v>2265</v>
      </c>
      <c r="M3121" s="13" t="s">
        <v>2518</v>
      </c>
    </row>
    <row r="3122" customFormat="false" ht="15" hidden="false" customHeight="false" outlineLevel="0" collapsed="false">
      <c r="A3122" s="13" t="s">
        <v>628</v>
      </c>
      <c r="B3122" s="13" t="s">
        <v>627</v>
      </c>
      <c r="C3122" s="13" t="s">
        <v>2267</v>
      </c>
      <c r="D3122" s="13" t="s">
        <v>2270</v>
      </c>
      <c r="E3122" s="13" t="s">
        <v>2515</v>
      </c>
      <c r="F3122" s="13" t="s">
        <v>2535</v>
      </c>
      <c r="G3122" s="61" t="n">
        <v>14351453</v>
      </c>
      <c r="H3122" s="13" t="s">
        <v>2255</v>
      </c>
      <c r="I3122" s="13" t="s">
        <v>2517</v>
      </c>
      <c r="J3122" s="13" t="n">
        <v>79</v>
      </c>
      <c r="K3122" s="13" t="s">
        <v>2478</v>
      </c>
      <c r="L3122" s="13" t="s">
        <v>2265</v>
      </c>
      <c r="M3122" s="13" t="s">
        <v>2518</v>
      </c>
    </row>
    <row r="3123" customFormat="false" ht="15" hidden="false" customHeight="false" outlineLevel="0" collapsed="false">
      <c r="A3123" s="13" t="s">
        <v>628</v>
      </c>
      <c r="B3123" s="13" t="s">
        <v>627</v>
      </c>
      <c r="C3123" s="13" t="s">
        <v>2267</v>
      </c>
      <c r="D3123" s="13" t="s">
        <v>2270</v>
      </c>
      <c r="E3123" s="13" t="s">
        <v>2520</v>
      </c>
      <c r="F3123" s="13" t="s">
        <v>2535</v>
      </c>
      <c r="G3123" s="61" t="n">
        <v>38603109</v>
      </c>
      <c r="H3123" s="13" t="s">
        <v>2255</v>
      </c>
      <c r="I3123" s="13" t="s">
        <v>2517</v>
      </c>
      <c r="J3123" s="13" t="n">
        <v>79</v>
      </c>
      <c r="K3123" s="13" t="s">
        <v>2478</v>
      </c>
      <c r="L3123" s="13" t="s">
        <v>2265</v>
      </c>
      <c r="M3123" s="13" t="s">
        <v>2518</v>
      </c>
    </row>
    <row r="3124" customFormat="false" ht="15" hidden="false" customHeight="false" outlineLevel="0" collapsed="false">
      <c r="A3124" s="13" t="s">
        <v>628</v>
      </c>
      <c r="B3124" s="13" t="s">
        <v>627</v>
      </c>
      <c r="C3124" s="13" t="s">
        <v>2267</v>
      </c>
      <c r="D3124" s="13" t="s">
        <v>2270</v>
      </c>
      <c r="E3124" s="13" t="s">
        <v>2521</v>
      </c>
      <c r="F3124" s="13" t="s">
        <v>2535</v>
      </c>
      <c r="G3124" s="61" t="n">
        <v>-29124746</v>
      </c>
      <c r="H3124" s="13" t="s">
        <v>2255</v>
      </c>
      <c r="I3124" s="13" t="s">
        <v>2517</v>
      </c>
      <c r="J3124" s="13" t="n">
        <v>79</v>
      </c>
      <c r="K3124" s="13" t="s">
        <v>2478</v>
      </c>
      <c r="L3124" s="13" t="s">
        <v>2265</v>
      </c>
      <c r="M3124" s="13" t="s">
        <v>2518</v>
      </c>
    </row>
    <row r="3125" customFormat="false" ht="15" hidden="false" customHeight="false" outlineLevel="0" collapsed="false">
      <c r="A3125" s="13" t="s">
        <v>628</v>
      </c>
      <c r="B3125" s="13" t="s">
        <v>627</v>
      </c>
      <c r="C3125" s="13" t="s">
        <v>2267</v>
      </c>
      <c r="D3125" s="13" t="s">
        <v>2270</v>
      </c>
      <c r="E3125" s="13" t="s">
        <v>2522</v>
      </c>
      <c r="F3125" s="13" t="s">
        <v>2535</v>
      </c>
      <c r="G3125" s="61" t="n">
        <v>0</v>
      </c>
      <c r="H3125" s="13" t="s">
        <v>2255</v>
      </c>
      <c r="I3125" s="13" t="s">
        <v>2517</v>
      </c>
      <c r="J3125" s="13" t="n">
        <v>79</v>
      </c>
      <c r="K3125" s="13" t="s">
        <v>2478</v>
      </c>
      <c r="L3125" s="13" t="s">
        <v>2265</v>
      </c>
      <c r="M3125" s="13" t="s">
        <v>2518</v>
      </c>
    </row>
    <row r="3126" customFormat="false" ht="15" hidden="false" customHeight="false" outlineLevel="0" collapsed="false">
      <c r="A3126" s="13" t="s">
        <v>628</v>
      </c>
      <c r="B3126" s="13" t="s">
        <v>627</v>
      </c>
      <c r="C3126" s="13" t="s">
        <v>2267</v>
      </c>
      <c r="D3126" s="13" t="s">
        <v>2270</v>
      </c>
      <c r="E3126" s="13" t="s">
        <v>2523</v>
      </c>
      <c r="F3126" s="13" t="s">
        <v>2535</v>
      </c>
      <c r="G3126" s="61" t="n">
        <v>-4663</v>
      </c>
      <c r="H3126" s="13" t="s">
        <v>2255</v>
      </c>
      <c r="I3126" s="13" t="s">
        <v>2517</v>
      </c>
      <c r="J3126" s="13" t="n">
        <v>79</v>
      </c>
      <c r="K3126" s="13" t="s">
        <v>2478</v>
      </c>
      <c r="L3126" s="13" t="s">
        <v>2265</v>
      </c>
      <c r="M3126" s="13" t="s">
        <v>2518</v>
      </c>
    </row>
    <row r="3127" customFormat="false" ht="15" hidden="false" customHeight="false" outlineLevel="0" collapsed="false">
      <c r="A3127" s="13" t="s">
        <v>628</v>
      </c>
      <c r="B3127" s="13" t="s">
        <v>627</v>
      </c>
      <c r="C3127" s="13" t="s">
        <v>2267</v>
      </c>
      <c r="D3127" s="13" t="s">
        <v>2270</v>
      </c>
      <c r="E3127" s="13" t="s">
        <v>2524</v>
      </c>
      <c r="F3127" s="13" t="s">
        <v>2535</v>
      </c>
      <c r="G3127" s="61" t="n">
        <v>23825154</v>
      </c>
      <c r="H3127" s="13" t="s">
        <v>2255</v>
      </c>
      <c r="I3127" s="13" t="s">
        <v>2517</v>
      </c>
      <c r="J3127" s="13" t="n">
        <v>79</v>
      </c>
      <c r="K3127" s="13" t="s">
        <v>2478</v>
      </c>
      <c r="L3127" s="13" t="s">
        <v>2265</v>
      </c>
      <c r="M3127" s="13" t="s">
        <v>2518</v>
      </c>
    </row>
    <row r="3128" customFormat="false" ht="15" hidden="false" customHeight="false" outlineLevel="0" collapsed="false">
      <c r="A3128" s="13" t="s">
        <v>628</v>
      </c>
      <c r="B3128" s="13" t="s">
        <v>627</v>
      </c>
      <c r="C3128" s="13" t="s">
        <v>2267</v>
      </c>
      <c r="D3128" s="13" t="s">
        <v>2270</v>
      </c>
      <c r="E3128" s="13" t="s">
        <v>2515</v>
      </c>
      <c r="F3128" s="13" t="s">
        <v>2537</v>
      </c>
      <c r="G3128" s="61" t="n">
        <v>1262572476</v>
      </c>
      <c r="H3128" s="13" t="s">
        <v>2255</v>
      </c>
      <c r="I3128" s="13" t="s">
        <v>2517</v>
      </c>
      <c r="J3128" s="13" t="n">
        <v>79</v>
      </c>
      <c r="K3128" s="13" t="s">
        <v>2478</v>
      </c>
      <c r="L3128" s="13" t="s">
        <v>2265</v>
      </c>
      <c r="M3128" s="13" t="s">
        <v>2518</v>
      </c>
    </row>
    <row r="3129" customFormat="false" ht="15" hidden="false" customHeight="false" outlineLevel="0" collapsed="false">
      <c r="A3129" s="13" t="s">
        <v>628</v>
      </c>
      <c r="B3129" s="13" t="s">
        <v>627</v>
      </c>
      <c r="C3129" s="13" t="s">
        <v>2267</v>
      </c>
      <c r="D3129" s="13" t="s">
        <v>2270</v>
      </c>
      <c r="E3129" s="13" t="s">
        <v>2520</v>
      </c>
      <c r="F3129" s="13" t="s">
        <v>2537</v>
      </c>
      <c r="G3129" s="61" t="n">
        <v>0</v>
      </c>
      <c r="H3129" s="13" t="s">
        <v>2255</v>
      </c>
      <c r="I3129" s="13" t="s">
        <v>2517</v>
      </c>
      <c r="J3129" s="13" t="n">
        <v>79</v>
      </c>
      <c r="K3129" s="13" t="s">
        <v>2478</v>
      </c>
      <c r="L3129" s="13" t="s">
        <v>2265</v>
      </c>
      <c r="M3129" s="13" t="s">
        <v>2518</v>
      </c>
    </row>
    <row r="3130" customFormat="false" ht="15" hidden="false" customHeight="false" outlineLevel="0" collapsed="false">
      <c r="A3130" s="13" t="s">
        <v>628</v>
      </c>
      <c r="B3130" s="13" t="s">
        <v>627</v>
      </c>
      <c r="C3130" s="13" t="s">
        <v>2267</v>
      </c>
      <c r="D3130" s="13" t="s">
        <v>2270</v>
      </c>
      <c r="E3130" s="13" t="s">
        <v>2521</v>
      </c>
      <c r="F3130" s="13" t="s">
        <v>2537</v>
      </c>
      <c r="G3130" s="61" t="n">
        <v>-44400182</v>
      </c>
      <c r="H3130" s="13" t="s">
        <v>2255</v>
      </c>
      <c r="I3130" s="13" t="s">
        <v>2517</v>
      </c>
      <c r="J3130" s="13" t="n">
        <v>79</v>
      </c>
      <c r="K3130" s="13" t="s">
        <v>2478</v>
      </c>
      <c r="L3130" s="13" t="s">
        <v>2265</v>
      </c>
      <c r="M3130" s="13" t="s">
        <v>2518</v>
      </c>
    </row>
    <row r="3131" customFormat="false" ht="15" hidden="false" customHeight="false" outlineLevel="0" collapsed="false">
      <c r="A3131" s="13" t="s">
        <v>628</v>
      </c>
      <c r="B3131" s="13" t="s">
        <v>627</v>
      </c>
      <c r="C3131" s="13" t="s">
        <v>2267</v>
      </c>
      <c r="D3131" s="13" t="s">
        <v>2270</v>
      </c>
      <c r="E3131" s="13" t="s">
        <v>2522</v>
      </c>
      <c r="F3131" s="13" t="s">
        <v>2537</v>
      </c>
      <c r="G3131" s="61" t="n">
        <v>0</v>
      </c>
      <c r="H3131" s="13" t="s">
        <v>2255</v>
      </c>
      <c r="I3131" s="13" t="s">
        <v>2517</v>
      </c>
      <c r="J3131" s="13" t="n">
        <v>79</v>
      </c>
      <c r="K3131" s="13" t="s">
        <v>2478</v>
      </c>
      <c r="L3131" s="13" t="s">
        <v>2265</v>
      </c>
      <c r="M3131" s="13" t="s">
        <v>2518</v>
      </c>
    </row>
    <row r="3132" customFormat="false" ht="15" hidden="false" customHeight="false" outlineLevel="0" collapsed="false">
      <c r="A3132" s="13" t="s">
        <v>628</v>
      </c>
      <c r="B3132" s="13" t="s">
        <v>627</v>
      </c>
      <c r="C3132" s="13" t="s">
        <v>2267</v>
      </c>
      <c r="D3132" s="13" t="s">
        <v>2270</v>
      </c>
      <c r="E3132" s="13" t="s">
        <v>2523</v>
      </c>
      <c r="F3132" s="13" t="s">
        <v>2537</v>
      </c>
      <c r="G3132" s="61" t="n">
        <v>0</v>
      </c>
      <c r="H3132" s="13" t="s">
        <v>2255</v>
      </c>
      <c r="I3132" s="13" t="s">
        <v>2517</v>
      </c>
      <c r="J3132" s="13" t="n">
        <v>79</v>
      </c>
      <c r="K3132" s="13" t="s">
        <v>2478</v>
      </c>
      <c r="L3132" s="13" t="s">
        <v>2265</v>
      </c>
      <c r="M3132" s="13" t="s">
        <v>2518</v>
      </c>
    </row>
    <row r="3133" customFormat="false" ht="15" hidden="false" customHeight="false" outlineLevel="0" collapsed="false">
      <c r="A3133" s="13" t="s">
        <v>628</v>
      </c>
      <c r="B3133" s="13" t="s">
        <v>627</v>
      </c>
      <c r="C3133" s="13" t="s">
        <v>2267</v>
      </c>
      <c r="D3133" s="13" t="s">
        <v>2270</v>
      </c>
      <c r="E3133" s="13" t="s">
        <v>2524</v>
      </c>
      <c r="F3133" s="13" t="s">
        <v>2537</v>
      </c>
      <c r="G3133" s="61" t="n">
        <v>1218172293</v>
      </c>
      <c r="H3133" s="13" t="s">
        <v>2255</v>
      </c>
      <c r="I3133" s="13" t="s">
        <v>2517</v>
      </c>
      <c r="J3133" s="13" t="n">
        <v>79</v>
      </c>
      <c r="K3133" s="13" t="s">
        <v>2478</v>
      </c>
      <c r="L3133" s="13" t="s">
        <v>2265</v>
      </c>
      <c r="M3133" s="13" t="s">
        <v>2518</v>
      </c>
    </row>
    <row r="3134" customFormat="false" ht="15" hidden="false" customHeight="false" outlineLevel="0" collapsed="false">
      <c r="A3134" s="13" t="s">
        <v>628</v>
      </c>
      <c r="B3134" s="13" t="s">
        <v>627</v>
      </c>
      <c r="C3134" s="13" t="s">
        <v>2267</v>
      </c>
      <c r="D3134" s="13" t="s">
        <v>2270</v>
      </c>
      <c r="E3134" s="13" t="s">
        <v>2515</v>
      </c>
      <c r="F3134" s="13" t="s">
        <v>2538</v>
      </c>
      <c r="G3134" s="61" t="n">
        <v>25000000</v>
      </c>
      <c r="H3134" s="13" t="s">
        <v>2255</v>
      </c>
      <c r="I3134" s="13" t="s">
        <v>2517</v>
      </c>
      <c r="J3134" s="13" t="n">
        <v>79</v>
      </c>
      <c r="K3134" s="13" t="s">
        <v>2478</v>
      </c>
      <c r="L3134" s="13" t="s">
        <v>2265</v>
      </c>
      <c r="M3134" s="13" t="s">
        <v>2518</v>
      </c>
    </row>
    <row r="3135" customFormat="false" ht="15" hidden="false" customHeight="false" outlineLevel="0" collapsed="false">
      <c r="A3135" s="13" t="s">
        <v>628</v>
      </c>
      <c r="B3135" s="13" t="s">
        <v>627</v>
      </c>
      <c r="C3135" s="13" t="s">
        <v>2267</v>
      </c>
      <c r="D3135" s="13" t="s">
        <v>2270</v>
      </c>
      <c r="E3135" s="13" t="s">
        <v>2520</v>
      </c>
      <c r="F3135" s="13" t="s">
        <v>2538</v>
      </c>
      <c r="G3135" s="61" t="n">
        <v>0</v>
      </c>
      <c r="H3135" s="13" t="s">
        <v>2255</v>
      </c>
      <c r="I3135" s="13" t="s">
        <v>2517</v>
      </c>
      <c r="J3135" s="13" t="n">
        <v>79</v>
      </c>
      <c r="K3135" s="13" t="s">
        <v>2478</v>
      </c>
      <c r="L3135" s="13" t="s">
        <v>2265</v>
      </c>
      <c r="M3135" s="13" t="s">
        <v>2518</v>
      </c>
    </row>
    <row r="3136" customFormat="false" ht="15" hidden="false" customHeight="false" outlineLevel="0" collapsed="false">
      <c r="A3136" s="13" t="s">
        <v>628</v>
      </c>
      <c r="B3136" s="13" t="s">
        <v>627</v>
      </c>
      <c r="C3136" s="13" t="s">
        <v>2267</v>
      </c>
      <c r="D3136" s="13" t="s">
        <v>2270</v>
      </c>
      <c r="E3136" s="13" t="s">
        <v>2521</v>
      </c>
      <c r="F3136" s="13" t="s">
        <v>2538</v>
      </c>
      <c r="G3136" s="61" t="n">
        <v>0</v>
      </c>
      <c r="H3136" s="13" t="s">
        <v>2255</v>
      </c>
      <c r="I3136" s="13" t="s">
        <v>2517</v>
      </c>
      <c r="J3136" s="13" t="n">
        <v>79</v>
      </c>
      <c r="K3136" s="13" t="s">
        <v>2478</v>
      </c>
      <c r="L3136" s="13" t="s">
        <v>2265</v>
      </c>
      <c r="M3136" s="13" t="s">
        <v>2518</v>
      </c>
    </row>
    <row r="3137" customFormat="false" ht="15" hidden="false" customHeight="false" outlineLevel="0" collapsed="false">
      <c r="A3137" s="13" t="s">
        <v>628</v>
      </c>
      <c r="B3137" s="13" t="s">
        <v>627</v>
      </c>
      <c r="C3137" s="13" t="s">
        <v>2267</v>
      </c>
      <c r="D3137" s="13" t="s">
        <v>2270</v>
      </c>
      <c r="E3137" s="13" t="s">
        <v>2522</v>
      </c>
      <c r="F3137" s="13" t="s">
        <v>2538</v>
      </c>
      <c r="G3137" s="61" t="n">
        <v>0</v>
      </c>
      <c r="H3137" s="13" t="s">
        <v>2255</v>
      </c>
      <c r="I3137" s="13" t="s">
        <v>2517</v>
      </c>
      <c r="J3137" s="13" t="n">
        <v>79</v>
      </c>
      <c r="K3137" s="13" t="s">
        <v>2478</v>
      </c>
      <c r="L3137" s="13" t="s">
        <v>2265</v>
      </c>
      <c r="M3137" s="13" t="s">
        <v>2518</v>
      </c>
    </row>
    <row r="3138" customFormat="false" ht="15" hidden="false" customHeight="false" outlineLevel="0" collapsed="false">
      <c r="A3138" s="13" t="s">
        <v>628</v>
      </c>
      <c r="B3138" s="13" t="s">
        <v>627</v>
      </c>
      <c r="C3138" s="13" t="s">
        <v>2267</v>
      </c>
      <c r="D3138" s="13" t="s">
        <v>2270</v>
      </c>
      <c r="E3138" s="13" t="s">
        <v>2523</v>
      </c>
      <c r="F3138" s="13" t="s">
        <v>2538</v>
      </c>
      <c r="G3138" s="61" t="n">
        <v>0</v>
      </c>
      <c r="H3138" s="13" t="s">
        <v>2255</v>
      </c>
      <c r="I3138" s="13" t="s">
        <v>2517</v>
      </c>
      <c r="J3138" s="13" t="n">
        <v>79</v>
      </c>
      <c r="K3138" s="13" t="s">
        <v>2478</v>
      </c>
      <c r="L3138" s="13" t="s">
        <v>2265</v>
      </c>
      <c r="M3138" s="13" t="s">
        <v>2518</v>
      </c>
    </row>
    <row r="3139" customFormat="false" ht="15" hidden="false" customHeight="false" outlineLevel="0" collapsed="false">
      <c r="A3139" s="13" t="s">
        <v>628</v>
      </c>
      <c r="B3139" s="13" t="s">
        <v>627</v>
      </c>
      <c r="C3139" s="13" t="s">
        <v>2267</v>
      </c>
      <c r="D3139" s="13" t="s">
        <v>2270</v>
      </c>
      <c r="E3139" s="13" t="s">
        <v>2524</v>
      </c>
      <c r="F3139" s="13" t="s">
        <v>2538</v>
      </c>
      <c r="G3139" s="61" t="n">
        <v>25000000</v>
      </c>
      <c r="H3139" s="13" t="s">
        <v>2255</v>
      </c>
      <c r="I3139" s="13" t="s">
        <v>2517</v>
      </c>
      <c r="J3139" s="13" t="n">
        <v>79</v>
      </c>
      <c r="K3139" s="13" t="s">
        <v>2478</v>
      </c>
      <c r="L3139" s="13" t="s">
        <v>2265</v>
      </c>
      <c r="M3139" s="13" t="s">
        <v>2518</v>
      </c>
    </row>
    <row r="3140" customFormat="false" ht="15" hidden="false" customHeight="false" outlineLevel="0" collapsed="false">
      <c r="A3140" s="13" t="s">
        <v>628</v>
      </c>
      <c r="B3140" s="13" t="s">
        <v>627</v>
      </c>
      <c r="C3140" s="13" t="s">
        <v>2267</v>
      </c>
      <c r="D3140" s="13" t="s">
        <v>2270</v>
      </c>
      <c r="E3140" s="13" t="s">
        <v>2515</v>
      </c>
      <c r="F3140" s="13" t="s">
        <v>2539</v>
      </c>
      <c r="G3140" s="61" t="n">
        <v>-38992158035</v>
      </c>
      <c r="H3140" s="13" t="s">
        <v>2255</v>
      </c>
      <c r="I3140" s="13" t="s">
        <v>2517</v>
      </c>
      <c r="J3140" s="13" t="n">
        <v>79</v>
      </c>
      <c r="K3140" s="13" t="s">
        <v>2478</v>
      </c>
      <c r="L3140" s="13" t="s">
        <v>2265</v>
      </c>
      <c r="M3140" s="13" t="s">
        <v>2518</v>
      </c>
    </row>
    <row r="3141" customFormat="false" ht="15" hidden="false" customHeight="false" outlineLevel="0" collapsed="false">
      <c r="A3141" s="13" t="s">
        <v>628</v>
      </c>
      <c r="B3141" s="13" t="s">
        <v>627</v>
      </c>
      <c r="C3141" s="13" t="s">
        <v>2267</v>
      </c>
      <c r="D3141" s="13" t="s">
        <v>2270</v>
      </c>
      <c r="E3141" s="13" t="s">
        <v>2520</v>
      </c>
      <c r="F3141" s="13" t="s">
        <v>2539</v>
      </c>
      <c r="G3141" s="61" t="n">
        <v>0</v>
      </c>
      <c r="H3141" s="13" t="s">
        <v>2255</v>
      </c>
      <c r="I3141" s="13" t="s">
        <v>2517</v>
      </c>
      <c r="J3141" s="13" t="n">
        <v>79</v>
      </c>
      <c r="K3141" s="13" t="s">
        <v>2478</v>
      </c>
      <c r="L3141" s="13" t="s">
        <v>2265</v>
      </c>
      <c r="M3141" s="13" t="s">
        <v>2518</v>
      </c>
    </row>
    <row r="3142" customFormat="false" ht="15" hidden="false" customHeight="false" outlineLevel="0" collapsed="false">
      <c r="A3142" s="13" t="s">
        <v>628</v>
      </c>
      <c r="B3142" s="13" t="s">
        <v>627</v>
      </c>
      <c r="C3142" s="13" t="s">
        <v>2267</v>
      </c>
      <c r="D3142" s="13" t="s">
        <v>2270</v>
      </c>
      <c r="E3142" s="13" t="s">
        <v>2521</v>
      </c>
      <c r="F3142" s="13" t="s">
        <v>2539</v>
      </c>
      <c r="G3142" s="61" t="n">
        <v>31239371</v>
      </c>
      <c r="H3142" s="13" t="s">
        <v>2255</v>
      </c>
      <c r="I3142" s="13" t="s">
        <v>2517</v>
      </c>
      <c r="J3142" s="13" t="n">
        <v>79</v>
      </c>
      <c r="K3142" s="13" t="s">
        <v>2478</v>
      </c>
      <c r="L3142" s="13" t="s">
        <v>2265</v>
      </c>
      <c r="M3142" s="13" t="s">
        <v>2518</v>
      </c>
    </row>
    <row r="3143" customFormat="false" ht="15" hidden="false" customHeight="false" outlineLevel="0" collapsed="false">
      <c r="A3143" s="13" t="s">
        <v>628</v>
      </c>
      <c r="B3143" s="13" t="s">
        <v>627</v>
      </c>
      <c r="C3143" s="13" t="s">
        <v>2267</v>
      </c>
      <c r="D3143" s="13" t="s">
        <v>2270</v>
      </c>
      <c r="E3143" s="13" t="s">
        <v>2522</v>
      </c>
      <c r="F3143" s="13" t="s">
        <v>2539</v>
      </c>
      <c r="G3143" s="61" t="n">
        <v>0</v>
      </c>
      <c r="H3143" s="13" t="s">
        <v>2255</v>
      </c>
      <c r="I3143" s="13" t="s">
        <v>2517</v>
      </c>
      <c r="J3143" s="13" t="n">
        <v>79</v>
      </c>
      <c r="K3143" s="13" t="s">
        <v>2478</v>
      </c>
      <c r="L3143" s="13" t="s">
        <v>2265</v>
      </c>
      <c r="M3143" s="13" t="s">
        <v>2518</v>
      </c>
    </row>
    <row r="3144" customFormat="false" ht="15" hidden="false" customHeight="false" outlineLevel="0" collapsed="false">
      <c r="A3144" s="13" t="s">
        <v>628</v>
      </c>
      <c r="B3144" s="13" t="s">
        <v>627</v>
      </c>
      <c r="C3144" s="13" t="s">
        <v>2267</v>
      </c>
      <c r="D3144" s="13" t="s">
        <v>2270</v>
      </c>
      <c r="E3144" s="13" t="s">
        <v>2523</v>
      </c>
      <c r="F3144" s="13" t="s">
        <v>2539</v>
      </c>
      <c r="G3144" s="61" t="n">
        <v>-1056321</v>
      </c>
      <c r="H3144" s="13" t="s">
        <v>2255</v>
      </c>
      <c r="I3144" s="13" t="s">
        <v>2517</v>
      </c>
      <c r="J3144" s="13" t="n">
        <v>79</v>
      </c>
      <c r="K3144" s="13" t="s">
        <v>2478</v>
      </c>
      <c r="L3144" s="13" t="s">
        <v>2265</v>
      </c>
      <c r="M3144" s="13" t="s">
        <v>2518</v>
      </c>
    </row>
    <row r="3145" customFormat="false" ht="15" hidden="false" customHeight="false" outlineLevel="0" collapsed="false">
      <c r="A3145" s="13" t="s">
        <v>628</v>
      </c>
      <c r="B3145" s="13" t="s">
        <v>627</v>
      </c>
      <c r="C3145" s="13" t="s">
        <v>2267</v>
      </c>
      <c r="D3145" s="13" t="s">
        <v>2270</v>
      </c>
      <c r="E3145" s="13" t="s">
        <v>2524</v>
      </c>
      <c r="F3145" s="13" t="s">
        <v>2539</v>
      </c>
      <c r="G3145" s="61" t="n">
        <v>-38961974985</v>
      </c>
      <c r="H3145" s="13" t="s">
        <v>2255</v>
      </c>
      <c r="I3145" s="13" t="s">
        <v>2517</v>
      </c>
      <c r="J3145" s="13" t="n">
        <v>79</v>
      </c>
      <c r="K3145" s="13" t="s">
        <v>2478</v>
      </c>
      <c r="L3145" s="13" t="s">
        <v>2265</v>
      </c>
      <c r="M3145" s="13" t="s">
        <v>2518</v>
      </c>
    </row>
    <row r="3146" customFormat="false" ht="15" hidden="false" customHeight="false" outlineLevel="0" collapsed="false">
      <c r="A3146" s="13" t="s">
        <v>628</v>
      </c>
      <c r="B3146" s="13" t="s">
        <v>627</v>
      </c>
      <c r="C3146" s="13" t="s">
        <v>2267</v>
      </c>
      <c r="D3146" s="13" t="s">
        <v>2270</v>
      </c>
      <c r="E3146" s="13" t="s">
        <v>2515</v>
      </c>
      <c r="F3146" s="13" t="s">
        <v>2536</v>
      </c>
      <c r="G3146" s="61" t="n">
        <v>62358959749</v>
      </c>
      <c r="H3146" s="13" t="s">
        <v>2255</v>
      </c>
      <c r="I3146" s="13" t="s">
        <v>2517</v>
      </c>
      <c r="J3146" s="13" t="n">
        <v>79</v>
      </c>
      <c r="K3146" s="13" t="s">
        <v>2478</v>
      </c>
      <c r="L3146" s="13" t="s">
        <v>2265</v>
      </c>
      <c r="M3146" s="13" t="s">
        <v>2518</v>
      </c>
    </row>
    <row r="3147" customFormat="false" ht="15" hidden="false" customHeight="false" outlineLevel="0" collapsed="false">
      <c r="A3147" s="13" t="s">
        <v>628</v>
      </c>
      <c r="B3147" s="13" t="s">
        <v>627</v>
      </c>
      <c r="C3147" s="13" t="s">
        <v>2267</v>
      </c>
      <c r="D3147" s="13" t="s">
        <v>2270</v>
      </c>
      <c r="E3147" s="13" t="s">
        <v>2520</v>
      </c>
      <c r="F3147" s="13" t="s">
        <v>2536</v>
      </c>
      <c r="G3147" s="61" t="n">
        <v>0</v>
      </c>
      <c r="H3147" s="13" t="s">
        <v>2255</v>
      </c>
      <c r="I3147" s="13" t="s">
        <v>2517</v>
      </c>
      <c r="J3147" s="13" t="n">
        <v>79</v>
      </c>
      <c r="K3147" s="13" t="s">
        <v>2478</v>
      </c>
      <c r="L3147" s="13" t="s">
        <v>2265</v>
      </c>
      <c r="M3147" s="13" t="s">
        <v>2518</v>
      </c>
    </row>
    <row r="3148" customFormat="false" ht="15" hidden="false" customHeight="false" outlineLevel="0" collapsed="false">
      <c r="A3148" s="13" t="s">
        <v>628</v>
      </c>
      <c r="B3148" s="13" t="s">
        <v>627</v>
      </c>
      <c r="C3148" s="13" t="s">
        <v>2267</v>
      </c>
      <c r="D3148" s="13" t="s">
        <v>2270</v>
      </c>
      <c r="E3148" s="13" t="s">
        <v>2521</v>
      </c>
      <c r="F3148" s="13" t="s">
        <v>2536</v>
      </c>
      <c r="G3148" s="61" t="n">
        <v>1727011761</v>
      </c>
      <c r="H3148" s="13" t="s">
        <v>2255</v>
      </c>
      <c r="I3148" s="13" t="s">
        <v>2517</v>
      </c>
      <c r="J3148" s="13" t="n">
        <v>79</v>
      </c>
      <c r="K3148" s="13" t="s">
        <v>2478</v>
      </c>
      <c r="L3148" s="13" t="s">
        <v>2265</v>
      </c>
      <c r="M3148" s="13" t="s">
        <v>2518</v>
      </c>
    </row>
    <row r="3149" customFormat="false" ht="15" hidden="false" customHeight="false" outlineLevel="0" collapsed="false">
      <c r="A3149" s="13" t="s">
        <v>628</v>
      </c>
      <c r="B3149" s="13" t="s">
        <v>627</v>
      </c>
      <c r="C3149" s="13" t="s">
        <v>2267</v>
      </c>
      <c r="D3149" s="13" t="s">
        <v>2270</v>
      </c>
      <c r="E3149" s="13" t="s">
        <v>2522</v>
      </c>
      <c r="F3149" s="13" t="s">
        <v>2536</v>
      </c>
      <c r="G3149" s="61" t="n">
        <v>0</v>
      </c>
      <c r="H3149" s="13" t="s">
        <v>2255</v>
      </c>
      <c r="I3149" s="13" t="s">
        <v>2517</v>
      </c>
      <c r="J3149" s="13" t="n">
        <v>79</v>
      </c>
      <c r="K3149" s="13" t="s">
        <v>2478</v>
      </c>
      <c r="L3149" s="13" t="s">
        <v>2265</v>
      </c>
      <c r="M3149" s="13" t="s">
        <v>2518</v>
      </c>
    </row>
    <row r="3150" customFormat="false" ht="15" hidden="false" customHeight="false" outlineLevel="0" collapsed="false">
      <c r="A3150" s="13" t="s">
        <v>628</v>
      </c>
      <c r="B3150" s="13" t="s">
        <v>627</v>
      </c>
      <c r="C3150" s="13" t="s">
        <v>2267</v>
      </c>
      <c r="D3150" s="13" t="s">
        <v>2270</v>
      </c>
      <c r="E3150" s="13" t="s">
        <v>2523</v>
      </c>
      <c r="F3150" s="13" t="s">
        <v>2536</v>
      </c>
      <c r="G3150" s="61" t="n">
        <v>2893446243</v>
      </c>
      <c r="H3150" s="13" t="s">
        <v>2255</v>
      </c>
      <c r="I3150" s="13" t="s">
        <v>2517</v>
      </c>
      <c r="J3150" s="13" t="n">
        <v>79</v>
      </c>
      <c r="K3150" s="13" t="s">
        <v>2478</v>
      </c>
      <c r="L3150" s="13" t="s">
        <v>2265</v>
      </c>
      <c r="M3150" s="13" t="s">
        <v>2518</v>
      </c>
    </row>
    <row r="3151" customFormat="false" ht="15" hidden="false" customHeight="false" outlineLevel="0" collapsed="false">
      <c r="A3151" s="13" t="s">
        <v>628</v>
      </c>
      <c r="B3151" s="13" t="s">
        <v>627</v>
      </c>
      <c r="C3151" s="13" t="s">
        <v>2267</v>
      </c>
      <c r="D3151" s="13" t="s">
        <v>2270</v>
      </c>
      <c r="E3151" s="13" t="s">
        <v>2524</v>
      </c>
      <c r="F3151" s="13" t="s">
        <v>2536</v>
      </c>
      <c r="G3151" s="61" t="n">
        <v>66979417753</v>
      </c>
      <c r="H3151" s="13" t="s">
        <v>2255</v>
      </c>
      <c r="I3151" s="13" t="s">
        <v>2517</v>
      </c>
      <c r="J3151" s="13" t="n">
        <v>79</v>
      </c>
      <c r="K3151" s="13" t="s">
        <v>2478</v>
      </c>
      <c r="L3151" s="13" t="s">
        <v>2265</v>
      </c>
      <c r="M3151" s="13" t="s">
        <v>2518</v>
      </c>
    </row>
    <row r="3152" customFormat="false" ht="15" hidden="false" customHeight="false" outlineLevel="0" collapsed="false">
      <c r="A3152" s="13" t="s">
        <v>628</v>
      </c>
      <c r="B3152" s="13" t="s">
        <v>627</v>
      </c>
      <c r="C3152" s="13" t="s">
        <v>2267</v>
      </c>
      <c r="D3152" s="13" t="s">
        <v>2270</v>
      </c>
      <c r="E3152" s="13" t="s">
        <v>2515</v>
      </c>
      <c r="F3152" s="13" t="s">
        <v>2540</v>
      </c>
      <c r="G3152" s="61" t="n">
        <v>28375298</v>
      </c>
      <c r="H3152" s="13" t="s">
        <v>2255</v>
      </c>
      <c r="I3152" s="13" t="s">
        <v>2517</v>
      </c>
      <c r="J3152" s="13" t="n">
        <v>79</v>
      </c>
      <c r="K3152" s="13" t="s">
        <v>2478</v>
      </c>
      <c r="L3152" s="13" t="s">
        <v>2265</v>
      </c>
      <c r="M3152" s="13" t="s">
        <v>2518</v>
      </c>
    </row>
    <row r="3153" customFormat="false" ht="15" hidden="false" customHeight="false" outlineLevel="0" collapsed="false">
      <c r="A3153" s="13" t="s">
        <v>628</v>
      </c>
      <c r="B3153" s="13" t="s">
        <v>627</v>
      </c>
      <c r="C3153" s="13" t="s">
        <v>2267</v>
      </c>
      <c r="D3153" s="13" t="s">
        <v>2270</v>
      </c>
      <c r="E3153" s="13" t="s">
        <v>2520</v>
      </c>
      <c r="F3153" s="13" t="s">
        <v>2540</v>
      </c>
      <c r="G3153" s="61" t="n">
        <v>0</v>
      </c>
      <c r="H3153" s="13" t="s">
        <v>2255</v>
      </c>
      <c r="I3153" s="13" t="s">
        <v>2517</v>
      </c>
      <c r="J3153" s="13" t="n">
        <v>79</v>
      </c>
      <c r="K3153" s="13" t="s">
        <v>2478</v>
      </c>
      <c r="L3153" s="13" t="s">
        <v>2265</v>
      </c>
      <c r="M3153" s="13" t="s">
        <v>2518</v>
      </c>
    </row>
    <row r="3154" customFormat="false" ht="15" hidden="false" customHeight="false" outlineLevel="0" collapsed="false">
      <c r="A3154" s="13" t="s">
        <v>628</v>
      </c>
      <c r="B3154" s="13" t="s">
        <v>627</v>
      </c>
      <c r="C3154" s="13" t="s">
        <v>2267</v>
      </c>
      <c r="D3154" s="13" t="s">
        <v>2270</v>
      </c>
      <c r="E3154" s="13" t="s">
        <v>2521</v>
      </c>
      <c r="F3154" s="13" t="s">
        <v>2540</v>
      </c>
      <c r="G3154" s="61" t="n">
        <v>-147046</v>
      </c>
      <c r="H3154" s="13" t="s">
        <v>2255</v>
      </c>
      <c r="I3154" s="13" t="s">
        <v>2517</v>
      </c>
      <c r="J3154" s="13" t="n">
        <v>79</v>
      </c>
      <c r="K3154" s="13" t="s">
        <v>2478</v>
      </c>
      <c r="L3154" s="13" t="s">
        <v>2265</v>
      </c>
      <c r="M3154" s="13" t="s">
        <v>2518</v>
      </c>
    </row>
    <row r="3155" customFormat="false" ht="15" hidden="false" customHeight="false" outlineLevel="0" collapsed="false">
      <c r="A3155" s="13" t="s">
        <v>628</v>
      </c>
      <c r="B3155" s="13" t="s">
        <v>627</v>
      </c>
      <c r="C3155" s="13" t="s">
        <v>2267</v>
      </c>
      <c r="D3155" s="13" t="s">
        <v>2270</v>
      </c>
      <c r="E3155" s="13" t="s">
        <v>2522</v>
      </c>
      <c r="F3155" s="13" t="s">
        <v>2540</v>
      </c>
      <c r="G3155" s="61" t="n">
        <v>0</v>
      </c>
      <c r="H3155" s="13" t="s">
        <v>2255</v>
      </c>
      <c r="I3155" s="13" t="s">
        <v>2517</v>
      </c>
      <c r="J3155" s="13" t="n">
        <v>79</v>
      </c>
      <c r="K3155" s="13" t="s">
        <v>2478</v>
      </c>
      <c r="L3155" s="13" t="s">
        <v>2265</v>
      </c>
      <c r="M3155" s="13" t="s">
        <v>2518</v>
      </c>
    </row>
    <row r="3156" customFormat="false" ht="15" hidden="false" customHeight="false" outlineLevel="0" collapsed="false">
      <c r="A3156" s="13" t="s">
        <v>628</v>
      </c>
      <c r="B3156" s="13" t="s">
        <v>627</v>
      </c>
      <c r="C3156" s="13" t="s">
        <v>2267</v>
      </c>
      <c r="D3156" s="13" t="s">
        <v>2270</v>
      </c>
      <c r="E3156" s="13" t="s">
        <v>2523</v>
      </c>
      <c r="F3156" s="13" t="s">
        <v>2540</v>
      </c>
      <c r="G3156" s="61" t="n">
        <v>21110</v>
      </c>
      <c r="H3156" s="13" t="s">
        <v>2255</v>
      </c>
      <c r="I3156" s="13" t="s">
        <v>2517</v>
      </c>
      <c r="J3156" s="13" t="n">
        <v>79</v>
      </c>
      <c r="K3156" s="13" t="s">
        <v>2478</v>
      </c>
      <c r="L3156" s="13" t="s">
        <v>2265</v>
      </c>
      <c r="M3156" s="13" t="s">
        <v>2518</v>
      </c>
    </row>
    <row r="3157" customFormat="false" ht="15" hidden="false" customHeight="false" outlineLevel="0" collapsed="false">
      <c r="A3157" s="13" t="s">
        <v>628</v>
      </c>
      <c r="B3157" s="13" t="s">
        <v>627</v>
      </c>
      <c r="C3157" s="13" t="s">
        <v>2267</v>
      </c>
      <c r="D3157" s="13" t="s">
        <v>2270</v>
      </c>
      <c r="E3157" s="13" t="s">
        <v>2524</v>
      </c>
      <c r="F3157" s="13" t="s">
        <v>2540</v>
      </c>
      <c r="G3157" s="61" t="n">
        <v>28249361</v>
      </c>
      <c r="H3157" s="13" t="s">
        <v>2255</v>
      </c>
      <c r="I3157" s="13" t="s">
        <v>2517</v>
      </c>
      <c r="J3157" s="13" t="n">
        <v>79</v>
      </c>
      <c r="K3157" s="13" t="s">
        <v>2478</v>
      </c>
      <c r="L3157" s="13" t="s">
        <v>2265</v>
      </c>
      <c r="M3157" s="13" t="s">
        <v>2518</v>
      </c>
    </row>
    <row r="3158" customFormat="false" ht="15" hidden="false" customHeight="false" outlineLevel="0" collapsed="false">
      <c r="A3158" s="13" t="s">
        <v>628</v>
      </c>
      <c r="B3158" s="13" t="s">
        <v>627</v>
      </c>
      <c r="C3158" s="13" t="s">
        <v>2267</v>
      </c>
      <c r="D3158" s="13" t="s">
        <v>2270</v>
      </c>
      <c r="E3158" s="13" t="s">
        <v>2515</v>
      </c>
      <c r="F3158" s="13" t="s">
        <v>2541</v>
      </c>
      <c r="G3158" s="61" t="n">
        <v>0</v>
      </c>
      <c r="H3158" s="13" t="s">
        <v>2255</v>
      </c>
      <c r="I3158" s="13" t="s">
        <v>2517</v>
      </c>
      <c r="J3158" s="13" t="n">
        <v>79</v>
      </c>
      <c r="K3158" s="13" t="s">
        <v>2478</v>
      </c>
      <c r="L3158" s="13" t="s">
        <v>2265</v>
      </c>
      <c r="M3158" s="13" t="s">
        <v>2518</v>
      </c>
    </row>
    <row r="3159" customFormat="false" ht="15" hidden="false" customHeight="false" outlineLevel="0" collapsed="false">
      <c r="A3159" s="13" t="s">
        <v>628</v>
      </c>
      <c r="B3159" s="13" t="s">
        <v>627</v>
      </c>
      <c r="C3159" s="13" t="s">
        <v>2267</v>
      </c>
      <c r="D3159" s="13" t="s">
        <v>2270</v>
      </c>
      <c r="E3159" s="13" t="s">
        <v>2520</v>
      </c>
      <c r="F3159" s="13" t="s">
        <v>2541</v>
      </c>
      <c r="G3159" s="61" t="n">
        <v>0</v>
      </c>
      <c r="H3159" s="13" t="s">
        <v>2255</v>
      </c>
      <c r="I3159" s="13" t="s">
        <v>2517</v>
      </c>
      <c r="J3159" s="13" t="n">
        <v>79</v>
      </c>
      <c r="K3159" s="13" t="s">
        <v>2478</v>
      </c>
      <c r="L3159" s="13" t="s">
        <v>2265</v>
      </c>
      <c r="M3159" s="13" t="s">
        <v>2518</v>
      </c>
    </row>
    <row r="3160" customFormat="false" ht="15" hidden="false" customHeight="false" outlineLevel="0" collapsed="false">
      <c r="A3160" s="13" t="s">
        <v>628</v>
      </c>
      <c r="B3160" s="13" t="s">
        <v>627</v>
      </c>
      <c r="C3160" s="13" t="s">
        <v>2267</v>
      </c>
      <c r="D3160" s="13" t="s">
        <v>2270</v>
      </c>
      <c r="E3160" s="13" t="s">
        <v>2521</v>
      </c>
      <c r="F3160" s="13" t="s">
        <v>2541</v>
      </c>
      <c r="G3160" s="61" t="n">
        <v>-862706</v>
      </c>
      <c r="H3160" s="13" t="s">
        <v>2255</v>
      </c>
      <c r="I3160" s="13" t="s">
        <v>2517</v>
      </c>
      <c r="J3160" s="13" t="n">
        <v>79</v>
      </c>
      <c r="K3160" s="13" t="s">
        <v>2478</v>
      </c>
      <c r="L3160" s="13" t="s">
        <v>2265</v>
      </c>
      <c r="M3160" s="13" t="s">
        <v>2518</v>
      </c>
    </row>
    <row r="3161" customFormat="false" ht="15" hidden="false" customHeight="false" outlineLevel="0" collapsed="false">
      <c r="A3161" s="13" t="s">
        <v>628</v>
      </c>
      <c r="B3161" s="13" t="s">
        <v>627</v>
      </c>
      <c r="C3161" s="13" t="s">
        <v>2267</v>
      </c>
      <c r="D3161" s="13" t="s">
        <v>2270</v>
      </c>
      <c r="E3161" s="13" t="s">
        <v>2522</v>
      </c>
      <c r="F3161" s="13" t="s">
        <v>2541</v>
      </c>
      <c r="G3161" s="61" t="n">
        <v>0</v>
      </c>
      <c r="H3161" s="13" t="s">
        <v>2255</v>
      </c>
      <c r="I3161" s="13" t="s">
        <v>2517</v>
      </c>
      <c r="J3161" s="13" t="n">
        <v>79</v>
      </c>
      <c r="K3161" s="13" t="s">
        <v>2478</v>
      </c>
      <c r="L3161" s="13" t="s">
        <v>2265</v>
      </c>
      <c r="M3161" s="13" t="s">
        <v>2518</v>
      </c>
    </row>
    <row r="3162" customFormat="false" ht="15" hidden="false" customHeight="false" outlineLevel="0" collapsed="false">
      <c r="A3162" s="13" t="s">
        <v>628</v>
      </c>
      <c r="B3162" s="13" t="s">
        <v>627</v>
      </c>
      <c r="C3162" s="13" t="s">
        <v>2267</v>
      </c>
      <c r="D3162" s="13" t="s">
        <v>2270</v>
      </c>
      <c r="E3162" s="13" t="s">
        <v>2523</v>
      </c>
      <c r="F3162" s="13" t="s">
        <v>2541</v>
      </c>
      <c r="G3162" s="61" t="n">
        <v>0</v>
      </c>
      <c r="H3162" s="13" t="s">
        <v>2255</v>
      </c>
      <c r="I3162" s="13" t="s">
        <v>2517</v>
      </c>
      <c r="J3162" s="13" t="n">
        <v>79</v>
      </c>
      <c r="K3162" s="13" t="s">
        <v>2478</v>
      </c>
      <c r="L3162" s="13" t="s">
        <v>2265</v>
      </c>
      <c r="M3162" s="13" t="s">
        <v>2518</v>
      </c>
    </row>
    <row r="3163" customFormat="false" ht="15" hidden="false" customHeight="false" outlineLevel="0" collapsed="false">
      <c r="A3163" s="13" t="s">
        <v>628</v>
      </c>
      <c r="B3163" s="13" t="s">
        <v>627</v>
      </c>
      <c r="C3163" s="13" t="s">
        <v>2267</v>
      </c>
      <c r="D3163" s="13" t="s">
        <v>2270</v>
      </c>
      <c r="E3163" s="13" t="s">
        <v>2524</v>
      </c>
      <c r="F3163" s="13" t="s">
        <v>2541</v>
      </c>
      <c r="G3163" s="61" t="n">
        <v>-862706</v>
      </c>
      <c r="H3163" s="13" t="s">
        <v>2255</v>
      </c>
      <c r="I3163" s="13" t="s">
        <v>2517</v>
      </c>
      <c r="J3163" s="13" t="n">
        <v>79</v>
      </c>
      <c r="K3163" s="13" t="s">
        <v>2478</v>
      </c>
      <c r="L3163" s="13" t="s">
        <v>2265</v>
      </c>
      <c r="M3163" s="13" t="s">
        <v>2518</v>
      </c>
    </row>
    <row r="3164" customFormat="false" ht="15" hidden="false" customHeight="false" outlineLevel="0" collapsed="false">
      <c r="A3164" s="13" t="s">
        <v>628</v>
      </c>
      <c r="B3164" s="13" t="s">
        <v>627</v>
      </c>
      <c r="C3164" s="13" t="s">
        <v>2267</v>
      </c>
      <c r="D3164" s="13" t="s">
        <v>2270</v>
      </c>
      <c r="E3164" s="13" t="s">
        <v>2515</v>
      </c>
      <c r="F3164" s="13" t="s">
        <v>2290</v>
      </c>
      <c r="G3164" s="61" t="n">
        <v>434256398708</v>
      </c>
      <c r="H3164" s="13" t="s">
        <v>2255</v>
      </c>
      <c r="I3164" s="13" t="s">
        <v>2517</v>
      </c>
      <c r="J3164" s="13" t="n">
        <v>79</v>
      </c>
      <c r="K3164" s="13" t="s">
        <v>2478</v>
      </c>
      <c r="L3164" s="13" t="s">
        <v>2265</v>
      </c>
      <c r="M3164" s="13" t="s">
        <v>2518</v>
      </c>
    </row>
    <row r="3165" customFormat="false" ht="15" hidden="false" customHeight="false" outlineLevel="0" collapsed="false">
      <c r="A3165" s="13" t="s">
        <v>628</v>
      </c>
      <c r="B3165" s="13" t="s">
        <v>627</v>
      </c>
      <c r="C3165" s="13" t="s">
        <v>2267</v>
      </c>
      <c r="D3165" s="13" t="s">
        <v>2270</v>
      </c>
      <c r="E3165" s="13" t="s">
        <v>2520</v>
      </c>
      <c r="F3165" s="13" t="s">
        <v>2290</v>
      </c>
      <c r="G3165" s="61" t="n">
        <v>38603109</v>
      </c>
      <c r="H3165" s="13" t="s">
        <v>2255</v>
      </c>
      <c r="I3165" s="13" t="s">
        <v>2517</v>
      </c>
      <c r="J3165" s="13" t="n">
        <v>79</v>
      </c>
      <c r="K3165" s="13" t="s">
        <v>2478</v>
      </c>
      <c r="L3165" s="13" t="s">
        <v>2265</v>
      </c>
      <c r="M3165" s="13" t="s">
        <v>2518</v>
      </c>
    </row>
    <row r="3166" customFormat="false" ht="15" hidden="false" customHeight="false" outlineLevel="0" collapsed="false">
      <c r="A3166" s="13" t="s">
        <v>628</v>
      </c>
      <c r="B3166" s="13" t="s">
        <v>627</v>
      </c>
      <c r="C3166" s="13" t="s">
        <v>2267</v>
      </c>
      <c r="D3166" s="13" t="s">
        <v>2270</v>
      </c>
      <c r="E3166" s="13" t="s">
        <v>2521</v>
      </c>
      <c r="F3166" s="13" t="s">
        <v>2290</v>
      </c>
      <c r="G3166" s="61" t="n">
        <v>17795733673</v>
      </c>
      <c r="H3166" s="13" t="s">
        <v>2255</v>
      </c>
      <c r="I3166" s="13" t="s">
        <v>2517</v>
      </c>
      <c r="J3166" s="13" t="n">
        <v>79</v>
      </c>
      <c r="K3166" s="13" t="s">
        <v>2478</v>
      </c>
      <c r="L3166" s="13" t="s">
        <v>2265</v>
      </c>
      <c r="M3166" s="13" t="s">
        <v>2518</v>
      </c>
    </row>
    <row r="3167" customFormat="false" ht="15" hidden="false" customHeight="false" outlineLevel="0" collapsed="false">
      <c r="A3167" s="13" t="s">
        <v>628</v>
      </c>
      <c r="B3167" s="13" t="s">
        <v>627</v>
      </c>
      <c r="C3167" s="13" t="s">
        <v>2267</v>
      </c>
      <c r="D3167" s="13" t="s">
        <v>2270</v>
      </c>
      <c r="E3167" s="13" t="s">
        <v>2522</v>
      </c>
      <c r="F3167" s="13" t="s">
        <v>2290</v>
      </c>
      <c r="G3167" s="61" t="n">
        <v>-3135613703</v>
      </c>
      <c r="H3167" s="13" t="s">
        <v>2255</v>
      </c>
      <c r="I3167" s="13" t="s">
        <v>2517</v>
      </c>
      <c r="J3167" s="13" t="n">
        <v>79</v>
      </c>
      <c r="K3167" s="13" t="s">
        <v>2478</v>
      </c>
      <c r="L3167" s="13" t="s">
        <v>2265</v>
      </c>
      <c r="M3167" s="13" t="s">
        <v>2518</v>
      </c>
    </row>
    <row r="3168" customFormat="false" ht="15" hidden="false" customHeight="false" outlineLevel="0" collapsed="false">
      <c r="A3168" s="13" t="s">
        <v>628</v>
      </c>
      <c r="B3168" s="13" t="s">
        <v>627</v>
      </c>
      <c r="C3168" s="13" t="s">
        <v>2267</v>
      </c>
      <c r="D3168" s="13" t="s">
        <v>2270</v>
      </c>
      <c r="E3168" s="13" t="s">
        <v>2523</v>
      </c>
      <c r="F3168" s="13" t="s">
        <v>2290</v>
      </c>
      <c r="G3168" s="61" t="n">
        <v>-4362298831</v>
      </c>
      <c r="H3168" s="13" t="s">
        <v>2255</v>
      </c>
      <c r="I3168" s="13" t="s">
        <v>2517</v>
      </c>
      <c r="J3168" s="13" t="n">
        <v>79</v>
      </c>
      <c r="K3168" s="13" t="s">
        <v>2478</v>
      </c>
      <c r="L3168" s="13" t="s">
        <v>2265</v>
      </c>
      <c r="M3168" s="13" t="s">
        <v>2518</v>
      </c>
    </row>
    <row r="3169" customFormat="false" ht="15" hidden="false" customHeight="false" outlineLevel="0" collapsed="false">
      <c r="A3169" s="13" t="s">
        <v>628</v>
      </c>
      <c r="B3169" s="13" t="s">
        <v>627</v>
      </c>
      <c r="C3169" s="13" t="s">
        <v>2267</v>
      </c>
      <c r="D3169" s="13" t="s">
        <v>2270</v>
      </c>
      <c r="E3169" s="13" t="s">
        <v>2524</v>
      </c>
      <c r="F3169" s="13" t="s">
        <v>2290</v>
      </c>
      <c r="G3169" s="61" t="n">
        <v>444592822953</v>
      </c>
      <c r="H3169" s="13" t="s">
        <v>2255</v>
      </c>
      <c r="I3169" s="13" t="s">
        <v>2517</v>
      </c>
      <c r="J3169" s="13" t="n">
        <v>79</v>
      </c>
      <c r="K3169" s="13" t="s">
        <v>2478</v>
      </c>
      <c r="L3169" s="13" t="s">
        <v>2265</v>
      </c>
      <c r="M3169" s="13" t="s">
        <v>2518</v>
      </c>
    </row>
    <row r="3170" customFormat="false" ht="15" hidden="false" customHeight="false" outlineLevel="0" collapsed="false">
      <c r="A3170" s="13" t="s">
        <v>628</v>
      </c>
      <c r="B3170" s="13" t="s">
        <v>627</v>
      </c>
      <c r="C3170" s="13" t="s">
        <v>2254</v>
      </c>
      <c r="D3170" s="13" t="s">
        <v>2542</v>
      </c>
      <c r="E3170" s="13" t="s">
        <v>767</v>
      </c>
      <c r="F3170" s="13" t="s">
        <v>768</v>
      </c>
      <c r="G3170" s="61" t="n">
        <v>1331315062035</v>
      </c>
      <c r="H3170" s="13" t="s">
        <v>2255</v>
      </c>
      <c r="I3170" s="13" t="s">
        <v>2543</v>
      </c>
      <c r="J3170" s="13"/>
      <c r="K3170" s="13" t="s">
        <v>2544</v>
      </c>
      <c r="L3170" s="13" t="s">
        <v>2545</v>
      </c>
      <c r="M3170" s="13" t="s">
        <v>2546</v>
      </c>
    </row>
    <row r="3171" customFormat="false" ht="15" hidden="false" customHeight="false" outlineLevel="0" collapsed="false">
      <c r="A3171" s="13" t="s">
        <v>628</v>
      </c>
      <c r="B3171" s="13" t="s">
        <v>627</v>
      </c>
      <c r="C3171" s="13" t="s">
        <v>2254</v>
      </c>
      <c r="D3171" s="13" t="s">
        <v>2542</v>
      </c>
      <c r="E3171" s="13" t="s">
        <v>770</v>
      </c>
      <c r="F3171" s="13" t="s">
        <v>771</v>
      </c>
      <c r="G3171" s="61" t="n">
        <v>145330220328</v>
      </c>
      <c r="H3171" s="13" t="s">
        <v>2255</v>
      </c>
      <c r="I3171" s="13" t="s">
        <v>2543</v>
      </c>
      <c r="J3171" s="13"/>
      <c r="K3171" s="13" t="s">
        <v>2544</v>
      </c>
      <c r="L3171" s="13" t="s">
        <v>2545</v>
      </c>
      <c r="M3171" s="13" t="s">
        <v>2546</v>
      </c>
    </row>
    <row r="3172" customFormat="false" ht="15" hidden="false" customHeight="false" outlineLevel="0" collapsed="false">
      <c r="A3172" s="13" t="s">
        <v>628</v>
      </c>
      <c r="B3172" s="13" t="s">
        <v>627</v>
      </c>
      <c r="C3172" s="13" t="s">
        <v>2254</v>
      </c>
      <c r="D3172" s="13" t="s">
        <v>2542</v>
      </c>
      <c r="E3172" s="13" t="s">
        <v>772</v>
      </c>
      <c r="F3172" s="13" t="s">
        <v>773</v>
      </c>
      <c r="G3172" s="61" t="n">
        <v>272557207208</v>
      </c>
      <c r="H3172" s="13" t="s">
        <v>2255</v>
      </c>
      <c r="I3172" s="13" t="s">
        <v>2543</v>
      </c>
      <c r="J3172" s="13"/>
      <c r="K3172" s="13" t="s">
        <v>2544</v>
      </c>
      <c r="L3172" s="13" t="s">
        <v>2545</v>
      </c>
      <c r="M3172" s="13" t="s">
        <v>2546</v>
      </c>
    </row>
    <row r="3173" customFormat="false" ht="15" hidden="false" customHeight="false" outlineLevel="0" collapsed="false">
      <c r="A3173" s="13" t="s">
        <v>628</v>
      </c>
      <c r="B3173" s="13" t="s">
        <v>627</v>
      </c>
      <c r="C3173" s="13" t="s">
        <v>2254</v>
      </c>
      <c r="D3173" s="13" t="s">
        <v>2542</v>
      </c>
      <c r="E3173" s="13" t="s">
        <v>979</v>
      </c>
      <c r="F3173" s="13" t="s">
        <v>2547</v>
      </c>
      <c r="G3173" s="61" t="n">
        <v>920888559886</v>
      </c>
      <c r="H3173" s="13" t="s">
        <v>2255</v>
      </c>
      <c r="I3173" s="13" t="s">
        <v>2543</v>
      </c>
      <c r="J3173" s="13"/>
      <c r="K3173" s="13" t="s">
        <v>2544</v>
      </c>
      <c r="L3173" s="13" t="s">
        <v>2545</v>
      </c>
      <c r="M3173" s="13" t="s">
        <v>2546</v>
      </c>
    </row>
    <row r="3174" customFormat="false" ht="15" hidden="false" customHeight="false" outlineLevel="0" collapsed="false">
      <c r="A3174" s="13" t="s">
        <v>628</v>
      </c>
      <c r="B3174" s="13" t="s">
        <v>627</v>
      </c>
      <c r="C3174" s="13" t="s">
        <v>2254</v>
      </c>
      <c r="D3174" s="13" t="s">
        <v>2542</v>
      </c>
      <c r="E3174" s="13" t="s">
        <v>999</v>
      </c>
      <c r="F3174" s="13" t="s">
        <v>2548</v>
      </c>
      <c r="G3174" s="61" t="n">
        <v>1325680394977</v>
      </c>
      <c r="H3174" s="13" t="s">
        <v>2255</v>
      </c>
      <c r="I3174" s="13" t="s">
        <v>2543</v>
      </c>
      <c r="J3174" s="13"/>
      <c r="K3174" s="13" t="s">
        <v>2544</v>
      </c>
      <c r="L3174" s="13" t="s">
        <v>2545</v>
      </c>
      <c r="M3174" s="13" t="s">
        <v>2546</v>
      </c>
    </row>
    <row r="3175" customFormat="false" ht="15" hidden="false" customHeight="false" outlineLevel="0" collapsed="false">
      <c r="A3175" s="13" t="s">
        <v>628</v>
      </c>
      <c r="B3175" s="13" t="s">
        <v>627</v>
      </c>
      <c r="C3175" s="13" t="s">
        <v>2254</v>
      </c>
      <c r="D3175" s="13" t="s">
        <v>2542</v>
      </c>
      <c r="E3175" s="13" t="s">
        <v>1001</v>
      </c>
      <c r="F3175" s="13" t="s">
        <v>2549</v>
      </c>
      <c r="G3175" s="61" t="n">
        <v>2246568954863</v>
      </c>
      <c r="H3175" s="13" t="s">
        <v>2255</v>
      </c>
      <c r="I3175" s="13" t="s">
        <v>2543</v>
      </c>
      <c r="J3175" s="13"/>
      <c r="K3175" s="13" t="s">
        <v>2544</v>
      </c>
      <c r="L3175" s="13" t="s">
        <v>2545</v>
      </c>
      <c r="M3175" s="13" t="s">
        <v>2546</v>
      </c>
    </row>
    <row r="3176" customFormat="false" ht="15" hidden="false" customHeight="false" outlineLevel="0" collapsed="false">
      <c r="A3176" s="13" t="s">
        <v>628</v>
      </c>
      <c r="B3176" s="13" t="s">
        <v>627</v>
      </c>
      <c r="C3176" s="13" t="s">
        <v>2254</v>
      </c>
      <c r="D3176" s="13" t="s">
        <v>2542</v>
      </c>
      <c r="E3176" s="13" t="s">
        <v>1023</v>
      </c>
      <c r="F3176" s="13" t="s">
        <v>2550</v>
      </c>
      <c r="G3176" s="61" t="n">
        <v>713987535600</v>
      </c>
      <c r="H3176" s="13" t="s">
        <v>2255</v>
      </c>
      <c r="I3176" s="13" t="s">
        <v>2543</v>
      </c>
      <c r="J3176" s="13"/>
      <c r="K3176" s="13" t="s">
        <v>2544</v>
      </c>
      <c r="L3176" s="13" t="s">
        <v>2545</v>
      </c>
      <c r="M3176" s="13" t="s">
        <v>2546</v>
      </c>
    </row>
    <row r="3177" customFormat="false" ht="15" hidden="false" customHeight="false" outlineLevel="0" collapsed="false">
      <c r="A3177" s="13" t="s">
        <v>628</v>
      </c>
      <c r="B3177" s="13" t="s">
        <v>627</v>
      </c>
      <c r="C3177" s="13" t="s">
        <v>2254</v>
      </c>
      <c r="D3177" s="13" t="s">
        <v>2542</v>
      </c>
      <c r="E3177" s="13" t="s">
        <v>1035</v>
      </c>
      <c r="F3177" s="13" t="s">
        <v>2551</v>
      </c>
      <c r="G3177" s="61" t="n">
        <v>432237754766</v>
      </c>
      <c r="H3177" s="13" t="s">
        <v>2255</v>
      </c>
      <c r="I3177" s="13" t="s">
        <v>2543</v>
      </c>
      <c r="J3177" s="13"/>
      <c r="K3177" s="13" t="s">
        <v>2544</v>
      </c>
      <c r="L3177" s="13" t="s">
        <v>2545</v>
      </c>
      <c r="M3177" s="13" t="s">
        <v>2546</v>
      </c>
    </row>
    <row r="3178" customFormat="false" ht="15" hidden="false" customHeight="false" outlineLevel="0" collapsed="false">
      <c r="A3178" s="13" t="s">
        <v>628</v>
      </c>
      <c r="B3178" s="13" t="s">
        <v>627</v>
      </c>
      <c r="C3178" s="13" t="s">
        <v>2254</v>
      </c>
      <c r="D3178" s="13" t="s">
        <v>2542</v>
      </c>
      <c r="E3178" s="13" t="s">
        <v>1037</v>
      </c>
      <c r="F3178" s="13" t="s">
        <v>2552</v>
      </c>
      <c r="G3178" s="61" t="n">
        <v>1146225290366</v>
      </c>
      <c r="H3178" s="13" t="s">
        <v>2255</v>
      </c>
      <c r="I3178" s="13" t="s">
        <v>2543</v>
      </c>
      <c r="J3178" s="13"/>
      <c r="K3178" s="13" t="s">
        <v>2544</v>
      </c>
      <c r="L3178" s="13" t="s">
        <v>2545</v>
      </c>
      <c r="M3178" s="13" t="s">
        <v>2546</v>
      </c>
    </row>
    <row r="3179" customFormat="false" ht="15" hidden="false" customHeight="false" outlineLevel="0" collapsed="false">
      <c r="A3179" s="13" t="s">
        <v>628</v>
      </c>
      <c r="B3179" s="13" t="s">
        <v>627</v>
      </c>
      <c r="C3179" s="13" t="s">
        <v>2254</v>
      </c>
      <c r="D3179" s="13" t="s">
        <v>2542</v>
      </c>
      <c r="E3179" s="13" t="s">
        <v>1057</v>
      </c>
      <c r="F3179" s="13" t="s">
        <v>2553</v>
      </c>
      <c r="G3179" s="61" t="n">
        <v>1100343664497</v>
      </c>
      <c r="H3179" s="13" t="s">
        <v>2255</v>
      </c>
      <c r="I3179" s="13" t="s">
        <v>2543</v>
      </c>
      <c r="J3179" s="13"/>
      <c r="K3179" s="13" t="s">
        <v>2544</v>
      </c>
      <c r="L3179" s="13" t="s">
        <v>2545</v>
      </c>
      <c r="M3179" s="13" t="s">
        <v>2546</v>
      </c>
    </row>
    <row r="3180" customFormat="false" ht="15" hidden="false" customHeight="false" outlineLevel="0" collapsed="false">
      <c r="A3180" s="13" t="s">
        <v>628</v>
      </c>
      <c r="B3180" s="13" t="s">
        <v>627</v>
      </c>
      <c r="C3180" s="13" t="s">
        <v>2254</v>
      </c>
      <c r="D3180" s="13" t="s">
        <v>2542</v>
      </c>
      <c r="E3180" s="13" t="s">
        <v>944</v>
      </c>
      <c r="F3180" s="13" t="s">
        <v>945</v>
      </c>
      <c r="G3180" s="61" t="n">
        <v>105154066420</v>
      </c>
      <c r="H3180" s="13" t="s">
        <v>2255</v>
      </c>
      <c r="I3180" s="13" t="s">
        <v>2543</v>
      </c>
      <c r="J3180" s="13"/>
      <c r="K3180" s="13" t="s">
        <v>2554</v>
      </c>
      <c r="L3180" s="13" t="s">
        <v>2545</v>
      </c>
      <c r="M3180" s="13" t="s">
        <v>2546</v>
      </c>
    </row>
    <row r="3181" customFormat="false" ht="15" hidden="false" customHeight="false" outlineLevel="0" collapsed="false">
      <c r="A3181" s="13" t="s">
        <v>628</v>
      </c>
      <c r="B3181" s="13" t="s">
        <v>627</v>
      </c>
      <c r="C3181" s="13" t="s">
        <v>2254</v>
      </c>
      <c r="D3181" s="13" t="s">
        <v>2542</v>
      </c>
      <c r="E3181" s="13" t="s">
        <v>946</v>
      </c>
      <c r="F3181" s="13" t="s">
        <v>947</v>
      </c>
      <c r="G3181" s="61" t="n">
        <v>-21121946022</v>
      </c>
      <c r="H3181" s="13" t="s">
        <v>2255</v>
      </c>
      <c r="I3181" s="13" t="s">
        <v>2543</v>
      </c>
      <c r="J3181" s="13"/>
      <c r="K3181" s="13" t="s">
        <v>2554</v>
      </c>
      <c r="L3181" s="13" t="s">
        <v>2545</v>
      </c>
      <c r="M3181" s="13" t="s">
        <v>2546</v>
      </c>
    </row>
    <row r="3182" customFormat="false" ht="15" hidden="false" customHeight="false" outlineLevel="0" collapsed="false">
      <c r="A3182" s="13" t="s">
        <v>628</v>
      </c>
      <c r="B3182" s="13" t="s">
        <v>627</v>
      </c>
      <c r="C3182" s="13" t="s">
        <v>2254</v>
      </c>
      <c r="D3182" s="13" t="s">
        <v>2542</v>
      </c>
      <c r="E3182" s="13" t="s">
        <v>948</v>
      </c>
      <c r="F3182" s="13" t="s">
        <v>949</v>
      </c>
      <c r="G3182" s="61" t="n">
        <v>84032120398</v>
      </c>
      <c r="H3182" s="13" t="s">
        <v>2255</v>
      </c>
      <c r="I3182" s="13" t="s">
        <v>2543</v>
      </c>
      <c r="J3182" s="13"/>
      <c r="K3182" s="13" t="s">
        <v>2554</v>
      </c>
      <c r="L3182" s="13" t="s">
        <v>2545</v>
      </c>
      <c r="M3182" s="13" t="s">
        <v>2546</v>
      </c>
    </row>
    <row r="3183" customFormat="false" ht="15" hidden="false" customHeight="false" outlineLevel="0" collapsed="false">
      <c r="A3183" s="13" t="s">
        <v>628</v>
      </c>
      <c r="B3183" s="13" t="s">
        <v>627</v>
      </c>
      <c r="C3183" s="13" t="s">
        <v>2254</v>
      </c>
      <c r="D3183" s="13" t="s">
        <v>2542</v>
      </c>
      <c r="E3183" s="13" t="s">
        <v>950</v>
      </c>
      <c r="F3183" s="13" t="s">
        <v>951</v>
      </c>
      <c r="G3183" s="61" t="n">
        <v>30771710352</v>
      </c>
      <c r="H3183" s="13" t="s">
        <v>2255</v>
      </c>
      <c r="I3183" s="13" t="s">
        <v>2543</v>
      </c>
      <c r="J3183" s="13"/>
      <c r="K3183" s="13" t="s">
        <v>2554</v>
      </c>
      <c r="L3183" s="13" t="s">
        <v>2545</v>
      </c>
      <c r="M3183" s="13" t="s">
        <v>2546</v>
      </c>
    </row>
    <row r="3184" customFormat="false" ht="15" hidden="false" customHeight="false" outlineLevel="0" collapsed="false">
      <c r="A3184" s="13" t="s">
        <v>628</v>
      </c>
      <c r="B3184" s="13" t="s">
        <v>627</v>
      </c>
      <c r="C3184" s="13" t="s">
        <v>2254</v>
      </c>
      <c r="D3184" s="13" t="s">
        <v>2542</v>
      </c>
      <c r="E3184" s="13" t="s">
        <v>952</v>
      </c>
      <c r="F3184" s="13" t="s">
        <v>953</v>
      </c>
      <c r="G3184" s="61" t="n">
        <v>2616131161</v>
      </c>
      <c r="H3184" s="13" t="s">
        <v>2255</v>
      </c>
      <c r="I3184" s="13" t="s">
        <v>2543</v>
      </c>
      <c r="J3184" s="13"/>
      <c r="K3184" s="13" t="s">
        <v>2554</v>
      </c>
      <c r="L3184" s="13" t="s">
        <v>2545</v>
      </c>
      <c r="M3184" s="13" t="s">
        <v>2546</v>
      </c>
    </row>
    <row r="3185" customFormat="false" ht="15" hidden="false" customHeight="false" outlineLevel="0" collapsed="false">
      <c r="A3185" s="13" t="s">
        <v>628</v>
      </c>
      <c r="B3185" s="13" t="s">
        <v>627</v>
      </c>
      <c r="C3185" s="13" t="s">
        <v>2254</v>
      </c>
      <c r="D3185" s="13" t="s">
        <v>2542</v>
      </c>
      <c r="E3185" s="13" t="s">
        <v>954</v>
      </c>
      <c r="F3185" s="13" t="s">
        <v>955</v>
      </c>
      <c r="G3185" s="61" t="n">
        <v>33387841513</v>
      </c>
      <c r="H3185" s="13" t="s">
        <v>2255</v>
      </c>
      <c r="I3185" s="13" t="s">
        <v>2543</v>
      </c>
      <c r="J3185" s="13"/>
      <c r="K3185" s="13" t="s">
        <v>2554</v>
      </c>
      <c r="L3185" s="13" t="s">
        <v>2545</v>
      </c>
      <c r="M3185" s="13" t="s">
        <v>2546</v>
      </c>
    </row>
    <row r="3186" customFormat="false" ht="15" hidden="false" customHeight="false" outlineLevel="0" collapsed="false">
      <c r="A3186" s="13" t="s">
        <v>628</v>
      </c>
      <c r="B3186" s="13" t="s">
        <v>627</v>
      </c>
      <c r="C3186" s="13" t="s">
        <v>2254</v>
      </c>
      <c r="D3186" s="13" t="s">
        <v>2542</v>
      </c>
      <c r="E3186" s="13" t="s">
        <v>956</v>
      </c>
      <c r="F3186" s="13" t="s">
        <v>957</v>
      </c>
      <c r="G3186" s="61" t="n">
        <v>50644278885</v>
      </c>
      <c r="H3186" s="13" t="s">
        <v>2255</v>
      </c>
      <c r="I3186" s="13" t="s">
        <v>2543</v>
      </c>
      <c r="J3186" s="13"/>
      <c r="K3186" s="13" t="s">
        <v>2554</v>
      </c>
      <c r="L3186" s="13" t="s">
        <v>2545</v>
      </c>
      <c r="M3186" s="13" t="s">
        <v>2546</v>
      </c>
    </row>
    <row r="3187" customFormat="false" ht="15" hidden="false" customHeight="false" outlineLevel="0" collapsed="false">
      <c r="A3187" s="13" t="s">
        <v>628</v>
      </c>
      <c r="B3187" s="13" t="s">
        <v>627</v>
      </c>
      <c r="C3187" s="13" t="s">
        <v>2254</v>
      </c>
      <c r="D3187" s="13" t="s">
        <v>2542</v>
      </c>
      <c r="E3187" s="13" t="s">
        <v>774</v>
      </c>
      <c r="F3187" s="13" t="s">
        <v>775</v>
      </c>
      <c r="G3187" s="61" t="n">
        <v>183170680323</v>
      </c>
      <c r="H3187" s="13" t="s">
        <v>2255</v>
      </c>
      <c r="I3187" s="13" t="s">
        <v>2543</v>
      </c>
      <c r="J3187" s="13"/>
      <c r="K3187" s="13" t="s">
        <v>2554</v>
      </c>
      <c r="L3187" s="13" t="s">
        <v>2545</v>
      </c>
      <c r="M3187" s="13" t="s">
        <v>2546</v>
      </c>
    </row>
    <row r="3188" customFormat="false" ht="15" hidden="false" customHeight="false" outlineLevel="0" collapsed="false">
      <c r="A3188" s="13" t="s">
        <v>628</v>
      </c>
      <c r="B3188" s="13" t="s">
        <v>627</v>
      </c>
      <c r="C3188" s="13" t="s">
        <v>2254</v>
      </c>
      <c r="D3188" s="13" t="s">
        <v>2542</v>
      </c>
      <c r="E3188" s="13" t="s">
        <v>777</v>
      </c>
      <c r="F3188" s="13" t="s">
        <v>778</v>
      </c>
      <c r="G3188" s="61" t="n">
        <v>26870134552</v>
      </c>
      <c r="H3188" s="13" t="s">
        <v>2255</v>
      </c>
      <c r="I3188" s="13" t="s">
        <v>2543</v>
      </c>
      <c r="J3188" s="13"/>
      <c r="K3188" s="13" t="s">
        <v>2554</v>
      </c>
      <c r="L3188" s="13" t="s">
        <v>2545</v>
      </c>
      <c r="M3188" s="13" t="s">
        <v>2546</v>
      </c>
    </row>
    <row r="3189" customFormat="false" ht="15" hidden="false" customHeight="false" outlineLevel="0" collapsed="false">
      <c r="A3189" s="13" t="s">
        <v>628</v>
      </c>
      <c r="B3189" s="13" t="s">
        <v>627</v>
      </c>
      <c r="C3189" s="13" t="s">
        <v>2254</v>
      </c>
      <c r="D3189" s="13" t="s">
        <v>2542</v>
      </c>
      <c r="E3189" s="13" t="s">
        <v>779</v>
      </c>
      <c r="F3189" s="13" t="s">
        <v>780</v>
      </c>
      <c r="G3189" s="61" t="n">
        <v>25790584836</v>
      </c>
      <c r="H3189" s="13" t="s">
        <v>2255</v>
      </c>
      <c r="I3189" s="13" t="s">
        <v>2543</v>
      </c>
      <c r="J3189" s="13"/>
      <c r="K3189" s="13" t="s">
        <v>2554</v>
      </c>
      <c r="L3189" s="13" t="s">
        <v>2545</v>
      </c>
      <c r="M3189" s="13" t="s">
        <v>2546</v>
      </c>
    </row>
    <row r="3190" customFormat="false" ht="15" hidden="false" customHeight="false" outlineLevel="0" collapsed="false">
      <c r="A3190" s="13" t="s">
        <v>628</v>
      </c>
      <c r="B3190" s="13" t="s">
        <v>627</v>
      </c>
      <c r="C3190" s="13" t="s">
        <v>2254</v>
      </c>
      <c r="D3190" s="13" t="s">
        <v>2542</v>
      </c>
      <c r="E3190" s="13" t="s">
        <v>958</v>
      </c>
      <c r="F3190" s="13" t="s">
        <v>959</v>
      </c>
      <c r="G3190" s="61" t="n">
        <v>16538270350</v>
      </c>
      <c r="H3190" s="13" t="s">
        <v>2255</v>
      </c>
      <c r="I3190" s="13" t="s">
        <v>2543</v>
      </c>
      <c r="J3190" s="13"/>
      <c r="K3190" s="13" t="s">
        <v>2554</v>
      </c>
      <c r="L3190" s="13" t="s">
        <v>2545</v>
      </c>
      <c r="M3190" s="13" t="s">
        <v>2546</v>
      </c>
    </row>
    <row r="3191" customFormat="false" ht="15" hidden="false" customHeight="false" outlineLevel="0" collapsed="false">
      <c r="A3191" s="13" t="s">
        <v>628</v>
      </c>
      <c r="B3191" s="13" t="s">
        <v>627</v>
      </c>
      <c r="C3191" s="13" t="s">
        <v>2254</v>
      </c>
      <c r="D3191" s="13" t="s">
        <v>2542</v>
      </c>
      <c r="E3191" s="13" t="s">
        <v>960</v>
      </c>
      <c r="F3191" s="13" t="s">
        <v>961</v>
      </c>
      <c r="G3191" s="61" t="n">
        <v>641524826591</v>
      </c>
      <c r="H3191" s="13" t="s">
        <v>2255</v>
      </c>
      <c r="I3191" s="13" t="s">
        <v>2543</v>
      </c>
      <c r="J3191" s="13"/>
      <c r="K3191" s="13" t="s">
        <v>2555</v>
      </c>
      <c r="L3191" s="13" t="s">
        <v>2545</v>
      </c>
      <c r="M3191" s="13" t="s">
        <v>2546</v>
      </c>
    </row>
    <row r="3192" customFormat="false" ht="15" hidden="false" customHeight="false" outlineLevel="0" collapsed="false">
      <c r="A3192" s="13" t="s">
        <v>628</v>
      </c>
      <c r="B3192" s="13" t="s">
        <v>627</v>
      </c>
      <c r="C3192" s="13" t="s">
        <v>2254</v>
      </c>
      <c r="D3192" s="13" t="s">
        <v>2542</v>
      </c>
      <c r="E3192" s="13" t="s">
        <v>963</v>
      </c>
      <c r="F3192" s="13" t="s">
        <v>964</v>
      </c>
      <c r="G3192" s="61" t="n">
        <v>0</v>
      </c>
      <c r="H3192" s="13" t="s">
        <v>2255</v>
      </c>
      <c r="I3192" s="13" t="s">
        <v>2543</v>
      </c>
      <c r="J3192" s="13"/>
      <c r="K3192" s="13" t="s">
        <v>2555</v>
      </c>
      <c r="L3192" s="13" t="s">
        <v>2545</v>
      </c>
      <c r="M3192" s="13" t="s">
        <v>2546</v>
      </c>
    </row>
    <row r="3193" customFormat="false" ht="15" hidden="false" customHeight="false" outlineLevel="0" collapsed="false">
      <c r="A3193" s="13" t="s">
        <v>628</v>
      </c>
      <c r="B3193" s="13" t="s">
        <v>627</v>
      </c>
      <c r="C3193" s="13" t="s">
        <v>2254</v>
      </c>
      <c r="D3193" s="13" t="s">
        <v>2542</v>
      </c>
      <c r="E3193" s="13" t="s">
        <v>965</v>
      </c>
      <c r="F3193" s="13" t="s">
        <v>966</v>
      </c>
      <c r="G3193" s="61" t="n">
        <v>28164728810</v>
      </c>
      <c r="H3193" s="13" t="s">
        <v>2255</v>
      </c>
      <c r="I3193" s="13" t="s">
        <v>2543</v>
      </c>
      <c r="J3193" s="13"/>
      <c r="K3193" s="13" t="s">
        <v>2555</v>
      </c>
      <c r="L3193" s="13" t="s">
        <v>2545</v>
      </c>
      <c r="M3193" s="13" t="s">
        <v>2546</v>
      </c>
    </row>
    <row r="3194" customFormat="false" ht="15" hidden="false" customHeight="false" outlineLevel="0" collapsed="false">
      <c r="A3194" s="13" t="s">
        <v>628</v>
      </c>
      <c r="B3194" s="13" t="s">
        <v>627</v>
      </c>
      <c r="C3194" s="13" t="s">
        <v>2254</v>
      </c>
      <c r="D3194" s="13" t="s">
        <v>2542</v>
      </c>
      <c r="E3194" s="13" t="s">
        <v>967</v>
      </c>
      <c r="F3194" s="13" t="s">
        <v>968</v>
      </c>
      <c r="G3194" s="61" t="n">
        <v>145782031933</v>
      </c>
      <c r="H3194" s="13" t="s">
        <v>2255</v>
      </c>
      <c r="I3194" s="13" t="s">
        <v>2543</v>
      </c>
      <c r="J3194" s="13"/>
      <c r="K3194" s="13" t="s">
        <v>2555</v>
      </c>
      <c r="L3194" s="13" t="s">
        <v>2545</v>
      </c>
      <c r="M3194" s="13" t="s">
        <v>2546</v>
      </c>
    </row>
    <row r="3195" customFormat="false" ht="15" hidden="false" customHeight="false" outlineLevel="0" collapsed="false">
      <c r="A3195" s="13" t="s">
        <v>628</v>
      </c>
      <c r="B3195" s="13" t="s">
        <v>627</v>
      </c>
      <c r="C3195" s="13" t="s">
        <v>2254</v>
      </c>
      <c r="D3195" s="13" t="s">
        <v>2542</v>
      </c>
      <c r="E3195" s="13" t="s">
        <v>969</v>
      </c>
      <c r="F3195" s="13" t="s">
        <v>970</v>
      </c>
      <c r="G3195" s="61" t="n">
        <v>60204755098</v>
      </c>
      <c r="H3195" s="13" t="s">
        <v>2255</v>
      </c>
      <c r="I3195" s="13" t="s">
        <v>2543</v>
      </c>
      <c r="J3195" s="13"/>
      <c r="K3195" s="13" t="s">
        <v>2555</v>
      </c>
      <c r="L3195" s="13" t="s">
        <v>2545</v>
      </c>
      <c r="M3195" s="13" t="s">
        <v>2546</v>
      </c>
    </row>
    <row r="3196" customFormat="false" ht="15" hidden="false" customHeight="false" outlineLevel="0" collapsed="false">
      <c r="A3196" s="13" t="s">
        <v>628</v>
      </c>
      <c r="B3196" s="13" t="s">
        <v>627</v>
      </c>
      <c r="C3196" s="13" t="s">
        <v>2254</v>
      </c>
      <c r="D3196" s="13" t="s">
        <v>2542</v>
      </c>
      <c r="E3196" s="13" t="s">
        <v>971</v>
      </c>
      <c r="F3196" s="13" t="s">
        <v>972</v>
      </c>
      <c r="G3196" s="61" t="n">
        <v>7192466443</v>
      </c>
      <c r="H3196" s="13" t="s">
        <v>2255</v>
      </c>
      <c r="I3196" s="13" t="s">
        <v>2543</v>
      </c>
      <c r="J3196" s="13"/>
      <c r="K3196" s="13" t="s">
        <v>2555</v>
      </c>
      <c r="L3196" s="13" t="s">
        <v>2545</v>
      </c>
      <c r="M3196" s="13" t="s">
        <v>2546</v>
      </c>
    </row>
    <row r="3197" customFormat="false" ht="15" hidden="false" customHeight="false" outlineLevel="0" collapsed="false">
      <c r="A3197" s="13" t="s">
        <v>628</v>
      </c>
      <c r="B3197" s="13" t="s">
        <v>627</v>
      </c>
      <c r="C3197" s="13" t="s">
        <v>2254</v>
      </c>
      <c r="D3197" s="13" t="s">
        <v>2542</v>
      </c>
      <c r="E3197" s="13" t="s">
        <v>973</v>
      </c>
      <c r="F3197" s="13" t="s">
        <v>974</v>
      </c>
      <c r="G3197" s="61" t="n">
        <v>24799001993</v>
      </c>
      <c r="H3197" s="13" t="s">
        <v>2255</v>
      </c>
      <c r="I3197" s="13" t="s">
        <v>2543</v>
      </c>
      <c r="J3197" s="13"/>
      <c r="K3197" s="13" t="s">
        <v>2555</v>
      </c>
      <c r="L3197" s="13" t="s">
        <v>2545</v>
      </c>
      <c r="M3197" s="13" t="s">
        <v>2546</v>
      </c>
    </row>
    <row r="3198" customFormat="false" ht="15" hidden="false" customHeight="false" outlineLevel="0" collapsed="false">
      <c r="A3198" s="13" t="s">
        <v>628</v>
      </c>
      <c r="B3198" s="13" t="s">
        <v>627</v>
      </c>
      <c r="C3198" s="13" t="s">
        <v>2254</v>
      </c>
      <c r="D3198" s="13" t="s">
        <v>2542</v>
      </c>
      <c r="E3198" s="13" t="s">
        <v>975</v>
      </c>
      <c r="F3198" s="13" t="s">
        <v>976</v>
      </c>
      <c r="G3198" s="61" t="n">
        <v>11105190724</v>
      </c>
      <c r="H3198" s="13" t="s">
        <v>2255</v>
      </c>
      <c r="I3198" s="13" t="s">
        <v>2543</v>
      </c>
      <c r="J3198" s="13"/>
      <c r="K3198" s="13" t="s">
        <v>2555</v>
      </c>
      <c r="L3198" s="13" t="s">
        <v>2545</v>
      </c>
      <c r="M3198" s="13" t="s">
        <v>2546</v>
      </c>
    </row>
    <row r="3199" customFormat="false" ht="15" hidden="false" customHeight="false" outlineLevel="0" collapsed="false">
      <c r="A3199" s="13" t="s">
        <v>628</v>
      </c>
      <c r="B3199" s="13" t="s">
        <v>627</v>
      </c>
      <c r="C3199" s="13" t="s">
        <v>2254</v>
      </c>
      <c r="D3199" s="13" t="s">
        <v>2542</v>
      </c>
      <c r="E3199" s="13" t="s">
        <v>977</v>
      </c>
      <c r="F3199" s="13" t="s">
        <v>978</v>
      </c>
      <c r="G3199" s="61" t="n">
        <v>2115558294</v>
      </c>
      <c r="H3199" s="13" t="s">
        <v>2255</v>
      </c>
      <c r="I3199" s="13" t="s">
        <v>2543</v>
      </c>
      <c r="J3199" s="13"/>
      <c r="K3199" s="13" t="s">
        <v>2555</v>
      </c>
      <c r="L3199" s="13" t="s">
        <v>2545</v>
      </c>
      <c r="M3199" s="13" t="s">
        <v>2546</v>
      </c>
    </row>
    <row r="3200" customFormat="false" ht="15" hidden="false" customHeight="false" outlineLevel="0" collapsed="false">
      <c r="A3200" s="13" t="s">
        <v>628</v>
      </c>
      <c r="B3200" s="13" t="s">
        <v>627</v>
      </c>
      <c r="C3200" s="13" t="s">
        <v>2254</v>
      </c>
      <c r="D3200" s="13" t="s">
        <v>2542</v>
      </c>
      <c r="E3200" s="13" t="s">
        <v>979</v>
      </c>
      <c r="F3200" s="13" t="s">
        <v>980</v>
      </c>
      <c r="G3200" s="61" t="n">
        <v>920888559886</v>
      </c>
      <c r="H3200" s="13" t="s">
        <v>2255</v>
      </c>
      <c r="I3200" s="13" t="s">
        <v>2543</v>
      </c>
      <c r="J3200" s="13"/>
      <c r="K3200" s="13" t="s">
        <v>2555</v>
      </c>
      <c r="L3200" s="13" t="s">
        <v>2545</v>
      </c>
      <c r="M3200" s="13" t="s">
        <v>2546</v>
      </c>
    </row>
    <row r="3201" customFormat="false" ht="15" hidden="false" customHeight="false" outlineLevel="0" collapsed="false">
      <c r="A3201" s="13" t="s">
        <v>628</v>
      </c>
      <c r="B3201" s="13" t="s">
        <v>627</v>
      </c>
      <c r="C3201" s="13" t="s">
        <v>2254</v>
      </c>
      <c r="D3201" s="13" t="s">
        <v>2542</v>
      </c>
      <c r="E3201" s="13" t="s">
        <v>981</v>
      </c>
      <c r="F3201" s="13" t="s">
        <v>982</v>
      </c>
      <c r="G3201" s="61" t="n">
        <v>12573860849</v>
      </c>
      <c r="H3201" s="13" t="s">
        <v>2255</v>
      </c>
      <c r="I3201" s="13" t="s">
        <v>2543</v>
      </c>
      <c r="J3201" s="13"/>
      <c r="K3201" s="13" t="s">
        <v>2555</v>
      </c>
      <c r="L3201" s="13" t="s">
        <v>2545</v>
      </c>
      <c r="M3201" s="13" t="s">
        <v>2546</v>
      </c>
    </row>
    <row r="3202" customFormat="false" ht="15" hidden="false" customHeight="false" outlineLevel="0" collapsed="false">
      <c r="A3202" s="13" t="s">
        <v>628</v>
      </c>
      <c r="B3202" s="13" t="s">
        <v>627</v>
      </c>
      <c r="C3202" s="13" t="s">
        <v>2254</v>
      </c>
      <c r="D3202" s="13" t="s">
        <v>2542</v>
      </c>
      <c r="E3202" s="13" t="s">
        <v>983</v>
      </c>
      <c r="F3202" s="13" t="s">
        <v>984</v>
      </c>
      <c r="G3202" s="61" t="n">
        <v>0</v>
      </c>
      <c r="H3202" s="13" t="s">
        <v>2255</v>
      </c>
      <c r="I3202" s="13" t="s">
        <v>2543</v>
      </c>
      <c r="J3202" s="13"/>
      <c r="K3202" s="13" t="s">
        <v>2555</v>
      </c>
      <c r="L3202" s="13" t="s">
        <v>2545</v>
      </c>
      <c r="M3202" s="13" t="s">
        <v>2546</v>
      </c>
    </row>
    <row r="3203" customFormat="false" ht="15" hidden="false" customHeight="false" outlineLevel="0" collapsed="false">
      <c r="A3203" s="13" t="s">
        <v>628</v>
      </c>
      <c r="B3203" s="13" t="s">
        <v>627</v>
      </c>
      <c r="C3203" s="13" t="s">
        <v>2254</v>
      </c>
      <c r="D3203" s="13" t="s">
        <v>2542</v>
      </c>
      <c r="E3203" s="13" t="s">
        <v>985</v>
      </c>
      <c r="F3203" s="13" t="s">
        <v>986</v>
      </c>
      <c r="G3203" s="61" t="n">
        <v>0</v>
      </c>
      <c r="H3203" s="13" t="s">
        <v>2255</v>
      </c>
      <c r="I3203" s="13" t="s">
        <v>2543</v>
      </c>
      <c r="J3203" s="13"/>
      <c r="K3203" s="13" t="s">
        <v>2555</v>
      </c>
      <c r="L3203" s="13" t="s">
        <v>2545</v>
      </c>
      <c r="M3203" s="13" t="s">
        <v>2546</v>
      </c>
    </row>
    <row r="3204" customFormat="false" ht="15" hidden="false" customHeight="false" outlineLevel="0" collapsed="false">
      <c r="A3204" s="13" t="s">
        <v>628</v>
      </c>
      <c r="B3204" s="13" t="s">
        <v>627</v>
      </c>
      <c r="C3204" s="13" t="s">
        <v>2254</v>
      </c>
      <c r="D3204" s="13" t="s">
        <v>2542</v>
      </c>
      <c r="E3204" s="13" t="s">
        <v>987</v>
      </c>
      <c r="F3204" s="13" t="s">
        <v>988</v>
      </c>
      <c r="G3204" s="61" t="n">
        <v>1263849014009</v>
      </c>
      <c r="H3204" s="13" t="s">
        <v>2255</v>
      </c>
      <c r="I3204" s="13" t="s">
        <v>2543</v>
      </c>
      <c r="J3204" s="13"/>
      <c r="K3204" s="13" t="s">
        <v>2555</v>
      </c>
      <c r="L3204" s="13" t="s">
        <v>2545</v>
      </c>
      <c r="M3204" s="13" t="s">
        <v>2546</v>
      </c>
    </row>
    <row r="3205" customFormat="false" ht="15" hidden="false" customHeight="false" outlineLevel="0" collapsed="false">
      <c r="A3205" s="13" t="s">
        <v>628</v>
      </c>
      <c r="B3205" s="13" t="s">
        <v>627</v>
      </c>
      <c r="C3205" s="13" t="s">
        <v>2254</v>
      </c>
      <c r="D3205" s="13" t="s">
        <v>2542</v>
      </c>
      <c r="E3205" s="13" t="s">
        <v>989</v>
      </c>
      <c r="F3205" s="13" t="s">
        <v>990</v>
      </c>
      <c r="G3205" s="61" t="n">
        <v>29277406956</v>
      </c>
      <c r="H3205" s="13" t="s">
        <v>2255</v>
      </c>
      <c r="I3205" s="13" t="s">
        <v>2543</v>
      </c>
      <c r="J3205" s="13"/>
      <c r="K3205" s="13" t="s">
        <v>2555</v>
      </c>
      <c r="L3205" s="13" t="s">
        <v>2545</v>
      </c>
      <c r="M3205" s="13" t="s">
        <v>2546</v>
      </c>
    </row>
    <row r="3206" customFormat="false" ht="15" hidden="false" customHeight="false" outlineLevel="0" collapsed="false">
      <c r="A3206" s="13" t="s">
        <v>628</v>
      </c>
      <c r="B3206" s="13" t="s">
        <v>627</v>
      </c>
      <c r="C3206" s="13" t="s">
        <v>2254</v>
      </c>
      <c r="D3206" s="13" t="s">
        <v>2542</v>
      </c>
      <c r="E3206" s="13" t="s">
        <v>991</v>
      </c>
      <c r="F3206" s="13" t="s">
        <v>992</v>
      </c>
      <c r="G3206" s="61" t="n">
        <v>0</v>
      </c>
      <c r="H3206" s="13" t="s">
        <v>2255</v>
      </c>
      <c r="I3206" s="13" t="s">
        <v>2543</v>
      </c>
      <c r="J3206" s="13"/>
      <c r="K3206" s="13" t="s">
        <v>2555</v>
      </c>
      <c r="L3206" s="13" t="s">
        <v>2545</v>
      </c>
      <c r="M3206" s="13" t="s">
        <v>2546</v>
      </c>
    </row>
    <row r="3207" customFormat="false" ht="15" hidden="false" customHeight="false" outlineLevel="0" collapsed="false">
      <c r="A3207" s="13" t="s">
        <v>628</v>
      </c>
      <c r="B3207" s="13" t="s">
        <v>627</v>
      </c>
      <c r="C3207" s="13" t="s">
        <v>2254</v>
      </c>
      <c r="D3207" s="13" t="s">
        <v>2542</v>
      </c>
      <c r="E3207" s="13" t="s">
        <v>993</v>
      </c>
      <c r="F3207" s="13" t="s">
        <v>994</v>
      </c>
      <c r="G3207" s="61" t="n">
        <v>0</v>
      </c>
      <c r="H3207" s="13" t="s">
        <v>2255</v>
      </c>
      <c r="I3207" s="13" t="s">
        <v>2543</v>
      </c>
      <c r="J3207" s="13"/>
      <c r="K3207" s="13" t="s">
        <v>2555</v>
      </c>
      <c r="L3207" s="13" t="s">
        <v>2545</v>
      </c>
      <c r="M3207" s="13" t="s">
        <v>2546</v>
      </c>
    </row>
    <row r="3208" customFormat="false" ht="15" hidden="false" customHeight="false" outlineLevel="0" collapsed="false">
      <c r="A3208" s="13" t="s">
        <v>628</v>
      </c>
      <c r="B3208" s="13" t="s">
        <v>627</v>
      </c>
      <c r="C3208" s="13" t="s">
        <v>2254</v>
      </c>
      <c r="D3208" s="13" t="s">
        <v>2542</v>
      </c>
      <c r="E3208" s="13" t="s">
        <v>995</v>
      </c>
      <c r="F3208" s="13" t="s">
        <v>996</v>
      </c>
      <c r="G3208" s="61" t="n">
        <v>0</v>
      </c>
      <c r="H3208" s="13" t="s">
        <v>2255</v>
      </c>
      <c r="I3208" s="13" t="s">
        <v>2543</v>
      </c>
      <c r="J3208" s="13"/>
      <c r="K3208" s="13" t="s">
        <v>2555</v>
      </c>
      <c r="L3208" s="13" t="s">
        <v>2545</v>
      </c>
      <c r="M3208" s="13" t="s">
        <v>2546</v>
      </c>
    </row>
    <row r="3209" customFormat="false" ht="15" hidden="false" customHeight="false" outlineLevel="0" collapsed="false">
      <c r="A3209" s="13" t="s">
        <v>628</v>
      </c>
      <c r="B3209" s="13" t="s">
        <v>627</v>
      </c>
      <c r="C3209" s="13" t="s">
        <v>2254</v>
      </c>
      <c r="D3209" s="13" t="s">
        <v>2542</v>
      </c>
      <c r="E3209" s="13" t="s">
        <v>997</v>
      </c>
      <c r="F3209" s="13" t="s">
        <v>998</v>
      </c>
      <c r="G3209" s="61" t="n">
        <v>19980113163</v>
      </c>
      <c r="H3209" s="13" t="s">
        <v>2255</v>
      </c>
      <c r="I3209" s="13" t="s">
        <v>2543</v>
      </c>
      <c r="J3209" s="13"/>
      <c r="K3209" s="13" t="s">
        <v>2555</v>
      </c>
      <c r="L3209" s="13" t="s">
        <v>2545</v>
      </c>
      <c r="M3209" s="13" t="s">
        <v>2546</v>
      </c>
    </row>
    <row r="3210" customFormat="false" ht="15" hidden="false" customHeight="false" outlineLevel="0" collapsed="false">
      <c r="A3210" s="13" t="s">
        <v>628</v>
      </c>
      <c r="B3210" s="13" t="s">
        <v>627</v>
      </c>
      <c r="C3210" s="13" t="s">
        <v>2254</v>
      </c>
      <c r="D3210" s="13" t="s">
        <v>2542</v>
      </c>
      <c r="E3210" s="13" t="s">
        <v>999</v>
      </c>
      <c r="F3210" s="13" t="s">
        <v>1000</v>
      </c>
      <c r="G3210" s="61" t="n">
        <v>1325680394977</v>
      </c>
      <c r="H3210" s="13" t="s">
        <v>2255</v>
      </c>
      <c r="I3210" s="13" t="s">
        <v>2543</v>
      </c>
      <c r="J3210" s="13"/>
      <c r="K3210" s="13" t="s">
        <v>2555</v>
      </c>
      <c r="L3210" s="13" t="s">
        <v>2545</v>
      </c>
      <c r="M3210" s="13" t="s">
        <v>2546</v>
      </c>
    </row>
    <row r="3211" customFormat="false" ht="15" hidden="false" customHeight="false" outlineLevel="0" collapsed="false">
      <c r="A3211" s="13" t="s">
        <v>628</v>
      </c>
      <c r="B3211" s="13" t="s">
        <v>627</v>
      </c>
      <c r="C3211" s="13" t="s">
        <v>2254</v>
      </c>
      <c r="D3211" s="13" t="s">
        <v>2542</v>
      </c>
      <c r="E3211" s="13" t="s">
        <v>1001</v>
      </c>
      <c r="F3211" s="13" t="s">
        <v>1002</v>
      </c>
      <c r="G3211" s="61" t="n">
        <v>2246568954863</v>
      </c>
      <c r="H3211" s="13" t="s">
        <v>2255</v>
      </c>
      <c r="I3211" s="13" t="s">
        <v>2543</v>
      </c>
      <c r="J3211" s="13"/>
      <c r="K3211" s="13" t="s">
        <v>2555</v>
      </c>
      <c r="L3211" s="13" t="s">
        <v>2545</v>
      </c>
      <c r="M3211" s="13" t="s">
        <v>2546</v>
      </c>
    </row>
    <row r="3212" customFormat="false" ht="15" hidden="false" customHeight="false" outlineLevel="0" collapsed="false">
      <c r="A3212" s="13" t="s">
        <v>628</v>
      </c>
      <c r="B3212" s="13" t="s">
        <v>627</v>
      </c>
      <c r="C3212" s="13" t="s">
        <v>2254</v>
      </c>
      <c r="D3212" s="13" t="s">
        <v>2542</v>
      </c>
      <c r="E3212" s="13" t="s">
        <v>1003</v>
      </c>
      <c r="F3212" s="13" t="s">
        <v>1004</v>
      </c>
      <c r="G3212" s="61" t="n">
        <v>397023269188</v>
      </c>
      <c r="H3212" s="13" t="s">
        <v>2255</v>
      </c>
      <c r="I3212" s="13" t="s">
        <v>2543</v>
      </c>
      <c r="J3212" s="13"/>
      <c r="K3212" s="13" t="s">
        <v>2555</v>
      </c>
      <c r="L3212" s="13" t="s">
        <v>2545</v>
      </c>
      <c r="M3212" s="13" t="s">
        <v>2546</v>
      </c>
    </row>
    <row r="3213" customFormat="false" ht="15" hidden="false" customHeight="false" outlineLevel="0" collapsed="false">
      <c r="A3213" s="13" t="s">
        <v>628</v>
      </c>
      <c r="B3213" s="13" t="s">
        <v>627</v>
      </c>
      <c r="C3213" s="13" t="s">
        <v>2254</v>
      </c>
      <c r="D3213" s="13" t="s">
        <v>2542</v>
      </c>
      <c r="E3213" s="13" t="s">
        <v>1005</v>
      </c>
      <c r="F3213" s="13" t="s">
        <v>1006</v>
      </c>
      <c r="G3213" s="61" t="n">
        <v>26709213177</v>
      </c>
      <c r="H3213" s="13" t="s">
        <v>2255</v>
      </c>
      <c r="I3213" s="13" t="s">
        <v>2543</v>
      </c>
      <c r="J3213" s="13"/>
      <c r="K3213" s="13" t="s">
        <v>2555</v>
      </c>
      <c r="L3213" s="13" t="s">
        <v>2545</v>
      </c>
      <c r="M3213" s="13" t="s">
        <v>2546</v>
      </c>
    </row>
    <row r="3214" customFormat="false" ht="15" hidden="false" customHeight="false" outlineLevel="0" collapsed="false">
      <c r="A3214" s="13" t="s">
        <v>628</v>
      </c>
      <c r="B3214" s="13" t="s">
        <v>627</v>
      </c>
      <c r="C3214" s="13" t="s">
        <v>2254</v>
      </c>
      <c r="D3214" s="13" t="s">
        <v>2542</v>
      </c>
      <c r="E3214" s="13" t="s">
        <v>1007</v>
      </c>
      <c r="F3214" s="13" t="s">
        <v>1008</v>
      </c>
      <c r="G3214" s="61" t="n">
        <v>109240725848</v>
      </c>
      <c r="H3214" s="13" t="s">
        <v>2255</v>
      </c>
      <c r="I3214" s="13" t="s">
        <v>2543</v>
      </c>
      <c r="J3214" s="13"/>
      <c r="K3214" s="13" t="s">
        <v>2555</v>
      </c>
      <c r="L3214" s="13" t="s">
        <v>2545</v>
      </c>
      <c r="M3214" s="13" t="s">
        <v>2546</v>
      </c>
    </row>
    <row r="3215" customFormat="false" ht="15" hidden="false" customHeight="false" outlineLevel="0" collapsed="false">
      <c r="A3215" s="13" t="s">
        <v>628</v>
      </c>
      <c r="B3215" s="13" t="s">
        <v>627</v>
      </c>
      <c r="C3215" s="13" t="s">
        <v>2254</v>
      </c>
      <c r="D3215" s="13" t="s">
        <v>2542</v>
      </c>
      <c r="E3215" s="13" t="s">
        <v>1009</v>
      </c>
      <c r="F3215" s="13" t="s">
        <v>1010</v>
      </c>
      <c r="G3215" s="61" t="n">
        <v>5782423532</v>
      </c>
      <c r="H3215" s="13" t="s">
        <v>2255</v>
      </c>
      <c r="I3215" s="13" t="s">
        <v>2543</v>
      </c>
      <c r="J3215" s="13"/>
      <c r="K3215" s="13" t="s">
        <v>2555</v>
      </c>
      <c r="L3215" s="13" t="s">
        <v>2545</v>
      </c>
      <c r="M3215" s="13" t="s">
        <v>2546</v>
      </c>
    </row>
    <row r="3216" customFormat="false" ht="15" hidden="false" customHeight="false" outlineLevel="0" collapsed="false">
      <c r="A3216" s="13" t="s">
        <v>628</v>
      </c>
      <c r="B3216" s="13" t="s">
        <v>627</v>
      </c>
      <c r="C3216" s="13" t="s">
        <v>2254</v>
      </c>
      <c r="D3216" s="13" t="s">
        <v>2542</v>
      </c>
      <c r="E3216" s="13" t="s">
        <v>1011</v>
      </c>
      <c r="F3216" s="13" t="s">
        <v>1012</v>
      </c>
      <c r="G3216" s="61" t="n">
        <v>14137366989</v>
      </c>
      <c r="H3216" s="13" t="s">
        <v>2255</v>
      </c>
      <c r="I3216" s="13" t="s">
        <v>2543</v>
      </c>
      <c r="J3216" s="13"/>
      <c r="K3216" s="13" t="s">
        <v>2555</v>
      </c>
      <c r="L3216" s="13" t="s">
        <v>2545</v>
      </c>
      <c r="M3216" s="13" t="s">
        <v>2546</v>
      </c>
    </row>
    <row r="3217" customFormat="false" ht="15" hidden="false" customHeight="false" outlineLevel="0" collapsed="false">
      <c r="A3217" s="13" t="s">
        <v>628</v>
      </c>
      <c r="B3217" s="13" t="s">
        <v>627</v>
      </c>
      <c r="C3217" s="13" t="s">
        <v>2254</v>
      </c>
      <c r="D3217" s="13" t="s">
        <v>2542</v>
      </c>
      <c r="E3217" s="13" t="s">
        <v>1013</v>
      </c>
      <c r="F3217" s="13" t="s">
        <v>1014</v>
      </c>
      <c r="G3217" s="61" t="n">
        <v>61107462440</v>
      </c>
      <c r="H3217" s="13" t="s">
        <v>2255</v>
      </c>
      <c r="I3217" s="13" t="s">
        <v>2543</v>
      </c>
      <c r="J3217" s="13"/>
      <c r="K3217" s="13" t="s">
        <v>2555</v>
      </c>
      <c r="L3217" s="13" t="s">
        <v>2545</v>
      </c>
      <c r="M3217" s="13" t="s">
        <v>2546</v>
      </c>
    </row>
    <row r="3218" customFormat="false" ht="15" hidden="false" customHeight="false" outlineLevel="0" collapsed="false">
      <c r="A3218" s="13" t="s">
        <v>628</v>
      </c>
      <c r="B3218" s="13" t="s">
        <v>627</v>
      </c>
      <c r="C3218" s="13" t="s">
        <v>2254</v>
      </c>
      <c r="D3218" s="13" t="s">
        <v>2542</v>
      </c>
      <c r="E3218" s="13" t="s">
        <v>1015</v>
      </c>
      <c r="F3218" s="13" t="s">
        <v>1016</v>
      </c>
      <c r="G3218" s="61" t="n">
        <v>28153984042</v>
      </c>
      <c r="H3218" s="13" t="s">
        <v>2255</v>
      </c>
      <c r="I3218" s="13" t="s">
        <v>2543</v>
      </c>
      <c r="J3218" s="13"/>
      <c r="K3218" s="13" t="s">
        <v>2555</v>
      </c>
      <c r="L3218" s="13" t="s">
        <v>2545</v>
      </c>
      <c r="M3218" s="13" t="s">
        <v>2546</v>
      </c>
    </row>
    <row r="3219" customFormat="false" ht="15" hidden="false" customHeight="false" outlineLevel="0" collapsed="false">
      <c r="A3219" s="13" t="s">
        <v>628</v>
      </c>
      <c r="B3219" s="13" t="s">
        <v>627</v>
      </c>
      <c r="C3219" s="13" t="s">
        <v>2254</v>
      </c>
      <c r="D3219" s="13" t="s">
        <v>2542</v>
      </c>
      <c r="E3219" s="13" t="s">
        <v>1017</v>
      </c>
      <c r="F3219" s="13" t="s">
        <v>1018</v>
      </c>
      <c r="G3219" s="61" t="n">
        <v>42712017601</v>
      </c>
      <c r="H3219" s="13" t="s">
        <v>2255</v>
      </c>
      <c r="I3219" s="13" t="s">
        <v>2543</v>
      </c>
      <c r="J3219" s="13"/>
      <c r="K3219" s="13" t="s">
        <v>2555</v>
      </c>
      <c r="L3219" s="13" t="s">
        <v>2545</v>
      </c>
      <c r="M3219" s="13" t="s">
        <v>2546</v>
      </c>
    </row>
    <row r="3220" customFormat="false" ht="15" hidden="false" customHeight="false" outlineLevel="0" collapsed="false">
      <c r="A3220" s="13" t="s">
        <v>628</v>
      </c>
      <c r="B3220" s="13" t="s">
        <v>627</v>
      </c>
      <c r="C3220" s="13" t="s">
        <v>2254</v>
      </c>
      <c r="D3220" s="13" t="s">
        <v>2542</v>
      </c>
      <c r="E3220" s="13" t="s">
        <v>1019</v>
      </c>
      <c r="F3220" s="13" t="s">
        <v>1020</v>
      </c>
      <c r="G3220" s="61" t="n">
        <v>15989719364</v>
      </c>
      <c r="H3220" s="13" t="s">
        <v>2255</v>
      </c>
      <c r="I3220" s="13" t="s">
        <v>2543</v>
      </c>
      <c r="J3220" s="13"/>
      <c r="K3220" s="13" t="s">
        <v>2555</v>
      </c>
      <c r="L3220" s="13" t="s">
        <v>2545</v>
      </c>
      <c r="M3220" s="13" t="s">
        <v>2546</v>
      </c>
    </row>
    <row r="3221" customFormat="false" ht="15" hidden="false" customHeight="false" outlineLevel="0" collapsed="false">
      <c r="A3221" s="13" t="s">
        <v>628</v>
      </c>
      <c r="B3221" s="13" t="s">
        <v>627</v>
      </c>
      <c r="C3221" s="13" t="s">
        <v>2254</v>
      </c>
      <c r="D3221" s="13" t="s">
        <v>2542</v>
      </c>
      <c r="E3221" s="13" t="s">
        <v>1021</v>
      </c>
      <c r="F3221" s="13" t="s">
        <v>1022</v>
      </c>
      <c r="G3221" s="61" t="n">
        <v>13131353419</v>
      </c>
      <c r="H3221" s="13" t="s">
        <v>2255</v>
      </c>
      <c r="I3221" s="13" t="s">
        <v>2543</v>
      </c>
      <c r="J3221" s="13"/>
      <c r="K3221" s="13" t="s">
        <v>2555</v>
      </c>
      <c r="L3221" s="13" t="s">
        <v>2545</v>
      </c>
      <c r="M3221" s="13" t="s">
        <v>2546</v>
      </c>
    </row>
    <row r="3222" customFormat="false" ht="15" hidden="false" customHeight="false" outlineLevel="0" collapsed="false">
      <c r="A3222" s="13" t="s">
        <v>628</v>
      </c>
      <c r="B3222" s="13" t="s">
        <v>627</v>
      </c>
      <c r="C3222" s="13" t="s">
        <v>2254</v>
      </c>
      <c r="D3222" s="13" t="s">
        <v>2542</v>
      </c>
      <c r="E3222" s="13" t="s">
        <v>1023</v>
      </c>
      <c r="F3222" s="13" t="s">
        <v>1024</v>
      </c>
      <c r="G3222" s="61" t="n">
        <v>713987535600</v>
      </c>
      <c r="H3222" s="13" t="s">
        <v>2255</v>
      </c>
      <c r="I3222" s="13" t="s">
        <v>2543</v>
      </c>
      <c r="J3222" s="13"/>
      <c r="K3222" s="13" t="s">
        <v>2555</v>
      </c>
      <c r="L3222" s="13" t="s">
        <v>2545</v>
      </c>
      <c r="M3222" s="13" t="s">
        <v>2546</v>
      </c>
    </row>
    <row r="3223" customFormat="false" ht="15" hidden="false" customHeight="false" outlineLevel="0" collapsed="false">
      <c r="A3223" s="13" t="s">
        <v>628</v>
      </c>
      <c r="B3223" s="13" t="s">
        <v>627</v>
      </c>
      <c r="C3223" s="13" t="s">
        <v>2254</v>
      </c>
      <c r="D3223" s="13" t="s">
        <v>2542</v>
      </c>
      <c r="E3223" s="13" t="s">
        <v>1025</v>
      </c>
      <c r="F3223" s="13" t="s">
        <v>1026</v>
      </c>
      <c r="G3223" s="61" t="n">
        <v>114698348</v>
      </c>
      <c r="H3223" s="13" t="s">
        <v>2255</v>
      </c>
      <c r="I3223" s="13" t="s">
        <v>2543</v>
      </c>
      <c r="J3223" s="13"/>
      <c r="K3223" s="13" t="s">
        <v>2555</v>
      </c>
      <c r="L3223" s="13" t="s">
        <v>2545</v>
      </c>
      <c r="M3223" s="13" t="s">
        <v>2546</v>
      </c>
    </row>
    <row r="3224" customFormat="false" ht="15" hidden="false" customHeight="false" outlineLevel="0" collapsed="false">
      <c r="A3224" s="13" t="s">
        <v>628</v>
      </c>
      <c r="B3224" s="13" t="s">
        <v>627</v>
      </c>
      <c r="C3224" s="13" t="s">
        <v>2254</v>
      </c>
      <c r="D3224" s="13" t="s">
        <v>2542</v>
      </c>
      <c r="E3224" s="13" t="s">
        <v>1027</v>
      </c>
      <c r="F3224" s="13" t="s">
        <v>1028</v>
      </c>
      <c r="G3224" s="61" t="n">
        <v>44205817386</v>
      </c>
      <c r="H3224" s="13" t="s">
        <v>2255</v>
      </c>
      <c r="I3224" s="13" t="s">
        <v>2543</v>
      </c>
      <c r="J3224" s="13"/>
      <c r="K3224" s="13" t="s">
        <v>2555</v>
      </c>
      <c r="L3224" s="13" t="s">
        <v>2545</v>
      </c>
      <c r="M3224" s="13" t="s">
        <v>2546</v>
      </c>
    </row>
    <row r="3225" customFormat="false" ht="15" hidden="false" customHeight="false" outlineLevel="0" collapsed="false">
      <c r="A3225" s="13" t="s">
        <v>628</v>
      </c>
      <c r="B3225" s="13" t="s">
        <v>627</v>
      </c>
      <c r="C3225" s="13" t="s">
        <v>2254</v>
      </c>
      <c r="D3225" s="13" t="s">
        <v>2542</v>
      </c>
      <c r="E3225" s="13" t="s">
        <v>1029</v>
      </c>
      <c r="F3225" s="13" t="s">
        <v>1030</v>
      </c>
      <c r="G3225" s="61" t="n">
        <v>301000000000</v>
      </c>
      <c r="H3225" s="13" t="s">
        <v>2255</v>
      </c>
      <c r="I3225" s="13" t="s">
        <v>2543</v>
      </c>
      <c r="J3225" s="13"/>
      <c r="K3225" s="13" t="s">
        <v>2555</v>
      </c>
      <c r="L3225" s="13" t="s">
        <v>2545</v>
      </c>
      <c r="M3225" s="13" t="s">
        <v>2546</v>
      </c>
    </row>
    <row r="3226" customFormat="false" ht="15" hidden="false" customHeight="false" outlineLevel="0" collapsed="false">
      <c r="A3226" s="13" t="s">
        <v>628</v>
      </c>
      <c r="B3226" s="13" t="s">
        <v>627</v>
      </c>
      <c r="C3226" s="13" t="s">
        <v>2254</v>
      </c>
      <c r="D3226" s="13" t="s">
        <v>2542</v>
      </c>
      <c r="E3226" s="13" t="s">
        <v>1031</v>
      </c>
      <c r="F3226" s="13" t="s">
        <v>1032</v>
      </c>
      <c r="G3226" s="61" t="n">
        <v>76775120888</v>
      </c>
      <c r="H3226" s="13" t="s">
        <v>2255</v>
      </c>
      <c r="I3226" s="13" t="s">
        <v>2543</v>
      </c>
      <c r="J3226" s="13"/>
      <c r="K3226" s="13" t="s">
        <v>2555</v>
      </c>
      <c r="L3226" s="13" t="s">
        <v>2545</v>
      </c>
      <c r="M3226" s="13" t="s">
        <v>2546</v>
      </c>
    </row>
    <row r="3227" customFormat="false" ht="15" hidden="false" customHeight="false" outlineLevel="0" collapsed="false">
      <c r="A3227" s="13" t="s">
        <v>628</v>
      </c>
      <c r="B3227" s="13" t="s">
        <v>627</v>
      </c>
      <c r="C3227" s="13" t="s">
        <v>2254</v>
      </c>
      <c r="D3227" s="13" t="s">
        <v>2542</v>
      </c>
      <c r="E3227" s="13" t="s">
        <v>1033</v>
      </c>
      <c r="F3227" s="13" t="s">
        <v>1034</v>
      </c>
      <c r="G3227" s="61" t="n">
        <v>10142118144</v>
      </c>
      <c r="H3227" s="13" t="s">
        <v>2255</v>
      </c>
      <c r="I3227" s="13" t="s">
        <v>2543</v>
      </c>
      <c r="J3227" s="13"/>
      <c r="K3227" s="13" t="s">
        <v>2555</v>
      </c>
      <c r="L3227" s="13" t="s">
        <v>2545</v>
      </c>
      <c r="M3227" s="13" t="s">
        <v>2546</v>
      </c>
    </row>
    <row r="3228" customFormat="false" ht="15" hidden="false" customHeight="false" outlineLevel="0" collapsed="false">
      <c r="A3228" s="13" t="s">
        <v>628</v>
      </c>
      <c r="B3228" s="13" t="s">
        <v>627</v>
      </c>
      <c r="C3228" s="13" t="s">
        <v>2254</v>
      </c>
      <c r="D3228" s="13" t="s">
        <v>2542</v>
      </c>
      <c r="E3228" s="13" t="s">
        <v>1035</v>
      </c>
      <c r="F3228" s="13" t="s">
        <v>1036</v>
      </c>
      <c r="G3228" s="61" t="n">
        <v>432237754766</v>
      </c>
      <c r="H3228" s="13" t="s">
        <v>2255</v>
      </c>
      <c r="I3228" s="13" t="s">
        <v>2543</v>
      </c>
      <c r="J3228" s="13"/>
      <c r="K3228" s="13" t="s">
        <v>2555</v>
      </c>
      <c r="L3228" s="13" t="s">
        <v>2545</v>
      </c>
      <c r="M3228" s="13" t="s">
        <v>2546</v>
      </c>
    </row>
    <row r="3229" customFormat="false" ht="15" hidden="false" customHeight="false" outlineLevel="0" collapsed="false">
      <c r="A3229" s="13" t="s">
        <v>628</v>
      </c>
      <c r="B3229" s="13" t="s">
        <v>627</v>
      </c>
      <c r="C3229" s="13" t="s">
        <v>2254</v>
      </c>
      <c r="D3229" s="13" t="s">
        <v>2542</v>
      </c>
      <c r="E3229" s="13" t="s">
        <v>1037</v>
      </c>
      <c r="F3229" s="13" t="s">
        <v>1038</v>
      </c>
      <c r="G3229" s="61" t="n">
        <v>1146225290366</v>
      </c>
      <c r="H3229" s="13" t="s">
        <v>2255</v>
      </c>
      <c r="I3229" s="13" t="s">
        <v>2543</v>
      </c>
      <c r="J3229" s="13"/>
      <c r="K3229" s="13" t="s">
        <v>2555</v>
      </c>
      <c r="L3229" s="13" t="s">
        <v>2545</v>
      </c>
      <c r="M3229" s="13" t="s">
        <v>2546</v>
      </c>
    </row>
    <row r="3230" customFormat="false" ht="15" hidden="false" customHeight="false" outlineLevel="0" collapsed="false">
      <c r="A3230" s="13" t="s">
        <v>628</v>
      </c>
      <c r="B3230" s="13" t="s">
        <v>627</v>
      </c>
      <c r="C3230" s="13" t="s">
        <v>2254</v>
      </c>
      <c r="D3230" s="13" t="s">
        <v>2542</v>
      </c>
      <c r="E3230" s="13" t="s">
        <v>1039</v>
      </c>
      <c r="F3230" s="13" t="s">
        <v>1040</v>
      </c>
      <c r="G3230" s="61" t="n">
        <v>150000000000</v>
      </c>
      <c r="H3230" s="13" t="s">
        <v>2255</v>
      </c>
      <c r="I3230" s="13" t="s">
        <v>2543</v>
      </c>
      <c r="J3230" s="13"/>
      <c r="K3230" s="13" t="s">
        <v>2555</v>
      </c>
      <c r="L3230" s="13" t="s">
        <v>2545</v>
      </c>
      <c r="M3230" s="13" t="s">
        <v>2546</v>
      </c>
    </row>
    <row r="3231" customFormat="false" ht="15" hidden="false" customHeight="false" outlineLevel="0" collapsed="false">
      <c r="A3231" s="13" t="s">
        <v>628</v>
      </c>
      <c r="B3231" s="13" t="s">
        <v>627</v>
      </c>
      <c r="C3231" s="13" t="s">
        <v>2254</v>
      </c>
      <c r="D3231" s="13" t="s">
        <v>2542</v>
      </c>
      <c r="E3231" s="13" t="s">
        <v>1041</v>
      </c>
      <c r="F3231" s="13" t="s">
        <v>1042</v>
      </c>
      <c r="G3231" s="61" t="n">
        <v>53025969260</v>
      </c>
      <c r="H3231" s="13" t="s">
        <v>2255</v>
      </c>
      <c r="I3231" s="13" t="s">
        <v>2543</v>
      </c>
      <c r="J3231" s="13"/>
      <c r="K3231" s="13" t="s">
        <v>2555</v>
      </c>
      <c r="L3231" s="13" t="s">
        <v>2545</v>
      </c>
      <c r="M3231" s="13" t="s">
        <v>2546</v>
      </c>
    </row>
    <row r="3232" customFormat="false" ht="15" hidden="false" customHeight="false" outlineLevel="0" collapsed="false">
      <c r="A3232" s="13" t="s">
        <v>628</v>
      </c>
      <c r="B3232" s="13" t="s">
        <v>627</v>
      </c>
      <c r="C3232" s="13" t="s">
        <v>2254</v>
      </c>
      <c r="D3232" s="13" t="s">
        <v>2542</v>
      </c>
      <c r="E3232" s="13" t="s">
        <v>1043</v>
      </c>
      <c r="F3232" s="13" t="s">
        <v>1044</v>
      </c>
      <c r="G3232" s="61" t="n">
        <v>0</v>
      </c>
      <c r="H3232" s="13" t="s">
        <v>2255</v>
      </c>
      <c r="I3232" s="13" t="s">
        <v>2543</v>
      </c>
      <c r="J3232" s="13"/>
      <c r="K3232" s="13" t="s">
        <v>2555</v>
      </c>
      <c r="L3232" s="13" t="s">
        <v>2545</v>
      </c>
      <c r="M3232" s="13" t="s">
        <v>2546</v>
      </c>
    </row>
    <row r="3233" customFormat="false" ht="15" hidden="false" customHeight="false" outlineLevel="0" collapsed="false">
      <c r="A3233" s="13" t="s">
        <v>628</v>
      </c>
      <c r="B3233" s="13" t="s">
        <v>627</v>
      </c>
      <c r="C3233" s="13" t="s">
        <v>2254</v>
      </c>
      <c r="D3233" s="13" t="s">
        <v>2542</v>
      </c>
      <c r="E3233" s="13" t="s">
        <v>1045</v>
      </c>
      <c r="F3233" s="13" t="s">
        <v>1046</v>
      </c>
      <c r="G3233" s="61" t="n">
        <v>690499269307</v>
      </c>
      <c r="H3233" s="13" t="s">
        <v>2255</v>
      </c>
      <c r="I3233" s="13" t="s">
        <v>2543</v>
      </c>
      <c r="J3233" s="13"/>
      <c r="K3233" s="13" t="s">
        <v>2555</v>
      </c>
      <c r="L3233" s="13" t="s">
        <v>2545</v>
      </c>
      <c r="M3233" s="13" t="s">
        <v>2546</v>
      </c>
    </row>
    <row r="3234" customFormat="false" ht="15" hidden="false" customHeight="false" outlineLevel="0" collapsed="false">
      <c r="A3234" s="13" t="s">
        <v>628</v>
      </c>
      <c r="B3234" s="13" t="s">
        <v>627</v>
      </c>
      <c r="C3234" s="13" t="s">
        <v>2254</v>
      </c>
      <c r="D3234" s="13" t="s">
        <v>2542</v>
      </c>
      <c r="E3234" s="13" t="s">
        <v>1047</v>
      </c>
      <c r="F3234" s="13" t="s">
        <v>1048</v>
      </c>
      <c r="G3234" s="61" t="n">
        <v>-3524093369</v>
      </c>
      <c r="H3234" s="13" t="s">
        <v>2255</v>
      </c>
      <c r="I3234" s="13" t="s">
        <v>2543</v>
      </c>
      <c r="J3234" s="13"/>
      <c r="K3234" s="13" t="s">
        <v>2555</v>
      </c>
      <c r="L3234" s="13" t="s">
        <v>2545</v>
      </c>
      <c r="M3234" s="13" t="s">
        <v>2546</v>
      </c>
    </row>
    <row r="3235" customFormat="false" ht="15" hidden="false" customHeight="false" outlineLevel="0" collapsed="false">
      <c r="A3235" s="13" t="s">
        <v>628</v>
      </c>
      <c r="B3235" s="13" t="s">
        <v>627</v>
      </c>
      <c r="C3235" s="13" t="s">
        <v>2254</v>
      </c>
      <c r="D3235" s="13" t="s">
        <v>2542</v>
      </c>
      <c r="E3235" s="13" t="s">
        <v>1049</v>
      </c>
      <c r="F3235" s="13" t="s">
        <v>1050</v>
      </c>
      <c r="G3235" s="61" t="n">
        <v>0</v>
      </c>
      <c r="H3235" s="13" t="s">
        <v>2255</v>
      </c>
      <c r="I3235" s="13" t="s">
        <v>2543</v>
      </c>
      <c r="J3235" s="13"/>
      <c r="K3235" s="13" t="s">
        <v>2555</v>
      </c>
      <c r="L3235" s="13" t="s">
        <v>2545</v>
      </c>
      <c r="M3235" s="13" t="s">
        <v>2546</v>
      </c>
    </row>
    <row r="3236" customFormat="false" ht="15" hidden="false" customHeight="false" outlineLevel="0" collapsed="false">
      <c r="A3236" s="13" t="s">
        <v>628</v>
      </c>
      <c r="B3236" s="13" t="s">
        <v>627</v>
      </c>
      <c r="C3236" s="13" t="s">
        <v>2254</v>
      </c>
      <c r="D3236" s="13" t="s">
        <v>2542</v>
      </c>
      <c r="E3236" s="13" t="s">
        <v>1051</v>
      </c>
      <c r="F3236" s="13" t="s">
        <v>1052</v>
      </c>
      <c r="G3236" s="61" t="n">
        <v>126747229866</v>
      </c>
      <c r="H3236" s="13" t="s">
        <v>2255</v>
      </c>
      <c r="I3236" s="13" t="s">
        <v>2543</v>
      </c>
      <c r="J3236" s="13"/>
      <c r="K3236" s="13" t="s">
        <v>2555</v>
      </c>
      <c r="L3236" s="13" t="s">
        <v>2545</v>
      </c>
      <c r="M3236" s="13" t="s">
        <v>2546</v>
      </c>
    </row>
    <row r="3237" customFormat="false" ht="15" hidden="false" customHeight="false" outlineLevel="0" collapsed="false">
      <c r="A3237" s="13" t="s">
        <v>628</v>
      </c>
      <c r="B3237" s="13" t="s">
        <v>627</v>
      </c>
      <c r="C3237" s="13" t="s">
        <v>2254</v>
      </c>
      <c r="D3237" s="13" t="s">
        <v>2542</v>
      </c>
      <c r="E3237" s="13" t="s">
        <v>1053</v>
      </c>
      <c r="F3237" s="13" t="s">
        <v>1054</v>
      </c>
      <c r="G3237" s="61" t="n">
        <v>1016748375064</v>
      </c>
      <c r="H3237" s="13" t="s">
        <v>2255</v>
      </c>
      <c r="I3237" s="13" t="s">
        <v>2543</v>
      </c>
      <c r="J3237" s="13"/>
      <c r="K3237" s="13" t="s">
        <v>2555</v>
      </c>
      <c r="L3237" s="13" t="s">
        <v>2545</v>
      </c>
      <c r="M3237" s="13" t="s">
        <v>2546</v>
      </c>
    </row>
    <row r="3238" customFormat="false" ht="15" hidden="false" customHeight="false" outlineLevel="0" collapsed="false">
      <c r="A3238" s="13" t="s">
        <v>628</v>
      </c>
      <c r="B3238" s="13" t="s">
        <v>627</v>
      </c>
      <c r="C3238" s="13" t="s">
        <v>2254</v>
      </c>
      <c r="D3238" s="13" t="s">
        <v>2542</v>
      </c>
      <c r="E3238" s="13" t="s">
        <v>1055</v>
      </c>
      <c r="F3238" s="13" t="s">
        <v>1056</v>
      </c>
      <c r="G3238" s="61" t="n">
        <v>83595289433</v>
      </c>
      <c r="H3238" s="13" t="s">
        <v>2255</v>
      </c>
      <c r="I3238" s="13" t="s">
        <v>2543</v>
      </c>
      <c r="J3238" s="13"/>
      <c r="K3238" s="13" t="s">
        <v>2555</v>
      </c>
      <c r="L3238" s="13" t="s">
        <v>2545</v>
      </c>
      <c r="M3238" s="13" t="s">
        <v>2546</v>
      </c>
    </row>
    <row r="3239" customFormat="false" ht="15" hidden="false" customHeight="false" outlineLevel="0" collapsed="false">
      <c r="A3239" s="13" t="s">
        <v>628</v>
      </c>
      <c r="B3239" s="13" t="s">
        <v>627</v>
      </c>
      <c r="C3239" s="13" t="s">
        <v>2254</v>
      </c>
      <c r="D3239" s="13" t="s">
        <v>2542</v>
      </c>
      <c r="E3239" s="13" t="s">
        <v>1057</v>
      </c>
      <c r="F3239" s="13" t="s">
        <v>1058</v>
      </c>
      <c r="G3239" s="61" t="n">
        <v>1100343664497</v>
      </c>
      <c r="H3239" s="13" t="s">
        <v>2255</v>
      </c>
      <c r="I3239" s="13" t="s">
        <v>2543</v>
      </c>
      <c r="J3239" s="13"/>
      <c r="K3239" s="13" t="s">
        <v>2555</v>
      </c>
      <c r="L3239" s="13" t="s">
        <v>2545</v>
      </c>
      <c r="M3239" s="13" t="s">
        <v>2546</v>
      </c>
    </row>
    <row r="3240" customFormat="false" ht="15" hidden="false" customHeight="false" outlineLevel="0" collapsed="false">
      <c r="A3240" s="13" t="s">
        <v>628</v>
      </c>
      <c r="B3240" s="13" t="s">
        <v>627</v>
      </c>
      <c r="C3240" s="13" t="s">
        <v>2254</v>
      </c>
      <c r="D3240" s="13" t="s">
        <v>2542</v>
      </c>
      <c r="E3240" s="13" t="s">
        <v>1059</v>
      </c>
      <c r="F3240" s="13" t="s">
        <v>1060</v>
      </c>
      <c r="G3240" s="61" t="n">
        <v>2246568954863</v>
      </c>
      <c r="H3240" s="13" t="s">
        <v>2255</v>
      </c>
      <c r="I3240" s="13" t="s">
        <v>2543</v>
      </c>
      <c r="J3240" s="13"/>
      <c r="K3240" s="13" t="s">
        <v>2555</v>
      </c>
      <c r="L3240" s="13" t="s">
        <v>2545</v>
      </c>
      <c r="M3240" s="13" t="s">
        <v>2546</v>
      </c>
    </row>
  </sheetData>
  <autoFilter ref="A4:M3240"/>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2556</v>
      </c>
    </row>
    <row r="2" customFormat="false" ht="15" hidden="false" customHeight="false" outlineLevel="0" collapsed="false">
      <c r="A2" s="15" t="s">
        <v>2557</v>
      </c>
    </row>
    <row r="4" customFormat="false" ht="15" hidden="false" customHeight="false" outlineLevel="0" collapsed="false">
      <c r="A4" s="24" t="s">
        <v>2558</v>
      </c>
      <c r="B4" s="24" t="s">
        <v>2559</v>
      </c>
      <c r="C4" s="24" t="s">
        <v>1921</v>
      </c>
      <c r="D4" s="24" t="s">
        <v>2560</v>
      </c>
    </row>
    <row r="5" customFormat="false" ht="23.85" hidden="false" customHeight="false" outlineLevel="0" collapsed="false">
      <c r="A5" s="10" t="s">
        <v>2561</v>
      </c>
      <c r="B5" s="10" t="s">
        <v>2562</v>
      </c>
      <c r="C5" s="10" t="n">
        <v>2020</v>
      </c>
      <c r="D5" s="10" t="s">
        <v>2256</v>
      </c>
    </row>
    <row r="6" customFormat="false" ht="15" hidden="false" customHeight="false" outlineLevel="0" collapsed="false">
      <c r="A6" s="10" t="s">
        <v>2561</v>
      </c>
      <c r="B6" s="10" t="s">
        <v>2563</v>
      </c>
      <c r="C6" s="10" t="n">
        <v>2021</v>
      </c>
      <c r="D6" s="10" t="s">
        <v>2259</v>
      </c>
    </row>
    <row r="7" customFormat="false" ht="15" hidden="false" customHeight="false" outlineLevel="0" collapsed="false">
      <c r="A7" s="10" t="s">
        <v>2561</v>
      </c>
      <c r="B7" s="10" t="s">
        <v>2564</v>
      </c>
      <c r="C7" s="10" t="n">
        <v>2022</v>
      </c>
      <c r="D7" s="10" t="s">
        <v>2262</v>
      </c>
    </row>
    <row r="8" customFormat="false" ht="15" hidden="false" customHeight="false" outlineLevel="0" collapsed="false">
      <c r="A8" s="10" t="s">
        <v>2561</v>
      </c>
      <c r="B8" s="10" t="s">
        <v>2565</v>
      </c>
      <c r="C8" s="10" t="n">
        <v>2023</v>
      </c>
      <c r="D8" s="10" t="s">
        <v>657</v>
      </c>
    </row>
    <row r="9" customFormat="false" ht="15" hidden="false" customHeight="false" outlineLevel="0" collapsed="false">
      <c r="A9" s="10" t="s">
        <v>2561</v>
      </c>
      <c r="B9" s="10" t="s">
        <v>2566</v>
      </c>
      <c r="C9" s="10" t="n">
        <v>2024</v>
      </c>
      <c r="D9" s="10" t="s">
        <v>658</v>
      </c>
    </row>
    <row r="10" customFormat="false" ht="15" hidden="false" customHeight="false" outlineLevel="0" collapsed="false">
      <c r="A10" s="10" t="s">
        <v>2561</v>
      </c>
      <c r="B10" s="10" t="s">
        <v>2567</v>
      </c>
      <c r="C10" s="10" t="n">
        <v>2025</v>
      </c>
      <c r="D10" s="10" t="s">
        <v>659</v>
      </c>
    </row>
    <row r="11" customFormat="false" ht="35.05" hidden="false" customHeight="false" outlineLevel="0" collapsed="false">
      <c r="A11" s="10" t="s">
        <v>2568</v>
      </c>
      <c r="B11" s="10" t="s">
        <v>2569</v>
      </c>
      <c r="C11" s="10" t="n">
        <v>2021</v>
      </c>
      <c r="D11" s="10" t="s">
        <v>2570</v>
      </c>
    </row>
    <row r="12" customFormat="false" ht="15" hidden="false" customHeight="false" outlineLevel="0" collapsed="false">
      <c r="A12" s="10" t="s">
        <v>2571</v>
      </c>
      <c r="B12" s="10" t="s">
        <v>2572</v>
      </c>
      <c r="C12" s="10"/>
      <c r="D12" s="10" t="s">
        <v>2573</v>
      </c>
    </row>
    <row r="13" customFormat="false" ht="15" hidden="false" customHeight="false" outlineLevel="0" collapsed="false">
      <c r="A13" s="10" t="s">
        <v>2571</v>
      </c>
      <c r="B13" s="10" t="s">
        <v>2574</v>
      </c>
      <c r="C13" s="10"/>
      <c r="D13" s="10" t="s">
        <v>2575</v>
      </c>
    </row>
    <row r="14" customFormat="false" ht="15" hidden="false" customHeight="false" outlineLevel="0" collapsed="false">
      <c r="A14" s="10" t="s">
        <v>2571</v>
      </c>
      <c r="B14" s="10" t="s">
        <v>2576</v>
      </c>
      <c r="C14" s="10"/>
      <c r="D14" s="10" t="s">
        <v>2577</v>
      </c>
    </row>
    <row r="15" customFormat="false" ht="15" hidden="false" customHeight="false" outlineLevel="0" collapsed="false">
      <c r="A15" s="10" t="s">
        <v>2571</v>
      </c>
      <c r="B15" s="10" t="s">
        <v>2578</v>
      </c>
      <c r="C15" s="10"/>
      <c r="D15" s="10" t="s">
        <v>2579</v>
      </c>
    </row>
    <row r="16" customFormat="false" ht="15" hidden="false" customHeight="false" outlineLevel="0" collapsed="false">
      <c r="A16" s="10" t="s">
        <v>2571</v>
      </c>
      <c r="B16" s="10" t="s">
        <v>2580</v>
      </c>
      <c r="C16" s="10"/>
      <c r="D16" s="10" t="s">
        <v>2581</v>
      </c>
    </row>
    <row r="17" customFormat="false" ht="15" hidden="false" customHeight="false" outlineLevel="0" collapsed="false">
      <c r="A17" s="10" t="s">
        <v>2571</v>
      </c>
      <c r="B17" s="10" t="s">
        <v>2582</v>
      </c>
      <c r="C17" s="10"/>
      <c r="D17" s="10" t="s">
        <v>2583</v>
      </c>
    </row>
    <row r="18" customFormat="false" ht="15" hidden="false" customHeight="false" outlineLevel="0" collapsed="false">
      <c r="A18" s="10" t="s">
        <v>2571</v>
      </c>
      <c r="B18" s="10" t="s">
        <v>2584</v>
      </c>
      <c r="C18" s="10"/>
      <c r="D18" s="10" t="s">
        <v>2585</v>
      </c>
    </row>
    <row r="19" customFormat="false" ht="23.85" hidden="false" customHeight="false" outlineLevel="0" collapsed="false">
      <c r="A19" s="10" t="s">
        <v>2571</v>
      </c>
      <c r="B19" s="10" t="s">
        <v>2586</v>
      </c>
      <c r="C19" s="10"/>
      <c r="D19" s="10" t="s">
        <v>2587</v>
      </c>
    </row>
    <row r="20" customFormat="false" ht="15" hidden="false" customHeight="false" outlineLevel="0" collapsed="false">
      <c r="A20" s="10" t="s">
        <v>2571</v>
      </c>
      <c r="B20" s="10" t="s">
        <v>2588</v>
      </c>
      <c r="C20" s="10"/>
      <c r="D20" s="10" t="s">
        <v>2589</v>
      </c>
    </row>
    <row r="21" customFormat="false" ht="23.85" hidden="false" customHeight="false" outlineLevel="0" collapsed="false">
      <c r="A21" s="10" t="s">
        <v>2590</v>
      </c>
      <c r="B21" s="10" t="s">
        <v>1097</v>
      </c>
      <c r="C21" s="10" t="n">
        <v>2024</v>
      </c>
      <c r="D21" s="10" t="s">
        <v>2591</v>
      </c>
    </row>
    <row r="22" customFormat="false" ht="15" hidden="false" customHeight="false" outlineLevel="0" collapsed="false">
      <c r="A22" s="10" t="s">
        <v>2592</v>
      </c>
      <c r="B22" s="10" t="s">
        <v>2593</v>
      </c>
      <c r="C22" s="10"/>
      <c r="D22" s="10" t="s">
        <v>2594</v>
      </c>
    </row>
    <row r="23" customFormat="false" ht="15" hidden="false" customHeight="false" outlineLevel="0" collapsed="false">
      <c r="A23" s="10" t="s">
        <v>2592</v>
      </c>
      <c r="B23" s="10" t="s">
        <v>2595</v>
      </c>
      <c r="C23" s="10"/>
      <c r="D23" s="10" t="s">
        <v>2594</v>
      </c>
    </row>
    <row r="24" customFormat="false" ht="15" hidden="false" customHeight="false" outlineLevel="0" collapsed="false">
      <c r="A24" s="10" t="s">
        <v>2592</v>
      </c>
      <c r="B24" s="10" t="s">
        <v>2596</v>
      </c>
      <c r="C24" s="10"/>
      <c r="D24" s="10" t="s">
        <v>2594</v>
      </c>
    </row>
    <row r="25" customFormat="false" ht="15" hidden="false" customHeight="false" outlineLevel="0" collapsed="false">
      <c r="A25" s="10" t="s">
        <v>2592</v>
      </c>
      <c r="B25" s="10" t="s">
        <v>2597</v>
      </c>
      <c r="C25" s="10"/>
      <c r="D25" s="10" t="s">
        <v>2594</v>
      </c>
    </row>
    <row r="26" customFormat="false" ht="15" hidden="false" customHeight="false" outlineLevel="0" collapsed="false">
      <c r="A26" s="10" t="s">
        <v>2592</v>
      </c>
      <c r="B26" s="10" t="s">
        <v>2598</v>
      </c>
      <c r="C26" s="10"/>
      <c r="D26" s="10" t="s">
        <v>2594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Bundamedik Tbk (BMHS)&amp;R&amp;7 © Ryant Gabein Pasaribu | CC BY 4.0 | BMHS-FY2025-v1.0-95E2BE75</oddHeader>
    <oddFooter>&amp;L&amp;7 PT Bundamedik Tbk (BMHS) | © Ryant Gabein Pasaribu | CC BY 4.0 | BMHS-FY2025-v1.0-95E2BE75&amp;R&amp;7 Sumber: LK audited BMHS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2026-10-25T08:58:45Z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BMHS-FY2025-v1.0-95E2BE75. Dokumen ini hanya ringkasan informasi dan analisis data fundamental yang bersumber dari laporan keuangan publik (audited) PT Bundamedik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BMHS-FY2025-v1.0-95E2BE75</dc:identifier>
  <cp:keywords>BMHS-FY2025-v1.0-95E2BE75</cp:keywords>
  <dc:language>en-US</dc:language>
  <cp:lastModifiedBy>Ryant Gabein Pasaribu</cp:lastModifiedBy>
  <dcterms:modified xsi:type="dcterms:W3CDTF">2026-10-25T08:58:46Z</dcterms:modified>
  <cp:revision>0</cp:revision>
  <dc:subject>Model fundamental PT Bundamedik Tbk (BMHS) - CC BY 4.0</dc:subject>
  <dc:title>Model fundamental BMHS</dc:title>
  <cp:version>v1.0</cp:version>
</cp:coreProperties>
</file>

<file path=docProps/custom.xml><?xml version="1.0" encoding="utf-8"?>
<Properties xmlns="http://schemas.openxmlformats.org/officeDocument/2006/custom-properties" xmlns:vt="http://schemas.openxmlformats.org/officeDocument/2006/docPropsVTypes"/>
</file>