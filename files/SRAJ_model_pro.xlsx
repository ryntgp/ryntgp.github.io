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Database!$A$4:$M$1085</definedName>
    <definedName function="false" hidden="true" localSheetId="16" name="_xlnm._FilterDatabase" vbProcedure="false">Rekonsiliasi!$A$6:$L$336</definedName>
    <definedName function="false" hidden="false" localSheetId="2" name="_xlnm.Print_Area" vbProcedure="false">Ringkasan!$A$1:$I$103</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pendapatan obat &amp; perlengkapan medis terhadap pendapatan (Cat 26).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SRAJ (PT Sejahteraraya Anugrahjaya Tbk / Mayapada Hospital). Histori FY2020-FY2025 dari LK audit masing-masing tahun (dasar asli), kecuali 2024 dari komparatif LK FY2025 (disajikan kembali, Catatan 46). PATAHAN BASIS PENDAPATAN: LK FY2025 menyajikan kembali 2024 karena Grup bertindak sebagai agen atas jasa dokter (PSAK 115) -&gt; pendapatan &amp; beban pokok 2024 masing-masing turun 807.914 juta (laba bruto tetap). Pendapatan &amp; beban pokok 2020-2023 masih bruto (termasuk jasa dokter) sehingga margin kotor 2020-2023 TIDAK sebanding dengan 2024-2025. Satuan sumber: Rupiah penuh (2020-2022) dan Rp juta (2023-2025; dikali 1.000.000).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SRAJ (PT Sejahteraraya Anugrahjaya Tbk / Mayapada Hospital). Histori FY2020-FY2025 dari LK audit masing-masing tahun (dasar asli), kecuali 2024 dari komparatif LK FY2025 (disajikan kembali, Catatan 46). PATAHAN BASIS PENDAPATAN: LK FY2025 menyajikan kembali 2024 karena Grup bertindak sebagai agen atas jasa dokter (PSAK 115) -&gt; pendapatan &amp; beban pokok 2024 masing-masing turun 807.914 juta (laba bruto tetap). Pendapatan &amp; beban pokok 2020-2023 masih bruto (termasuk jasa dokter) sehingga margin kotor 2020-2023 TIDAK sebanding dengan 2024-2025. Satuan sumber: Rupiah penuh (2020-2022) dan Rp juta (2023-2025; dikali 1.000.000).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SRAJ (PT Sejahteraraya Anugrahjaya Tbk / Mayapada Hospital). Histori FY2020-FY2025 dari LK audit masing-masing tahun (dasar asli), kecuali 2024 dari komparatif LK FY2025 (disajikan kembali, Catatan 46). PATAHAN BASIS PENDAPATAN: LK FY2025 menyajikan kembali 2024 karena Grup bertindak sebagai agen atas jasa dokter (PSAK 115) -&gt; pendapatan &amp; beban pokok 2024 masing-masing turun 807.914 juta (laba bruto tetap). Pendapatan &amp; beban pokok 2020-2023 masih bruto (termasuk jasa dokter) sehingga margin kotor 2020-2023 TIDAK sebanding dengan 2024-2025. Satuan sumber: Rupiah penuh (2020-2022) dan Rp juta (2023-2025; dikali 1.000.000).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SRAJ (PT Sejahteraraya Anugrahjaya Tbk / Mayapada Hospital). Histori FY2020-FY2025 dari LK audit masing-masing tahun (dasar asli), kecuali 2024 dari komparatif LK FY2025 (disajikan kembali, Catatan 46). PATAHAN BASIS PENDAPATAN: LK FY2025 menyajikan kembali 2024 karena Grup bertindak sebagai agen atas jasa dokter (PSAK 115) -&gt; pendapatan &amp; beban pokok 2024 masing-masing turun 807.914 juta (laba bruto tetap). Pendapatan &amp; beban pokok 2020-2023 masih bruto (termasuk jasa dokter) sehingga margin kotor 2020-2023 TIDAK sebanding dengan 2024-2025. Satuan sumber: Rupiah penuh (2020-2022) dan Rp juta (2023-2025; dikali 1.000.000).</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<sst xmlns="http://schemas.openxmlformats.org/spreadsheetml/2006/main" count="13836" uniqueCount="1725">
  <si>
    <t xml:space="preserve">PT Sejahteraraya Anugrahjaya Tbk (SRAJ)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</si>
  <si>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</si>
  <si>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</si>
  <si>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</si>
  <si>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Sejahteraraya Anugrahjaya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</si>
  <si>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</si>
  <si>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</si>
  <si>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</si>
  <si>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Sejahteraraya Anugrahjaya Tbk FY2020-FY2025 (diunduh dari situs perusahaan mayapadahospital.com, halaman hubungan investor). Kolom 2020-2023 dan 2025 dari LK tahun masing-masing (dasar asli); kolom 2024 dari komparatif LK FY2025 yang disajikan kembali (PSAK 115: Grup sebagai agen atas jasa dokter). LK FY2023-FY2025 dalam jutaan Rupiah (dikonversi ke Rupiah penuh).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</si>
  <si>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</si>
  <si>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</si>
  <si>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</si>
  <si>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</si>
  <si>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v1.0</t>
  </si>
  <si>
    <t xml:space="preserve">Tanggal terbit</t>
  </si>
  <si>
    <t xml:space="preserve">2026-10-26</t>
  </si>
  <si>
    <t xml:space="preserve">ID file</t>
  </si>
  <si>
    <t xml:space="preserve">SRAJ-FY2025-v1.0-79A95C20</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</si>
  <si>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</si>
  <si>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</si>
  <si>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</si>
  <si>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</si>
  <si>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</si>
  <si>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</si>
  <si>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</si>
  <si>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Sejahteraraya Anugrahjaya Tbk dan Entitas Anaknya (kode SRAJ) - jaringan rumah sakit swasta Mayapada Hospital (Jakarta, Tangerang, Bogor, Surabaya, Bandung)</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</si>
  <si>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</si>
  <si>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</si>
  <si>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</si>
  <si>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</si>
  <si>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</si>
  <si>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</si>
  <si>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</si>
  <si>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26-10-2026 oleh /workspace/emiten/common/build_model.py --ticker SRAJ</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</si>
  <si>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</si>
  <si>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</si>
  <si>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</si>
  <si>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</si>
  <si>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</si>
  <si>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</si>
  <si>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</si>
  <si>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</si>
  <si>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</si>
  <si>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</si>
  <si>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FY2023-2025</t>
  </si>
  <si>
    <t xml:space="preserve">IS_Proj</t>
  </si>
  <si>
    <t xml:space="preserve">Proyeksi laba rugi (pendapatan per kelompok,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</si>
  <si>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</si>
  <si>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</si>
  <si>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</si>
  <si>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</si>
  <si>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</si>
  <si>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</si>
  <si>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</si>
  <si>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</si>
  <si>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</si>
  <si>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</si>
  <si>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</si>
  <si>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</si>
  <si>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</si>
  <si>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</si>
  <si>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</si>
  <si>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</si>
  <si>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</si>
  <si>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(2020 tidak tersedia): pendapatan per kelompok, D&amp;A, mutasi aset tetap, rincian catatan 26-28 &amp; 30, EPS</t>
  </si>
  <si>
    <t xml:space="preserve">Rasio</t>
  </si>
  <si>
    <t xml:space="preserve">Rasio 5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</si>
  <si>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</si>
  <si>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</si>
  <si>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</si>
  <si>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</si>
  <si>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</si>
  <si>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</si>
  <si>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</si>
  <si>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</si>
  <si>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</si>
  <si>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</si>
  <si>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</si>
  <si>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</si>
  <si>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</si>
  <si>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</si>
  <si>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(LK FY2020); kolom 2024 dari komparatif LK FY2025 yang disajikan kembali (Temuan S1-S2).</t>
  </si>
  <si>
    <t xml:space="preserve">3. Rincian &amp; rasio</t>
  </si>
  <si>
    <t xml:space="preserve">Schedules memuat rincian catatan (CALK) FY2020-2025;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</si>
  <si>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</si>
  <si>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</si>
  <si>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</si>
  <si>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</si>
  <si>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</si>
  <si>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</si>
  <si>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</si>
  <si>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</si>
  <si>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</si>
  <si>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</si>
  <si>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</si>
  <si>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</si>
  <si>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</si>
  <si>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</si>
  <si>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</si>
  <si>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</si>
  <si>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</si>
  <si>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</si>
  <si>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LK FY2020</t>
  </si>
  <si>
    <t xml:space="preserve">Biru muda</t>
  </si>
  <si>
    <t xml:space="preserve">Kolom tahun proyeksi (E) - ilustratif</t>
  </si>
  <si>
    <t xml:space="preserve">Definisi penting</t>
  </si>
  <si>
    <t xml:space="preserve">EBITDA</t>
  </si>
  <si>
    <t xml:space="preserve">Laba usaha dihitung (laba bruto - beban penjualan - beban umum &amp; administrasi + pendapatan lain neto) + penyusutan aset tetap (Cat 27-28) + penyusutan aset hak guna + amortisasi aset takberwujud (Cat 28).</t>
  </si>
  <si>
    <t xml:space="preserve">Utang</t>
  </si>
  <si>
    <t xml:space="preserve">Utang berbunga: utang bank, pinjaman non-bank, surat utang/obligasi dan utang pembiayaan. Utang neto juga menambahkan liabilitas sewa dan mengurangi kas (negatif = kas neto).</t>
  </si>
  <si>
    <t xml:space="preserve">EPS</t>
  </si>
  <si>
    <t xml:space="preserve">EPS tercetak memakai saham rata-rata tertimbang (CALK) (Temuan S9).</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</si>
  <si>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</si>
  <si>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</si>
  <si>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</si>
  <si>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</si>
  <si>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</si>
  <si>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&amp; liabilitas sewa konstan (pembayaran sewa dikapitalisasi ke aset tetap), beban keuangan = suku bunga x rata-rata utang, aset hak guna konstan, tanpa OCI/penurunan nilai baru, tanpa transaksi saham, akuisisi atau pendanaan baru. Hasil sangat sensitif terhadap asumsi.</t>
  </si>
  <si>
    <t xml:space="preserve">Bukan saran</t>
  </si>
  <si>
    <t xml:space="preserve">Mayapada Hospital (SRAJ) | Ringkasan FY2020-FY2025</t>
  </si>
  <si>
    <t xml:space="preserve">Jaringan rumah sakit swasta Mayapada Hospital (Jakarta, Tangerang, Bogor, Surabaya, Bandung) | sumber: laporan keuangan konsolidasian audited | gratis &amp; terbuka | BUKAN rekomendasi investasi</t>
  </si>
  <si>
    <t xml:space="preserve">Penting: Dokumen ini hanya ringkasan informasi dan analisis data fundamental yang bersumber dari laporan keuangan publik (audited) PT Sejahteraraya Anugrahjaya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</si>
  <si>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</si>
  <si>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FY2025 Rp2.589 miliar (+10,6% vs FY2024, basis neto agen): obat &amp; perlengkapan medis Rp1.292 miliar, rawat inap Rp1.400 miliar, rawat jalan &amp; penunjang Rp810 miliar, dikurangi jasa tenaga ahli (agen) &amp; diskon Rp912 miliar.</t>
  </si>
  <si>
    <t xml:space="preserve">•  Pendapatan tercetak naik dari Rp1.284 miliar (FY2020) ke Rp2.503 miliar (FY2023, bruto); 2024 disajikan kembali menjadi Rp2.340 miliar karena jasa dokter dicatat neto (agen).</t>
  </si>
  <si>
    <t xml:space="preserve">•  Rugi pemilik induk FY2025 Rp199,0 miliar (EPS Rp-16,31) vs Rp-23,5 miliar FY2024; margin laba bersih -7,7%. Beban keuangan FY2025 Rp388 miliar.</t>
  </si>
  <si>
    <t xml:space="preserve">•  Utang berbunga Rp4.684 miliar vs kas Rp1.826 miliar (FY2025), naik dari Rp1.072 miliar (FY2020) untuk ekspansi rumah sakit (termasuk surat utang 2025); utang neto / EBITDA 6,1x.</t>
  </si>
  <si>
    <t xml:space="preserve">•  Data 6 tahun direkonsiliasi dengan 330 cek; 5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</si>
  <si>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</si>
  <si>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</si>
  <si>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</si>
  <si>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</si>
  <si>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</si>
  <si>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</si>
  <si>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</si>
  <si>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</si>
  <si>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t>
  </si>
  <si>
    <t xml:space="preserve">  Pertumbuhan</t>
  </si>
  <si>
    <t xml:space="preserve">Porsi obat &amp; perlengkapan medis</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</si>
  <si>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</si>
  <si>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</si>
  <si>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</si>
  <si>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</si>
  <si>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</si>
  <si>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</si>
  <si>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</si>
  <si>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</si>
  <si>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</si>
  <si>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</si>
  <si>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</si>
  <si>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tiap kolom dari LK tahun itu (dasar asli); 2024 = komparatif LK FY2025 yang disajikan kembali (PSAK 115: Grup sebagai agen atas jasa dokter), sehingga pendapatan &amp; margin bruto 2020-2023 (basis bruto) tidak sebanding dengan 2024-2025. Laba usaha tidak dicetak di LK dan dihitung model. (Temuan S1-S4)</t>
  </si>
  <si>
    <t xml:space="preserve">Tren 5 tahun</t>
  </si>
  <si>
    <t xml:space="preserve">Batang = pendapatan per kelompok (Cat 26; lainnya = administrasi &amp; operasional lain dikurangi diskon); garis putus-putus = porsi obat &amp; perlengkapan medis terhadap pendapatan (sumbu kanan).</t>
  </si>
  <si>
    <t xml:space="preserve">Kiri: margin terhadap pendapatan. Kanan: arus kas operasi (abu-abu), capex (arsir), pembayaran sewa (titik), dan sisanya (garis).</t>
  </si>
  <si>
    <t xml:space="preserve">Tanda perhatian dari laporan keuangan (bahasa sederhana)</t>
  </si>
  <si>
    <t xml:space="preserve">1. Rugi berulang - Grup rugi bersih pada 2020 dan 2022-2025 (2025 rugi sekitar Rp199 miliar), hanya 2021 laba; tidak ada dividen. (Temuan S9)</t>
  </si>
  <si>
    <t xml:space="preserve">2. Utang &amp; beban bunga naik tajam - Utang berbunga (termasuk surat utang 2025) naik tajam; beban keuangan 2025 sekitar Rp388 miliar. Proyeksi Base dapat menunjukkan kebutuhan pendanaan. (Temuan S6)</t>
  </si>
  <si>
    <t xml:space="preserve">3. Penyajian kembali 2024 - LK FY2025 menyajikan kembali 2024: jasa dokter dicatat neto (agen), pendapatan turun sekitar Rp808 miliar tanpa mengubah laba; 2020-2023 masih bruto. (Temuan S2)</t>
  </si>
  <si>
    <t xml:space="preserve">4. Pihak berelasi - Utang lain-lain kepada pihak berelasi besar (sekitar Rp1,0-1,5 triliun) dan menjadi sumber pendanaan. (Temuan S7)</t>
  </si>
  <si>
    <t xml:space="preserve">5. Definisi kas &amp; kategori pendapatan - Kas di laporan arus kas berbeda dengan kas neraca pada beberapa tahun (cerukan, penyajian kembali); kategori pendapatan berubah di LK FY2023. (Temuan S3, S5)</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</si>
  <si>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</si>
  <si>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</si>
  <si>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</si>
  <si>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</si>
  <si>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LK FY2020 (audit, Rp penuh); FY2021: LK FY2021 (audit, Rp penuh); FY2022: LK FY2022 (audit, Rp penuh); FY2023: LK FY2023 (audit, Rp juta); FY2024: LK FY2025 (komparatif disajikan kembali, Rp juta); FY2025: LK FY2025 (audit, Rp juta).</t>
  </si>
  <si>
    <t xml:space="preserve">Angka diekstrak dua kali secara independen dari PDF laporan keuangan, dibandingkan dengan angka komparatif tahun berikutnya, lalu dicek silang (330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</si>
  <si>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</si>
  <si>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Sejahteraraya Anugrahjaya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26-10-2026.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</si>
  <si>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</si>
  <si>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</si>
  <si>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</si>
  <si>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</si>
  <si>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</si>
  <si>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</si>
  <si>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</si>
  <si>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</si>
  <si>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</si>
  <si>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Pendapatan neto</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</si>
  <si>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</si>
  <si>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</si>
  <si>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</si>
  <si>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</si>
  <si>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</si>
  <si>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</si>
  <si>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</si>
  <si>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</si>
  <si>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</si>
  <si>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</si>
  <si>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</si>
  <si>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</si>
  <si>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Margin &amp; modal kerja dikalibrasi dari FY2024-FY2025 (basis agen/neto setelah penyajian kembali PSAK 115). FY2020-2023 basis bruto (jasa dokter di pendapatan &amp; beban pokok) tidak dipakai sebagai patokan margin.</t>
  </si>
  <si>
    <t xml:space="preserve">Kunci</t>
  </si>
  <si>
    <t xml:space="preserve">Driver</t>
  </si>
  <si>
    <t xml:space="preserve">Dasar asumsi (kalibrasi FY2022-FY2025)</t>
  </si>
  <si>
    <t xml:space="preserve">ASUMSI AKTIF - kolom historis = aktual (rumus), kolom E = skenario terpilih</t>
  </si>
  <si>
    <t xml:space="preserve">PENDAPATAN (per kelompok, Cat 26)</t>
  </si>
  <si>
    <t xml:space="preserve">g_med</t>
  </si>
  <si>
    <t xml:space="preserve">Pertumbuhan pendapatan obat &amp; perlengkapan medis</t>
  </si>
  <si>
    <t xml:space="preserve">Pendapatan: 2022 432 M, 2023 755 M, 2024 1.164 M, 2025 1.292 M. CAGR 2023-25 30,8%. Base 10%; Bull 14%; Bear 5%.</t>
  </si>
  <si>
    <t xml:space="preserve">g_inpat</t>
  </si>
  <si>
    <t xml:space="preserve">Pertumbuhan pendapatan rawat inap (bruto sebelum pengurang agen)</t>
  </si>
  <si>
    <t xml:space="preserve">Pendapatan: 2022 817 M, 2023 1.065 M, 2024 1.333 M, 2025 1.400 M. CAGR 2023-25 14,6%. Base 8%; Bull 12%; Bear 4%.</t>
  </si>
  <si>
    <t xml:space="preserve">g_outpat</t>
  </si>
  <si>
    <t xml:space="preserve">Pertumbuhan pendapatan rawat jalan &amp; penunjang (bruto)</t>
  </si>
  <si>
    <t xml:space="preserve">Pendapatan: 2022 704 M, 2023 683 M, 2024 652 M, 2025 810 M. CAGR 2023-25 8,9% (kategori berubah 2023, Temuan S3). Base 10%; Bull 14%; Bear 5%.</t>
  </si>
  <si>
    <t xml:space="preserve">rev_oth</t>
  </si>
  <si>
    <t xml:space="preserve">Lainnya: diskon &amp; pengurang jasa tenaga ahli/agen (% 3 kelompok bruto)</t>
  </si>
  <si>
    <t xml:space="preserve">Historis: 2022 -1,0%, 2023 0,0%, 2024 -25,7%, 2025 -26,0% (2020-23 hanya diskon; 2024-25 pengurang agen PSAK 115, Temuan S2-S3). Semua skenario = rasio 2025.</t>
  </si>
  <si>
    <t xml:space="preserve">MARGIN &amp; BIAYA (% pendapatan)</t>
  </si>
  <si>
    <t xml:space="preserve">cogs</t>
  </si>
  <si>
    <t xml:space="preserve">Beban pokok di luar penyusutan</t>
  </si>
  <si>
    <t xml:space="preserve">Historis: 2022 63,5%, 2023 63,6%, 2024 51,2%, 2025 49,0% (2022-23 basis bruto, tidak sebanding). Base = 2025 (49,0%); Bull -1,5 poin; Bear +1,5 poin.</t>
  </si>
  <si>
    <t xml:space="preserve">opex</t>
  </si>
  <si>
    <t xml:space="preserve">Beban usaha di luar penyusutan, penyusutan aset hak guna &amp; amortisasi</t>
  </si>
  <si>
    <t xml:space="preserve">Historis: 2022 22,8%, 2023 20,6%, 2024 27,0%, 2025 33,1% (2025 naik: rumah sakit baru). Base = rata-rata 2024-25 (30,1%); Bull -2 poin; Bear = 2025.</t>
  </si>
  <si>
    <t xml:space="preserve">other_op</t>
  </si>
  <si>
    <t xml:space="preserve">Pendapatan (beban) lain-lain neto (% pendapatan)</t>
  </si>
  <si>
    <t xml:space="preserve">Historis: 2022 0,2%, 2023 0,3%, 2024 -1,1%, 2025 0,1% (memuat penurunan nilai piutang &amp; selisih kurs). Base 0%; Bull 0,2%; Bear -0,5%.</t>
  </si>
  <si>
    <t xml:space="preserve">INVESTASI &amp; ASET</t>
  </si>
  <si>
    <t xml:space="preserve">capex</t>
  </si>
  <si>
    <t xml:space="preserve">Capex aset tetap (% pendapatan)</t>
  </si>
  <si>
    <t xml:space="preserve">Historis kas: 2022 33,9%, 2023 23,3%, 2024 22,4%, 2025 22,4% (pembangunan rumah sakit baru). Base 15%; Bull 12%; Bear 20%.</t>
  </si>
  <si>
    <t xml:space="preserve">lease_pd</t>
  </si>
  <si>
    <t xml:space="preserve">Pembayaran sewa dikapitalisasi ke aset tetap (% pendapatan)</t>
  </si>
  <si>
    <t xml:space="preserve">Historis: 2022 0,0%, 2023 0,0%, 2024 0,0%, 2025 0,1%. Base/Bull/Bear = rata-rata 2023-25; liabilitas sewa &amp; aset hak guna konstan.</t>
  </si>
  <si>
    <t xml:space="preserve">dep</t>
  </si>
  <si>
    <t xml:space="preserve">Penyusutan aset tetap + aset hak guna (% aset tetap neto awal)</t>
  </si>
  <si>
    <t xml:space="preserve">Historis: 2022 7,2%, 2023 7,9%, 2024 8,1%, 2025 8,8%. Base/Bull/Bear = rata-rata 2023-25.</t>
  </si>
  <si>
    <t xml:space="preserve">sw</t>
  </si>
  <si>
    <t xml:space="preserve">Amortisasi aset takberwujud (% saldo awal)</t>
  </si>
  <si>
    <t xml:space="preserve">Historis: 2022 34,9%, 2023 46,6%, 2024 65,6%, 2025 132,5%. Penambahan E = amortisasi (saldo konstan). Base/Bull/Bear = 2025.</t>
  </si>
  <si>
    <t xml:space="preserve">MODAL KERJA (hari, saldo akhir, basis 365)</t>
  </si>
  <si>
    <t xml:space="preserve">dso</t>
  </si>
  <si>
    <t xml:space="preserve">DSO piutang usaha / pendapatan</t>
  </si>
  <si>
    <t xml:space="preserve">Historis: 2022 45,9, 2023 57,6, 2024 66,2, 2025 78,6 (piutang asuransi/korporasi/BPJS; 2024-25 atas pendapatan neto agen). Base = 2025; Bull -5; Bear +10.</t>
  </si>
  <si>
    <t xml:space="preserve">dio</t>
  </si>
  <si>
    <t xml:space="preserve">DIO persediaan / beban pokok di luar penyusutan</t>
  </si>
  <si>
    <t xml:space="preserve">Historis: 2022 14,7, 2023 11,2, 2024 18,7, 2025 21,1. Base = 2025; Bull -2; Bear +4.</t>
  </si>
  <si>
    <t xml:space="preserve">dpo</t>
  </si>
  <si>
    <t xml:space="preserve">DPO utang usaha / beban pokok di luar penyusutan</t>
  </si>
  <si>
    <t xml:space="preserve">Historis: 2022 48,1, 2023 32,3, 2024 47,6, 2025 32,7 (termasuk utang jasa dokter). Base = 2025; Bull +10; Bear -15.</t>
  </si>
  <si>
    <t xml:space="preserve">PAJAK, PENDANAAN, DISTRIBUSI</t>
  </si>
  <si>
    <t xml:space="preserve">tax</t>
  </si>
  <si>
    <t xml:space="preserve">Tarif pajak efektif (% laba sebelum pajak)</t>
  </si>
  <si>
    <t xml:space="preserve">Historis: 2022 -5,0%, 2023 -22,4%, 2024 -784,2%, 2025 15,5% (rugi sebelum pajak 2022-25 membuat tarif efektif tidak bermakna, Temuan S9). Base 25%; Bull 22%; Bear 30% (tarif normatif 22% + beban tidak dapat dikurangkan; manfaat pajak saat rugi).</t>
  </si>
  <si>
    <t xml:space="preserve">fin_cost</t>
  </si>
  <si>
    <t xml:space="preserve">Suku bunga efektif (beban keuangan / rata-rata utang berbunga)</t>
  </si>
  <si>
    <t xml:space="preserve">Historis: 2023 10,30%, 2024 10,50%, 2025 12,21% (beban keuangan termasuk bunga sewa &amp; amortisasi surat utang). Base = rata-rata 2023-25; Bull x0,9; Bear x1,1 (Temuan S6).</t>
  </si>
  <si>
    <t xml:space="preserve">yld</t>
  </si>
  <si>
    <t xml:space="preserve">Imbal hasil kas (penghasilan keuangan / kas awal)</t>
  </si>
  <si>
    <t xml:space="preserve">Historis: 2022 2,77%, 2023 2,60%, 2024 2,62%, 2025 24,13%. Base = rata-rata 2023-25; Bear x0,8; tanpa circular reference.</t>
  </si>
  <si>
    <t xml:space="preserve">debt_chg</t>
  </si>
  <si>
    <t xml:space="preserve">Perubahan neto utang (Rp; + = tambah)</t>
  </si>
  <si>
    <t xml:space="preserve">Historis utang berbunga: 2022 1.725 M, 2023 1.646 M, 2024 1.666 M, 2025 4.684 M. Semua skenario 0 (kas = penyeimbang; pendanaan ekspansi tidak dimodelkan).</t>
  </si>
  <si>
    <t xml:space="preserve">payout</t>
  </si>
  <si>
    <t xml:space="preserve">Payout dividen (% laba induk tahun lalu)</t>
  </si>
  <si>
    <t xml:space="preserve">Tidak ada dividen ke pemilik induk 2020-2025 (Temuan S9). Semua skenario 0%.</t>
  </si>
  <si>
    <t xml:space="preserve">nci_share</t>
  </si>
  <si>
    <t xml:space="preserve">Porsi laba ke NCI (% laba tahun berjalan)</t>
  </si>
  <si>
    <t xml:space="preserve">Historis: 2022 -0,3%, 2023 -0,5%, 2024 -0,7%, 2025 -0,1% (sangat kecil; tanda terbalik karena grup rugi). Semua skenario 0%.</t>
  </si>
  <si>
    <t xml:space="preserve">SKENARIO BASE - input biru per tahun (boleh diubah pengguna)</t>
  </si>
  <si>
    <t xml:space="preserve">Base.g_med</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</si>
  <si>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</si>
  <si>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</si>
  <si>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</si>
  <si>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</si>
  <si>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</si>
  <si>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</si>
  <si>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</si>
  <si>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</si>
  <si>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</si>
  <si>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</si>
  <si>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</si>
  <si>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</si>
  <si>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</si>
  <si>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</si>
  <si>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</si>
  <si>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</si>
  <si>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</si>
  <si>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</si>
  <si>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</si>
  <si>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</si>
  <si>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Bull.g_med</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</si>
  <si>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</si>
  <si>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</si>
  <si>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</si>
  <si>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</si>
  <si>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</si>
  <si>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</si>
  <si>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</si>
  <si>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</si>
  <si>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</si>
  <si>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</si>
  <si>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</si>
  <si>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</si>
  <si>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</si>
  <si>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</si>
  <si>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</si>
  <si>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</si>
  <si>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</si>
  <si>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</si>
  <si>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</si>
  <si>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</si>
  <si>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Bear.g_med</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</si>
  <si>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</si>
  <si>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</si>
  <si>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</si>
  <si>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</si>
  <si>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</si>
  <si>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</si>
  <si>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</si>
  <si>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</si>
  <si>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</si>
  <si>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</si>
  <si>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</si>
  <si>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</si>
  <si>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</si>
  <si>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</si>
  <si>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</si>
  <si>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</si>
  <si>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</si>
  <si>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</si>
  <si>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</si>
  <si>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</si>
  <si>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</si>
  <si>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</si>
  <si>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12.238.959.990 saham ditempatkan &amp; disetor penuh (penerbitan saham 2025). Rata-rata tertimbang CALK: 2020 12,000,705,445, 2021 12,000,705,445, 2022 12,000,705,445, 2023 12,000,705,445, 2024 12,000,705,445, 2025 12,202,405,868 (Temuan S9).</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</si>
  <si>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</si>
  <si>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</si>
  <si>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</si>
  <si>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</si>
  <si>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</si>
  <si>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</si>
  <si>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kelompok)</t>
  </si>
  <si>
    <t xml:space="preserve">P.REV_MED</t>
  </si>
  <si>
    <t xml:space="preserve">Obat &amp; perlengkapan medis</t>
  </si>
  <si>
    <t xml:space="preserve">P.REV_INPAT</t>
  </si>
  <si>
    <t xml:space="preserve">Rawat inap (bruto)</t>
  </si>
  <si>
    <t xml:space="preserve">P.REV_OUTPAT</t>
  </si>
  <si>
    <t xml:space="preserve">Rawat jalan &amp; penunjang (bruto)</t>
  </si>
  <si>
    <t xml:space="preserve">P.REV_OTHER</t>
  </si>
  <si>
    <t xml:space="preserve">Lainnya (administrasi, operasional lain, dikurangi diskon)</t>
  </si>
  <si>
    <t xml:space="preserve">P.REVENUE</t>
  </si>
  <si>
    <t xml:space="preserve">P.REV_GROWTH</t>
  </si>
  <si>
    <t xml:space="preserve">  Pertumbuhan pendapatan</t>
  </si>
  <si>
    <t xml:space="preserve">BIAYA &amp; EBITDA</t>
  </si>
  <si>
    <t xml:space="preserve">P.COGS_X</t>
  </si>
  <si>
    <t xml:space="preserve">Beban pokok di luar penyusutan &amp; amortisasi</t>
  </si>
  <si>
    <t xml:space="preserve">P.GP_X</t>
  </si>
  <si>
    <t xml:space="preserve">Laba bruto sebelum penyusutan</t>
  </si>
  <si>
    <t xml:space="preserve">P.OPEX_X</t>
  </si>
  <si>
    <t xml:space="preserve">Beban usaha di luar penyusutan &amp; amortisasi</t>
  </si>
  <si>
    <t xml:space="preserve">P.OTHER_OP</t>
  </si>
  <si>
    <t xml:space="preserve">Pendapatan (beban) lain-lain neto</t>
  </si>
  <si>
    <t xml:space="preserve">P.EBITDA</t>
  </si>
  <si>
    <t xml:space="preserve">laba usaha (dihitung) + penyusutan aset tetap + penyusutan aset hak guna + amortisasi</t>
  </si>
  <si>
    <t xml:space="preserve">P.DA</t>
  </si>
  <si>
    <t xml:space="preserve">Penyusutan &amp; amortisasi</t>
  </si>
  <si>
    <t xml:space="preserve">P.EBIT</t>
  </si>
  <si>
    <t xml:space="preserve">Laba usaha (EBIT)</t>
  </si>
  <si>
    <t xml:space="preserve">historis: = laba usaha IS hasil hitung (cek di Rekonsiliasi; Temuan S4)</t>
  </si>
  <si>
    <t xml:space="preserve">P.FIN_INC</t>
  </si>
  <si>
    <t xml:space="preserve">Penghasilan keuangan</t>
  </si>
  <si>
    <t xml:space="preserve">E: imbal hasil x kas awal</t>
  </si>
  <si>
    <t xml:space="preserve">P.FIN_COST</t>
  </si>
  <si>
    <t xml:space="preserve">Beban keuangan</t>
  </si>
  <si>
    <t xml:space="preserve">E: suku bunga x rata-rata utang (Temuan S6)</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</si>
  <si>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</si>
  <si>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</si>
  <si>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</si>
  <si>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</si>
  <si>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</si>
  <si>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</si>
  <si>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</si>
  <si>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</si>
  <si>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</si>
  <si>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</si>
  <si>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12.238.959.990 saham)</t>
  </si>
  <si>
    <t xml:space="preserve">EPS tercetak memakai saham tertimbang (Temuan S9)</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</si>
  <si>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</si>
  <si>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</si>
  <si>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</si>
  <si>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</si>
  <si>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</si>
  <si>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</si>
  <si>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</si>
  <si>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</si>
  <si>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</si>
  <si>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</si>
  <si>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</si>
  <si>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</si>
  <si>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</si>
  <si>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</si>
  <si>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</si>
  <si>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</si>
  <si>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</si>
  <si>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</si>
  <si>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</si>
  <si>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</si>
  <si>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</si>
  <si>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</si>
  <si>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</si>
  <si>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</si>
  <si>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</si>
  <si>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takberwujud</t>
  </si>
  <si>
    <t xml:space="preserve">PB.ONCA</t>
  </si>
  <si>
    <t xml:space="preserve">Aset tidak lancar lain (aset hak guna, properti investasi, goodwill, uang muka, pajak tangguhan)</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</si>
  <si>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</si>
  <si>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</si>
  <si>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</si>
  <si>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</si>
  <si>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</si>
  <si>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</si>
  <si>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</si>
  <si>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</si>
  <si>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berbunga (bank, non-bank, surat utang, pembiayaan)</t>
  </si>
  <si>
    <t xml:space="preserve">PB.LEASE</t>
  </si>
  <si>
    <t xml:space="preserve">Liabilitas sewa</t>
  </si>
  <si>
    <t xml:space="preserve">PB.OL</t>
  </si>
  <si>
    <t xml:space="preserve">Liabilitas lainnya</t>
  </si>
  <si>
    <t xml:space="preserve">utang lain, akrual, pajak, liabilitas kontrak, imbalan kerja;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</si>
  <si>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</si>
  <si>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</si>
  <si>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</si>
  <si>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</si>
  <si>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</si>
  <si>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</si>
  <si>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</si>
  <si>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</si>
  <si>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</si>
  <si>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</si>
  <si>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</si>
  <si>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</si>
  <si>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</si>
  <si>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</si>
  <si>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</si>
  <si>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</si>
  <si>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</si>
  <si>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</si>
  <si>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</si>
  <si>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</si>
  <si>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</si>
  <si>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</si>
  <si>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</si>
  <si>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</si>
  <si>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</si>
  <si>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</si>
  <si>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</si>
  <si>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</si>
  <si>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</si>
  <si>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</si>
  <si>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</si>
  <si>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</si>
  <si>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</si>
  <si>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</si>
  <si>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</si>
  <si>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</si>
  <si>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</si>
  <si>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</si>
  <si>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</si>
  <si>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 + properti investasi</t>
  </si>
  <si>
    <t xml:space="preserve">PC.SW</t>
  </si>
  <si>
    <t xml:space="preserve">Perolehan aset takberwujud</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</si>
  <si>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</si>
  <si>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</si>
  <si>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</si>
  <si>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</si>
  <si>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</si>
  <si>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</si>
  <si>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</si>
  <si>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</si>
  <si>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</si>
  <si>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</si>
  <si>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</si>
  <si>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</si>
  <si>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</si>
  <si>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</si>
  <si>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</si>
  <si>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</si>
  <si>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</si>
  <si>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PC.FX</t>
  </si>
  <si>
    <t xml:space="preserve">Efek kurs &amp; selisih definisi kas LAK vs neraca</t>
  </si>
  <si>
    <t xml:space="preserve">historis: kas neraca - kas awal LAK - kenaikan neto (Temuan S5); E: 0</t>
  </si>
  <si>
    <t xml:space="preserve">PC.CASH_END</t>
  </si>
  <si>
    <t xml:space="preserve">Kas akhir tahun (neraca)</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</si>
  <si>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</si>
  <si>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</si>
  <si>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</si>
  <si>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</si>
  <si>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</si>
  <si>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</si>
  <si>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(aset hak guna konstan di aset tidak lancar lain)</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</si>
  <si>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</si>
  <si>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</si>
  <si>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</si>
  <si>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</si>
  <si>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</si>
  <si>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</si>
  <si>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</si>
  <si>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 + aset hak guna</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</si>
  <si>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</si>
  <si>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</si>
  <si>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</si>
  <si>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</si>
  <si>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</si>
  <si>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</si>
  <si>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</si>
  <si>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t>
  </si>
  <si>
    <t xml:space="preserve">S.SW_CAPEX</t>
  </si>
  <si>
    <t xml:space="preserve">Penambahan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</si>
  <si>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</si>
  <si>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</si>
  <si>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</si>
  <si>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</si>
  <si>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</si>
  <si>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</si>
  <si>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</si>
  <si>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</si>
  <si>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</si>
  <si>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</si>
  <si>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</si>
  <si>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</si>
  <si>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</si>
  <si>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</si>
  <si>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</si>
  <si>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</si>
  <si>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</si>
  <si>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</si>
  <si>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</si>
  <si>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</si>
  <si>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</si>
  <si>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</si>
  <si>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</si>
  <si>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</si>
  <si>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</si>
  <si>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</si>
  <si>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</si>
  <si>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</si>
  <si>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</si>
  <si>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</si>
  <si>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</si>
  <si>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</si>
  <si>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</si>
  <si>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</si>
  <si>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</si>
  <si>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</si>
  <si>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</si>
  <si>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</si>
  <si>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</si>
  <si>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</si>
  <si>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</si>
  <si>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</si>
  <si>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</si>
  <si>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</si>
  <si>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</si>
  <si>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</si>
  <si>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</si>
  <si>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</si>
  <si>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</si>
  <si>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</si>
  <si>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</si>
  <si>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</si>
  <si>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</si>
  <si>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</si>
  <si>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</si>
  <si>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</si>
  <si>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</si>
  <si>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</si>
  <si>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</si>
  <si>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</si>
  <si>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</si>
  <si>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</si>
  <si>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</si>
  <si>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</si>
  <si>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</si>
  <si>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</si>
  <si>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</si>
  <si>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</si>
  <si>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</si>
  <si>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</si>
  <si>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</si>
  <si>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</si>
  <si>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</si>
  <si>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</si>
  <si>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</si>
  <si>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</si>
  <si>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</si>
  <si>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</si>
  <si>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</si>
  <si>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</si>
  <si>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</si>
  <si>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</si>
  <si>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</si>
  <si>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</si>
  <si>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</si>
  <si>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</si>
  <si>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</si>
  <si>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</si>
  <si>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</si>
  <si>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</si>
  <si>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</si>
  <si>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</si>
  <si>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</si>
  <si>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</si>
  <si>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</si>
  <si>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</si>
  <si>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obat &amp; perlengkapan medis</t>
  </si>
  <si>
    <t xml:space="preserve">Sumber (laporan, halaman)</t>
  </si>
  <si>
    <t xml:space="preserve">Tanggal akses</t>
  </si>
  <si>
    <t xml:space="preserve">SRAJ</t>
  </si>
  <si>
    <t xml:space="preserve">PT Sejahteraraya Anugrahjaya Tbk</t>
  </si>
  <si>
    <t xml:space="preserve">Jaringan rumah sakit swasta (Mayapada Hospital, Jakarta dll)</t>
  </si>
  <si>
    <t xml:space="preserve">Model ini (laporan audited FY2025)</t>
  </si>
  <si>
    <t xml:space="preserve">Median pembanding (tanpa SRAJ)</t>
  </si>
  <si>
    <t xml:space="preserve">Rata-rata pembanding (tanpa SRAJ)</t>
  </si>
  <si>
    <t xml:space="preserve">Tabel ini sengaja tidak memuat kelipatan pasar (P/E, P/BV, EV/EBITDA): isinya ringkasan data fundamental, bukan penilaian.</t>
  </si>
  <si>
    <t xml:space="preserve">Laporan Laba Rugi &amp; OCI - historis FY2021A-FY2025A</t>
  </si>
  <si>
    <t xml:space="preserve">Rp penuh. Biru = input dari SRAJ_seri_2020_2025.json (LK audited; 2023-2025 dari Rp juta), hitam = rumus. Tiap kolom dari LK tahun itu (dasar asli), kecuali 2024 = komparatif LK FY2025 disajikan kembali (Temuan S1-S2).</t>
  </si>
  <si>
    <t xml:space="preserve">Sumber kolom</t>
  </si>
  <si>
    <t xml:space="preserve">LK FY2020 (audit, Rp penuh)</t>
  </si>
  <si>
    <t xml:space="preserve">LK FY2021 (audit, Rp penuh)</t>
  </si>
  <si>
    <t xml:space="preserve">LK FY2022 (audit, Rp penuh)</t>
  </si>
  <si>
    <t xml:space="preserve">LK FY2023 (audit, Rp juta)</t>
  </si>
  <si>
    <t xml:space="preserve">LK FY2025 (komparatif disajikan kembali, Rp juta)</t>
  </si>
  <si>
    <t xml:space="preserve">LK FY2025 (audit, Rp juta)</t>
  </si>
  <si>
    <t xml:space="preserve">Catatan sumber: SRAJ (PT Sejahteraraya Anugrahjaya Tbk / Mayapada Hospital). Histori FY2020-FY2025 dari LK audit masing-masing tahun (dasar asli), kecuali 2024 dari komparatif LK FY2025 </t>
  </si>
  <si>
    <t xml:space="preserve">LABA RUGI</t>
  </si>
  <si>
    <t xml:space="preserve">IS.REVENUE</t>
  </si>
  <si>
    <t xml:space="preserve">Pendapatan (Cat 26)</t>
  </si>
  <si>
    <t xml:space="preserve">kunci JSON: pendapatan</t>
  </si>
  <si>
    <t xml:space="preserve">IS.COGS</t>
  </si>
  <si>
    <t xml:space="preserve">Beban pokok pendapatan (Cat 27)</t>
  </si>
  <si>
    <t xml:space="preserve">kunci JSON: beban_pokok</t>
  </si>
  <si>
    <t xml:space="preserve">IS.GROSS_PROFIT</t>
  </si>
  <si>
    <t xml:space="preserve">Laba bruto</t>
  </si>
  <si>
    <t xml:space="preserve">IS.SELLING</t>
  </si>
  <si>
    <t xml:space="preserve">Beban penjualan</t>
  </si>
  <si>
    <t xml:space="preserve">kunci JSON: beban_penjualan</t>
  </si>
  <si>
    <t xml:space="preserve">IS.GA</t>
  </si>
  <si>
    <t xml:space="preserve">Beban umum dan administrasi (Cat 28)</t>
  </si>
  <si>
    <t xml:space="preserve">kunci JSON: beban_umum</t>
  </si>
  <si>
    <t xml:space="preserve">IS.OPEX_TOTAL</t>
  </si>
  <si>
    <t xml:space="preserve">Jumlah beban usaha</t>
  </si>
  <si>
    <t xml:space="preserve">IS.OTHER_INCOME</t>
  </si>
  <si>
    <t xml:space="preserve">Pendapatan (beban) lain-lain - neto (Cat 30)</t>
  </si>
  <si>
    <t xml:space="preserve">kunci JSON: pendapatan_lain</t>
  </si>
  <si>
    <t xml:space="preserve">IS.OTHER_OPER_NET</t>
  </si>
  <si>
    <t xml:space="preserve">IS.OPER_PROFIT</t>
  </si>
  <si>
    <t xml:space="preserve">Laba (rugi) usaha (dihitung; tidak dicetak di LK)</t>
  </si>
  <si>
    <t xml:space="preserve">IS.FIN_COST</t>
  </si>
  <si>
    <t xml:space="preserve">kunci JSON: beban_keuangan</t>
  </si>
  <si>
    <t xml:space="preserve">IS.FIN_INCOME</t>
  </si>
  <si>
    <t xml:space="preserve">kunci JSON: penghasilan_keuangan</t>
  </si>
  <si>
    <t xml:space="preserve">IS.PBT</t>
  </si>
  <si>
    <t xml:space="preserve">Laba (rugi) sebelum pajak</t>
  </si>
  <si>
    <t xml:space="preserve">IS.TAX_TOTAL</t>
  </si>
  <si>
    <t xml:space="preserve">Beban (manfaat) pajak penghasilan</t>
  </si>
  <si>
    <t xml:space="preserve">kunci JSON: beban_pajak</t>
  </si>
  <si>
    <t xml:space="preserve">IS.NET_INCOME</t>
  </si>
  <si>
    <t xml:space="preserve">Laba (rugi) tahun berjalan</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</si>
  <si>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</si>
  <si>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</si>
  <si>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</si>
  <si>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</si>
  <si>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</si>
  <si>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</si>
  <si>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</si>
  <si>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</si>
  <si>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</si>
  <si>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</si>
  <si>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</si>
  <si>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</si>
  <si>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</si>
  <si>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</si>
  <si>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</si>
  <si>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</si>
  <si>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</si>
  <si>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</si>
  <si>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</si>
  <si>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</si>
  <si>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</si>
  <si>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</si>
  <si>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</si>
  <si>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</si>
  <si>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</si>
  <si>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(rugi) per saham dasar tercetak (Rp, penuh)</t>
  </si>
  <si>
    <t xml:space="preserve">kunci JSON: eps_dasar</t>
  </si>
  <si>
    <t xml:space="preserve">MEMO: SUBTOTAL TERCETAK DI LK (untuk Rekonsiliasi)</t>
  </si>
  <si>
    <t xml:space="preserve">IS.GROSS_PROFIT_PRINTED</t>
  </si>
  <si>
    <t xml:space="preserve">Laba bruto (tercetak)</t>
  </si>
  <si>
    <t xml:space="preserve">kunci JSON: laba_bruto</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</si>
  <si>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</si>
  <si>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</si>
  <si>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</si>
  <si>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</si>
  <si>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</si>
  <si>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</si>
  <si>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</si>
  <si>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</si>
  <si>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</si>
  <si>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</si>
  <si>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</si>
  <si>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</si>
  <si>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FY2021A-FY2025A</t>
  </si>
  <si>
    <t xml:space="preserve">BS.CASH</t>
  </si>
  <si>
    <t xml:space="preserve">kunci JSON: kas</t>
  </si>
  <si>
    <t xml:space="preserve">BS.RESTRICTED_CASH</t>
  </si>
  <si>
    <t xml:space="preserve">Kas yang dibatasi penggunaannya (lancar)</t>
  </si>
  <si>
    <t xml:space="preserve">kunci JSON: kas_dibatasi</t>
  </si>
  <si>
    <t xml:space="preserve">BS.TRADE_REC</t>
  </si>
  <si>
    <t xml:space="preserve">Piutang usaha - pihak ketiga</t>
  </si>
  <si>
    <t xml:space="preserve">kunci JSON: piutang_usaha_pk3</t>
  </si>
  <si>
    <t xml:space="preserve">BS.TRADE_REC_RP</t>
  </si>
  <si>
    <t xml:space="preserve">Piutang usaha - pihak berelasi</t>
  </si>
  <si>
    <t xml:space="preserve">kunci JSON: piutang_usaha_rp</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</si>
  <si>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</si>
  <si>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</si>
  <si>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</si>
  <si>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</si>
  <si>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</si>
  <si>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</si>
  <si>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</si>
  <si>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</si>
  <si>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BS.ADVANCES</t>
  </si>
  <si>
    <t xml:space="preserve">Uang muka</t>
  </si>
  <si>
    <t xml:space="preserve">kunci JSON: uang_muka</t>
  </si>
  <si>
    <t xml:space="preserve">BS.PREPAID_ADV</t>
  </si>
  <si>
    <t xml:space="preserve">Beban dibayar dimuka</t>
  </si>
  <si>
    <t xml:space="preserve">kunci JSON: biaya_dimuka</t>
  </si>
  <si>
    <t xml:space="preserve">BS.PREPAID_TAX</t>
  </si>
  <si>
    <t xml:space="preserve">Pajak dibayar dimuka</t>
  </si>
  <si>
    <t xml:space="preserve">kunci JSON: pajak_dimuka</t>
  </si>
  <si>
    <t xml:space="preserve">BS.TOTAL_CA</t>
  </si>
  <si>
    <t xml:space="preserve">BS.OTHER_NCA</t>
  </si>
  <si>
    <t xml:space="preserve">Aset tidak lancar lainnya (termasuk kas dibatasi tidak lancar)</t>
  </si>
  <si>
    <t xml:space="preserve">kunci JSON: aset_tl_lain</t>
  </si>
  <si>
    <t xml:space="preserve">BS.PREPAID_ADV_NC</t>
  </si>
  <si>
    <t xml:space="preserve">Uang muka pembelian aset tetap</t>
  </si>
  <si>
    <t xml:space="preserve">kunci JSON: uang_muka_aset</t>
  </si>
  <si>
    <t xml:space="preserve">BS.PPE</t>
  </si>
  <si>
    <t xml:space="preserve">Aset tetap - neto (model biaya)</t>
  </si>
  <si>
    <t xml:space="preserve">kunci JSON: aset_tetap</t>
  </si>
  <si>
    <t xml:space="preserve">BS.INVEST_PROPERTY</t>
  </si>
  <si>
    <t xml:space="preserve">Properti investasi</t>
  </si>
  <si>
    <t xml:space="preserve">kunci JSON: properti_investasi</t>
  </si>
  <si>
    <t xml:space="preserve">BS.ROU</t>
  </si>
  <si>
    <t xml:space="preserve">Aset hak guna</t>
  </si>
  <si>
    <t xml:space="preserve">kunci JSON: aset_hak_guna</t>
  </si>
  <si>
    <t xml:space="preserve">BS.INTANGIBLES</t>
  </si>
  <si>
    <t xml:space="preserve">kunci JSON: aset_takberwujud</t>
  </si>
  <si>
    <t xml:space="preserve">BS.TAX_REFUND_CLAIM</t>
  </si>
  <si>
    <t xml:space="preserve">Klaim restitusi pajak</t>
  </si>
  <si>
    <t xml:space="preserve">kunci JSON: klaim_restitusi</t>
  </si>
  <si>
    <t xml:space="preserve">BS.DTA</t>
  </si>
  <si>
    <t xml:space="preserve">Aset pajak tangguhan</t>
  </si>
  <si>
    <t xml:space="preserve">kunci JSON: aset_pajak_tangguhan</t>
  </si>
  <si>
    <t xml:space="preserve">BS.GOODWILL</t>
  </si>
  <si>
    <t xml:space="preserve">Goodwill</t>
  </si>
  <si>
    <t xml:space="preserve">kunci JSON: goodwill</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</si>
  <si>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</si>
  <si>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</si>
  <si>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</si>
  <si>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</si>
  <si>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</si>
  <si>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</si>
  <si>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Utang usaha - pihak ketiga</t>
  </si>
  <si>
    <t xml:space="preserve">kunci JSON: utang_usaha_pk3</t>
  </si>
  <si>
    <t xml:space="preserve">BS.TRADE_PAY_RP</t>
  </si>
  <si>
    <t xml:space="preserve">Utang usaha - pihak berelasi</t>
  </si>
  <si>
    <t xml:space="preserve">kunci JSON: -</t>
  </si>
  <si>
    <t xml:space="preserve">BS.OTHER_PAY</t>
  </si>
  <si>
    <t xml:space="preserve">Utang lain-lain - pihak ketiga (termasuk utang kontraktor)</t>
  </si>
  <si>
    <t xml:space="preserve">kunci JSON: utang_lain_pk3</t>
  </si>
  <si>
    <t xml:space="preserve">BS.OTHER_PAY_RP</t>
  </si>
  <si>
    <t xml:space="preserve">Utang lain-lain - pihak berelasi (Temuan S7)</t>
  </si>
  <si>
    <t xml:space="preserve">kunci JSON: utang_lain_rp</t>
  </si>
  <si>
    <t xml:space="preserve">BS.TAX_PAY</t>
  </si>
  <si>
    <t xml:space="preserve">Utang pajak</t>
  </si>
  <si>
    <t xml:space="preserve">kunci JSON: utang_pajak</t>
  </si>
  <si>
    <t xml:space="preserve">BS.ACCRUALS</t>
  </si>
  <si>
    <t xml:space="preserve">Beban akrual</t>
  </si>
  <si>
    <t xml:space="preserve">kunci JSON: beban_akrual</t>
  </si>
  <si>
    <t xml:space="preserve">BS.CONTRACT_LIAB_CUR</t>
  </si>
  <si>
    <t xml:space="preserve">Pendapatan diterima dimuka / liabilitas kontrak</t>
  </si>
  <si>
    <t xml:space="preserve">kunci JSON: kontrak_jt1</t>
  </si>
  <si>
    <t xml:space="preserve">BS.EMPLOYEE_BENEFIT_CUR</t>
  </si>
  <si>
    <t xml:space="preserve">Liabilitas imbalan kerja jangka pendek</t>
  </si>
  <si>
    <t xml:space="preserve">kunci JSON: imbalan_kerja_jp</t>
  </si>
  <si>
    <t xml:space="preserve">BS.LT_BANK_CUR</t>
  </si>
  <si>
    <t xml:space="preserve">Utang bank jk panjang - jatuh tempo 1 tahun</t>
  </si>
  <si>
    <t xml:space="preserve">kunci JSON: utang_bank_jt1</t>
  </si>
  <si>
    <t xml:space="preserve">BS.FINLOAN_CUR</t>
  </si>
  <si>
    <t xml:space="preserve">Pinjaman lembaga keuangan non-bank - jatuh tempo 1 tahun</t>
  </si>
  <si>
    <t xml:space="preserve">kunci JSON: pinjaman_jt1</t>
  </si>
  <si>
    <t xml:space="preserve">BS.BOND_CUR</t>
  </si>
  <si>
    <t xml:space="preserve">Surat utang / obligasi - jatuh tempo 1 tahun</t>
  </si>
  <si>
    <t xml:space="preserve">kunci JSON: obligasi_jt1</t>
  </si>
  <si>
    <t xml:space="preserve">BS.FIN_LEASE_CUR</t>
  </si>
  <si>
    <t xml:space="preserve">Utang pembiayaan (sewa pembiayaan/konsumen) - jatuh tempo 1 tahun</t>
  </si>
  <si>
    <t xml:space="preserve">kunci JSON: sewa_pemb_jt1</t>
  </si>
  <si>
    <t xml:space="preserve">BS.LEASE_CUR</t>
  </si>
  <si>
    <t xml:space="preserve">Liabilitas sewa - jatuh tempo 1 tahun</t>
  </si>
  <si>
    <t xml:space="preserve">kunci JSON: sewa_jt1</t>
  </si>
  <si>
    <t xml:space="preserve">BS.TOTAL_CL</t>
  </si>
  <si>
    <t xml:space="preserve">Jumlah liabilitas jangka pendek</t>
  </si>
  <si>
    <t xml:space="preserve">BS.OTHER_NCL</t>
  </si>
  <si>
    <t xml:space="preserve">Liabilitas tidak lancar lainnya</t>
  </si>
  <si>
    <t xml:space="preserve">kunci JSON: liab_tl_lain</t>
  </si>
  <si>
    <t xml:space="preserve">BS.LT_BANK_NC</t>
  </si>
  <si>
    <t xml:space="preserve">Utang bank jk panjang - setelah 1 tahun</t>
  </si>
  <si>
    <t xml:space="preserve">kunci JSON: utang_bank_jp</t>
  </si>
  <si>
    <t xml:space="preserve">BS.FINLOAN_NC</t>
  </si>
  <si>
    <t xml:space="preserve">Pinjaman lembaga keuangan non-bank - setelah 1 tahun</t>
  </si>
  <si>
    <t xml:space="preserve">kunci JSON: pinjaman_jp</t>
  </si>
  <si>
    <t xml:space="preserve">BS.BOND_NC</t>
  </si>
  <si>
    <t xml:space="preserve">Surat utang / obligasi - setelah 1 tahun</t>
  </si>
  <si>
    <t xml:space="preserve">kunci JSON: obligasi_jp</t>
  </si>
  <si>
    <t xml:space="preserve">BS.FIN_LEASE_NC</t>
  </si>
  <si>
    <t xml:space="preserve">Utang pembiayaan (sewa pembiayaan/konsumen) - setelah 1 tahun</t>
  </si>
  <si>
    <t xml:space="preserve">kunci JSON: sewa_pemb_jp</t>
  </si>
  <si>
    <t xml:space="preserve">BS.LEASE_NC</t>
  </si>
  <si>
    <t xml:space="preserve">Liabilitas sewa - setelah 1 tahun</t>
  </si>
  <si>
    <t xml:space="preserve">kunci JSON: sewa_jp</t>
  </si>
  <si>
    <t xml:space="preserve">BS.EMPLOYEE_BENEFIT</t>
  </si>
  <si>
    <t xml:space="preserve">Liabilitas imbalan kerja jangka panjang</t>
  </si>
  <si>
    <t xml:space="preserve">kunci JSON: imbalan_kerja</t>
  </si>
  <si>
    <t xml:space="preserve">BS.DTL</t>
  </si>
  <si>
    <t xml:space="preserve">Liabilitas pajak tangguhan</t>
  </si>
  <si>
    <t xml:space="preserve">kunci JSON: liab_pajak_tangguhan</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</si>
  <si>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</si>
  <si>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</si>
  <si>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</si>
  <si>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</si>
  <si>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</si>
  <si>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</si>
  <si>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</si>
  <si>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</si>
  <si>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</si>
  <si>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BS.NCI_TXN_DIFF</t>
  </si>
  <si>
    <t xml:space="preserve">Selisih transaksi dengan kepentingan nonpengendali</t>
  </si>
  <si>
    <t xml:space="preserve">kunci JSON: selisih_nci</t>
  </si>
  <si>
    <t xml:space="preserve">BS.OCI_RES</t>
  </si>
  <si>
    <t xml:space="preserve">Penghasilan komprehensif lain</t>
  </si>
  <si>
    <t xml:space="preserve">kunci JSON: oci_ekuitas</t>
  </si>
  <si>
    <t xml:space="preserve">BS.RETAINED_EARN</t>
  </si>
  <si>
    <t xml:space="preserve">Saldo laba (defisit) (ditentukan + belum ditentukan penggunaannya)</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</si>
  <si>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</si>
  <si>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</si>
  <si>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</si>
  <si>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</si>
  <si>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</si>
  <si>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</si>
  <si>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</si>
  <si>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</si>
  <si>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</si>
  <si>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</si>
  <si>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</si>
  <si>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(defisit)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</si>
  <si>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</si>
  <si>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</si>
  <si>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</si>
  <si>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</si>
  <si>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</si>
  <si>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</si>
  <si>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</si>
  <si>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</si>
  <si>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</si>
  <si>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</si>
  <si>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</si>
  <si>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</si>
  <si>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</si>
  <si>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</si>
  <si>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</si>
  <si>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</si>
  <si>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</si>
  <si>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</si>
  <si>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</si>
  <si>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</si>
  <si>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</si>
  <si>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</si>
  <si>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</si>
  <si>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</si>
  <si>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</si>
  <si>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</si>
  <si>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</si>
  <si>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</si>
  <si>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</si>
  <si>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</si>
  <si>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</si>
  <si>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</si>
  <si>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FY2021A-FY2025A</t>
  </si>
  <si>
    <t xml:space="preserve">CF.CASH_FROM_CUSTOMERS</t>
  </si>
  <si>
    <t xml:space="preserve">Penerimaan kas dari pelanggan</t>
  </si>
  <si>
    <t xml:space="preserve">kunci JSON: terima_pelanggan</t>
  </si>
  <si>
    <t xml:space="preserve">CF.CASH_TO_EMPLOYEES</t>
  </si>
  <si>
    <t xml:space="preserve">Pembayaran kas kepada karyawan</t>
  </si>
  <si>
    <t xml:space="preserve">kunci JSON: bayar_karyawan</t>
  </si>
  <si>
    <t xml:space="preserve">CF.CASH_TO_SUPPLIERS</t>
  </si>
  <si>
    <t xml:space="preserve">Pembayaran kas kepada pemasok &amp; lainnya</t>
  </si>
  <si>
    <t xml:space="preserve">kunci JSON: bayar_pemasok</t>
  </si>
  <si>
    <t xml:space="preserve">CF.CASH_GEN</t>
  </si>
  <si>
    <t xml:space="preserve">Kas dari pelanggan dikurangi pembayaran operasi (subtotal model; tidak tercetak)</t>
  </si>
  <si>
    <t xml:space="preserve">CF.FIN_INCOME_RECEIVED</t>
  </si>
  <si>
    <t xml:space="preserve">Penerimaan bunga</t>
  </si>
  <si>
    <t xml:space="preserve">kunci JSON: terima_bunga</t>
  </si>
  <si>
    <t xml:space="preserve">CF.FIN_COST_PAID</t>
  </si>
  <si>
    <t xml:space="preserve">Pembayaran bunga &amp; beban keuangan</t>
  </si>
  <si>
    <t xml:space="preserve">kunci JSON: bayar_bunga</t>
  </si>
  <si>
    <t xml:space="preserve">CF.TAX_PAID</t>
  </si>
  <si>
    <t xml:space="preserve">Pembayaran pajak penghasilan</t>
  </si>
  <si>
    <t xml:space="preserve">kunci JSON: bayar_pajak</t>
  </si>
  <si>
    <t xml:space="preserve">CF.CFO</t>
  </si>
  <si>
    <t xml:space="preserve">Kas neto dari aktivitas operasi</t>
  </si>
  <si>
    <t xml:space="preserve">CF.CAPEX_PPE</t>
  </si>
  <si>
    <t xml:space="preserve">Perolehan aset tetap</t>
  </si>
  <si>
    <t xml:space="preserve">kunci JSON: perolehan_aset_tetap</t>
  </si>
  <si>
    <t xml:space="preserve">CF.PPE_ADVANCES</t>
  </si>
  <si>
    <t xml:space="preserve">kunci JSON: uang_muka_aset_tetap</t>
  </si>
  <si>
    <t xml:space="preserve">CF.CAPEX_INTANG</t>
  </si>
  <si>
    <t xml:space="preserve">kunci JSON: perolehan_atb</t>
  </si>
  <si>
    <t xml:space="preserve">CF.CAPEX_INVPROP</t>
  </si>
  <si>
    <t xml:space="preserve">Perolehan properti investasi</t>
  </si>
  <si>
    <t xml:space="preserve">kunci JSON: perolehan_properti</t>
  </si>
  <si>
    <t xml:space="preserve">CF.PPE_DISPOSAL_PROCEEDS</t>
  </si>
  <si>
    <t xml:space="preserve">Hasil penjualan aset tetap</t>
  </si>
  <si>
    <t xml:space="preserve">kunci JSON: jual_aset_tetap</t>
  </si>
  <si>
    <t xml:space="preserve">CF.RP_REC_NET</t>
  </si>
  <si>
    <t xml:space="preserve">Piutang pihak berelasi - neto</t>
  </si>
  <si>
    <t xml:space="preserve">kunci JSON: piutang_rp_neto</t>
  </si>
  <si>
    <t xml:space="preserve">CF.CFI</t>
  </si>
  <si>
    <t xml:space="preserve">Kas neto untuk aktivitas investasi</t>
  </si>
  <si>
    <t xml:space="preserve">CF.ST_BANK_DRAW</t>
  </si>
  <si>
    <t xml:space="preserve">Penerimaan pinjaman bank jangka pendek</t>
  </si>
  <si>
    <t xml:space="preserve">kunci JSON: bank_st_draw</t>
  </si>
  <si>
    <t xml:space="preserve">CF.ST_BANK_REPAY</t>
  </si>
  <si>
    <t xml:space="preserve">Pembayaran pinjaman bank jangka pendek</t>
  </si>
  <si>
    <t xml:space="preserve">kunci JSON: bank_st_repay</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</si>
  <si>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</si>
  <si>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</si>
  <si>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</si>
  <si>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</si>
  <si>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</si>
  <si>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</si>
  <si>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CF.LOAN_DRAW</t>
  </si>
  <si>
    <t xml:space="preserve">Penerimaan pinjaman lembaga keuangan non-bank</t>
  </si>
  <si>
    <t xml:space="preserve">kunci JSON: pinjaman_draw</t>
  </si>
  <si>
    <t xml:space="preserve">CF.LOAN_REPAY</t>
  </si>
  <si>
    <t xml:space="preserve">Pembayaran pinjaman lembaga keuangan non-bank</t>
  </si>
  <si>
    <t xml:space="preserve">kunci JSON: pinjaman_repay</t>
  </si>
  <si>
    <t xml:space="preserve">CF.BOND_DRAW</t>
  </si>
  <si>
    <t xml:space="preserve">Penerbitan surat utang / obligasi</t>
  </si>
  <si>
    <t xml:space="preserve">kunci JSON: obligasi_draw</t>
  </si>
  <si>
    <t xml:space="preserve">CF.BOND_REPAY</t>
  </si>
  <si>
    <t xml:space="preserve">Pelunasan surat utang / obligasi</t>
  </si>
  <si>
    <t xml:space="preserve">kunci JSON: obligasi_repay</t>
  </si>
  <si>
    <t xml:space="preserve">CF.FIN_LEASE_PAID</t>
  </si>
  <si>
    <t xml:space="preserve">Pembayaran utang pembiayaan</t>
  </si>
  <si>
    <t xml:space="preserve">kunci JSON: bayar_sewa_pemb</t>
  </si>
  <si>
    <t xml:space="preserve">CF.OTHER_PAY_PAID</t>
  </si>
  <si>
    <t xml:space="preserve">Penerimaan (pembayaran) utang lain-lain pihak berelasi</t>
  </si>
  <si>
    <t xml:space="preserve">kunci JSON: bayar_utang_lain</t>
  </si>
  <si>
    <t xml:space="preserve">CF.SHARE_ISSUE</t>
  </si>
  <si>
    <t xml:space="preserve">Penerbitan saham (2025)</t>
  </si>
  <si>
    <t xml:space="preserve">kunci JSON: terbit_saham</t>
  </si>
  <si>
    <t xml:space="preserve">CF.RESTRICTED_CASH</t>
  </si>
  <si>
    <t xml:space="preserve">Dana yang dibatasi penggunaannya</t>
  </si>
  <si>
    <t xml:space="preserve">kunci JSON: dana_dibatasi</t>
  </si>
  <si>
    <t xml:space="preserve">CF.LEASE_PAID</t>
  </si>
  <si>
    <t xml:space="preserve">Pembayaran liabilitas sewa</t>
  </si>
  <si>
    <t xml:space="preserve">kunci JSON: bayar_sewa</t>
  </si>
  <si>
    <t xml:space="preserve">CF.DIVIDENDS_PAID</t>
  </si>
  <si>
    <t xml:space="preserve">Pembayaran dividen tunai (pemilik entitas induk; tidak ada)</t>
  </si>
  <si>
    <t xml:space="preserve">CF.CFF</t>
  </si>
  <si>
    <t xml:space="preserve">Kas neto dari (untuk) aktivitas pendanaan</t>
  </si>
  <si>
    <t xml:space="preserve">CF.NET_CHANGE</t>
  </si>
  <si>
    <t xml:space="preserve">CF.FX</t>
  </si>
  <si>
    <t xml:space="preserve">Efek perubahan kurs pada kas</t>
  </si>
  <si>
    <t xml:space="preserve">kunci JSON: efek_kurs</t>
  </si>
  <si>
    <t xml:space="preserve">CF.CASH_BEGIN</t>
  </si>
  <si>
    <t xml:space="preserve">Kas awal tahun (definisi LAK)</t>
  </si>
  <si>
    <t xml:space="preserve">kunci JSON: KAS_AWAL</t>
  </si>
  <si>
    <t xml:space="preserve">CF.CASH_END</t>
  </si>
  <si>
    <t xml:space="preserve">Kas akhir tahun (definisi LAK)</t>
  </si>
  <si>
    <t xml:space="preserve">MEMO: REKONSILIASI DEFINISI KAS (tidak dijumlahkan; Temuan S5)</t>
  </si>
  <si>
    <t xml:space="preserve">CF.RECON_BEGIN_MEMO</t>
  </si>
  <si>
    <t xml:space="preserve">Memo: kas awal LAK -&gt; kas neraca akhir tahun lalu (selisih definisi/penyajian kembali)</t>
  </si>
  <si>
    <t xml:space="preserve">kunci JSON: rekon_kas_awal</t>
  </si>
  <si>
    <t xml:space="preserve">CF.RECON_END_MEMO</t>
  </si>
  <si>
    <t xml:space="preserve">Memo: kas akhir LAK -&gt; kas neraca (cerukan / pinjaman bank jangka pendek di kas LAK)</t>
  </si>
  <si>
    <t xml:space="preserve">kunci JSON: rekon_kas_akhir</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</si>
  <si>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</si>
  <si>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</si>
  <si>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</si>
  <si>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</si>
  <si>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</si>
  <si>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</si>
  <si>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</si>
  <si>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</si>
  <si>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</si>
  <si>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</si>
  <si>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</si>
  <si>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</si>
  <si>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</si>
  <si>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</si>
  <si>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</si>
  <si>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</si>
  <si>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FY2020-2025 dari CALK LK tahun itu sendiri (2024 dari LK FY2025 bila diungkap). Nomor catatan LK SRAJ: aset tetap Cat aset tetap, pendapatan Cat 26, beban pokok 27, beban usaha 28, pendapatan lain-lain neto 30. Akumulasi penyusutan dicatat bertanda negatif.</t>
  </si>
  <si>
    <t xml:space="preserve">A. RINGKASAN UNTUK MODEL (rumus dari bagian B-C)</t>
  </si>
  <si>
    <t xml:space="preserve">REV.MED</t>
  </si>
  <si>
    <t xml:space="preserve">Pendapatan - obat &amp; perlengkapan medis (rawat inap + rawat jalan)</t>
  </si>
  <si>
    <t xml:space="preserve">Cat 26</t>
  </si>
  <si>
    <t xml:space="preserve">REV.INPAT</t>
  </si>
  <si>
    <t xml:space="preserve">Pendapatan - rawat inap (jasa, penunjang, kamar &amp; ruang operasi, administrasi)</t>
  </si>
  <si>
    <t xml:space="preserve">REV.OUTPAT</t>
  </si>
  <si>
    <t xml:space="preserve">Pendapatan - rawat jalan &amp; penunjang (poliklinik, laboratorium, radiologi, pemeriksaan, hemodialisa)</t>
  </si>
  <si>
    <t xml:space="preserve">REV.OTHER</t>
  </si>
  <si>
    <t xml:space="preserve">Lainnya: diskon pasien / pengurang jasa tenaga ahli (agen, PSAK 115; 2024-25) = jumlah tercetak - 3 kelompok</t>
  </si>
  <si>
    <t xml:space="preserve">Cat 26; diturunkan</t>
  </si>
  <si>
    <t xml:space="preserve">REV.NET</t>
  </si>
  <si>
    <t xml:space="preserve">Pendapatan (rumus)</t>
  </si>
  <si>
    <t xml:space="preserve">REV.MED_SH</t>
  </si>
  <si>
    <t xml:space="preserve">Porsi obat &amp; perlengkapan medis % pendapatan</t>
  </si>
  <si>
    <t xml:space="preserve">DA.DEP_IN_COGS</t>
  </si>
  <si>
    <t xml:space="preserve">Penyusutan aset tetap di beban pokok (Cat 27)</t>
  </si>
  <si>
    <t xml:space="preserve">Cat 27</t>
  </si>
  <si>
    <t xml:space="preserve">DA.IN_OPEX</t>
  </si>
  <si>
    <t xml:space="preserve">Penyusutan aset tetap di beban usaha (Cat 28)</t>
  </si>
  <si>
    <t xml:space="preserve">Cat 28</t>
  </si>
  <si>
    <t xml:space="preserve">DA.PPE</t>
  </si>
  <si>
    <t xml:space="preserve">Penyusutan aset tetap (Cat 27 + 28)</t>
  </si>
  <si>
    <t xml:space="preserve">DA.MUT</t>
  </si>
  <si>
    <t xml:space="preserve">Penyusutan menurut mutasi Cat aset tetap (-akumulasi: penambahan)</t>
  </si>
  <si>
    <t xml:space="preserve">DA.ROU</t>
  </si>
  <si>
    <t xml:space="preserve">Penyusutan aset hak guna (Cat 27 + 28)</t>
  </si>
  <si>
    <t xml:space="preserve">Cat 27-28</t>
  </si>
  <si>
    <t xml:space="preserve">DA.AMORT_COGS</t>
  </si>
  <si>
    <t xml:space="preserve">Amortisasi aset takberwujud di beban pokok (tidak ada)</t>
  </si>
  <si>
    <t xml:space="preserve">tidak ada</t>
  </si>
  <si>
    <t xml:space="preserve">DA.AMORT_OPEX</t>
  </si>
  <si>
    <t xml:space="preserve">Amortisasi aset takberwujud di beban usaha (Cat 28)</t>
  </si>
  <si>
    <t xml:space="preserve">DA.SOFTWARE</t>
  </si>
  <si>
    <t xml:space="preserve">Amortisasi aset takberwujud (Cat 27 + 28)</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</si>
  <si>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</si>
  <si>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</si>
  <si>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</si>
  <si>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</si>
  <si>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</si>
  <si>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</si>
  <si>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</si>
  <si>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aset tetap, baris JUMLAH tabel mutasi; model biaya; aset hak guna disajikan terpisah)</t>
  </si>
  <si>
    <t xml:space="preserve">Cat aset tetap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</si>
  <si>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</si>
  <si>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</si>
  <si>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</si>
  <si>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</si>
  <si>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</si>
  <si>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</si>
  <si>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</si>
  <si>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</si>
  <si>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</si>
  <si>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</si>
  <si>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</si>
  <si>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</si>
  <si>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</si>
  <si>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</si>
  <si>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</si>
  <si>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aset tetap Aset tetap - akumulasi penyusutan (JUMLAH; bertanda negatif)</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</si>
  <si>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</si>
  <si>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</si>
  <si>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</si>
  <si>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</si>
  <si>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</si>
  <si>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</si>
  <si>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</si>
  <si>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</si>
  <si>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</si>
  <si>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 bertanda negatif)</t>
  </si>
  <si>
    <t xml:space="preserve">C. RINCIAN CATATAN (urut catatan LK)</t>
  </si>
  <si>
    <t xml:space="preserve">Cat 26 - Pendapatan</t>
  </si>
  <si>
    <t xml:space="preserve">CK001</t>
  </si>
  <si>
    <t xml:space="preserve">   Rawat inap - Obat dan perlengkapan medis</t>
  </si>
  <si>
    <t xml:space="preserve">hal PDF None</t>
  </si>
  <si>
    <t xml:space="preserve">CK002</t>
  </si>
  <si>
    <t xml:space="preserve">   Rawat inap - Jasa tenaga ahli</t>
  </si>
  <si>
    <t xml:space="preserve">CK003</t>
  </si>
  <si>
    <t xml:space="preserve">   Rawat inap - Layanan penunjang medis</t>
  </si>
  <si>
    <t xml:space="preserve">CK004</t>
  </si>
  <si>
    <t xml:space="preserve">   Rawat inap - Kamar rawat inap dan ruang operasi</t>
  </si>
  <si>
    <t xml:space="preserve">CK005</t>
  </si>
  <si>
    <t xml:space="preserve">   Rawat inap - Administrasi</t>
  </si>
  <si>
    <t xml:space="preserve">CK006</t>
  </si>
  <si>
    <t xml:space="preserve">   Rawat jalan - Obat dan perlengkapan medis</t>
  </si>
  <si>
    <t xml:space="preserve">CK007</t>
  </si>
  <si>
    <t xml:space="preserve">   Rawat jalan - Jasa tenaga ahli</t>
  </si>
  <si>
    <t xml:space="preserve">CK008</t>
  </si>
  <si>
    <t xml:space="preserve">   Rawat jalan - Layanan penunjang medis</t>
  </si>
  <si>
    <t xml:space="preserve">CK009</t>
  </si>
  <si>
    <t xml:space="preserve">   Rawat jalan - Administrasi</t>
  </si>
  <si>
    <t xml:space="preserve">CK010</t>
  </si>
  <si>
    <t xml:space="preserve">   Dikurangi: biaya jasa tenaga ahli (agen, PSAK 115)</t>
  </si>
  <si>
    <t xml:space="preserve">CK011</t>
  </si>
  <si>
    <t xml:space="preserve">   JUMLAH (lapor)</t>
  </si>
  <si>
    <t xml:space="preserve">CK012</t>
  </si>
  <si>
    <t xml:space="preserve">   Rawat inap</t>
  </si>
  <si>
    <t xml:space="preserve">CK013</t>
  </si>
  <si>
    <t xml:space="preserve">   Obat-obatan</t>
  </si>
  <si>
    <t xml:space="preserve">CK014</t>
  </si>
  <si>
    <t xml:space="preserve">   Poliklinik</t>
  </si>
  <si>
    <t xml:space="preserve">CK015</t>
  </si>
  <si>
    <t xml:space="preserve">   Laboratorium</t>
  </si>
  <si>
    <t xml:space="preserve">CK016</t>
  </si>
  <si>
    <t xml:space="preserve">   Radiologi</t>
  </si>
  <si>
    <t xml:space="preserve">CK017</t>
  </si>
  <si>
    <t xml:space="preserve">   Pemeriksaan medis</t>
  </si>
  <si>
    <t xml:space="preserve">CK018</t>
  </si>
  <si>
    <t xml:space="preserve">   Hemodialisa</t>
  </si>
  <si>
    <t xml:space="preserve">CK019</t>
  </si>
  <si>
    <t xml:space="preserve">   Diskon pasien</t>
  </si>
  <si>
    <t xml:space="preserve">SK001</t>
  </si>
  <si>
    <t xml:space="preserve">   Σ rincian (rumus)</t>
  </si>
  <si>
    <t xml:space="preserve">Cat 27 - Beban pokok pendapatan</t>
  </si>
  <si>
    <t xml:space="preserve">CK020</t>
  </si>
  <si>
    <t xml:space="preserve">   Obat dan perlengkapan medis</t>
  </si>
  <si>
    <t xml:space="preserve">CK021</t>
  </si>
  <si>
    <t xml:space="preserve">   Gaji dan tunjangan</t>
  </si>
  <si>
    <t xml:space="preserve">CK022</t>
  </si>
  <si>
    <t xml:space="preserve">   Penyusutan</t>
  </si>
  <si>
    <t xml:space="preserve">CK023</t>
  </si>
  <si>
    <t xml:space="preserve">   Kamar rawat inap</t>
  </si>
  <si>
    <t xml:space="preserve">CK024</t>
  </si>
  <si>
    <t xml:space="preserve">   Layanan penunjang medis</t>
  </si>
  <si>
    <t xml:space="preserve">CK025</t>
  </si>
  <si>
    <t xml:space="preserve">   Pasien rawat jalan</t>
  </si>
  <si>
    <t xml:space="preserve">CK026</t>
  </si>
  <si>
    <t xml:space="preserve">   Penyusutan aset hak guna</t>
  </si>
  <si>
    <t xml:space="preserve">CK027</t>
  </si>
  <si>
    <t xml:space="preserve">   Jasa tenaga ahli</t>
  </si>
  <si>
    <t xml:space="preserve">CK028</t>
  </si>
  <si>
    <t xml:space="preserve">CK029</t>
  </si>
  <si>
    <t xml:space="preserve">   Jasa dokter</t>
  </si>
  <si>
    <t xml:space="preserve">CK030</t>
  </si>
  <si>
    <t xml:space="preserve">CK031</t>
  </si>
  <si>
    <t xml:space="preserve">   Beban pasien rawat inap</t>
  </si>
  <si>
    <t xml:space="preserve">CK032</t>
  </si>
  <si>
    <t xml:space="preserve">CK033</t>
  </si>
  <si>
    <t xml:space="preserve">CK034</t>
  </si>
  <si>
    <t xml:space="preserve">CK035</t>
  </si>
  <si>
    <t xml:space="preserve">SK002</t>
  </si>
  <si>
    <t xml:space="preserve">Cat 28 - Beban usaha</t>
  </si>
  <si>
    <t xml:space="preserve">CK036</t>
  </si>
  <si>
    <t xml:space="preserve">CK037</t>
  </si>
  <si>
    <t xml:space="preserve">   Jasa profesional</t>
  </si>
  <si>
    <t xml:space="preserve">CK038</t>
  </si>
  <si>
    <t xml:space="preserve">CK039</t>
  </si>
  <si>
    <t xml:space="preserve">   Keamanan dan kebersihan</t>
  </si>
  <si>
    <t xml:space="preserve">CK040</t>
  </si>
  <si>
    <t xml:space="preserve">   Utilitas</t>
  </si>
  <si>
    <t xml:space="preserve">CK041</t>
  </si>
  <si>
    <t xml:space="preserve">   Perbaikan dan pemeliharaan</t>
  </si>
  <si>
    <t xml:space="preserve">CK042</t>
  </si>
  <si>
    <t xml:space="preserve">   Imbalan kerja</t>
  </si>
  <si>
    <t xml:space="preserve">CK043</t>
  </si>
  <si>
    <t xml:space="preserve">   Jamsostek</t>
  </si>
  <si>
    <t xml:space="preserve">CK044</t>
  </si>
  <si>
    <t xml:space="preserve">   Keperluan kantor</t>
  </si>
  <si>
    <t xml:space="preserve">CK045</t>
  </si>
  <si>
    <t xml:space="preserve">   Konsumsi</t>
  </si>
  <si>
    <t xml:space="preserve">CK046</t>
  </si>
  <si>
    <t xml:space="preserve">   Pengobatan</t>
  </si>
  <si>
    <t xml:space="preserve">CK047</t>
  </si>
  <si>
    <t xml:space="preserve">   Amortisasi aset tak berwujud</t>
  </si>
  <si>
    <t xml:space="preserve">CK048</t>
  </si>
  <si>
    <t xml:space="preserve">   Asuransi</t>
  </si>
  <si>
    <t xml:space="preserve">CK049</t>
  </si>
  <si>
    <t xml:space="preserve">   Pelatihan</t>
  </si>
  <si>
    <t xml:space="preserve">CK050</t>
  </si>
  <si>
    <t xml:space="preserve">   Perizinan dan pajak</t>
  </si>
  <si>
    <t xml:space="preserve">CK051</t>
  </si>
  <si>
    <t xml:space="preserve">   Transportasi dan perjalanan dinas</t>
  </si>
  <si>
    <t xml:space="preserve">CK052</t>
  </si>
  <si>
    <t xml:space="preserve">CK053</t>
  </si>
  <si>
    <t xml:space="preserve">   Beban bank</t>
  </si>
  <si>
    <t xml:space="preserve">CK054</t>
  </si>
  <si>
    <t xml:space="preserve">   Lain-lain (dibawah Rp2.000)</t>
  </si>
  <si>
    <t xml:space="preserve">CK055</t>
  </si>
  <si>
    <t xml:space="preserve">CK056</t>
  </si>
  <si>
    <t xml:space="preserve">   Imbalan pascakerja</t>
  </si>
  <si>
    <t xml:space="preserve">CK057</t>
  </si>
  <si>
    <t xml:space="preserve">   Perijinan dan pajak</t>
  </si>
  <si>
    <t xml:space="preserve">CK058</t>
  </si>
  <si>
    <t xml:space="preserve">   Transportasi</t>
  </si>
  <si>
    <t xml:space="preserve">CK059</t>
  </si>
  <si>
    <t xml:space="preserve">   Lain-lain (masing-masing dibawah Rp2.000)</t>
  </si>
  <si>
    <t xml:space="preserve">CK060</t>
  </si>
  <si>
    <t xml:space="preserve">   Biaya langganan</t>
  </si>
  <si>
    <t xml:space="preserve">CK061</t>
  </si>
  <si>
    <t xml:space="preserve">   Pembelian Aset bernilai rendah</t>
  </si>
  <si>
    <t xml:space="preserve">CK062</t>
  </si>
  <si>
    <t xml:space="preserve">   Seragam</t>
  </si>
  <si>
    <t xml:space="preserve">CK063</t>
  </si>
  <si>
    <t xml:space="preserve">   Percetakan</t>
  </si>
  <si>
    <t xml:space="preserve">CK064</t>
  </si>
  <si>
    <t xml:space="preserve">   Sewa</t>
  </si>
  <si>
    <t xml:space="preserve">CK065</t>
  </si>
  <si>
    <t xml:space="preserve">   Lain-lain (masing-masing dibawah Rp 200.000.000)</t>
  </si>
  <si>
    <t xml:space="preserve">CK066</t>
  </si>
  <si>
    <t xml:space="preserve">   Lain-lain (dibawah Rp 200.000.000)</t>
  </si>
  <si>
    <t xml:space="preserve">CK067</t>
  </si>
  <si>
    <t xml:space="preserve">   Listrik dan air</t>
  </si>
  <si>
    <t xml:space="preserve">CK068</t>
  </si>
  <si>
    <t xml:space="preserve">   Pensiun</t>
  </si>
  <si>
    <t xml:space="preserve">SK003</t>
  </si>
  <si>
    <t xml:space="preserve">Cat 30 - Pendapatan lain-lain - neto</t>
  </si>
  <si>
    <t xml:space="preserve">CK069</t>
  </si>
  <si>
    <t xml:space="preserve">   Pendapatan lain-lain</t>
  </si>
  <si>
    <t xml:space="preserve">CK070</t>
  </si>
  <si>
    <t xml:space="preserve">   Pembalikan penurunan nilai piutang usaha - neto</t>
  </si>
  <si>
    <t xml:space="preserve">CK071</t>
  </si>
  <si>
    <t xml:space="preserve">   Keuntungan penjualan aset tetap (Catatan 12)</t>
  </si>
  <si>
    <t xml:space="preserve">CK072</t>
  </si>
  <si>
    <t xml:space="preserve">   Keuntungan selisih kurs</t>
  </si>
  <si>
    <t xml:space="preserve">CK073</t>
  </si>
  <si>
    <t xml:space="preserve">   Kerugian selisih kurs - neto</t>
  </si>
  <si>
    <t xml:space="preserve">CK074</t>
  </si>
  <si>
    <t xml:space="preserve">   Beban lain-lain</t>
  </si>
  <si>
    <t xml:space="preserve">CK075</t>
  </si>
  <si>
    <t xml:space="preserve">   Penyisihan penurunan nilai piutang usaha - neto</t>
  </si>
  <si>
    <t xml:space="preserve">CK076</t>
  </si>
  <si>
    <t xml:space="preserve">   Kerugian pelepasan aset Tetap (Catatan 12)</t>
  </si>
  <si>
    <t xml:space="preserve">CK077</t>
  </si>
  <si>
    <t xml:space="preserve">CK078</t>
  </si>
  <si>
    <t xml:space="preserve">   Pendapatan sewa</t>
  </si>
  <si>
    <t xml:space="preserve">CK079</t>
  </si>
  <si>
    <t xml:space="preserve">   Keuntungan penjualan obat hibah</t>
  </si>
  <si>
    <t xml:space="preserve">CK080</t>
  </si>
  <si>
    <t xml:space="preserve">   Pendapatan bagi hasil</t>
  </si>
  <si>
    <t xml:space="preserve">CK081</t>
  </si>
  <si>
    <t xml:space="preserve">   Keuntungan pelepasan aset tetap</t>
  </si>
  <si>
    <t xml:space="preserve">CK082</t>
  </si>
  <si>
    <t xml:space="preserve">   Keuntungan pengembalian persediaan</t>
  </si>
  <si>
    <t xml:space="preserve">CK083</t>
  </si>
  <si>
    <t xml:space="preserve">   Cadangan kerugian penurunan nilai</t>
  </si>
  <si>
    <t xml:space="preserve">CK084</t>
  </si>
  <si>
    <t xml:space="preserve">   Kerugian penghapusan persediaan</t>
  </si>
  <si>
    <t xml:space="preserve">CK085</t>
  </si>
  <si>
    <t xml:space="preserve">   Lainnya</t>
  </si>
  <si>
    <t xml:space="preserve">CK086</t>
  </si>
  <si>
    <t xml:space="preserve">   Keuntungan penjualan aset tetap</t>
  </si>
  <si>
    <t xml:space="preserve">CK087</t>
  </si>
  <si>
    <t xml:space="preserve">   Biaya kurtailmen imbalan kerja</t>
  </si>
  <si>
    <t xml:space="preserve">CK088</t>
  </si>
  <si>
    <t xml:space="preserve">   Kerugian penurunan nilai</t>
  </si>
  <si>
    <t xml:space="preserve">CK089</t>
  </si>
  <si>
    <t xml:space="preserve">   Amortisasi biaya emisi utang obligasi</t>
  </si>
  <si>
    <t xml:space="preserve">CK090</t>
  </si>
  <si>
    <t xml:space="preserve">   Lain-lain</t>
  </si>
  <si>
    <t xml:space="preserve">CK091</t>
  </si>
  <si>
    <t xml:space="preserve">   Penjualan aset tetap</t>
  </si>
  <si>
    <t xml:space="preserve">CK092</t>
  </si>
  <si>
    <t xml:space="preserve">   Klaim atas asuransi</t>
  </si>
  <si>
    <t xml:space="preserve">CK093</t>
  </si>
  <si>
    <t xml:space="preserve">   Keuntungan (kerugian) penurunan nilai</t>
  </si>
  <si>
    <t xml:space="preserve">CK094</t>
  </si>
  <si>
    <t xml:space="preserve">   Penghapusan aset tetap</t>
  </si>
  <si>
    <t xml:space="preserve">SK004</t>
  </si>
  <si>
    <t xml:space="preserve">Cat EPS - Laba per saham</t>
  </si>
  <si>
    <t xml:space="preserve">CK095</t>
  </si>
  <si>
    <t xml:space="preserve">   Rata-rata tertimbang saham beredar (dasar)</t>
  </si>
  <si>
    <t xml:space="preserve">Rasio keuangan FY2021A-FY2025A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</si>
  <si>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</si>
  <si>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</si>
  <si>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</si>
  <si>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</si>
  <si>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</si>
  <si>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R.G_MED</t>
  </si>
  <si>
    <t xml:space="preserve">R.G_INPAT</t>
  </si>
  <si>
    <t xml:space="preserve">Rawat inap (jasa, kamar, penunjang)</t>
  </si>
  <si>
    <t xml:space="preserve">R.G_OUTPAT</t>
  </si>
  <si>
    <t xml:space="preserve">Rawat jalan &amp; penunjang</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</si>
  <si>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</si>
  <si>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</si>
  <si>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</si>
  <si>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</si>
  <si>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</si>
  <si>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</si>
  <si>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</si>
  <si>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</si>
  <si>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</si>
  <si>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</si>
  <si>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dihitung (termasuk pendapatan lain neto Cat 30) + penyusutan aset tetap (Cat 27+28) + penyusutan aset hak guna + amortisasi (Cat 28)</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</si>
  <si>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</si>
  <si>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</si>
  <si>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</si>
  <si>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</si>
  <si>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</si>
  <si>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</si>
  <si>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</si>
  <si>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</si>
  <si>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</si>
  <si>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</si>
  <si>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</si>
  <si>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</si>
  <si>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</si>
  <si>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30 (di atas laba usaha; termasuk penurunan nilai piutang &amp; selisih kurs)</t>
  </si>
  <si>
    <t xml:space="preserve">PENDAPATAN</t>
  </si>
  <si>
    <t xml:space="preserve">R.SH_MED</t>
  </si>
  <si>
    <t xml:space="preserve">Porsi obat &amp; perlengkapan medis (% pendapatan)</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</si>
  <si>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</si>
  <si>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</si>
  <si>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</si>
  <si>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</si>
  <si>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</si>
  <si>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</si>
  <si>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</si>
  <si>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</si>
  <si>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</si>
  <si>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</si>
  <si>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</si>
  <si>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pinjaman non-bank + surat utang + utang pembiayaan (Rp)</t>
  </si>
  <si>
    <t xml:space="preserve">Temuan S6</t>
  </si>
  <si>
    <t xml:space="preserve">R.LEASE</t>
  </si>
  <si>
    <t xml:space="preserve">Liabilitas sewa (Rp)</t>
  </si>
  <si>
    <t xml:space="preserve">R.CASHINV</t>
  </si>
  <si>
    <t xml:space="preserve">Kas dan setara kas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</si>
  <si>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</si>
  <si>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</si>
  <si>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</si>
  <si>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</si>
  <si>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</si>
  <si>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</si>
  <si>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</si>
  <si>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</si>
  <si>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</si>
  <si>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</si>
  <si>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</si>
  <si>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</si>
  <si>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</si>
  <si>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</si>
  <si>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</si>
  <si>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</si>
  <si>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</si>
  <si>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</si>
  <si>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</si>
  <si>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</si>
  <si>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12,238,959,990 saham tercatat (Rp)</t>
  </si>
  <si>
    <t xml:space="preserve">saham tercatat akhir 2025</t>
  </si>
  <si>
    <t xml:space="preserve">R.EPS_W</t>
  </si>
  <si>
    <t xml:space="preserve">Laba induk / saham rata-rata tertimbang CALK (Rp)</t>
  </si>
  <si>
    <t xml:space="preserve">R.EPS_P</t>
  </si>
  <si>
    <t xml:space="preserve">EPS dasar tercetak (Rp)</t>
  </si>
  <si>
    <t xml:space="preserve">Temuan S9</t>
  </si>
  <si>
    <t xml:space="preserve">R.BVPS</t>
  </si>
  <si>
    <t xml:space="preserve">Ekuitas induk per saham (Rp)</t>
  </si>
  <si>
    <t xml:space="preserve">R.DIV</t>
  </si>
  <si>
    <t xml:space="preserve">Dividen tunai dibayar (Rp)</t>
  </si>
  <si>
    <t xml:space="preserve">dividen ke pemilik induk</t>
  </si>
  <si>
    <t xml:space="preserve">Rekonsiliasi &amp; cek integritas (330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</si>
  <si>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</si>
  <si>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</si>
  <si>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</si>
  <si>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</si>
  <si>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</si>
  <si>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</si>
  <si>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</si>
  <si>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</si>
  <si>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</si>
  <si>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</si>
  <si>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</si>
  <si>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</si>
  <si>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</si>
  <si>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</si>
  <si>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</si>
  <si>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</si>
  <si>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</si>
  <si>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</si>
  <si>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</si>
  <si>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</si>
  <si>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</si>
  <si>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</si>
  <si>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</si>
  <si>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</si>
  <si>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</si>
  <si>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</si>
  <si>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</si>
  <si>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</si>
  <si>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</si>
  <si>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</si>
  <si>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</si>
  <si>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</si>
  <si>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</si>
  <si>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</si>
  <si>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</si>
  <si>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</si>
  <si>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</si>
  <si>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</si>
  <si>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LAK + rekonsiliasi definisi kas (memo) = kas neraca</t>
  </si>
  <si>
    <t xml:space="preserve">LPE: dividen ke pemilik induk = dividen dibayar (CF)</t>
  </si>
  <si>
    <t xml:space="preserve">LPE: 2020: awal periode model</t>
  </si>
  <si>
    <t xml:space="preserve">CALK vs laporan</t>
  </si>
  <si>
    <t xml:space="preserve">Cat 26: obat + rawat inap + rawat jalan &amp; penunjang + lainnya/diskon = pendapatan IS</t>
  </si>
  <si>
    <t xml:space="preserve">Cat 26: jumlah pendapatan tercetak = IS</t>
  </si>
  <si>
    <t xml:space="preserve">Cat 27: jumlah beban pokok tercetak = IS</t>
  </si>
  <si>
    <t xml:space="preserve">Cat 28: jumlah beban umum &amp; administrasi tercetak = IS</t>
  </si>
  <si>
    <t xml:space="preserve">Cat 30: jumlah pendapatan lain-lain neto tercetak = IS</t>
  </si>
  <si>
    <t xml:space="preserve">Cat aset tetap: nilai tercatat aset tetap (biaya + akumulasi) = BS</t>
  </si>
  <si>
    <t xml:space="preserve">CALK internal</t>
  </si>
  <si>
    <t xml:space="preserve">Cat 27+28: penyusutan aset tetap di laba rugi = penambahan akumulasi Cat aset tetap</t>
  </si>
  <si>
    <t xml:space="preserve">Cat aset tetap Aset tetap - biaya perolehan: awal + mutasi = akhir</t>
  </si>
  <si>
    <t xml:space="preserve">Cat aset tetap Aset tetap - akumulasi penyusutan: awal + mutasi = akhir</t>
  </si>
  <si>
    <t xml:space="preserve">Cat 26: Σ rincian = Jumlah tercetak</t>
  </si>
  <si>
    <t xml:space="preserve">Cat 27: Σ rincian = Jumlah tercetak</t>
  </si>
  <si>
    <t xml:space="preserve">Cat 28: Σ rincian = Jumlah tercetak</t>
  </si>
  <si>
    <t xml:space="preserve">Cat 30: Σ rincian = Jumlah tercetak</t>
  </si>
  <si>
    <t xml:space="preserve">Per saham</t>
  </si>
  <si>
    <t xml:space="preserve">EPS tercetak vs laba induk / saham rata-rata tertimbang CALK (toleransi Rp1)</t>
  </si>
  <si>
    <t xml:space="preserve">LPE: LPE LK FY2021: rugi/laba induk ke saldo laba; tanpa dividen</t>
  </si>
  <si>
    <t xml:space="preserve">Antar tahun</t>
  </si>
  <si>
    <t xml:space="preserve">CF: kas awal LAK + rekonsiliasi definisi kas (memo) = kas neraca tahun lalu</t>
  </si>
  <si>
    <t xml:space="preserve">selisih definisi kas / penyajian kembali (Temuan S5)</t>
  </si>
  <si>
    <t xml:space="preserve">Saldo laba: awal + laba komprehensif ke saldo laba (LPE) + dividen (CF) + lainnya (LPE) = akhir</t>
  </si>
  <si>
    <t xml:space="preserve">saldo laba = ditentukan + belum ditentukan penggunaannya; OCI (pengukuran kembali imbalan kerja) di kolom terpisah; lainnya = pos LPE lain (lihat SRAJ_cek_silang.json; 2023 = pembulatan Rp juta). Angka statis LPE dari SRAJ_cek_silang.json</t>
  </si>
  <si>
    <t xml:space="preserve">Mutasi aset tetap: saldo awal biaya = saldo akhir tahun lalu</t>
  </si>
  <si>
    <t xml:space="preserve">❌</t>
  </si>
  <si>
    <t xml:space="preserve">Temuan S8: LK FY2021 menyajikan saldo awal biaya perolehan 3.448.224.531.705 vs saldo akhir LK FY2020 3.371.822.743.790 (reklasifikasi 76.403.871.248 dari aset tidak lancar lain ke aset tetap di LK FY2021).</t>
  </si>
  <si>
    <t xml:space="preserve">Mutasi aset tetap: saldo awal akumulasi = saldo akhir tahun lalu</t>
  </si>
  <si>
    <t xml:space="preserve">Temuan S8: saldo awal akumulasi LK FY2021 -730.207.203.768 vs saldo akhir LK FY2020 -730.209.287.101 (selisih 2.083.333 dari reklasifikasi yang sama).</t>
  </si>
  <si>
    <t xml:space="preserve">LPE: LPE LK FY2022: pembentukan cadangan 5.000.000.000 netral di saldo laba total; tanpa dividen</t>
  </si>
  <si>
    <t xml:space="preserve">LPE: LPE LK FY2023 (Rp juta): lainnya = selisih pembulatan dari konversi Rp penuh (2022) ke Rp juta (2023)</t>
  </si>
  <si>
    <t xml:space="preserve">pembulatan konversi Rp penuh (LK FY2022) ke Rp juta (LK FY2023)</t>
  </si>
  <si>
    <t xml:space="preserve">Pembulatan: LK FY2023 menyajikan mutasi dalam Rp juta (saldo awal 4.679.439 juta) vs saldo akhir LK FY2022 dalam Rupiah penuh 4.679.439.740.916 (selisih &lt; Rp1 juta).</t>
  </si>
  <si>
    <t xml:space="preserve">Pembulatan: saldo awal akumulasi LK FY2023 -1.072.297 juta vs saldo akhir LK FY2022 -1.072.297.576.926 (selisih &lt; Rp1 juta).</t>
  </si>
  <si>
    <t xml:space="preserve">rekonsiliasi = cerukan / pinjaman bank jangka pendek yang diperlakukan sebagai kas di LAK (Temuan S5)</t>
  </si>
  <si>
    <t xml:space="preserve">LPE: LPE LK FY2025 (2024 disajikan kembali); tanpa dividen</t>
  </si>
  <si>
    <t xml:space="preserve">LPE: LPE LK FY2025: tanpa dividen; penerbitan saham &amp; selisih nilai wajar surat utang (816.304 juta) masuk tambahan modal disetor, bukan saldo laba</t>
  </si>
  <si>
    <t xml:space="preserve">Cek silang sumber (statis)</t>
  </si>
  <si>
    <t xml:space="preserve">Kas CF akhir (+ rekonsiliasi definisi kas) = kas neraca</t>
  </si>
  <si>
    <t xml:space="preserve">EPS dasar: laba induk / saham tertimbang (±1 Rp)</t>
  </si>
  <si>
    <t xml:space="preserve">saham tertimbang 12,000,705,445 (Catatan laba per saham)</t>
  </si>
  <si>
    <t xml:space="preserve">Kas awal CF (+ rekonsiliasi definisi kas) = kas neraca tahun lalu</t>
  </si>
  <si>
    <t xml:space="preserve">kas awal CF 2021 termasuk kas dibatasi tidak lancar 23.569.034.209 (neraca 2020 memisahkannya)</t>
  </si>
  <si>
    <t xml:space="preserve">selisih pembulatan: LK FY2023 dalam Rp juta, neraca 2022 dalam Rupiah penuh</t>
  </si>
  <si>
    <t xml:space="preserve">cerukan (29.169 juta) dikurangkan dari kas di laporan arus kas 2024</t>
  </si>
  <si>
    <t xml:space="preserve">kas awal CF 2024 dikurangi cerukan 17.814 juta (dasar LK FY2025)</t>
  </si>
  <si>
    <t xml:space="preserve">kas awal CF 2025 = 277.208 - cerukan 29.169 juta</t>
  </si>
  <si>
    <t xml:space="preserve">saham tertimbang 12,202,405,868 (Catatan laba per saham)</t>
  </si>
  <si>
    <t xml:space="preserve">Roll-forward saldo laba: awal + laba + dividen + lainnya = akhir</t>
  </si>
  <si>
    <t xml:space="preserve">LPE LK FY2021: rugi/laba induk ke saldo laba; tanpa dividen</t>
  </si>
  <si>
    <t xml:space="preserve">Laba induk LPE = laba induk laba rugi</t>
  </si>
  <si>
    <t xml:space="preserve">LPE LK FY2022: pembentukan cadangan 5.000.000.000 netral di saldo laba total; tanpa dividen</t>
  </si>
  <si>
    <t xml:space="preserve">LPE LK FY2023 (Rp juta): lainnya = selisih pembulatan dari konversi Rp penuh (2022) ke Rp juta (2023)</t>
  </si>
  <si>
    <t xml:space="preserve">LPE LK FY2025 (2024 disajikan kembali); tanpa dividen</t>
  </si>
  <si>
    <t xml:space="preserve">LPE LK FY2025: tanpa dividen; penerbitan saham &amp; selisih nilai wajar surat utang (816.304 juta) masuk tambahan modal disetor, bukan saldo laba</t>
  </si>
  <si>
    <t xml:space="preserve">Model proyeksi (historis)</t>
  </si>
  <si>
    <t xml:space="preserve">IS_Proj: EBIT = laba usaha IS</t>
  </si>
  <si>
    <t xml:space="preserve">IS_Proj: laba sebelum pajak = IS</t>
  </si>
  <si>
    <t xml:space="preserve">IS_Proj: 4 jenis pendapatan = pendapatan IS</t>
  </si>
  <si>
    <t xml:space="preserve">BS_Proj agregat: aset = liabilitas + ekuitas</t>
  </si>
  <si>
    <t xml:space="preserve">BS_Proj agregat: jumlah aset = BS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</si>
  <si>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</si>
  <si>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</si>
  <si>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</si>
  <si>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</si>
  <si>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</si>
  <si>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</si>
  <si>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Kas negatif = kebutuhan pendanaan tambahan yang tidak dimodelkan (Temuan M9)</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</si>
  <si>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</si>
  <si>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</si>
  <si>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</si>
  <si>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</si>
  <si>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</si>
  <si>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</si>
  <si>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S1</t>
  </si>
  <si>
    <t xml:space="preserve">Sumber &amp; satuan: LK audit per tahun, Rp penuh (2020-22) &amp; Rp juta (2023-25)</t>
  </si>
  <si>
    <t xml:space="preserve">mayapadahospital.com (LK FY2020-FY2025)</t>
  </si>
  <si>
    <t xml:space="preserve">SRAJ (PT Sejahteraraya Anugrahjaya Tbk / Mayapada Hospital). Histori FY2020-FY2025 dari LK audit masing-masing tahun (dasar asli), kecuali 2024 dari komparatif LK FY2025 (disajikan kembali, Catatan 46). PATAHAN BASIS PENDAPATAN: LK FY2025 menyajikan kembali 2024 karena Grup bertindak sebagai agen atas jasa dokter (PSAK 115) -&gt; pendapatan &amp; beban pokok 2024 masing-masing turun 807.914 juta (laba bruto tetap). Pendapatan &amp; beban pokok 2020-2023 masih bruto (termasuk jasa dokter) sehingga margin kotor 2020-2023 TIDAK sebanding dengan 2024-2025. Satuan sumber: Rupiah penuh (2020-2022) dan Rp juta (2023-2025; dikali 1.000.000).</t>
  </si>
  <si>
    <t xml:space="preserve">Histori FY2020-FY2025 (6 tahun) dari LK tahun masing-masing (dasar asli), kecuali 2024 = komparatif LK FY2025 disajikan kembali. Angka Rp juta dikonversi ke Rp penuh; subtotal dapat berselisih karena pembulatan (toleransi di Rekonsiliasi).</t>
  </si>
  <si>
    <t xml:space="preserve">S2</t>
  </si>
  <si>
    <t xml:space="preserve">Penyajian kembali 2024 (PSAK 115: Grup sebagai agen atas jasa dokter)</t>
  </si>
  <si>
    <t xml:space="preserve">LK FY2025 Catatan 46</t>
  </si>
  <si>
    <t xml:space="preserve">LK FY2025 menyajikan kembali 2024: pendapatan 3.148,3 M -&gt; 2.340,4 M dan beban pokok 2.231,9 M -&gt; 1.424,0 M (biaya jasa tenaga ahli 807,9 M dikurangkan dari pendapatan karena Grup bertindak sebagai agen). Laba hampir tidak berubah. LK FY2020-FY2023 masih menyajikan jasa dokter secara bruto (pendapatan &amp; beban pokok).</t>
  </si>
  <si>
    <t xml:space="preserve">Model memakai 2024 disajikan kembali (sebanding dengan 2025). Pendapatan &amp; margin bruto 2020-2023 TIDAK sebanding dengan 2024-25 (basis bruto): pertumbuhan pendapatan 2024 dan lonjakan margin bruto sebagian besar efek penyajian.</t>
  </si>
  <si>
    <t xml:space="preserve">S3</t>
  </si>
  <si>
    <t xml:space="preserve">Kategori pendapatan Cat 26 berubah di LK FY2023 &amp; pengurang agen 2024-25</t>
  </si>
  <si>
    <t xml:space="preserve">CALK Cat 26</t>
  </si>
  <si>
    <t xml:space="preserve">LK FY2020-2022 merinci rawat inap, obat-obatan, laboratorium, poliklinik, radiologi, pemeriksaan medis, hemodialisa dan diskon pasien. LK FY2023-2025 merinci rawat inap &amp; rawat jalan per jenis (obat &amp; perlengkapan medis, jasa tenaga ahli, layanan penunjang medis, kamar &amp; ruang operasi, administrasi); 2024-25 dikurangi biaya jasa tenaga ahli (agen). Model: obat; rawat inap; rawat jalan &amp; penunjang; lainnya = diskon/pengurang agen (2020 -34,3 M, 2021 -35,5 M, 2022 -19,1 M, 2023 0,0 M, 2024 -807,9 M, 2025 -912,1 M).</t>
  </si>
  <si>
    <t xml:space="preserve">Pertumbuhan per kelompok 2023 vs 2022 tidak sebanding (laboratorium &amp; radiologi 2020-22 ada di rawat jalan &amp; penunjang; 2023+ penunjang dibagi rawat inap/jalan). Asumsi "lainnya" proyeksi = rasio pengurang agen 2025.</t>
  </si>
  <si>
    <t xml:space="preserve">S4</t>
  </si>
  <si>
    <t xml:space="preserve">Laba usaha tidak dicetak di LK</t>
  </si>
  <si>
    <t xml:space="preserve">Laporan laba rugi</t>
  </si>
  <si>
    <t xml:space="preserve">Model menghitung laba usaha = laba bruto - beban penjualan - beban umum &amp; administrasi + pendapatan (beban) lain-lain neto (Cat 30). Laba (rugi) usaha (dihitung): 2020 44,3 M, 2021 250,5 M, 2022 35,2 M, 2023 113,3 M, 2024 157,7 M, 2025 85,5 M.</t>
  </si>
  <si>
    <t xml:space="preserve">EBITDA &amp; margin usaha memakai laba usaha hasil hitung; tidak ada cek "rumus vs tercetak" untuk laba usaha.</t>
  </si>
  <si>
    <t xml:space="preserve">S5</t>
  </si>
  <si>
    <t xml:space="preserve">Definisi kas LAK berbeda dengan kas neraca (cerukan, penyajian kembali)</t>
  </si>
  <si>
    <t xml:space="preserve">LAK &amp; Neraca</t>
  </si>
  <si>
    <t xml:space="preserve">Rekonsiliasi kas awal LAK ke kas neraca tahun lalu: 2021 -23,6 M, 2024 17,8 M, 2025 29,2 M. Kas akhir LAK 2024 berbeda dengan kas neraca sebesar 29,2 M (cerukan/pinjaman bank jangka pendek diperlakukan sebagai kas di LAK). 2025 ada efek kurs 37,3 M. Kas awal 2023 berselisih pembulatan Rp juta (250.664).</t>
  </si>
  <si>
    <t xml:space="preserve">Rekonsiliasi dicatat sebagai baris memo di CF; cek kas memakai kas LAK + memo = kas neraca. Proyeksi memakai kas neraca.</t>
  </si>
  <si>
    <t xml:space="preserve">S6</t>
  </si>
  <si>
    <t xml:space="preserve">Utang berbunga naik tajam; surat utang 2025</t>
  </si>
  <si>
    <t xml:space="preserve">Neraca FY2020-25</t>
  </si>
  <si>
    <t xml:space="preserve">Utang berbunga (bank, pinjaman non-bank, surat utang/obligasi, utang pembiayaan): 2020 1.072,3 M, 2021 846,2 M, 2022 1.725,3 M, 2023 1.646,3 M, 2024 1.665,9 M, 2025 4.684,4 M. Surat utang/obligasi: 2020 0,0 M, 2021 0,0 M, 2022 943,3 M, 2023 944,7 M, 2024 946,4 M, 2025 3.574,4 M. Kas: 2020 629,6 M, 2021 700,9 M, 2022 1.118,3 M, 2023 515,2 M, 2024 277,2 M, 2025 1.826,3 M. Beban keuangan 2025 387,6 M (2024 173,9 M). LPE 2025 mencatat selisih nilai wajar surat utang di tambahan modal disetor.</t>
  </si>
  <si>
    <t xml:space="preserve">Utang konstan di proyeksi; kas = penyeimbang dan dapat negatif (berarti kebutuhan pendanaan tambahan, bukan kas sebenarnya). Jadwal jatuh tempo surat utang tidak dimodelkan.</t>
  </si>
  <si>
    <t xml:space="preserve">S7</t>
  </si>
  <si>
    <t xml:space="preserve">Utang lain-lain pihak berelasi besar</t>
  </si>
  <si>
    <t xml:space="preserve">Neraca &amp; LAK</t>
  </si>
  <si>
    <t xml:space="preserve">Utang lain-lain kepada pihak berelasi: 2020 1.085,2 M, 2021 1.514,1 M, 2022 1.512,2 M, 2023 1.512,2 M, 2024 1.512,2 M, 2025 972,1 M. Arus kas pendanaan pihak berelasi (neto): 2020 342,3 M, 2021 428,8 M, 2022 0,0 M, 2023 0,0 M, 2024 0,0 M, 2025 -435,0 M.</t>
  </si>
  <si>
    <t xml:space="preserve">Tidak dimasukkan ke utang berbunga (tanpa bunga menurut LK); konstan di proyeksi.</t>
  </si>
  <si>
    <t xml:space="preserve">S8</t>
  </si>
  <si>
    <t xml:space="preserve">Saldo awal mutasi aset tetap 2021 tidak sama dengan saldo akhir 2020</t>
  </si>
  <si>
    <t xml:space="preserve">CALK aset tetap LK FY2020-2021</t>
  </si>
  <si>
    <t xml:space="preserve">LK FY2021 menyajikan saldo awal biaya perolehan 3.448.224.531.705 vs saldo akhir di LK FY2020 3.371.822.743.790 (reklasifikasi 76.403.871.248 aset tidak lancar lain -&gt; aset tetap); akumulasi -730.207.203.768 vs -730.209.287.101.</t>
  </si>
  <si>
    <t xml:space="preserve">Neraca 2020 tetap dasar asli LK FY2020; cek antar tahun 2021 ditandai diketahui.</t>
  </si>
  <si>
    <t xml:space="preserve">S9</t>
  </si>
  <si>
    <t xml:space="preserve">Rugi berulang, tanpa dividen; saham tertimbang</t>
  </si>
  <si>
    <t xml:space="preserve">Laba rugi &amp; CALK laba per saham</t>
  </si>
  <si>
    <t xml:space="preserve">Laba (rugi) pemilik induk: 2020 -14,4 M, 2021 165,3 M, 2022 -44,3 M, 2023 -38,5 M, 2024 -23,5 M, 2025 -199,0 M. Rata-rata tertimbang saham (CALK): 2020 12,000,705,445, 2021 12,000,705,445, 2022 12,000,705,445, 2023 12,000,705,445, 2024 12,000,705,445, 2025 12,202,405,868. Saham tercatat akhir 2025 12,238,959,990 (penerbitan saham 2025 521,7 M). Tidak ada dividen 2020-2025.</t>
  </si>
  <si>
    <t xml:space="preserve">Payout proyeksi 0%; tarif pajak efektif tidak bermakna saat rugi (Base memakai tarif normatif).</t>
  </si>
  <si>
    <t xml:space="preserve">S10</t>
  </si>
  <si>
    <t xml:space="preserve">Uji ekstraksi ganda (pdftotext -layout vs -raw)</t>
  </si>
  <si>
    <t xml:space="preserve">Ekstraksi A vs B, LK FY2020-25</t>
  </si>
  <si>
    <t xml:space="preserve">Ekstraksi A: pdftotext -layout + parser kolom (laporan pokok &amp; CALK) per LK FY2020-FY2025 (2024 dari komparatif LK FY2025). Ekstraksi B: pdftotext -raw (aliran teks tanpa tata letak) atas PDF yang sama. Setiap nilai A dicari sebagai token angka di B; nilai yang tidak muncul adalah pos gabungan model (mis. utang lain-lain + utang kontraktor, pendapatan + beban lain-lain) dan diperiksa manual terhadap subtotal tercetak. Hasil laporan: 541 nilai sama, 0 berbeda, 17 tidak ditemukan di B (pos gabungan/komposit). CALK: 312 nilai sama, 2 tidak ditemukan.</t>
  </si>
  <si>
    <t xml:space="preserve">Nilai yang tidak ditemukan di B adalah pos gabungan (dijumlahkan dari beberapa baris) dan diuji lewat subtotal tercetak.</t>
  </si>
  <si>
    <t xml:space="preserve">Database format panjang FY2021-FY2025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</si>
  <si>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</si>
  <si>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</si>
  <si>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</si>
  <si>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</si>
  <si>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</si>
  <si>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</si>
  <si>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</si>
  <si>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</si>
  <si>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</si>
  <si>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</si>
  <si>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</si>
  <si>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</si>
  <si>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</si>
  <si>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</si>
  <si>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</si>
  <si>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</si>
  <si>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LK FY2020 (audit, Rupiah penuh)</t>
  </si>
  <si>
    <t xml:space="preserve">dilaporkan</t>
  </si>
  <si>
    <t xml:space="preserve">FY2021</t>
  </si>
  <si>
    <t xml:space="preserve">LK FY2021 (audit, Rupiah penuh)</t>
  </si>
  <si>
    <t xml:space="preserve">komparatif</t>
  </si>
  <si>
    <t xml:space="preserve">FY2022</t>
  </si>
  <si>
    <t xml:space="preserve">LK FY2022 (audit, Rupiah penuh)</t>
  </si>
  <si>
    <t xml:space="preserve">FY2023</t>
  </si>
  <si>
    <t xml:space="preserve">FY2024</t>
  </si>
  <si>
    <t xml:space="preserve">LK FY2025 (komparatif 2024 disajikan kembali, Catatan 46; Rp juta)</t>
  </si>
  <si>
    <t xml:space="preserve">FY2025</t>
  </si>
  <si>
    <t xml:space="preserve">subtotal dihitung</t>
  </si>
  <si>
    <t xml:space="preserve">LK FY2025 (komparatif 2024 disajikan kembali, Catatan 46; Rp juta) (pendapatan lainnya 10.752 + beban lainnya (35.529))</t>
  </si>
  <si>
    <t xml:space="preserve">LK FY2025 (audit, Rp juta) (pendapatan lainnya 17.708 + beban lainnya (14.825))</t>
  </si>
  <si>
    <t xml:space="preserve">LK FY2025 (audit, Rp juta) (amortisasi suku bunga efektif &amp; biaya transaksi surat utang (210.924) + lain-lain (176.630))</t>
  </si>
  <si>
    <t xml:space="preserve">LK FY2020 (audit, Rupiah penuh) (kas yang dibatasi penggunaannya tidak lancar 23.569.034.209 + aset tidak lancar lain-lain 81.085.153.235)</t>
  </si>
  <si>
    <t xml:space="preserve">LK FY2020 (audit, Rupiah penuh) (utang lain-lain pihak ketiga + utang kontraktor; LK FY2025 menggabungkan utang kontraktor ke utang lain-lain)</t>
  </si>
  <si>
    <t xml:space="preserve">LK FY2021 (audit, Rupiah penuh) (utang lain-lain pihak ketiga + utang kontraktor; LK FY2025 menggabungkan utang kontraktor ke utang lain-lain)</t>
  </si>
  <si>
    <t xml:space="preserve">LK FY2022 (audit, Rupiah penuh) (utang lain-lain pihak ketiga + utang kontraktor; LK FY2025 menggabungkan utang kontraktor ke utang lain-lain)</t>
  </si>
  <si>
    <t xml:space="preserve">LK FY2023 (audit, Rp juta) (utang lain-lain pihak ketiga + utang kontraktor; LK FY2025 menggabungkan utang kontraktor ke utang lain-lain)</t>
  </si>
  <si>
    <t xml:space="preserve">LK FY2020 (audit, Rupiah penuh) (pendapatan sewa diterima dimuka, jangka pendek)</t>
  </si>
  <si>
    <t xml:space="preserve">LK FY2021 (audit, Rupiah penuh) (pendapatan sewa diterima dimuka, jangka pendek)</t>
  </si>
  <si>
    <t xml:space="preserve">LK FY2022 (audit, Rupiah penuh) (pendapatan sewa diterima dimuka, jangka pendek)</t>
  </si>
  <si>
    <t xml:space="preserve">LK FY2025 (audit, Rp juta) (utang obligasi 540.287 + surat utang 3.034.135)</t>
  </si>
  <si>
    <t xml:space="preserve">LK FY2020 (audit, Rupiah penuh) (perolehan dan uang muka pembelian aset tetap, digabung di LK)</t>
  </si>
  <si>
    <t xml:space="preserve">LK FY2021 (audit, Rupiah penuh) (perolehan dan uang muka pembelian aset tetap, digabung di LK)</t>
  </si>
  <si>
    <t xml:space="preserve">LK FY2023 (audit, Rp juta) (perolehan aset tetap (482.225) + pembayaran utang kontraktor (88.474))</t>
  </si>
  <si>
    <t xml:space="preserve">LK FY2025 (komparatif 2024 disajikan kembali, Catatan 46; Rp juta) (perolehan dan uang muka pembelian aset tetap, digabung di LK)</t>
  </si>
  <si>
    <t xml:space="preserve">LK FY2025 (audit, Rp juta) (perolehan dan uang muka pembelian aset tetap, digabung di LK)</t>
  </si>
  <si>
    <t xml:space="preserve">CALK</t>
  </si>
  <si>
    <t xml:space="preserve">C26|Pendapatan</t>
  </si>
  <si>
    <t xml:space="preserve">Rawat inap - Obat dan perlengkapan medis</t>
  </si>
  <si>
    <t xml:space="preserve">26</t>
  </si>
  <si>
    <t xml:space="preserve">LK FY2023 tahapD</t>
  </si>
  <si>
    <t xml:space="preserve">LK FY2025 tahapD</t>
  </si>
  <si>
    <t xml:space="preserve">Rawat inap - Jasa tenaga ahli</t>
  </si>
  <si>
    <t xml:space="preserve">Rawat inap - Layanan penunjang medis</t>
  </si>
  <si>
    <t xml:space="preserve">Rawat inap - Kamar rawat inap dan ruang operasi</t>
  </si>
  <si>
    <t xml:space="preserve">Rawat inap - Administrasi</t>
  </si>
  <si>
    <t xml:space="preserve">Rawat jalan - Obat dan perlengkapan medis</t>
  </si>
  <si>
    <t xml:space="preserve">Rawat jalan - Jasa tenaga ahli</t>
  </si>
  <si>
    <t xml:space="preserve">Rawat jalan - Layanan penunjang medis</t>
  </si>
  <si>
    <t xml:space="preserve">Rawat jalan - Administrasi</t>
  </si>
  <si>
    <t xml:space="preserve">Dikurangi: biaya jasa tenaga ahli (agen, PSAK 115)</t>
  </si>
  <si>
    <t xml:space="preserve">JUMLAH (lapor)</t>
  </si>
  <si>
    <t xml:space="preserve">LK FY2020 tahapD</t>
  </si>
  <si>
    <t xml:space="preserve">LK FY2021 tahapD</t>
  </si>
  <si>
    <t xml:space="preserve">LK FY2022 tahapD</t>
  </si>
  <si>
    <t xml:space="preserve">C27|Beban pokok pendapatan</t>
  </si>
  <si>
    <t xml:space="preserve">Obat dan perlengkapan medis</t>
  </si>
  <si>
    <t xml:space="preserve">27</t>
  </si>
  <si>
    <t xml:space="preserve">Gaji dan tunjangan</t>
  </si>
  <si>
    <t xml:space="preserve">Penyusutan</t>
  </si>
  <si>
    <t xml:space="preserve">Kamar rawat inap</t>
  </si>
  <si>
    <t xml:space="preserve">Layanan penunjang medis</t>
  </si>
  <si>
    <t xml:space="preserve">Pasien rawat jalan</t>
  </si>
  <si>
    <t xml:space="preserve">Penyusutan aset hak guna</t>
  </si>
  <si>
    <t xml:space="preserve">Jasa tenaga ahli</t>
  </si>
  <si>
    <t xml:space="preserve">C28|Beban usaha</t>
  </si>
  <si>
    <t xml:space="preserve">28</t>
  </si>
  <si>
    <t xml:space="preserve">Jasa profesional</t>
  </si>
  <si>
    <t xml:space="preserve">Keamanan dan kebersihan</t>
  </si>
  <si>
    <t xml:space="preserve">Utilitas</t>
  </si>
  <si>
    <t xml:space="preserve">Perbaikan dan pemeliharaan</t>
  </si>
  <si>
    <t xml:space="preserve">Imbalan kerja</t>
  </si>
  <si>
    <t xml:space="preserve">Jamsostek</t>
  </si>
  <si>
    <t xml:space="preserve">Keperluan kantor</t>
  </si>
  <si>
    <t xml:space="preserve">Konsumsi</t>
  </si>
  <si>
    <t xml:space="preserve">Pengobatan</t>
  </si>
  <si>
    <t xml:space="preserve">Amortisasi aset tak berwujud</t>
  </si>
  <si>
    <t xml:space="preserve">Asuransi</t>
  </si>
  <si>
    <t xml:space="preserve">Pelatihan</t>
  </si>
  <si>
    <t xml:space="preserve">Perizinan dan pajak</t>
  </si>
  <si>
    <t xml:space="preserve">Transportasi dan perjalanan dinas</t>
  </si>
  <si>
    <t xml:space="preserve">Beban bank</t>
  </si>
  <si>
    <t xml:space="preserve">Lain-lain (dibawah Rp2.000)</t>
  </si>
  <si>
    <t xml:space="preserve">C30|Pendapatan lain-lain - neto</t>
  </si>
  <si>
    <t xml:space="preserve">Pendapatan lain-lain</t>
  </si>
  <si>
    <t xml:space="preserve">30</t>
  </si>
  <si>
    <t xml:space="preserve">Pembalikan penurunan nilai piutang usaha - neto</t>
  </si>
  <si>
    <t xml:space="preserve">Keuntungan penjualan aset tetap (Catatan 12)</t>
  </si>
  <si>
    <t xml:space="preserve">Keuntungan selisih kurs</t>
  </si>
  <si>
    <t xml:space="preserve">Kerugian selisih kurs - neto</t>
  </si>
  <si>
    <t xml:space="preserve">Beban lain-lain</t>
  </si>
  <si>
    <t xml:space="preserve">Penyisihan penurunan nilai piutang usaha - neto</t>
  </si>
  <si>
    <t xml:space="preserve">Kerugian pelepasan aset Tetap (Catatan 12)</t>
  </si>
  <si>
    <t xml:space="preserve">CEPS|Laba per saham</t>
  </si>
  <si>
    <t xml:space="preserve">Rata-rata tertimbang saham beredar (dasar)</t>
  </si>
  <si>
    <t xml:space="preserve">lembar</t>
  </si>
  <si>
    <t xml:space="preserve">Jasa dokter</t>
  </si>
  <si>
    <t xml:space="preserve">Obat-obatan</t>
  </si>
  <si>
    <t xml:space="preserve">Imbalan pascakerja</t>
  </si>
  <si>
    <t xml:space="preserve">Perijinan dan pajak</t>
  </si>
  <si>
    <t xml:space="preserve">Transportasi</t>
  </si>
  <si>
    <t xml:space="preserve">Lain-lain (masing-masing dibawah Rp2.000)</t>
  </si>
  <si>
    <t xml:space="preserve">Pendapatan sewa</t>
  </si>
  <si>
    <t xml:space="preserve">Keuntungan penjualan obat hibah</t>
  </si>
  <si>
    <t xml:space="preserve">Pendapatan bagi hasil</t>
  </si>
  <si>
    <t xml:space="preserve">Keuntungan pelepasan aset tetap</t>
  </si>
  <si>
    <t xml:space="preserve">Keuntungan pengembalian persediaan</t>
  </si>
  <si>
    <t xml:space="preserve">Cadangan kerugian penurunan nilai</t>
  </si>
  <si>
    <t xml:space="preserve">Kerugian penghapusan persediaan</t>
  </si>
  <si>
    <t xml:space="preserve">Lainnya</t>
  </si>
  <si>
    <t xml:space="preserve">Rawat inap</t>
  </si>
  <si>
    <t xml:space="preserve">Poliklinik</t>
  </si>
  <si>
    <t xml:space="preserve">Laboratorium</t>
  </si>
  <si>
    <t xml:space="preserve">Radiologi</t>
  </si>
  <si>
    <t xml:space="preserve">Pemeriksaan medis</t>
  </si>
  <si>
    <t xml:space="preserve">Hemodialisa</t>
  </si>
  <si>
    <t xml:space="preserve">Diskon pasien</t>
  </si>
  <si>
    <t xml:space="preserve">Beban pasien rawat inap</t>
  </si>
  <si>
    <t xml:space="preserve">Biaya langganan</t>
  </si>
  <si>
    <t xml:space="preserve">Pembelian Aset bernilai rendah</t>
  </si>
  <si>
    <t xml:space="preserve">Seragam</t>
  </si>
  <si>
    <t xml:space="preserve">Percetakan</t>
  </si>
  <si>
    <t xml:space="preserve">Sewa</t>
  </si>
  <si>
    <t xml:space="preserve">Lain-lain (masing-masing dibawah Rp 200.000.000)</t>
  </si>
  <si>
    <t xml:space="preserve">Keuntungan penjualan aset tetap</t>
  </si>
  <si>
    <t xml:space="preserve">Biaya kurtailmen imbalan kerja</t>
  </si>
  <si>
    <t xml:space="preserve">Kerugian penurunan nilai</t>
  </si>
  <si>
    <t xml:space="preserve">Amortisasi biaya emisi utang obligasi</t>
  </si>
  <si>
    <t xml:space="preserve">Lain-lain</t>
  </si>
  <si>
    <t xml:space="preserve">Lain-lain (dibawah Rp 200.000.000)</t>
  </si>
  <si>
    <t xml:space="preserve">Penjualan aset tetap</t>
  </si>
  <si>
    <t xml:space="preserve">Klaim atas asuransi</t>
  </si>
  <si>
    <t xml:space="preserve">Keuntungan (kerugian) penurunan nilai</t>
  </si>
  <si>
    <t xml:space="preserve">Listrik dan air</t>
  </si>
  <si>
    <t xml:space="preserve">Pensiun</t>
  </si>
  <si>
    <t xml:space="preserve">Penghapusan aset tetap</t>
  </si>
  <si>
    <t xml:space="preserve">MUT|akumulasi penyusutan|saldo_awal</t>
  </si>
  <si>
    <t xml:space="preserve">JUMLAH</t>
  </si>
  <si>
    <t xml:space="preserve">13</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</si>
  <si>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</si>
  <si>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</si>
  <si>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</si>
  <si>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</si>
  <si>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</si>
  <si>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</si>
  <si>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</si>
  <si>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</si>
  <si>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</si>
  <si>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</si>
  <si>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</si>
  <si>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</si>
  <si>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</si>
  <si>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</si>
  <si>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</si>
  <si>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</si>
  <si>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</si>
  <si>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</si>
  <si>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</si>
  <si>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</si>
  <si>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</si>
  <si>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</si>
  <si>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</si>
  <si>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</si>
  <si>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&amp; penyajian kembali</t>
  </si>
  <si>
    <t xml:space="preserve">Catatan penyajian kembali/reklasifikasi</t>
  </si>
  <si>
    <t xml:space="preserve">2024 (LK FY2025)</t>
  </si>
  <si>
    <t xml:space="preserve">Pemetaan akun</t>
  </si>
  <si>
    <t xml:space="preserve">pendapatan_lain</t>
  </si>
  <si>
    <t xml:space="preserve">IS.OTHER_INCOME (Cat 30 pendapatan lain-lain neto; di atas laba usaha)</t>
  </si>
  <si>
    <t xml:space="preserve">beban_penjualan</t>
  </si>
  <si>
    <t xml:space="preserve">IS.SELLING (beban penjualan; tidak dirinci di Cat 28)</t>
  </si>
  <si>
    <t xml:space="preserve">laba_usaha</t>
  </si>
  <si>
    <t xml:space="preserve">tidak dipetakan: tidak dicetak di LK; model menghitung IS.OPER_PROFIT (Temuan S4)</t>
  </si>
  <si>
    <t xml:space="preserve">saldo_laba</t>
  </si>
  <si>
    <t xml:space="preserve">BS.RETAINED_EARN = ditentukan + belum ditentukan penggunaannya</t>
  </si>
  <si>
    <t xml:space="preserve">kas_dibatasi</t>
  </si>
  <si>
    <t xml:space="preserve">BS.RESTRICTED_CASH (aset lancar, 2023+)</t>
  </si>
  <si>
    <t xml:space="preserve">aset_hak_guna</t>
  </si>
  <si>
    <t xml:space="preserve">BS.ROU (terpisah dari aset tetap)</t>
  </si>
  <si>
    <t xml:space="preserve">utang berbunga</t>
  </si>
  <si>
    <t xml:space="preserve">BS.ST_BANK, LT_BANK_*, LOAN_* (pinjaman non-bank), BONDS_* (surat utang/obligasi), FIN_LEASE_* (utang pembiayaan)</t>
  </si>
  <si>
    <t xml:space="preserve">rekon_kas_awal / rekon_kas_akhir</t>
  </si>
  <si>
    <t xml:space="preserve">CF.RECON_*_MEMO (memo, tidak dijumlahkan; Temuan S5)</t>
  </si>
  <si>
    <t xml:space="preserve">efek_kurs</t>
  </si>
  <si>
    <t xml:space="preserve">CF.FX (masuk kas akhir LAK)</t>
  </si>
  <si>
    <t xml:space="preserve">Lainnya = jumlah Cat 26 tercetak - 3 kelompok (diskon pasien; pengurang jasa tenaga ahli agen 2024-25)</t>
  </si>
  <si>
    <t xml:space="preserve">subtotal model (tidak tercetak di LK SRAJ)</t>
  </si>
  <si>
    <t xml:space="preserve">File CALK</t>
  </si>
  <si>
    <t xml:space="preserve">SRAJ_FY2020_tahapD_calk.json</t>
  </si>
  <si>
    <t xml:space="preserve">dimuat</t>
  </si>
  <si>
    <t xml:space="preserve">SRAJ_FY2021_tahapD_calk.json</t>
  </si>
  <si>
    <t xml:space="preserve">SRAJ_FY2022_tahapD_calk.json</t>
  </si>
  <si>
    <t xml:space="preserve">SRAJ_FY2023_tahapD_calk.json</t>
  </si>
  <si>
    <t xml:space="preserve">SRAJ_FY2025_tahapD_calk.json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</si>
</sst>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sz val="8"/>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3"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1283.798609174</c:v>
                </c:pt>
                <c:pt idx="1">
                  <c:v>1924.453140978</c:v>
                </c:pt>
                <c:pt idx="2">
                  <c:v>1934.163680964</c:v>
                </c:pt>
                <c:pt idx="3">
                  <c:v>2503.174</c:v>
                </c:pt>
                <c:pt idx="4">
                  <c:v>2340.431</c:v>
                </c:pt>
                <c:pt idx="5">
                  <c:v>2589.44</c:v>
                </c:pt>
                <c:pt idx="6">
                  <c:v>2829.5601556</c:v>
                </c:pt>
                <c:pt idx="7">
                  <c:v>3090.133887848</c:v>
                </c:pt>
                <c:pt idx="8">
                  <c:v>3374.97441065584</c:v>
                </c:pt>
                <c:pt idx="9">
                  <c:v>3686.36515646631</c:v>
                </c:pt>
                <c:pt idx="10">
                  <c:v>4026.80644123741</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0">
                  <c:v>176.840406802</c:v>
                </c:pt>
                <c:pt idx="1">
                  <c:v>431.703230988</c:v>
                </c:pt>
                <c:pt idx="2">
                  <c:v>268.707541015</c:v>
                </c:pt>
                <c:pt idx="3">
                  <c:v>402.552</c:v>
                </c:pt>
                <c:pt idx="4">
                  <c:v>484.442</c:v>
                </c:pt>
                <c:pt idx="5">
                  <c:v>466.738</c:v>
                </c:pt>
                <c:pt idx="6">
                  <c:v>591.3780725204</c:v>
                </c:pt>
                <c:pt idx="7">
                  <c:v>645.837982560232</c:v>
                </c:pt>
                <c:pt idx="8">
                  <c:v>705.369651827071</c:v>
                </c:pt>
                <c:pt idx="9">
                  <c:v>770.450317701459</c:v>
                </c:pt>
                <c:pt idx="10">
                  <c:v>841.60254621862</c:v>
                </c:pt>
              </c:numCache>
            </c:numRef>
          </c:val>
        </c:ser>
        <c:gapWidth val="150"/>
        <c:overlap val="0"/>
        <c:axId val="1424735"/>
        <c:axId val="31933479"/>
      </c:barChart>
      <c:catAx>
        <c:axId val="14247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933479"/>
        <c:crosses val="autoZero"/>
        <c:auto val="1"/>
        <c:lblAlgn val="ctr"/>
        <c:lblOffset val="100"/>
        <c:noMultiLvlLbl val="0"/>
      </c:catAx>
      <c:valAx>
        <c:axId val="3193347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42473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0">
                  <c:v>0.137747778770207</c:v>
                </c:pt>
                <c:pt idx="1">
                  <c:v>0.224325145567644</c:v>
                </c:pt>
                <c:pt idx="2">
                  <c:v>0.1389269913708</c:v>
                </c:pt>
                <c:pt idx="3">
                  <c:v>0.160816627210094</c:v>
                </c:pt>
                <c:pt idx="4">
                  <c:v>0.206988370945352</c:v>
                </c:pt>
                <c:pt idx="5">
                  <c:v>0.180246694265942</c:v>
                </c:pt>
                <c:pt idx="6">
                  <c:v>0.209</c:v>
                </c:pt>
                <c:pt idx="7">
                  <c:v>0.209</c:v>
                </c:pt>
                <c:pt idx="8">
                  <c:v>0.209</c:v>
                </c:pt>
                <c:pt idx="9">
                  <c:v>0.209</c:v>
                </c:pt>
                <c:pt idx="10">
                  <c:v>0.209</c:v>
                </c:pt>
              </c:numCache>
            </c:numRef>
          </c:val>
          <c:smooth val="1"/>
        </c:ser>
        <c:hiLowLines>
          <c:spPr>
            <a:ln w="0">
              <a:noFill/>
            </a:ln>
          </c:spPr>
        </c:hiLowLines>
        <c:marker val="0"/>
        <c:axId val="43629510"/>
        <c:axId val="40605388"/>
      </c:lineChart>
      <c:catAx>
        <c:axId val="436295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605388"/>
        <c:crosses val="autoZero"/>
        <c:auto val="1"/>
        <c:lblAlgn val="ctr"/>
        <c:lblOffset val="100"/>
        <c:noMultiLvlLbl val="0"/>
      </c:catAx>
      <c:valAx>
        <c:axId val="4060538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3629510"/>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93.881891402</c:v>
                </c:pt>
                <c:pt idx="1">
                  <c:v>336.78666279</c:v>
                </c:pt>
                <c:pt idx="2">
                  <c:v>210.474822261</c:v>
                </c:pt>
                <c:pt idx="3">
                  <c:v>55.917</c:v>
                </c:pt>
                <c:pt idx="4">
                  <c:v>273.248</c:v>
                </c:pt>
                <c:pt idx="5">
                  <c:v>129.67</c:v>
                </c:pt>
                <c:pt idx="6">
                  <c:v>205.274646447874</c:v>
                </c:pt>
                <c:pt idx="7">
                  <c:v>231.96459864598</c:v>
                </c:pt>
                <c:pt idx="8">
                  <c:v>260.41655791812</c:v>
                </c:pt>
                <c:pt idx="9">
                  <c:v>292.55292477771</c:v>
                </c:pt>
                <c:pt idx="10">
                  <c:v>328.822621898637</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-544.122343656</c:v>
                </c:pt>
                <c:pt idx="1">
                  <c:v>-464.023277324</c:v>
                </c:pt>
                <c:pt idx="2">
                  <c:v>-655.54651728</c:v>
                </c:pt>
                <c:pt idx="3">
                  <c:v>-583.532</c:v>
                </c:pt>
                <c:pt idx="4">
                  <c:v>-525.029</c:v>
                </c:pt>
                <c:pt idx="5">
                  <c:v>-584.29</c:v>
                </c:pt>
                <c:pt idx="6">
                  <c:v>-424.43402334</c:v>
                </c:pt>
                <c:pt idx="7">
                  <c:v>-463.5200831772</c:v>
                </c:pt>
                <c:pt idx="8">
                  <c:v>-506.246161598376</c:v>
                </c:pt>
                <c:pt idx="9">
                  <c:v>-552.954773469946</c:v>
                </c:pt>
                <c:pt idx="10">
                  <c:v>-604.020966185612</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-786.937792894</c:v>
                </c:pt>
                <c:pt idx="1">
                  <c:v>-130.402130669</c:v>
                </c:pt>
                <c:pt idx="2">
                  <c:v>-449.41566963</c:v>
                </c:pt>
                <c:pt idx="3">
                  <c:v>-533.388</c:v>
                </c:pt>
                <c:pt idx="4">
                  <c:v>-260.057</c:v>
                </c:pt>
                <c:pt idx="5">
                  <c:v>-484.436</c:v>
                </c:pt>
                <c:pt idx="6">
                  <c:v>-255.581194154366</c:v>
                </c:pt>
                <c:pt idx="7">
                  <c:v>-268.08153128636</c:v>
                </c:pt>
                <c:pt idx="8">
                  <c:v>-282.469586644518</c:v>
                </c:pt>
                <c:pt idx="9">
                  <c:v>-297.166387954823</c:v>
                </c:pt>
                <c:pt idx="10">
                  <c:v>-312.09906006347</c:v>
                </c:pt>
              </c:numCache>
            </c:numRef>
          </c:val>
        </c:ser>
        <c:gapWidth val="150"/>
        <c:overlap val="0"/>
        <c:axId val="71332402"/>
        <c:axId val="61109454"/>
      </c:barChart>
      <c:catAx>
        <c:axId val="713324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1109454"/>
        <c:crosses val="autoZero"/>
        <c:auto val="1"/>
        <c:lblAlgn val="ctr"/>
        <c:lblOffset val="100"/>
        <c:noMultiLvlLbl val="0"/>
      </c:catAx>
      <c:valAx>
        <c:axId val="611094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133240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0">
                  <c:v>2.5030621724118</c:v>
                </c:pt>
                <c:pt idx="1">
                  <c:v>0.336509780949585</c:v>
                </c:pt>
                <c:pt idx="2">
                  <c:v>2.25917232529069</c:v>
                </c:pt>
                <c:pt idx="3">
                  <c:v>2.81963323992925</c:v>
                </c:pt>
                <c:pt idx="4">
                  <c:v>2.87327275504601</c:v>
                </c:pt>
                <c:pt idx="5">
                  <c:v>6.14012358110974</c:v>
                </c:pt>
                <c:pt idx="6">
                  <c:v>5.27819738200843</c:v>
                </c:pt>
                <c:pt idx="7">
                  <c:v>5.24820747148394</c:v>
                </c:pt>
                <c:pt idx="8">
                  <c:v>5.20572624945518</c:v>
                </c:pt>
                <c:pt idx="9">
                  <c:v>5.15169844031145</c:v>
                </c:pt>
                <c:pt idx="10">
                  <c:v>5.0869935925686</c:v>
                </c:pt>
              </c:numCache>
            </c:numRef>
          </c:val>
          <c:smooth val="1"/>
        </c:ser>
        <c:hiLowLines>
          <c:spPr>
            <a:ln w="0">
              <a:noFill/>
            </a:ln>
          </c:spPr>
        </c:hiLowLines>
        <c:marker val="0"/>
        <c:axId val="6134855"/>
        <c:axId val="75279773"/>
      </c:lineChart>
      <c:catAx>
        <c:axId val="61348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279773"/>
        <c:crosses val="autoZero"/>
        <c:auto val="1"/>
        <c:lblAlgn val="ctr"/>
        <c:lblOffset val="100"/>
        <c:noMultiLvlLbl val="0"/>
      </c:catAx>
      <c:valAx>
        <c:axId val="7527977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13485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56880</xdr:rowOff>
    </xdr:to>
    <xdr:pic>
      <xdr:nvPicPr>
        <xdr:cNvPr id="0" name="Image 1" descr="Picture"/>
        <xdr:cNvPicPr/>
      </xdr:nvPicPr>
      <xdr:blipFill>
        <a:blip r:embed="rId1"/>
        <a:stretch/>
      </xdr:blipFill>
      <xdr:spPr>
        <a:xfrm>
          <a:off x="106200" y="793440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66600</xdr:rowOff>
    </xdr:to>
    <xdr:pic>
      <xdr:nvPicPr>
        <xdr:cNvPr id="1" name="Image 2" descr="Picture"/>
        <xdr:cNvPicPr/>
      </xdr:nvPicPr>
      <xdr:blipFill>
        <a:blip r:embed="rId2"/>
        <a:stretch/>
      </xdr:blipFill>
      <xdr:spPr>
        <a:xfrm>
          <a:off x="106200" y="1167768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23052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RAJ_model_pro.xlsx" TargetMode="External"/><Relationship Id="rId2" Type="http://schemas.openxmlformats.org/officeDocument/2006/relationships/hyperlink" Target="../../SRAJ_model_pro.xlsx" TargetMode="External"/><Relationship Id="rId3" Type="http://schemas.openxmlformats.org/officeDocument/2006/relationships/hyperlink" Target="../../SRAJ_model_pro.xlsx" TargetMode="External"/><Relationship Id="rId4" Type="http://schemas.openxmlformats.org/officeDocument/2006/relationships/hyperlink" Target="../../SRAJ_model_pro.xlsx" TargetMode="External"/><Relationship Id="rId5" Type="http://schemas.openxmlformats.org/officeDocument/2006/relationships/hyperlink" Target="../../SRAJ_model_pro.xlsx" TargetMode="External"/><Relationship Id="rId6" Type="http://schemas.openxmlformats.org/officeDocument/2006/relationships/hyperlink" Target="../../SRAJ_model_pro.xlsx" TargetMode="External"/><Relationship Id="rId7" Type="http://schemas.openxmlformats.org/officeDocument/2006/relationships/hyperlink" Target="../../SRAJ_model_pro.xlsx" TargetMode="External"/><Relationship Id="rId8" Type="http://schemas.openxmlformats.org/officeDocument/2006/relationships/hyperlink" Target="../../SRAJ_model_pro.xlsx" TargetMode="External"/><Relationship Id="rId9" Type="http://schemas.openxmlformats.org/officeDocument/2006/relationships/hyperlink" Target="../../SRAJ_model_pro.xlsx" TargetMode="External"/><Relationship Id="rId10" Type="http://schemas.openxmlformats.org/officeDocument/2006/relationships/hyperlink" Target="../../SRAJ_model_pro.xlsx" TargetMode="External"/><Relationship Id="rId11" Type="http://schemas.openxmlformats.org/officeDocument/2006/relationships/hyperlink" Target="../../SRAJ_model_pro.xlsx" TargetMode="External"/><Relationship Id="rId12" Type="http://schemas.openxmlformats.org/officeDocument/2006/relationships/hyperlink" Target="../../SRAJ_model_pro.xlsx" TargetMode="External"/><Relationship Id="rId13" Type="http://schemas.openxmlformats.org/officeDocument/2006/relationships/hyperlink" Target="../../SRAJ_model_pro.xlsx" TargetMode="External"/><Relationship Id="rId14" Type="http://schemas.openxmlformats.org/officeDocument/2006/relationships/hyperlink" Target="../../SRAJ_model_pro.xlsx" TargetMode="External"/><Relationship Id="rId15" Type="http://schemas.openxmlformats.org/officeDocument/2006/relationships/hyperlink" Target="../../SRAJ_model_pro.xlsx" TargetMode="External"/><Relationship Id="rId16" Type="http://schemas.openxmlformats.org/officeDocument/2006/relationships/hyperlink" Target="../../SRAJ_model_pro.xlsx" TargetMode="External"/><Relationship Id="rId17" Type="http://schemas.openxmlformats.org/officeDocument/2006/relationships/hyperlink" Target="../../SRAJ_model_pro.xlsx" TargetMode="External"/><Relationship Id="rId18" Type="http://schemas.openxmlformats.org/officeDocument/2006/relationships/hyperlink" Target="../../SRAJ_model_pro.xlsx" TargetMode="External"/><Relationship Id="rId19" Type="http://schemas.openxmlformats.org/officeDocument/2006/relationships/hyperlink" Target="../../SRAJ_model_pro.xlsx" TargetMode="External"/><Relationship Id="rId20" Type="http://schemas.openxmlformats.org/officeDocument/2006/relationships/hyperlink" Target="../../SRAJ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51.7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25.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330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39"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1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25.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51.75"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40.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c r="G14" s="25" t="s">
        <v>134</v>
      </c>
      <c r="H14" s="25" t="s">
        <v>135</v>
      </c>
    </row>
    <row r="15" customFormat="false" ht="13.5" hidden="false" customHeight="true" outlineLevel="0" collapsed="false">
      <c r="B15" s="26" t="s">
        <v>136</v>
      </c>
      <c r="C15" s="27" t="n">
        <f aca="false">IS!C6/1000000000</f>
        <v>1283.798609174</v>
      </c>
      <c r="D15" s="27" t="n">
        <f aca="false">IS!D6/1000000000</f>
        <v>1924.453140978</v>
      </c>
      <c r="E15" s="27" t="n">
        <f aca="false">IS!E6/1000000000</f>
        <v>1934.163680964</v>
      </c>
      <c r="F15" s="27" t="n">
        <f aca="false">IS!F6/1000000000</f>
        <v>2503.174</v>
      </c>
      <c r="G15" s="27" t="n">
        <f aca="false">IS!G6/1000000000</f>
        <v>2340.431</v>
      </c>
      <c r="H15" s="27" t="n">
        <f aca="false">IS!H6/1000000000</f>
        <v>2589.44</v>
      </c>
    </row>
    <row r="16" customFormat="false" ht="13.5" hidden="false" customHeight="true" outlineLevel="0" collapsed="false">
      <c r="B16" s="28" t="s">
        <v>137</v>
      </c>
      <c r="C16" s="29"/>
      <c r="D16" s="29" t="n">
        <f aca="false">Rasio!D6</f>
        <v>0.499030398713548</v>
      </c>
      <c r="E16" s="29" t="n">
        <f aca="false">Rasio!E6</f>
        <v>0.00504586980022026</v>
      </c>
      <c r="F16" s="29" t="n">
        <f aca="false">Rasio!F6</f>
        <v>0.294189330839054</v>
      </c>
      <c r="G16" s="29" t="n">
        <f aca="false">Rasio!G6</f>
        <v>-0.0650146573909765</v>
      </c>
      <c r="H16" s="29" t="n">
        <f aca="false">Rasio!H6</f>
        <v>0.1063945059692</v>
      </c>
    </row>
    <row r="17" customFormat="false" ht="13.5" hidden="false" customHeight="true" outlineLevel="0" collapsed="false">
      <c r="B17" s="26" t="s">
        <v>138</v>
      </c>
      <c r="C17" s="30" t="n">
        <f aca="false">Rasio!C26</f>
        <v>0.19780116724724</v>
      </c>
      <c r="D17" s="30" t="n">
        <f aca="false">Rasio!D26</f>
        <v>0.217090908428503</v>
      </c>
      <c r="E17" s="30" t="n">
        <f aca="false">Rasio!E26</f>
        <v>0.223234047340193</v>
      </c>
      <c r="F17" s="30" t="n">
        <f aca="false">Rasio!F26</f>
        <v>0.301450877965335</v>
      </c>
      <c r="G17" s="30" t="n">
        <f aca="false">Rasio!G26</f>
        <v>0.497353692546373</v>
      </c>
      <c r="H17" s="30" t="n">
        <f aca="false">Rasio!H26</f>
        <v>0.498841448344044</v>
      </c>
    </row>
    <row r="18" customFormat="false" ht="13.5" hidden="false" customHeight="true" outlineLevel="0" collapsed="false">
      <c r="B18" s="31" t="s">
        <v>106</v>
      </c>
      <c r="C18" s="32" t="n">
        <f aca="false">Rasio!C16/1000000000</f>
        <v>176.840406802</v>
      </c>
      <c r="D18" s="32" t="n">
        <f aca="false">Rasio!D16/1000000000</f>
        <v>431.703230988</v>
      </c>
      <c r="E18" s="32" t="n">
        <f aca="false">Rasio!E16/1000000000</f>
        <v>268.707541015</v>
      </c>
      <c r="F18" s="32" t="n">
        <f aca="false">Rasio!F16/1000000000</f>
        <v>402.552</v>
      </c>
      <c r="G18" s="32" t="n">
        <f aca="false">Rasio!G16/1000000000</f>
        <v>484.442</v>
      </c>
      <c r="H18" s="32" t="n">
        <f aca="false">Rasio!H16/1000000000</f>
        <v>466.738</v>
      </c>
    </row>
    <row r="19" customFormat="false" ht="13.5" hidden="false" customHeight="true" outlineLevel="0" collapsed="false">
      <c r="B19" s="33" t="s">
        <v>139</v>
      </c>
      <c r="C19" s="30" t="n">
        <f aca="false">Rasio!C17</f>
        <v>0.137747778770207</v>
      </c>
      <c r="D19" s="30" t="n">
        <f aca="false">Rasio!D17</f>
        <v>0.224325145567644</v>
      </c>
      <c r="E19" s="30" t="n">
        <f aca="false">Rasio!E17</f>
        <v>0.1389269913708</v>
      </c>
      <c r="F19" s="30" t="n">
        <f aca="false">Rasio!F17</f>
        <v>0.160816627210094</v>
      </c>
      <c r="G19" s="30" t="n">
        <f aca="false">Rasio!G17</f>
        <v>0.206988370945352</v>
      </c>
      <c r="H19" s="30" t="n">
        <f aca="false">Rasio!H17</f>
        <v>0.180246694265942</v>
      </c>
    </row>
    <row r="20" customFormat="false" ht="13.5" hidden="false" customHeight="true" outlineLevel="0" collapsed="false">
      <c r="B20" s="31" t="s">
        <v>140</v>
      </c>
      <c r="C20" s="32" t="n">
        <f aca="false">IS!C19/1000000000</f>
        <v>-14.498057988</v>
      </c>
      <c r="D20" s="32" t="n">
        <f aca="false">IS!D19/1000000000</f>
        <v>165.604046574</v>
      </c>
      <c r="E20" s="32" t="n">
        <f aca="false">IS!E19/1000000000</f>
        <v>-44.187230723</v>
      </c>
      <c r="F20" s="32" t="n">
        <f aca="false">IS!F19/1000000000</f>
        <v>-38.313</v>
      </c>
      <c r="G20" s="32" t="n">
        <f aca="false">IS!G19/1000000000</f>
        <v>-23.344</v>
      </c>
      <c r="H20" s="32" t="n">
        <f aca="false">IS!H19/1000000000</f>
        <v>-198.79</v>
      </c>
    </row>
    <row r="21" customFormat="false" ht="13.5" hidden="false" customHeight="true" outlineLevel="0" collapsed="false">
      <c r="B21" s="26" t="s">
        <v>141</v>
      </c>
      <c r="C21" s="27" t="n">
        <f aca="false">IS!C26/1000000000</f>
        <v>-14.380627056</v>
      </c>
      <c r="D21" s="27" t="n">
        <f aca="false">IS!D26/1000000000</f>
        <v>165.308238619</v>
      </c>
      <c r="E21" s="27" t="n">
        <f aca="false">IS!E26/1000000000</f>
        <v>-44.314949025</v>
      </c>
      <c r="F21" s="27" t="n">
        <f aca="false">IS!F26/1000000000</f>
        <v>-38.49</v>
      </c>
      <c r="G21" s="27" t="n">
        <f aca="false">IS!G26/1000000000</f>
        <v>-23.513</v>
      </c>
      <c r="H21" s="27" t="n">
        <f aca="false">IS!H26/1000000000</f>
        <v>-199</v>
      </c>
    </row>
    <row r="22" customFormat="false" ht="13.5" hidden="false" customHeight="true" outlineLevel="0" collapsed="false">
      <c r="B22" s="28" t="s">
        <v>142</v>
      </c>
      <c r="C22" s="29" t="n">
        <f aca="false">Rasio!C23</f>
        <v>0.00809976978276658</v>
      </c>
      <c r="D22" s="29" t="n">
        <f aca="false">Rasio!D23</f>
        <v>0.00178623627332572</v>
      </c>
      <c r="E22" s="29" t="n">
        <f aca="false">Rasio!E23</f>
        <v>-0.00289038937064506</v>
      </c>
      <c r="F22" s="29" t="n">
        <f aca="false">Rasio!F23</f>
        <v>-0.00461984182914416</v>
      </c>
      <c r="G22" s="29" t="n">
        <f aca="false">Rasio!G23</f>
        <v>-0.00723954763536669</v>
      </c>
      <c r="H22" s="29" t="n">
        <f aca="false">Rasio!H23</f>
        <v>-0.00105639116655767</v>
      </c>
    </row>
    <row r="23" customFormat="false" ht="13.5" hidden="false" customHeight="true" outlineLevel="0" collapsed="false">
      <c r="B23" s="26" t="s">
        <v>143</v>
      </c>
      <c r="C23" s="30"/>
      <c r="D23" s="30" t="n">
        <f aca="false">Rasio!D20</f>
        <v>0.089835081843228</v>
      </c>
      <c r="E23" s="30" t="n">
        <f aca="false">Rasio!E20</f>
        <v>-0.0232001748289036</v>
      </c>
      <c r="F23" s="30" t="n">
        <f aca="false">Rasio!F20</f>
        <v>-0.0205281766310993</v>
      </c>
      <c r="G23" s="30" t="n">
        <f aca="false">Rasio!G20</f>
        <v>-0.012756940753985</v>
      </c>
      <c r="H23" s="30" t="n">
        <f aca="false">Rasio!H20</f>
        <v>-0.125836194157027</v>
      </c>
    </row>
    <row r="24" customFormat="false" ht="13.5" hidden="false" customHeight="true" outlineLevel="0" collapsed="false">
      <c r="B24" s="31" t="s">
        <v>144</v>
      </c>
      <c r="C24" s="32" t="n">
        <f aca="false">CF!C13/1000000000</f>
        <v>93.881891402</v>
      </c>
      <c r="D24" s="32" t="n">
        <f aca="false">CF!D13/1000000000</f>
        <v>336.78666279</v>
      </c>
      <c r="E24" s="32" t="n">
        <f aca="false">CF!E13/1000000000</f>
        <v>210.474822261</v>
      </c>
      <c r="F24" s="32" t="n">
        <f aca="false">CF!F13/1000000000</f>
        <v>55.917</v>
      </c>
      <c r="G24" s="32" t="n">
        <f aca="false">CF!G13/1000000000</f>
        <v>273.248</v>
      </c>
      <c r="H24" s="32" t="n">
        <f aca="false">CF!H13/1000000000</f>
        <v>129.67</v>
      </c>
    </row>
    <row r="25" customFormat="false" ht="13.5" hidden="false" customHeight="true" outlineLevel="0" collapsed="false">
      <c r="B25" s="26" t="s">
        <v>145</v>
      </c>
      <c r="C25" s="27" t="n">
        <f aca="false">Rasio!C41/1000000000</f>
        <v>544.122343656</v>
      </c>
      <c r="D25" s="27" t="n">
        <f aca="false">Rasio!D41/1000000000</f>
        <v>464.023277324</v>
      </c>
      <c r="E25" s="27" t="n">
        <f aca="false">Rasio!E41/1000000000</f>
        <v>655.54651728</v>
      </c>
      <c r="F25" s="27" t="n">
        <f aca="false">Rasio!F41/1000000000</f>
        <v>583.532</v>
      </c>
      <c r="G25" s="27" t="n">
        <f aca="false">Rasio!G41/1000000000</f>
        <v>525.029</v>
      </c>
      <c r="H25" s="27" t="n">
        <f aca="false">Rasio!H41/1000000000</f>
        <v>579.605</v>
      </c>
    </row>
    <row r="26" customFormat="false" ht="13.5" hidden="false" customHeight="true" outlineLevel="0" collapsed="false">
      <c r="B26" s="31" t="s">
        <v>146</v>
      </c>
      <c r="C26" s="32" t="n">
        <f aca="false">Rasio!C36/1000000000</f>
        <v>442.64253282</v>
      </c>
      <c r="D26" s="32" t="n">
        <f aca="false">Rasio!D36/1000000000</f>
        <v>145.272359695</v>
      </c>
      <c r="E26" s="32" t="n">
        <f aca="false">Rasio!E36/1000000000</f>
        <v>607.056640258</v>
      </c>
      <c r="F26" s="32" t="n">
        <f aca="false">Rasio!F36/1000000000</f>
        <v>1135.049</v>
      </c>
      <c r="G26" s="32" t="n">
        <f aca="false">Rasio!G36/1000000000</f>
        <v>1391.934</v>
      </c>
      <c r="H26" s="32" t="n">
        <f aca="false">Rasio!H36/1000000000</f>
        <v>2865.829</v>
      </c>
    </row>
    <row r="27" customFormat="false" ht="13.5" hidden="false" customHeight="true" outlineLevel="0" collapsed="false">
      <c r="B27" s="33" t="s">
        <v>147</v>
      </c>
      <c r="C27" s="34" t="n">
        <f aca="false">Rasio!C38</f>
        <v>2.5030621724118</v>
      </c>
      <c r="D27" s="34" t="n">
        <f aca="false">Rasio!D38</f>
        <v>0.336509780949585</v>
      </c>
      <c r="E27" s="34" t="n">
        <f aca="false">Rasio!E38</f>
        <v>2.25917232529069</v>
      </c>
      <c r="F27" s="34" t="n">
        <f aca="false">Rasio!F38</f>
        <v>2.81963323992925</v>
      </c>
      <c r="G27" s="34" t="n">
        <f aca="false">Rasio!G38</f>
        <v>2.87327275504601</v>
      </c>
      <c r="H27" s="34" t="n">
        <f aca="false">Rasio!H38</f>
        <v>6.14012358110974</v>
      </c>
    </row>
    <row r="28" customFormat="false" ht="13.5" hidden="false" customHeight="true" outlineLevel="0" collapsed="false">
      <c r="B28" s="31" t="s">
        <v>148</v>
      </c>
      <c r="C28" s="32" t="n">
        <f aca="false">Rasio!C28</f>
        <v>64.0905273811901</v>
      </c>
      <c r="D28" s="32" t="n">
        <f aca="false">Rasio!D28</f>
        <v>44.3627309226575</v>
      </c>
      <c r="E28" s="32" t="n">
        <f aca="false">Rasio!E28</f>
        <v>45.8535110854047</v>
      </c>
      <c r="F28" s="32" t="n">
        <f aca="false">Rasio!F28</f>
        <v>57.6436815818637</v>
      </c>
      <c r="G28" s="32" t="n">
        <f aca="false">Rasio!G28</f>
        <v>66.1710471276444</v>
      </c>
      <c r="H28" s="32" t="n">
        <f aca="false">Rasio!H28</f>
        <v>78.6446277959713</v>
      </c>
    </row>
    <row r="29" customFormat="false" ht="13.5" hidden="false" customHeight="true" outlineLevel="0" collapsed="false">
      <c r="B29" s="26" t="s">
        <v>149</v>
      </c>
      <c r="C29" s="30" t="n">
        <f aca="false">Rasio!C22</f>
        <v>76.7512422960725</v>
      </c>
      <c r="D29" s="30" t="n">
        <f aca="false">Rasio!D22</f>
        <v>-0.0587173348688304</v>
      </c>
      <c r="E29" s="30" t="n">
        <f aca="false">Rasio!E22</f>
        <v>-0.0499049626817824</v>
      </c>
      <c r="F29" s="30" t="n">
        <f aca="false">Rasio!F22</f>
        <v>-0.224409574638075</v>
      </c>
      <c r="G29" s="30" t="n">
        <f aca="false">Rasio!G22</f>
        <v>-7.84242424242424</v>
      </c>
      <c r="H29" s="30" t="n">
        <f aca="false">Rasio!H22</f>
        <v>0.154696602457796</v>
      </c>
    </row>
    <row r="30" customFormat="false" ht="37.5" hidden="false" customHeight="true" outlineLevel="0" collapsed="false">
      <c r="B30" s="35" t="s">
        <v>150</v>
      </c>
      <c r="C30" s="35"/>
      <c r="D30" s="35"/>
      <c r="E30" s="35"/>
      <c r="F30" s="35"/>
      <c r="G30" s="35"/>
      <c r="H30" s="35"/>
    </row>
    <row r="32" customFormat="false" ht="18" hidden="false" customHeight="true" outlineLevel="0" collapsed="false">
      <c r="B32" s="21" t="s">
        <v>151</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6" t="s">
        <v>152</v>
      </c>
      <c r="C50" s="36"/>
      <c r="D50" s="36"/>
      <c r="E50" s="36"/>
      <c r="F50" s="36"/>
      <c r="G50" s="36"/>
      <c r="H50" s="36"/>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6" t="s">
        <v>153</v>
      </c>
      <c r="C68" s="36"/>
      <c r="D68" s="36"/>
      <c r="E68" s="36"/>
      <c r="F68" s="36"/>
      <c r="G68" s="36"/>
      <c r="H68" s="36"/>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154</v>
      </c>
      <c r="C86" s="21"/>
      <c r="D86" s="21"/>
      <c r="E86" s="21"/>
      <c r="F86" s="21"/>
      <c r="G86" s="21"/>
      <c r="H86" s="21"/>
    </row>
    <row r="87" customFormat="false" ht="27" hidden="false" customHeight="true" outlineLevel="0" collapsed="false">
      <c r="B87" s="37" t="s">
        <v>155</v>
      </c>
      <c r="C87" s="37"/>
      <c r="D87" s="37"/>
      <c r="E87" s="37"/>
      <c r="F87" s="37"/>
      <c r="G87" s="37"/>
      <c r="H87" s="37"/>
    </row>
    <row r="88" customFormat="false" ht="27" hidden="false" customHeight="true" outlineLevel="0" collapsed="false">
      <c r="B88" s="37" t="s">
        <v>156</v>
      </c>
      <c r="C88" s="37"/>
      <c r="D88" s="37"/>
      <c r="E88" s="37"/>
      <c r="F88" s="37"/>
      <c r="G88" s="37"/>
      <c r="H88" s="37"/>
    </row>
    <row r="89" customFormat="false" ht="27" hidden="false" customHeight="true" outlineLevel="0" collapsed="false">
      <c r="B89" s="37" t="s">
        <v>157</v>
      </c>
      <c r="C89" s="37"/>
      <c r="D89" s="37"/>
      <c r="E89" s="37"/>
      <c r="F89" s="37"/>
      <c r="G89" s="37"/>
      <c r="H89" s="37"/>
    </row>
    <row r="90" customFormat="false" ht="27" hidden="false" customHeight="true" outlineLevel="0" collapsed="false">
      <c r="B90" s="37" t="s">
        <v>158</v>
      </c>
      <c r="C90" s="37"/>
      <c r="D90" s="37"/>
      <c r="E90" s="37"/>
      <c r="F90" s="37"/>
      <c r="G90" s="37"/>
      <c r="H90" s="37"/>
    </row>
    <row r="91" customFormat="false" ht="27" hidden="false" customHeight="true" outlineLevel="0" collapsed="false">
      <c r="B91" s="37" t="s">
        <v>159</v>
      </c>
      <c r="C91" s="37"/>
      <c r="D91" s="37"/>
      <c r="E91" s="37"/>
      <c r="F91" s="37"/>
      <c r="G91" s="37"/>
      <c r="H91" s="37"/>
    </row>
    <row r="92" customFormat="false" ht="15" hidden="false" customHeight="true" outlineLevel="0" collapsed="false">
      <c r="B92" s="37" t="s">
        <v>160</v>
      </c>
      <c r="C92" s="37"/>
      <c r="D92" s="37"/>
      <c r="E92" s="37"/>
      <c r="F92" s="37"/>
      <c r="G92" s="37"/>
      <c r="H92" s="37"/>
    </row>
    <row r="93" customFormat="false" ht="24.75" hidden="false" customHeight="true" outlineLevel="0" collapsed="false">
      <c r="B93" s="36" t="s">
        <v>161</v>
      </c>
      <c r="C93" s="36"/>
      <c r="D93" s="36"/>
      <c r="E93" s="36"/>
      <c r="F93" s="36"/>
      <c r="G93" s="36"/>
      <c r="H93" s="36"/>
    </row>
    <row r="95" customFormat="false" ht="18" hidden="false" customHeight="true" outlineLevel="0" collapsed="false">
      <c r="B95" s="38" t="s">
        <v>162</v>
      </c>
      <c r="C95" s="38"/>
      <c r="D95" s="38"/>
      <c r="E95" s="38"/>
      <c r="F95" s="38"/>
      <c r="G95" s="38"/>
      <c r="H95" s="38"/>
    </row>
    <row r="96" customFormat="false" ht="63" hidden="false" customHeight="true" outlineLevel="0" collapsed="false">
      <c r="B96" s="39" t="s">
        <v>11</v>
      </c>
      <c r="C96" s="39"/>
      <c r="D96" s="39"/>
      <c r="E96" s="39"/>
      <c r="F96" s="39"/>
      <c r="G96" s="39"/>
      <c r="H96" s="39"/>
    </row>
    <row r="98" customFormat="false" ht="18" hidden="false" customHeight="true" outlineLevel="0" collapsed="false">
      <c r="B98" s="21" t="s">
        <v>163</v>
      </c>
      <c r="C98" s="21"/>
      <c r="D98" s="21"/>
      <c r="E98" s="21"/>
      <c r="F98" s="21"/>
      <c r="G98" s="21"/>
      <c r="H98" s="21"/>
    </row>
    <row r="99" customFormat="false" ht="37.5" hidden="false" customHeight="true" outlineLevel="0" collapsed="false">
      <c r="B99" s="35" t="s">
        <v>164</v>
      </c>
      <c r="C99" s="35"/>
      <c r="D99" s="35"/>
      <c r="E99" s="35"/>
      <c r="F99" s="35"/>
      <c r="G99" s="35"/>
      <c r="H99" s="35"/>
    </row>
    <row r="100" customFormat="false" ht="37.5" hidden="false" customHeight="true" outlineLevel="0" collapsed="false">
      <c r="B100" s="35" t="s">
        <v>165</v>
      </c>
      <c r="C100" s="35"/>
      <c r="D100" s="35"/>
      <c r="E100" s="35"/>
      <c r="F100" s="35"/>
      <c r="G100" s="35"/>
      <c r="H100" s="35"/>
    </row>
    <row r="102" customFormat="false" ht="18" hidden="false" customHeight="true" outlineLevel="0" collapsed="false">
      <c r="B102" s="40" t="s">
        <v>166</v>
      </c>
      <c r="C102" s="40"/>
      <c r="D102" s="40"/>
      <c r="E102" s="40"/>
      <c r="F102" s="40"/>
      <c r="G102" s="40"/>
      <c r="H102" s="40"/>
    </row>
    <row r="103" customFormat="false" ht="87" hidden="false" customHeight="true" outlineLevel="0" collapsed="false">
      <c r="B103" s="41" t="s">
        <v>167</v>
      </c>
      <c r="C103" s="41"/>
      <c r="D103" s="41"/>
      <c r="E103" s="41"/>
      <c r="F103" s="41"/>
      <c r="G103" s="41"/>
      <c r="H103" s="41"/>
    </row>
  </sheetData>
  <mergeCells count="29">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Sejahteraraya Anugrahjaya Tbk (SRAJ)&amp;R&amp;8 © Ryant Gabein Pasaribu | CC BY 4.0 | SRAJ-FY2025-v1.0-79A95C20 | Bukan rekomendasi investasi</oddHeader>
    <oddFooter>&amp;L&amp;8 Sumber: LK audited SRAJ 2020-2025&amp;C&amp;8 Hal &amp;P dari &amp;N&amp;R&amp;8 &amp;D</oddFooter>
  </headerFooter>
  <rowBreaks count="3" manualBreakCount="3">
    <brk id="31" man="true" max="16383" min="0"/>
    <brk id="69" man="true" max="16383" min="0"/>
    <brk id="94"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168</v>
      </c>
    </row>
    <row r="2" customFormat="false" ht="15" hidden="false" customHeight="false" outlineLevel="0" collapsed="false">
      <c r="A2" s="15" t="s">
        <v>169</v>
      </c>
    </row>
    <row r="3" customFormat="false" ht="15" hidden="false" customHeight="false" outlineLevel="0" collapsed="false">
      <c r="B3" s="4" t="s">
        <v>170</v>
      </c>
      <c r="C3" s="42" t="str">
        <f aca="false">Asumsi!C4</f>
        <v>Base</v>
      </c>
    </row>
    <row r="4" customFormat="false" ht="15" hidden="false" customHeight="false" outlineLevel="0" collapsed="false">
      <c r="A4" s="25"/>
      <c r="B4" s="25" t="s">
        <v>129</v>
      </c>
      <c r="C4" s="25" t="s">
        <v>130</v>
      </c>
      <c r="D4" s="25" t="s">
        <v>131</v>
      </c>
      <c r="E4" s="25" t="s">
        <v>132</v>
      </c>
      <c r="F4" s="25" t="s">
        <v>133</v>
      </c>
      <c r="G4" s="25" t="s">
        <v>134</v>
      </c>
      <c r="H4" s="25" t="s">
        <v>135</v>
      </c>
      <c r="I4" s="43" t="s">
        <v>171</v>
      </c>
      <c r="J4" s="43" t="s">
        <v>172</v>
      </c>
      <c r="K4" s="43" t="s">
        <v>173</v>
      </c>
      <c r="L4" s="43" t="s">
        <v>174</v>
      </c>
      <c r="M4" s="43" t="s">
        <v>175</v>
      </c>
      <c r="N4" s="25" t="s">
        <v>176</v>
      </c>
    </row>
    <row r="5" customFormat="false" ht="15" hidden="false" customHeight="false" outlineLevel="0" collapsed="false">
      <c r="B5" s="13" t="s">
        <v>177</v>
      </c>
      <c r="C5" s="44" t="n">
        <f aca="false">IS_Proj!C10/1000000000</f>
        <v>1283.798609174</v>
      </c>
      <c r="D5" s="44" t="n">
        <f aca="false">IS_Proj!D10/1000000000</f>
        <v>1924.453140978</v>
      </c>
      <c r="E5" s="44" t="n">
        <f aca="false">IS_Proj!E10/1000000000</f>
        <v>1934.163680964</v>
      </c>
      <c r="F5" s="44" t="n">
        <f aca="false">IS_Proj!F10/1000000000</f>
        <v>2503.174</v>
      </c>
      <c r="G5" s="44" t="n">
        <f aca="false">IS_Proj!G10/1000000000</f>
        <v>2340.431</v>
      </c>
      <c r="H5" s="44" t="n">
        <f aca="false">IS_Proj!H10/1000000000</f>
        <v>2589.44</v>
      </c>
      <c r="I5" s="45" t="n">
        <f aca="false">IS_Proj!I10/1000000000</f>
        <v>2829.5601556</v>
      </c>
      <c r="J5" s="45" t="n">
        <f aca="false">IS_Proj!J10/1000000000</f>
        <v>3090.133887848</v>
      </c>
      <c r="K5" s="45" t="n">
        <f aca="false">IS_Proj!K10/1000000000</f>
        <v>3374.97441065584</v>
      </c>
      <c r="L5" s="45" t="n">
        <f aca="false">IS_Proj!L10/1000000000</f>
        <v>3686.36515646631</v>
      </c>
      <c r="M5" s="45" t="n">
        <f aca="false">IS_Proj!M10/1000000000</f>
        <v>4026.80644123741</v>
      </c>
    </row>
    <row r="6" customFormat="false" ht="15" hidden="false" customHeight="false" outlineLevel="0" collapsed="false">
      <c r="B6" s="13" t="s">
        <v>178</v>
      </c>
      <c r="C6" s="46"/>
      <c r="D6" s="46" t="n">
        <f aca="false">IS_Proj!D11</f>
        <v>0.499030398713548</v>
      </c>
      <c r="E6" s="46" t="n">
        <f aca="false">IS_Proj!E11</f>
        <v>0.00504586980022026</v>
      </c>
      <c r="F6" s="46" t="n">
        <f aca="false">IS_Proj!F11</f>
        <v>0.294189330839054</v>
      </c>
      <c r="G6" s="46" t="n">
        <f aca="false">IS_Proj!G11</f>
        <v>-0.0650146573909765</v>
      </c>
      <c r="H6" s="46" t="n">
        <f aca="false">IS_Proj!H11</f>
        <v>0.1063945059692</v>
      </c>
      <c r="I6" s="47" t="n">
        <f aca="false">IS_Proj!I11</f>
        <v>0.0927305346329708</v>
      </c>
      <c r="J6" s="47" t="n">
        <f aca="false">IS_Proj!J11</f>
        <v>0.0920898365536766</v>
      </c>
      <c r="K6" s="47" t="n">
        <f aca="false">IS_Proj!K11</f>
        <v>0.092177404975228</v>
      </c>
      <c r="L6" s="47" t="n">
        <f aca="false">IS_Proj!L11</f>
        <v>0.092264624237538</v>
      </c>
      <c r="M6" s="47" t="n">
        <f aca="false">IS_Proj!M11</f>
        <v>0.092351481831346</v>
      </c>
    </row>
    <row r="7" customFormat="false" ht="15" hidden="false" customHeight="false" outlineLevel="0" collapsed="false">
      <c r="B7" s="13" t="s">
        <v>106</v>
      </c>
      <c r="C7" s="44" t="n">
        <f aca="false">IS_Proj!C17/1000000000</f>
        <v>176.840406802</v>
      </c>
      <c r="D7" s="44" t="n">
        <f aca="false">IS_Proj!D17/1000000000</f>
        <v>431.703230988</v>
      </c>
      <c r="E7" s="44" t="n">
        <f aca="false">IS_Proj!E17/1000000000</f>
        <v>268.707541015</v>
      </c>
      <c r="F7" s="44" t="n">
        <f aca="false">IS_Proj!F17/1000000000</f>
        <v>402.552</v>
      </c>
      <c r="G7" s="44" t="n">
        <f aca="false">IS_Proj!G17/1000000000</f>
        <v>484.442</v>
      </c>
      <c r="H7" s="44" t="n">
        <f aca="false">IS_Proj!H17/1000000000</f>
        <v>466.738</v>
      </c>
      <c r="I7" s="45" t="n">
        <f aca="false">IS_Proj!I17/1000000000</f>
        <v>591.3780725204</v>
      </c>
      <c r="J7" s="45" t="n">
        <f aca="false">IS_Proj!J17/1000000000</f>
        <v>645.837982560232</v>
      </c>
      <c r="K7" s="45" t="n">
        <f aca="false">IS_Proj!K17/1000000000</f>
        <v>705.369651827071</v>
      </c>
      <c r="L7" s="45" t="n">
        <f aca="false">IS_Proj!L17/1000000000</f>
        <v>770.450317701459</v>
      </c>
      <c r="M7" s="45" t="n">
        <f aca="false">IS_Proj!M17/1000000000</f>
        <v>841.60254621862</v>
      </c>
    </row>
    <row r="8" customFormat="false" ht="15" hidden="false" customHeight="false" outlineLevel="0" collapsed="false">
      <c r="B8" s="13" t="s">
        <v>179</v>
      </c>
      <c r="C8" s="46" t="n">
        <f aca="false">IS_Proj!C30</f>
        <v>0.137747778770207</v>
      </c>
      <c r="D8" s="46" t="n">
        <f aca="false">IS_Proj!D30</f>
        <v>0.224325145567644</v>
      </c>
      <c r="E8" s="46" t="n">
        <f aca="false">IS_Proj!E30</f>
        <v>0.1389269913708</v>
      </c>
      <c r="F8" s="46" t="n">
        <f aca="false">IS_Proj!F30</f>
        <v>0.160816627210094</v>
      </c>
      <c r="G8" s="46" t="n">
        <f aca="false">IS_Proj!G30</f>
        <v>0.206988370945352</v>
      </c>
      <c r="H8" s="46" t="n">
        <f aca="false">IS_Proj!H30</f>
        <v>0.180246694265942</v>
      </c>
      <c r="I8" s="47" t="n">
        <f aca="false">IS_Proj!I30</f>
        <v>0.209</v>
      </c>
      <c r="J8" s="47" t="n">
        <f aca="false">IS_Proj!J30</f>
        <v>0.209</v>
      </c>
      <c r="K8" s="47" t="n">
        <f aca="false">IS_Proj!K30</f>
        <v>0.209</v>
      </c>
      <c r="L8" s="47" t="n">
        <f aca="false">IS_Proj!L30</f>
        <v>0.209</v>
      </c>
      <c r="M8" s="47" t="n">
        <f aca="false">IS_Proj!M30</f>
        <v>0.209</v>
      </c>
    </row>
    <row r="9" customFormat="false" ht="15" hidden="false" customHeight="false" outlineLevel="0" collapsed="false">
      <c r="B9" s="13" t="s">
        <v>140</v>
      </c>
      <c r="C9" s="44" t="n">
        <f aca="false">IS_Proj!C24/1000000000</f>
        <v>-14.498057988</v>
      </c>
      <c r="D9" s="44" t="n">
        <f aca="false">IS_Proj!D24/1000000000</f>
        <v>165.604046574</v>
      </c>
      <c r="E9" s="44" t="n">
        <f aca="false">IS_Proj!E24/1000000000</f>
        <v>-44.187230723</v>
      </c>
      <c r="F9" s="44" t="n">
        <f aca="false">IS_Proj!F24/1000000000</f>
        <v>-38.313</v>
      </c>
      <c r="G9" s="44" t="n">
        <f aca="false">IS_Proj!G24/1000000000</f>
        <v>-23.344</v>
      </c>
      <c r="H9" s="44" t="n">
        <f aca="false">IS_Proj!H24/1000000000</f>
        <v>-198.79</v>
      </c>
      <c r="I9" s="45" t="n">
        <f aca="false">IS_Proj!I24/1000000000</f>
        <v>-133.7823940796</v>
      </c>
      <c r="J9" s="45" t="n">
        <f aca="false">IS_Proj!J24/1000000000</f>
        <v>-110.28181904249</v>
      </c>
      <c r="K9" s="45" t="n">
        <f aca="false">IS_Proj!K24/1000000000</f>
        <v>-85.6699056674131</v>
      </c>
      <c r="L9" s="45" t="n">
        <f aca="false">IS_Proj!L24/1000000000</f>
        <v>-59.7291708166788</v>
      </c>
      <c r="M9" s="45" t="n">
        <f aca="false">IS_Proj!M24/1000000000</f>
        <v>-32.0644865394532</v>
      </c>
    </row>
    <row r="10" customFormat="false" ht="15" hidden="false" customHeight="false" outlineLevel="0" collapsed="false">
      <c r="B10" s="13" t="s">
        <v>141</v>
      </c>
      <c r="C10" s="44" t="n">
        <f aca="false">IS_Proj!C26/1000000000</f>
        <v>-14.380627056</v>
      </c>
      <c r="D10" s="44" t="n">
        <f aca="false">IS_Proj!D26/1000000000</f>
        <v>165.308238619</v>
      </c>
      <c r="E10" s="44" t="n">
        <f aca="false">IS_Proj!E26/1000000000</f>
        <v>-44.314949025</v>
      </c>
      <c r="F10" s="44" t="n">
        <f aca="false">IS_Proj!F26/1000000000</f>
        <v>-38.49</v>
      </c>
      <c r="G10" s="44" t="n">
        <f aca="false">IS_Proj!G26/1000000000</f>
        <v>-23.513</v>
      </c>
      <c r="H10" s="44" t="n">
        <f aca="false">IS_Proj!H26/1000000000</f>
        <v>-199</v>
      </c>
      <c r="I10" s="45" t="n">
        <f aca="false">IS_Proj!I26/1000000000</f>
        <v>-133.7823940796</v>
      </c>
      <c r="J10" s="45" t="n">
        <f aca="false">IS_Proj!J26/1000000000</f>
        <v>-110.28181904249</v>
      </c>
      <c r="K10" s="45" t="n">
        <f aca="false">IS_Proj!K26/1000000000</f>
        <v>-85.6699056674131</v>
      </c>
      <c r="L10" s="45" t="n">
        <f aca="false">IS_Proj!L26/1000000000</f>
        <v>-59.7291708166788</v>
      </c>
      <c r="M10" s="45" t="n">
        <f aca="false">IS_Proj!M26/1000000000</f>
        <v>-32.0644865394532</v>
      </c>
    </row>
    <row r="11" customFormat="false" ht="15" hidden="false" customHeight="false" outlineLevel="0" collapsed="false">
      <c r="B11" s="13" t="s">
        <v>144</v>
      </c>
      <c r="C11" s="44" t="n">
        <f aca="false">CF_Proj!C11/1000000000</f>
        <v>93.881891402</v>
      </c>
      <c r="D11" s="44" t="n">
        <f aca="false">CF_Proj!D11/1000000000</f>
        <v>336.78666279</v>
      </c>
      <c r="E11" s="44" t="n">
        <f aca="false">CF_Proj!E11/1000000000</f>
        <v>210.474822261</v>
      </c>
      <c r="F11" s="44" t="n">
        <f aca="false">CF_Proj!F11/1000000000</f>
        <v>55.917</v>
      </c>
      <c r="G11" s="44" t="n">
        <f aca="false">CF_Proj!G11/1000000000</f>
        <v>273.248</v>
      </c>
      <c r="H11" s="44" t="n">
        <f aca="false">CF_Proj!H11/1000000000</f>
        <v>129.67</v>
      </c>
      <c r="I11" s="45" t="n">
        <f aca="false">CF_Proj!I11/1000000000</f>
        <v>205.274646447874</v>
      </c>
      <c r="J11" s="45" t="n">
        <f aca="false">CF_Proj!J11/1000000000</f>
        <v>231.96459864598</v>
      </c>
      <c r="K11" s="45" t="n">
        <f aca="false">CF_Proj!K11/1000000000</f>
        <v>260.41655791812</v>
      </c>
      <c r="L11" s="45" t="n">
        <f aca="false">CF_Proj!L11/1000000000</f>
        <v>292.55292477771</v>
      </c>
      <c r="M11" s="45" t="n">
        <f aca="false">CF_Proj!M11/1000000000</f>
        <v>328.822621898637</v>
      </c>
    </row>
    <row r="12" customFormat="false" ht="15" hidden="false" customHeight="false" outlineLevel="0" collapsed="false">
      <c r="B12" s="13" t="s">
        <v>145</v>
      </c>
      <c r="C12" s="44" t="n">
        <f aca="false">CF_Proj!C13/1000000000</f>
        <v>-544.122343656</v>
      </c>
      <c r="D12" s="44" t="n">
        <f aca="false">CF_Proj!D13/1000000000</f>
        <v>-464.023277324</v>
      </c>
      <c r="E12" s="44" t="n">
        <f aca="false">CF_Proj!E13/1000000000</f>
        <v>-655.54651728</v>
      </c>
      <c r="F12" s="44" t="n">
        <f aca="false">CF_Proj!F13/1000000000</f>
        <v>-583.532</v>
      </c>
      <c r="G12" s="44" t="n">
        <f aca="false">CF_Proj!G13/1000000000</f>
        <v>-525.029</v>
      </c>
      <c r="H12" s="44" t="n">
        <f aca="false">CF_Proj!H13/1000000000</f>
        <v>-584.29</v>
      </c>
      <c r="I12" s="45" t="n">
        <f aca="false">CF_Proj!I13/1000000000</f>
        <v>-424.43402334</v>
      </c>
      <c r="J12" s="45" t="n">
        <f aca="false">CF_Proj!J13/1000000000</f>
        <v>-463.5200831772</v>
      </c>
      <c r="K12" s="45" t="n">
        <f aca="false">CF_Proj!K13/1000000000</f>
        <v>-506.246161598376</v>
      </c>
      <c r="L12" s="45" t="n">
        <f aca="false">CF_Proj!L13/1000000000</f>
        <v>-552.954773469946</v>
      </c>
      <c r="M12" s="45" t="n">
        <f aca="false">CF_Proj!M13/1000000000</f>
        <v>-604.020966185612</v>
      </c>
    </row>
    <row r="13" customFormat="false" ht="15" hidden="false" customHeight="false" outlineLevel="0" collapsed="false">
      <c r="B13" s="13" t="s">
        <v>180</v>
      </c>
      <c r="C13" s="44" t="n">
        <f aca="false">CF_Proj!C28/1000000000</f>
        <v>-786.937792894</v>
      </c>
      <c r="D13" s="44" t="n">
        <f aca="false">CF_Proj!D28/1000000000</f>
        <v>-130.402130669</v>
      </c>
      <c r="E13" s="44" t="n">
        <f aca="false">CF_Proj!E28/1000000000</f>
        <v>-449.41566963</v>
      </c>
      <c r="F13" s="44" t="n">
        <f aca="false">CF_Proj!F28/1000000000</f>
        <v>-533.388</v>
      </c>
      <c r="G13" s="44" t="n">
        <f aca="false">CF_Proj!G28/1000000000</f>
        <v>-260.057</v>
      </c>
      <c r="H13" s="44" t="n">
        <f aca="false">CF_Proj!H28/1000000000</f>
        <v>-484.436</v>
      </c>
      <c r="I13" s="45" t="n">
        <f aca="false">CF_Proj!I28/1000000000</f>
        <v>-255.581194154366</v>
      </c>
      <c r="J13" s="45" t="n">
        <f aca="false">CF_Proj!J28/1000000000</f>
        <v>-268.08153128636</v>
      </c>
      <c r="K13" s="45" t="n">
        <f aca="false">CF_Proj!K28/1000000000</f>
        <v>-282.469586644518</v>
      </c>
      <c r="L13" s="45" t="n">
        <f aca="false">CF_Proj!L28/1000000000</f>
        <v>-297.166387954823</v>
      </c>
      <c r="M13" s="45" t="n">
        <f aca="false">CF_Proj!M28/1000000000</f>
        <v>-312.09906006347</v>
      </c>
    </row>
    <row r="14" customFormat="false" ht="15" hidden="false" customHeight="false" outlineLevel="0" collapsed="false">
      <c r="B14" s="13" t="s">
        <v>181</v>
      </c>
      <c r="C14" s="44" t="n">
        <f aca="false">BS_Proj!C6/1000000000</f>
        <v>629.608688874</v>
      </c>
      <c r="D14" s="44" t="n">
        <f aca="false">BS_Proj!D6/1000000000</f>
        <v>700.922359619</v>
      </c>
      <c r="E14" s="44" t="n">
        <f aca="false">BS_Proj!E6/1000000000</f>
        <v>1118.254250664</v>
      </c>
      <c r="F14" s="44" t="n">
        <f aca="false">BS_Proj!F6/1000000000</f>
        <v>515.185</v>
      </c>
      <c r="G14" s="44" t="n">
        <f aca="false">BS_Proj!G6/1000000000</f>
        <v>277.208</v>
      </c>
      <c r="H14" s="44" t="n">
        <f aca="false">BS_Proj!H6/1000000000</f>
        <v>1826.263</v>
      </c>
      <c r="I14" s="45" t="n">
        <f aca="false">BS_Proj!I6/1000000000</f>
        <v>1570.68180584563</v>
      </c>
      <c r="J14" s="45" t="n">
        <f aca="false">BS_Proj!J6/1000000000</f>
        <v>1302.60027455927</v>
      </c>
      <c r="K14" s="45" t="n">
        <f aca="false">BS_Proj!K6/1000000000</f>
        <v>1020.13068791476</v>
      </c>
      <c r="L14" s="45" t="n">
        <f aca="false">BS_Proj!L6/1000000000</f>
        <v>722.964299959933</v>
      </c>
      <c r="M14" s="45" t="n">
        <f aca="false">BS_Proj!M6/1000000000</f>
        <v>410.865239896464</v>
      </c>
    </row>
    <row r="15" customFormat="false" ht="15" hidden="false" customHeight="false" outlineLevel="0" collapsed="false">
      <c r="B15" s="13" t="s">
        <v>146</v>
      </c>
      <c r="C15" s="44" t="n">
        <f aca="false">BS_Proj!C31/1000000000</f>
        <v>442.64253282</v>
      </c>
      <c r="D15" s="44" t="n">
        <f aca="false">BS_Proj!D31/1000000000</f>
        <v>145.272359695</v>
      </c>
      <c r="E15" s="44" t="n">
        <f aca="false">BS_Proj!E31/1000000000</f>
        <v>607.056640258</v>
      </c>
      <c r="F15" s="44" t="n">
        <f aca="false">BS_Proj!F31/1000000000</f>
        <v>1135.049</v>
      </c>
      <c r="G15" s="44" t="n">
        <f aca="false">BS_Proj!G31/1000000000</f>
        <v>1391.934</v>
      </c>
      <c r="H15" s="44" t="n">
        <f aca="false">BS_Proj!H31/1000000000</f>
        <v>2865.829</v>
      </c>
      <c r="I15" s="45" t="n">
        <f aca="false">BS_Proj!I31/1000000000</f>
        <v>3121.41019415437</v>
      </c>
      <c r="J15" s="45" t="n">
        <f aca="false">BS_Proj!J31/1000000000</f>
        <v>3389.49172544073</v>
      </c>
      <c r="K15" s="45" t="n">
        <f aca="false">BS_Proj!K31/1000000000</f>
        <v>3671.96131208524</v>
      </c>
      <c r="L15" s="45" t="n">
        <f aca="false">BS_Proj!L31/1000000000</f>
        <v>3969.12770004007</v>
      </c>
      <c r="M15" s="45" t="n">
        <f aca="false">BS_Proj!M31/1000000000</f>
        <v>4281.22676010354</v>
      </c>
    </row>
    <row r="16" customFormat="false" ht="15" hidden="false" customHeight="false" outlineLevel="0" collapsed="false">
      <c r="B16" s="13" t="s">
        <v>182</v>
      </c>
      <c r="C16" s="48" t="n">
        <f aca="false">BS_Proj!C33</f>
        <v>2.5030621724118</v>
      </c>
      <c r="D16" s="48" t="n">
        <f aca="false">BS_Proj!D33</f>
        <v>0.336509780949585</v>
      </c>
      <c r="E16" s="48" t="n">
        <f aca="false">BS_Proj!E33</f>
        <v>2.25917232529069</v>
      </c>
      <c r="F16" s="48" t="n">
        <f aca="false">BS_Proj!F33</f>
        <v>2.81963323992925</v>
      </c>
      <c r="G16" s="48" t="n">
        <f aca="false">BS_Proj!G33</f>
        <v>2.87327275504601</v>
      </c>
      <c r="H16" s="48" t="n">
        <f aca="false">BS_Proj!H33</f>
        <v>6.14012358110974</v>
      </c>
      <c r="I16" s="49" t="n">
        <f aca="false">BS_Proj!I33</f>
        <v>5.27819738200843</v>
      </c>
      <c r="J16" s="49" t="n">
        <f aca="false">BS_Proj!J33</f>
        <v>5.24820747148394</v>
      </c>
      <c r="K16" s="49" t="n">
        <f aca="false">BS_Proj!K33</f>
        <v>5.20572624945518</v>
      </c>
      <c r="L16" s="49" t="n">
        <f aca="false">BS_Proj!L33</f>
        <v>5.15169844031145</v>
      </c>
      <c r="M16" s="49" t="n">
        <f aca="false">BS_Proj!M33</f>
        <v>5.0869935925686</v>
      </c>
    </row>
    <row r="17" customFormat="false" ht="15" hidden="false" customHeight="false" outlineLevel="0" collapsed="false">
      <c r="B17" s="13" t="s">
        <v>183</v>
      </c>
      <c r="C17" s="46"/>
      <c r="D17" s="46" t="n">
        <f aca="false">BS_Proj!D32</f>
        <v>0.089835081843228</v>
      </c>
      <c r="E17" s="46" t="n">
        <f aca="false">BS_Proj!E32</f>
        <v>-0.0232001748289036</v>
      </c>
      <c r="F17" s="46" t="n">
        <f aca="false">BS_Proj!F32</f>
        <v>-0.0205281766310993</v>
      </c>
      <c r="G17" s="46" t="n">
        <f aca="false">BS_Proj!G32</f>
        <v>-0.012756940753985</v>
      </c>
      <c r="H17" s="46" t="n">
        <f aca="false">BS_Proj!H32</f>
        <v>-0.125836194157027</v>
      </c>
      <c r="I17" s="47" t="n">
        <f aca="false">BS_Proj!I32</f>
        <v>-0.105698444026898</v>
      </c>
      <c r="J17" s="47" t="n">
        <f aca="false">BS_Proj!J32</f>
        <v>-0.0964282857844098</v>
      </c>
      <c r="K17" s="47" t="n">
        <f aca="false">BS_Proj!K32</f>
        <v>-0.0819266105031113</v>
      </c>
      <c r="L17" s="47" t="n">
        <f aca="false">BS_Proj!L32</f>
        <v>-0.0613871584199904</v>
      </c>
      <c r="M17" s="47" t="n">
        <f aca="false">BS_Proj!M32</f>
        <v>-0.0345859970871354</v>
      </c>
    </row>
    <row r="18" customFormat="false" ht="15" hidden="false" customHeight="false" outlineLevel="0" collapsed="false">
      <c r="B18" s="13" t="s">
        <v>184</v>
      </c>
      <c r="C18" s="50" t="n">
        <f aca="false">BS_Proj!C30</f>
        <v>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330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185</v>
      </c>
    </row>
    <row r="2" customFormat="false" ht="15" hidden="false" customHeight="false" outlineLevel="0" collapsed="false">
      <c r="A2" s="15" t="s">
        <v>186</v>
      </c>
    </row>
    <row r="4" customFormat="false" ht="15" hidden="false" customHeight="false" outlineLevel="0" collapsed="false">
      <c r="A4" s="4" t="s">
        <v>31</v>
      </c>
      <c r="C4" s="52" t="s">
        <v>187</v>
      </c>
      <c r="D4" s="13" t="n">
        <f aca="false">IF(C4="Bull",2,IF(C4="Bear",3,1))</f>
        <v>1</v>
      </c>
      <c r="E4" s="15" t="s">
        <v>188</v>
      </c>
    </row>
    <row r="5" customFormat="false" ht="15" hidden="false" customHeight="false" outlineLevel="0" collapsed="false">
      <c r="A5" s="4" t="s">
        <v>189</v>
      </c>
      <c r="C5" s="53" t="s">
        <v>190</v>
      </c>
    </row>
    <row r="7" customFormat="false" ht="15" hidden="false" customHeight="false" outlineLevel="0" collapsed="false">
      <c r="A7" s="25" t="s">
        <v>191</v>
      </c>
      <c r="B7" s="25" t="s">
        <v>192</v>
      </c>
      <c r="C7" s="25" t="s">
        <v>130</v>
      </c>
      <c r="D7" s="25" t="s">
        <v>131</v>
      </c>
      <c r="E7" s="25" t="s">
        <v>132</v>
      </c>
      <c r="F7" s="25" t="s">
        <v>133</v>
      </c>
      <c r="G7" s="25" t="s">
        <v>134</v>
      </c>
      <c r="H7" s="25" t="s">
        <v>135</v>
      </c>
      <c r="I7" s="43" t="s">
        <v>171</v>
      </c>
      <c r="J7" s="43" t="s">
        <v>172</v>
      </c>
      <c r="K7" s="43" t="s">
        <v>173</v>
      </c>
      <c r="L7" s="43" t="s">
        <v>174</v>
      </c>
      <c r="M7" s="43" t="s">
        <v>175</v>
      </c>
      <c r="N7" s="25" t="s">
        <v>193</v>
      </c>
    </row>
    <row r="8" customFormat="false" ht="15" hidden="false" customHeight="false" outlineLevel="0" collapsed="false">
      <c r="A8" s="16"/>
      <c r="B8" s="17" t="s">
        <v>194</v>
      </c>
      <c r="C8" s="16"/>
      <c r="D8" s="16"/>
      <c r="E8" s="16"/>
      <c r="F8" s="16"/>
      <c r="G8" s="16"/>
      <c r="H8" s="16"/>
      <c r="I8" s="16"/>
      <c r="J8" s="16"/>
      <c r="K8" s="16"/>
      <c r="L8" s="16"/>
      <c r="M8" s="16"/>
      <c r="N8" s="16"/>
    </row>
    <row r="9" customFormat="false" ht="15" hidden="false" customHeight="false" outlineLevel="0" collapsed="false">
      <c r="B9" s="4" t="s">
        <v>195</v>
      </c>
    </row>
    <row r="10" customFormat="false" ht="36" hidden="false" customHeight="true" outlineLevel="0" collapsed="false">
      <c r="A10" s="54" t="s">
        <v>196</v>
      </c>
      <c r="B10" s="13" t="s">
        <v>197</v>
      </c>
      <c r="C10" s="46"/>
      <c r="D10" s="46" t="n">
        <f aca="false">IFERROR(Schedules!D6/Schedules!C6-1,"")</f>
        <v>0.645217141777037</v>
      </c>
      <c r="E10" s="46" t="n">
        <f aca="false">IFERROR(Schedules!E6/Schedules!D6-1,"")</f>
        <v>0.0334861966453064</v>
      </c>
      <c r="F10" s="46" t="n">
        <f aca="false">IFERROR(Schedules!F6/Schedules!E6-1,"")</f>
        <v>0.747647882046704</v>
      </c>
      <c r="G10" s="46" t="n">
        <f aca="false">IFERROR(Schedules!G6/Schedules!F6-1,"")</f>
        <v>0.542600956288498</v>
      </c>
      <c r="H10" s="46" t="n">
        <f aca="false">IFERROR(Schedules!H6/Schedules!G6-1,"")</f>
        <v>0.109704112121592</v>
      </c>
      <c r="I10" s="55" t="n">
        <f aca="false">CHOOSE(Asumsi!$D$4,I38,I65,I92)</f>
        <v>0.1</v>
      </c>
      <c r="J10" s="55" t="n">
        <f aca="false">CHOOSE(Asumsi!$D$4,J38,J65,J92)</f>
        <v>0.1</v>
      </c>
      <c r="K10" s="55" t="n">
        <f aca="false">CHOOSE(Asumsi!$D$4,K38,K65,K92)</f>
        <v>0.1</v>
      </c>
      <c r="L10" s="55" t="n">
        <f aca="false">CHOOSE(Asumsi!$D$4,L38,L65,L92)</f>
        <v>0.1</v>
      </c>
      <c r="M10" s="55" t="n">
        <f aca="false">CHOOSE(Asumsi!$D$4,M38,M65,M92)</f>
        <v>0.1</v>
      </c>
      <c r="N10" s="56" t="s">
        <v>198</v>
      </c>
    </row>
    <row r="11" customFormat="false" ht="36" hidden="false" customHeight="true" outlineLevel="0" collapsed="false">
      <c r="A11" s="54" t="s">
        <v>199</v>
      </c>
      <c r="B11" s="13" t="s">
        <v>200</v>
      </c>
      <c r="C11" s="46"/>
      <c r="D11" s="46" t="n">
        <f aca="false">IFERROR(Schedules!D7/Schedules!C7-1,"")</f>
        <v>0.611220226145621</v>
      </c>
      <c r="E11" s="46" t="n">
        <f aca="false">IFERROR(Schedules!E7/Schedules!D7-1,"")</f>
        <v>0.0843180652370694</v>
      </c>
      <c r="F11" s="46" t="n">
        <f aca="false">IFERROR(Schedules!F7/Schedules!E7-1,"")</f>
        <v>0.304074561051639</v>
      </c>
      <c r="G11" s="46" t="n">
        <f aca="false">IFERROR(Schedules!G7/Schedules!F7-1,"")</f>
        <v>0.250756265293078</v>
      </c>
      <c r="H11" s="46" t="n">
        <f aca="false">IFERROR(Schedules!H7/Schedules!G7-1,"")</f>
        <v>0.0508000543300038</v>
      </c>
      <c r="I11" s="55" t="n">
        <f aca="false">CHOOSE(Asumsi!$D$4,I39,I66,I93)</f>
        <v>0.08</v>
      </c>
      <c r="J11" s="55" t="n">
        <f aca="false">CHOOSE(Asumsi!$D$4,J39,J66,J93)</f>
        <v>0.08</v>
      </c>
      <c r="K11" s="55" t="n">
        <f aca="false">CHOOSE(Asumsi!$D$4,K39,K66,K93)</f>
        <v>0.08</v>
      </c>
      <c r="L11" s="55" t="n">
        <f aca="false">CHOOSE(Asumsi!$D$4,L39,L66,L93)</f>
        <v>0.08</v>
      </c>
      <c r="M11" s="55" t="n">
        <f aca="false">CHOOSE(Asumsi!$D$4,M39,M66,M93)</f>
        <v>0.08</v>
      </c>
      <c r="N11" s="56" t="s">
        <v>201</v>
      </c>
    </row>
    <row r="12" customFormat="false" ht="36" hidden="false" customHeight="true" outlineLevel="0" collapsed="false">
      <c r="A12" s="54" t="s">
        <v>202</v>
      </c>
      <c r="B12" s="13" t="s">
        <v>203</v>
      </c>
      <c r="C12" s="46"/>
      <c r="D12" s="46" t="n">
        <f aca="false">IFERROR(Schedules!D8/Schedules!C8-1,"")</f>
        <v>0.322210622924985</v>
      </c>
      <c r="E12" s="46" t="n">
        <f aca="false">IFERROR(Schedules!E8/Schedules!D8-1,"")</f>
        <v>-0.10684834269397</v>
      </c>
      <c r="F12" s="46" t="n">
        <f aca="false">IFERROR(Schedules!F8/Schedules!E8-1,"")</f>
        <v>-0.030236747247075</v>
      </c>
      <c r="G12" s="46" t="n">
        <f aca="false">IFERROR(Schedules!G8/Schedules!F8-1,"")</f>
        <v>-0.0460084577922791</v>
      </c>
      <c r="H12" s="46" t="n">
        <f aca="false">IFERROR(Schedules!H8/Schedules!G8-1,"")</f>
        <v>0.242186133436444</v>
      </c>
      <c r="I12" s="55" t="n">
        <f aca="false">CHOOSE(Asumsi!$D$4,I40,I67,I94)</f>
        <v>0.1</v>
      </c>
      <c r="J12" s="55" t="n">
        <f aca="false">CHOOSE(Asumsi!$D$4,J40,J67,J94)</f>
        <v>0.1</v>
      </c>
      <c r="K12" s="55" t="n">
        <f aca="false">CHOOSE(Asumsi!$D$4,K40,K67,K94)</f>
        <v>0.1</v>
      </c>
      <c r="L12" s="55" t="n">
        <f aca="false">CHOOSE(Asumsi!$D$4,L40,L67,L94)</f>
        <v>0.1</v>
      </c>
      <c r="M12" s="55" t="n">
        <f aca="false">CHOOSE(Asumsi!$D$4,M40,M67,M94)</f>
        <v>0.1</v>
      </c>
      <c r="N12" s="56" t="s">
        <v>204</v>
      </c>
    </row>
    <row r="13" customFormat="false" ht="36" hidden="false" customHeight="true" outlineLevel="0" collapsed="false">
      <c r="A13" s="54" t="s">
        <v>205</v>
      </c>
      <c r="B13" s="13" t="s">
        <v>206</v>
      </c>
      <c r="C13" s="46" t="n">
        <f aca="false">IFERROR(Schedules!C9/(Schedules!C6+Schedules!C7+Schedules!C8),"")</f>
        <v>-0.0260254154626827</v>
      </c>
      <c r="D13" s="46" t="n">
        <f aca="false">IFERROR(Schedules!D9/(Schedules!D6+Schedules!D7+Schedules!D8),"")</f>
        <v>-0.0181288184263606</v>
      </c>
      <c r="E13" s="46" t="n">
        <f aca="false">IFERROR(Schedules!E9/(Schedules!E6+Schedules!E7+Schedules!E8),"")</f>
        <v>-0.00976235409224369</v>
      </c>
      <c r="F13" s="46" t="n">
        <f aca="false">IFERROR(Schedules!F9/(Schedules!F6+Schedules!F7+Schedules!F8),"")</f>
        <v>0</v>
      </c>
      <c r="G13" s="46" t="n">
        <f aca="false">IFERROR(Schedules!G9/(Schedules!G6+Schedules!G7+Schedules!G8),"")</f>
        <v>-0.256615459868598</v>
      </c>
      <c r="H13" s="46" t="n">
        <f aca="false">IFERROR(Schedules!H9/(Schedules!H6+Schedules!H7+Schedules!H8),"")</f>
        <v>-0.260493411827468</v>
      </c>
      <c r="I13" s="55" t="n">
        <f aca="false">CHOOSE(Asumsi!$D$4,I41,I68,I95)</f>
        <v>-0.26</v>
      </c>
      <c r="J13" s="55" t="n">
        <f aca="false">CHOOSE(Asumsi!$D$4,J41,J68,J95)</f>
        <v>-0.26</v>
      </c>
      <c r="K13" s="55" t="n">
        <f aca="false">CHOOSE(Asumsi!$D$4,K41,K68,K95)</f>
        <v>-0.26</v>
      </c>
      <c r="L13" s="55" t="n">
        <f aca="false">CHOOSE(Asumsi!$D$4,L41,L68,L95)</f>
        <v>-0.26</v>
      </c>
      <c r="M13" s="55" t="n">
        <f aca="false">CHOOSE(Asumsi!$D$4,M41,M68,M95)</f>
        <v>-0.26</v>
      </c>
      <c r="N13" s="56" t="s">
        <v>207</v>
      </c>
    </row>
    <row r="14" customFormat="false" ht="15" hidden="false" customHeight="false" outlineLevel="0" collapsed="false">
      <c r="B14" s="4" t="s">
        <v>208</v>
      </c>
    </row>
    <row r="15" customFormat="false" ht="36" hidden="false" customHeight="true" outlineLevel="0" collapsed="false">
      <c r="A15" s="54" t="s">
        <v>209</v>
      </c>
      <c r="B15" s="13" t="s">
        <v>210</v>
      </c>
      <c r="C15" s="46" t="n">
        <f aca="false">IFERROR(-(IS!C7+Schedules!C12+Schedules!C17)/IS!C6,"")</f>
        <v>0.608100270453861</v>
      </c>
      <c r="D15" s="46" t="n">
        <f aca="false">IFERROR(-(IS!D7+Schedules!D12+Schedules!D17)/IS!D6,"")</f>
        <v>0.575939097894964</v>
      </c>
      <c r="E15" s="46" t="n">
        <f aca="false">IFERROR(-(IS!E7+Schedules!E12+Schedules!E17)/IS!E6,"")</f>
        <v>0.634941402109214</v>
      </c>
      <c r="F15" s="46" t="n">
        <f aca="false">IFERROR(-(IS!F7+Schedules!F12+Schedules!F17)/IS!F6,"")</f>
        <v>0.635676944551198</v>
      </c>
      <c r="G15" s="46" t="n">
        <f aca="false">IFERROR(-(IS!G7+Schedules!G12+Schedules!G17)/IS!G6,"")</f>
        <v>0.512019367372933</v>
      </c>
      <c r="H15" s="46" t="n">
        <f aca="false">IFERROR(-(IS!H7+Schedules!H12+Schedules!H17)/IS!H6,"")</f>
        <v>0.490020622219476</v>
      </c>
      <c r="I15" s="55" t="n">
        <f aca="false">CHOOSE(Asumsi!$D$4,I43,I70,I97)</f>
        <v>0.49</v>
      </c>
      <c r="J15" s="55" t="n">
        <f aca="false">CHOOSE(Asumsi!$D$4,J43,J70,J97)</f>
        <v>0.49</v>
      </c>
      <c r="K15" s="55" t="n">
        <f aca="false">CHOOSE(Asumsi!$D$4,K43,K70,K97)</f>
        <v>0.49</v>
      </c>
      <c r="L15" s="55" t="n">
        <f aca="false">CHOOSE(Asumsi!$D$4,L43,L70,L97)</f>
        <v>0.49</v>
      </c>
      <c r="M15" s="55" t="n">
        <f aca="false">CHOOSE(Asumsi!$D$4,M43,M70,M97)</f>
        <v>0.49</v>
      </c>
      <c r="N15" s="56" t="s">
        <v>211</v>
      </c>
    </row>
    <row r="16" customFormat="false" ht="36" hidden="false" customHeight="true" outlineLevel="0" collapsed="false">
      <c r="A16" s="54" t="s">
        <v>212</v>
      </c>
      <c r="B16" s="13" t="s">
        <v>213</v>
      </c>
      <c r="C16" s="46" t="n">
        <f aca="false">IFERROR(-(IS!C11+Schedules!C13+Schedules!C16+Schedules!C18)/IS!C6,"")</f>
        <v>0.276296805136143</v>
      </c>
      <c r="D16" s="46" t="n">
        <f aca="false">IFERROR(-(IS!D11+Schedules!D13+Schedules!D16+Schedules!D18)/IS!D6,"")</f>
        <v>0.212221461912264</v>
      </c>
      <c r="E16" s="46" t="n">
        <f aca="false">IFERROR(-(IS!E11+Schedules!E13+Schedules!E16+Schedules!E18)/IS!E6,"")</f>
        <v>0.228282335275232</v>
      </c>
      <c r="F16" s="46" t="n">
        <f aca="false">IFERROR(-(IS!F11+Schedules!F13+Schedules!F16+Schedules!F18)/IS!F6,"")</f>
        <v>0.206308470765516</v>
      </c>
      <c r="G16" s="46" t="n">
        <f aca="false">IFERROR(-(IS!G11+Schedules!G13+Schedules!G16+Schedules!G18)/IS!G6,"")</f>
        <v>0.27040575005202</v>
      </c>
      <c r="H16" s="46" t="n">
        <f aca="false">IFERROR(-(IS!H11+Schedules!H13+Schedules!H16+Schedules!H18)/IS!H6,"")</f>
        <v>0.330846051655957</v>
      </c>
      <c r="I16" s="55" t="n">
        <f aca="false">CHOOSE(Asumsi!$D$4,I44,I71,I98)</f>
        <v>0.301</v>
      </c>
      <c r="J16" s="55" t="n">
        <f aca="false">CHOOSE(Asumsi!$D$4,J44,J71,J98)</f>
        <v>0.301</v>
      </c>
      <c r="K16" s="55" t="n">
        <f aca="false">CHOOSE(Asumsi!$D$4,K44,K71,K98)</f>
        <v>0.301</v>
      </c>
      <c r="L16" s="55" t="n">
        <f aca="false">CHOOSE(Asumsi!$D$4,L44,L71,L98)</f>
        <v>0.301</v>
      </c>
      <c r="M16" s="55" t="n">
        <f aca="false">CHOOSE(Asumsi!$D$4,M44,M71,M98)</f>
        <v>0.301</v>
      </c>
      <c r="N16" s="56" t="s">
        <v>214</v>
      </c>
    </row>
    <row r="17" customFormat="false" ht="36" hidden="false" customHeight="true" outlineLevel="0" collapsed="false">
      <c r="A17" s="54" t="s">
        <v>215</v>
      </c>
      <c r="B17" s="13" t="s">
        <v>216</v>
      </c>
      <c r="C17" s="46" t="n">
        <f aca="false">IFERROR(IS!C13/IS!C6,"")</f>
        <v>0.0221448543602113</v>
      </c>
      <c r="D17" s="46" t="n">
        <f aca="false">IFERROR(IS!D13/IS!D6,"")</f>
        <v>0.0124857053748729</v>
      </c>
      <c r="E17" s="46" t="n">
        <f aca="false">IFERROR(IS!E13/IS!E6,"")</f>
        <v>0.00215072875524511</v>
      </c>
      <c r="F17" s="46" t="n">
        <f aca="false">IFERROR(IS!F13/IS!F6,"")</f>
        <v>0.00280204252680796</v>
      </c>
      <c r="G17" s="46" t="n">
        <f aca="false">IFERROR(IS!G13/IS!G6,"")</f>
        <v>-0.0105865116296956</v>
      </c>
      <c r="H17" s="46" t="n">
        <f aca="false">IFERROR(IS!H13/IS!H6,"")</f>
        <v>0.0011133681413742</v>
      </c>
      <c r="I17" s="55" t="n">
        <f aca="false">CHOOSE(Asumsi!$D$4,I45,I72,I99)</f>
        <v>0</v>
      </c>
      <c r="J17" s="55" t="n">
        <f aca="false">CHOOSE(Asumsi!$D$4,J45,J72,J99)</f>
        <v>0</v>
      </c>
      <c r="K17" s="55" t="n">
        <f aca="false">CHOOSE(Asumsi!$D$4,K45,K72,K99)</f>
        <v>0</v>
      </c>
      <c r="L17" s="55" t="n">
        <f aca="false">CHOOSE(Asumsi!$D$4,L45,L72,L99)</f>
        <v>0</v>
      </c>
      <c r="M17" s="55" t="n">
        <f aca="false">CHOOSE(Asumsi!$D$4,M45,M72,M99)</f>
        <v>0</v>
      </c>
      <c r="N17" s="56" t="s">
        <v>217</v>
      </c>
    </row>
    <row r="18" customFormat="false" ht="15" hidden="false" customHeight="false" outlineLevel="0" collapsed="false">
      <c r="B18" s="4" t="s">
        <v>218</v>
      </c>
    </row>
    <row r="19" customFormat="false" ht="36" hidden="false" customHeight="true" outlineLevel="0" collapsed="false">
      <c r="A19" s="54" t="s">
        <v>219</v>
      </c>
      <c r="B19" s="13" t="s">
        <v>220</v>
      </c>
      <c r="C19" s="46" t="n">
        <f aca="false">IFERROR(-(CF!C15+CF!C16)/IS!C6,"")</f>
        <v>0.423837773127118</v>
      </c>
      <c r="D19" s="46" t="n">
        <f aca="false">IFERROR(-(CF!D15+CF!D16)/IS!D6,"")</f>
        <v>0.24111955102642</v>
      </c>
      <c r="E19" s="46" t="n">
        <f aca="false">IFERROR(-(CF!E15+CF!E16)/IS!E6,"")</f>
        <v>0.338930217608714</v>
      </c>
      <c r="F19" s="46" t="n">
        <f aca="false">IFERROR(-(CF!F15+CF!F16)/IS!F6,"")</f>
        <v>0.233116834866454</v>
      </c>
      <c r="G19" s="46" t="n">
        <f aca="false">IFERROR(-(CF!G15+CF!G16)/IS!G6,"")</f>
        <v>0.224330048610705</v>
      </c>
      <c r="H19" s="46" t="n">
        <f aca="false">IFERROR(-(CF!H15+CF!H16)/IS!H6,"")</f>
        <v>0.223834110850222</v>
      </c>
      <c r="I19" s="55" t="n">
        <f aca="false">CHOOSE(Asumsi!$D$4,I47,I74,I101)</f>
        <v>0.15</v>
      </c>
      <c r="J19" s="55" t="n">
        <f aca="false">CHOOSE(Asumsi!$D$4,J47,J74,J101)</f>
        <v>0.15</v>
      </c>
      <c r="K19" s="55" t="n">
        <f aca="false">CHOOSE(Asumsi!$D$4,K47,K74,K101)</f>
        <v>0.15</v>
      </c>
      <c r="L19" s="55" t="n">
        <f aca="false">CHOOSE(Asumsi!$D$4,L47,L74,L101)</f>
        <v>0.15</v>
      </c>
      <c r="M19" s="55" t="n">
        <f aca="false">CHOOSE(Asumsi!$D$4,M47,M74,M101)</f>
        <v>0.15</v>
      </c>
      <c r="N19" s="56" t="s">
        <v>221</v>
      </c>
    </row>
    <row r="20" customFormat="false" ht="36" hidden="false" customHeight="true" outlineLevel="0" collapsed="false">
      <c r="A20" s="54" t="s">
        <v>222</v>
      </c>
      <c r="B20" s="13" t="s">
        <v>223</v>
      </c>
      <c r="C20" s="46" t="n">
        <f aca="false">IFERROR(-CF!C35/IS!C6,"")</f>
        <v>0.257049663118363</v>
      </c>
      <c r="D20" s="46" t="n">
        <f aca="false">IFERROR(-CF!D35/IS!D6,"")</f>
        <v>-0</v>
      </c>
      <c r="E20" s="46" t="n">
        <f aca="false">IFERROR(-CF!E35/IS!E6,"")</f>
        <v>-0</v>
      </c>
      <c r="F20" s="46" t="n">
        <f aca="false">IFERROR(-CF!F35/IS!F6,"")</f>
        <v>0.000282441412382839</v>
      </c>
      <c r="G20" s="46" t="n">
        <f aca="false">IFERROR(-CF!G35/IS!G6,"")</f>
        <v>0.000302508384139503</v>
      </c>
      <c r="H20" s="46" t="n">
        <f aca="false">IFERROR(-CF!H35/IS!H6,"")</f>
        <v>0.000617508032624815</v>
      </c>
      <c r="I20" s="55" t="n">
        <f aca="false">CHOOSE(Asumsi!$D$4,I48,I75,I102)</f>
        <v>0.0004</v>
      </c>
      <c r="J20" s="55" t="n">
        <f aca="false">CHOOSE(Asumsi!$D$4,J48,J75,J102)</f>
        <v>0.0004</v>
      </c>
      <c r="K20" s="55" t="n">
        <f aca="false">CHOOSE(Asumsi!$D$4,K48,K75,K102)</f>
        <v>0.0004</v>
      </c>
      <c r="L20" s="55" t="n">
        <f aca="false">CHOOSE(Asumsi!$D$4,L48,L75,L102)</f>
        <v>0.0004</v>
      </c>
      <c r="M20" s="55" t="n">
        <f aca="false">CHOOSE(Asumsi!$D$4,M48,M75,M102)</f>
        <v>0.0004</v>
      </c>
      <c r="N20" s="56" t="s">
        <v>224</v>
      </c>
    </row>
    <row r="21" customFormat="false" ht="36" hidden="false" customHeight="true" outlineLevel="0" collapsed="false">
      <c r="A21" s="54" t="s">
        <v>225</v>
      </c>
      <c r="B21" s="13" t="s">
        <v>226</v>
      </c>
      <c r="C21" s="46"/>
      <c r="D21" s="46" t="n">
        <f aca="false">IFERROR((Schedules!D14+Schedules!D16)/BS!C19,"")</f>
        <v>0.0668887302650512</v>
      </c>
      <c r="E21" s="46" t="n">
        <f aca="false">IFERROR((Schedules!E14+Schedules!E16)/BS!D19,"")</f>
        <v>0.0716888593843426</v>
      </c>
      <c r="F21" s="46" t="n">
        <f aca="false">IFERROR((Schedules!F14+Schedules!F16)/BS!E19,"")</f>
        <v>0.0785372428145822</v>
      </c>
      <c r="G21" s="46" t="n">
        <f aca="false">IFERROR((Schedules!G14+Schedules!G16)/BS!F19,"")</f>
        <v>0.0807064320832971</v>
      </c>
      <c r="H21" s="46" t="n">
        <f aca="false">IFERROR((Schedules!H14+Schedules!H16)/BS!G19,"")</f>
        <v>0.0878606386913024</v>
      </c>
      <c r="I21" s="55" t="n">
        <f aca="false">CHOOSE(Asumsi!$D$4,I49,I76,I103)</f>
        <v>0.0824</v>
      </c>
      <c r="J21" s="55" t="n">
        <f aca="false">CHOOSE(Asumsi!$D$4,J49,J76,J103)</f>
        <v>0.0824</v>
      </c>
      <c r="K21" s="55" t="n">
        <f aca="false">CHOOSE(Asumsi!$D$4,K49,K76,K103)</f>
        <v>0.0824</v>
      </c>
      <c r="L21" s="55" t="n">
        <f aca="false">CHOOSE(Asumsi!$D$4,L49,L76,L103)</f>
        <v>0.0824</v>
      </c>
      <c r="M21" s="55" t="n">
        <f aca="false">CHOOSE(Asumsi!$D$4,M49,M76,M103)</f>
        <v>0.0824</v>
      </c>
      <c r="N21" s="56" t="s">
        <v>227</v>
      </c>
    </row>
    <row r="22" customFormat="false" ht="36" hidden="false" customHeight="true" outlineLevel="0" collapsed="false">
      <c r="A22" s="54" t="s">
        <v>228</v>
      </c>
      <c r="B22" s="13" t="s">
        <v>229</v>
      </c>
      <c r="C22" s="46"/>
      <c r="D22" s="46" t="n">
        <f aca="false">IFERROR(Schedules!D19/BS!C22,"")</f>
        <v>0.448202777505374</v>
      </c>
      <c r="E22" s="46" t="n">
        <f aca="false">IFERROR(Schedules!E19/BS!D22,"")</f>
        <v>0.3494712171393</v>
      </c>
      <c r="F22" s="46" t="n">
        <f aca="false">IFERROR(Schedules!F19/BS!E22,"")</f>
        <v>0.466467719504735</v>
      </c>
      <c r="G22" s="46" t="n">
        <f aca="false">IFERROR(Schedules!G19/BS!F22,"")</f>
        <v>0.65616240550412</v>
      </c>
      <c r="H22" s="46" t="n">
        <f aca="false">IFERROR(Schedules!H19/BS!G22,"")</f>
        <v>1.32463842975207</v>
      </c>
      <c r="I22" s="55" t="n">
        <f aca="false">CHOOSE(Asumsi!$D$4,I50,I77,I104)</f>
        <v>1.3246</v>
      </c>
      <c r="J22" s="55" t="n">
        <f aca="false">CHOOSE(Asumsi!$D$4,J50,J77,J104)</f>
        <v>1.3246</v>
      </c>
      <c r="K22" s="55" t="n">
        <f aca="false">CHOOSE(Asumsi!$D$4,K50,K77,K104)</f>
        <v>1.3246</v>
      </c>
      <c r="L22" s="55" t="n">
        <f aca="false">CHOOSE(Asumsi!$D$4,L50,L77,L104)</f>
        <v>1.3246</v>
      </c>
      <c r="M22" s="55" t="n">
        <f aca="false">CHOOSE(Asumsi!$D$4,M50,M77,M104)</f>
        <v>1.3246</v>
      </c>
      <c r="N22" s="56" t="s">
        <v>230</v>
      </c>
    </row>
    <row r="23" customFormat="false" ht="15" hidden="false" customHeight="false" outlineLevel="0" collapsed="false">
      <c r="B23" s="4" t="s">
        <v>231</v>
      </c>
    </row>
    <row r="24" customFormat="false" ht="36" hidden="false" customHeight="true" outlineLevel="0" collapsed="false">
      <c r="A24" s="54" t="s">
        <v>232</v>
      </c>
      <c r="B24" s="13" t="s">
        <v>233</v>
      </c>
      <c r="C24" s="44" t="n">
        <f aca="false">IFERROR((BS!C8+BS!C9)/IS!C6*365,"")</f>
        <v>64.0905273811901</v>
      </c>
      <c r="D24" s="44" t="n">
        <f aca="false">IFERROR((BS!D8+BS!D9)/IS!D6*365,"")</f>
        <v>44.3627309226575</v>
      </c>
      <c r="E24" s="44" t="n">
        <f aca="false">IFERROR((BS!E8+BS!E9)/IS!E6*365,"")</f>
        <v>45.8535110854047</v>
      </c>
      <c r="F24" s="44" t="n">
        <f aca="false">IFERROR((BS!F8+BS!F9)/IS!F6*365,"")</f>
        <v>57.6436815818637</v>
      </c>
      <c r="G24" s="44" t="n">
        <f aca="false">IFERROR((BS!G8+BS!G9)/IS!G6*365,"")</f>
        <v>66.1710471276444</v>
      </c>
      <c r="H24" s="44" t="n">
        <f aca="false">IFERROR((BS!H8+BS!H9)/IS!H6*365,"")</f>
        <v>78.6446277959713</v>
      </c>
      <c r="I24" s="57" t="n">
        <f aca="false">CHOOSE(Asumsi!$D$4,I52,I79,I106)</f>
        <v>79</v>
      </c>
      <c r="J24" s="57" t="n">
        <f aca="false">CHOOSE(Asumsi!$D$4,J52,J79,J106)</f>
        <v>79</v>
      </c>
      <c r="K24" s="57" t="n">
        <f aca="false">CHOOSE(Asumsi!$D$4,K52,K79,K106)</f>
        <v>79</v>
      </c>
      <c r="L24" s="57" t="n">
        <f aca="false">CHOOSE(Asumsi!$D$4,L52,L79,L106)</f>
        <v>79</v>
      </c>
      <c r="M24" s="57" t="n">
        <f aca="false">CHOOSE(Asumsi!$D$4,M52,M79,M106)</f>
        <v>79</v>
      </c>
      <c r="N24" s="56" t="s">
        <v>234</v>
      </c>
    </row>
    <row r="25" customFormat="false" ht="36" hidden="false" customHeight="true" outlineLevel="0" collapsed="false">
      <c r="A25" s="54" t="s">
        <v>235</v>
      </c>
      <c r="B25" s="13" t="s">
        <v>236</v>
      </c>
      <c r="C25" s="44" t="n">
        <f aca="false">IFERROR(BS!C12/-(IS!C7+Schedules!C12+Schedules!C17)*365,"")</f>
        <v>34.9212936946816</v>
      </c>
      <c r="D25" s="44" t="n">
        <f aca="false">IFERROR(BS!D12/-(IS!D7+Schedules!D12+Schedules!D17)*365,"")</f>
        <v>23.1866307322357</v>
      </c>
      <c r="E25" s="44" t="n">
        <f aca="false">IFERROR(BS!E12/-(IS!E7+Schedules!E12+Schedules!E17)*365,"")</f>
        <v>14.7482030436146</v>
      </c>
      <c r="F25" s="44" t="n">
        <f aca="false">IFERROR(BS!F12/-(IS!F7+Schedules!F12+Schedules!F17)*365,"")</f>
        <v>11.2261109470152</v>
      </c>
      <c r="G25" s="44" t="n">
        <f aca="false">IFERROR(BS!G12/-(IS!G7+Schedules!G12+Schedules!G17)*365,"")</f>
        <v>18.6760251212922</v>
      </c>
      <c r="H25" s="44" t="n">
        <f aca="false">IFERROR(BS!H12/-(IS!H7+Schedules!H12+Schedules!H17)*365,"")</f>
        <v>21.0917628867686</v>
      </c>
      <c r="I25" s="57" t="n">
        <f aca="false">CHOOSE(Asumsi!$D$4,I53,I80,I107)</f>
        <v>21</v>
      </c>
      <c r="J25" s="57" t="n">
        <f aca="false">CHOOSE(Asumsi!$D$4,J53,J80,J107)</f>
        <v>21</v>
      </c>
      <c r="K25" s="57" t="n">
        <f aca="false">CHOOSE(Asumsi!$D$4,K53,K80,K107)</f>
        <v>21</v>
      </c>
      <c r="L25" s="57" t="n">
        <f aca="false">CHOOSE(Asumsi!$D$4,L53,L80,L107)</f>
        <v>21</v>
      </c>
      <c r="M25" s="57" t="n">
        <f aca="false">CHOOSE(Asumsi!$D$4,M53,M80,M107)</f>
        <v>21</v>
      </c>
      <c r="N25" s="56" t="s">
        <v>237</v>
      </c>
    </row>
    <row r="26" customFormat="false" ht="36" hidden="false" customHeight="true" outlineLevel="0" collapsed="false">
      <c r="A26" s="54" t="s">
        <v>238</v>
      </c>
      <c r="B26" s="13" t="s">
        <v>239</v>
      </c>
      <c r="C26" s="44" t="n">
        <f aca="false">IFERROR((BS!C30+BS!C31)/-(IS!C7+Schedules!C12+Schedules!C17)*365,"")</f>
        <v>81.9164687111083</v>
      </c>
      <c r="D26" s="44" t="n">
        <f aca="false">IFERROR((BS!D30+BS!D31)/-(IS!D7+Schedules!D12+Schedules!D17)*365,"")</f>
        <v>63.3272424365567</v>
      </c>
      <c r="E26" s="44" t="n">
        <f aca="false">IFERROR((BS!E30+BS!E31)/-(IS!E7+Schedules!E12+Schedules!E17)*365,"")</f>
        <v>48.1457019587174</v>
      </c>
      <c r="F26" s="44" t="n">
        <f aca="false">IFERROR((BS!F30+BS!F31)/-(IS!F7+Schedules!F12+Schedules!F17)*365,"")</f>
        <v>32.2749542800762</v>
      </c>
      <c r="G26" s="44" t="n">
        <f aca="false">IFERROR((BS!G30+BS!G31)/-(IS!G7+Schedules!G12+Schedules!G17)*365,"")</f>
        <v>47.5745819654758</v>
      </c>
      <c r="H26" s="44" t="n">
        <f aca="false">IFERROR((BS!H30+BS!H31)/-(IS!H7+Schedules!H12+Schedules!H17)*365,"")</f>
        <v>32.7467000399565</v>
      </c>
      <c r="I26" s="57" t="n">
        <f aca="false">CHOOSE(Asumsi!$D$4,I54,I81,I108)</f>
        <v>33</v>
      </c>
      <c r="J26" s="57" t="n">
        <f aca="false">CHOOSE(Asumsi!$D$4,J54,J81,J108)</f>
        <v>33</v>
      </c>
      <c r="K26" s="57" t="n">
        <f aca="false">CHOOSE(Asumsi!$D$4,K54,K81,K108)</f>
        <v>33</v>
      </c>
      <c r="L26" s="57" t="n">
        <f aca="false">CHOOSE(Asumsi!$D$4,L54,L81,L108)</f>
        <v>33</v>
      </c>
      <c r="M26" s="57" t="n">
        <f aca="false">CHOOSE(Asumsi!$D$4,M54,M81,M108)</f>
        <v>33</v>
      </c>
      <c r="N26" s="56" t="s">
        <v>240</v>
      </c>
    </row>
    <row r="27" customFormat="false" ht="15" hidden="false" customHeight="false" outlineLevel="0" collapsed="false">
      <c r="B27" s="4" t="s">
        <v>241</v>
      </c>
    </row>
    <row r="28" customFormat="false" ht="36" hidden="false" customHeight="true" outlineLevel="0" collapsed="false">
      <c r="A28" s="54" t="s">
        <v>242</v>
      </c>
      <c r="B28" s="13" t="s">
        <v>243</v>
      </c>
      <c r="C28" s="46" t="n">
        <f aca="false">IFERROR(-IS!C18/IS!C17,"")</f>
        <v>76.7512422960725</v>
      </c>
      <c r="D28" s="46" t="n">
        <f aca="false">IFERROR(-IS!D18/IS!D17,"")</f>
        <v>-0.0587173348688304</v>
      </c>
      <c r="E28" s="46" t="n">
        <f aca="false">IFERROR(-IS!E18/IS!E17,"")</f>
        <v>-0.0499049626817824</v>
      </c>
      <c r="F28" s="46" t="n">
        <f aca="false">IFERROR(-IS!F18/IS!F17,"")</f>
        <v>-0.224409574638075</v>
      </c>
      <c r="G28" s="46" t="n">
        <f aca="false">IFERROR(-IS!G18/IS!G17,"")</f>
        <v>-7.84242424242424</v>
      </c>
      <c r="H28" s="46" t="n">
        <f aca="false">IFERROR(-IS!H18/IS!H17,"")</f>
        <v>0.154696602457796</v>
      </c>
      <c r="I28" s="55" t="n">
        <f aca="false">CHOOSE(Asumsi!$D$4,I56,I83,I110)</f>
        <v>0.25</v>
      </c>
      <c r="J28" s="55" t="n">
        <f aca="false">CHOOSE(Asumsi!$D$4,J56,J83,J110)</f>
        <v>0.25</v>
      </c>
      <c r="K28" s="55" t="n">
        <f aca="false">CHOOSE(Asumsi!$D$4,K56,K83,K110)</f>
        <v>0.25</v>
      </c>
      <c r="L28" s="55" t="n">
        <f aca="false">CHOOSE(Asumsi!$D$4,L56,L83,L110)</f>
        <v>0.25</v>
      </c>
      <c r="M28" s="55" t="n">
        <f aca="false">CHOOSE(Asumsi!$D$4,M56,M83,M110)</f>
        <v>0.25</v>
      </c>
      <c r="N28" s="56" t="s">
        <v>244</v>
      </c>
    </row>
    <row r="29" customFormat="false" ht="36" hidden="false" customHeight="true" outlineLevel="0" collapsed="false">
      <c r="A29" s="54" t="s">
        <v>245</v>
      </c>
      <c r="B29" s="13" t="s">
        <v>246</v>
      </c>
      <c r="C29" s="46"/>
      <c r="D29" s="46" t="n">
        <f aca="false">IFERROR(-IS!D15/AVERAGE((BS!D29+BS!D38+BS!D45+BS!D39+BS!D46+BS!D40+BS!D47+BS!D41+BS!D48),(BS!C29+BS!C38+BS!C45+BS!C39+BS!C46+BS!C40+BS!C47+BS!C41+BS!C48)),"")</f>
        <v>0.123051735378045</v>
      </c>
      <c r="E29" s="46" t="n">
        <f aca="false">IFERROR(-IS!E15/AVERAGE((BS!E29+BS!E38+BS!E45+BS!E39+BS!E46+BS!E40+BS!E47+BS!E41+BS!E48),(BS!D29+BS!D38+BS!D45+BS!D39+BS!D46+BS!D40+BS!D47+BS!D41+BS!D48)),"")</f>
        <v>0.0751817304580009</v>
      </c>
      <c r="F29" s="46" t="n">
        <f aca="false">IFERROR(-IS!F15/AVERAGE((BS!F29+BS!F38+BS!F45+BS!F39+BS!F46+BS!F40+BS!F47+BS!F41+BS!F48),(BS!E29+BS!E38+BS!E45+BS!E39+BS!E46+BS!E40+BS!E47+BS!E41+BS!E48)),"")</f>
        <v>0.103026589097794</v>
      </c>
      <c r="G29" s="46" t="n">
        <f aca="false">IFERROR(-IS!G15/AVERAGE((BS!G29+BS!G38+BS!G45+BS!G39+BS!G46+BS!G40+BS!G47+BS!G41+BS!G48),(BS!F29+BS!F38+BS!F45+BS!F39+BS!F46+BS!F40+BS!F47+BS!F41+BS!F48)),"")</f>
        <v>0.104983109459578</v>
      </c>
      <c r="H29" s="46" t="n">
        <f aca="false">IFERROR(-IS!H15/AVERAGE((BS!H29+BS!H38+BS!H45+BS!H39+BS!H46+BS!H40+BS!H47+BS!H41+BS!H48),(BS!G29+BS!G38+BS!G45+BS!G39+BS!G46+BS!G40+BS!G47+BS!G41+BS!G48)),"")</f>
        <v>0.122058850624091</v>
      </c>
      <c r="I29" s="55" t="n">
        <f aca="false">CHOOSE(Asumsi!$D$4,I57,I84,I111)</f>
        <v>0.11</v>
      </c>
      <c r="J29" s="55" t="n">
        <f aca="false">CHOOSE(Asumsi!$D$4,J57,J84,J111)</f>
        <v>0.11</v>
      </c>
      <c r="K29" s="55" t="n">
        <f aca="false">CHOOSE(Asumsi!$D$4,K57,K84,K111)</f>
        <v>0.11</v>
      </c>
      <c r="L29" s="55" t="n">
        <f aca="false">CHOOSE(Asumsi!$D$4,L57,L84,L111)</f>
        <v>0.11</v>
      </c>
      <c r="M29" s="55" t="n">
        <f aca="false">CHOOSE(Asumsi!$D$4,M57,M84,M111)</f>
        <v>0.11</v>
      </c>
      <c r="N29" s="56" t="s">
        <v>247</v>
      </c>
    </row>
    <row r="30" customFormat="false" ht="36" hidden="false" customHeight="true" outlineLevel="0" collapsed="false">
      <c r="A30" s="54" t="s">
        <v>248</v>
      </c>
      <c r="B30" s="13" t="s">
        <v>249</v>
      </c>
      <c r="C30" s="46"/>
      <c r="D30" s="46" t="n">
        <f aca="false">IFERROR(IS!D16/BS!C6,"")</f>
        <v>0.0380251048723871</v>
      </c>
      <c r="E30" s="46" t="n">
        <f aca="false">IFERROR(IS!E16/BS!D6,"")</f>
        <v>0.0276843549898276</v>
      </c>
      <c r="F30" s="46" t="n">
        <f aca="false">IFERROR(IS!F16/BS!E6,"")</f>
        <v>0.0260396953400442</v>
      </c>
      <c r="G30" s="46" t="n">
        <f aca="false">IFERROR(IS!G16/BS!F6,"")</f>
        <v>0.0261711812261615</v>
      </c>
      <c r="H30" s="46" t="n">
        <f aca="false">IFERROR(IS!H16/BS!G6,"")</f>
        <v>0.241324204207671</v>
      </c>
      <c r="I30" s="55" t="n">
        <f aca="false">CHOOSE(Asumsi!$D$4,I58,I85,I112)</f>
        <v>0.0978</v>
      </c>
      <c r="J30" s="55" t="n">
        <f aca="false">CHOOSE(Asumsi!$D$4,J58,J85,J112)</f>
        <v>0.0978</v>
      </c>
      <c r="K30" s="55" t="n">
        <f aca="false">CHOOSE(Asumsi!$D$4,K58,K85,K112)</f>
        <v>0.0978</v>
      </c>
      <c r="L30" s="55" t="n">
        <f aca="false">CHOOSE(Asumsi!$D$4,L58,L85,L112)</f>
        <v>0.0978</v>
      </c>
      <c r="M30" s="55" t="n">
        <f aca="false">CHOOSE(Asumsi!$D$4,M58,M85,M112)</f>
        <v>0.0978</v>
      </c>
      <c r="N30" s="56" t="s">
        <v>250</v>
      </c>
    </row>
    <row r="31" customFormat="false" ht="36" hidden="false" customHeight="true" outlineLevel="0" collapsed="false">
      <c r="A31" s="54" t="s">
        <v>251</v>
      </c>
      <c r="B31" s="13" t="s">
        <v>252</v>
      </c>
      <c r="C31" s="50"/>
      <c r="D31" s="50" t="n">
        <f aca="false">(BS!D29+BS!D38+BS!D45+BS!D39+BS!D46+BS!D40+BS!D47+BS!D41+BS!D48)-(BS!C29+BS!C38+BS!C45+BS!C39+BS!C46+BS!C40+BS!C47+BS!C41+BS!C48)</f>
        <v>-226056502380</v>
      </c>
      <c r="E31" s="50" t="n">
        <f aca="false">(BS!E29+BS!E38+BS!E45+BS!E39+BS!E46+BS!E40+BS!E47+BS!E41+BS!E48)-(BS!D29+BS!D38+BS!D45+BS!D39+BS!D46+BS!D40+BS!D47+BS!D41+BS!D48)</f>
        <v>879116171608</v>
      </c>
      <c r="F31" s="50" t="n">
        <f aca="false">(BS!F29+BS!F38+BS!F45+BS!F39+BS!F46+BS!F40+BS!F47+BS!F41+BS!F48)-(BS!E29+BS!E38+BS!E45+BS!E39+BS!E46+BS!E40+BS!E47+BS!E41+BS!E48)</f>
        <v>-78967890922</v>
      </c>
      <c r="G31" s="50" t="n">
        <f aca="false">(BS!G29+BS!G38+BS!G45+BS!G39+BS!G46+BS!G40+BS!G47+BS!G41+BS!G48)-(BS!F29+BS!F38+BS!F45+BS!F39+BS!F46+BS!F40+BS!F47+BS!F41+BS!F48)</f>
        <v>19523000000</v>
      </c>
      <c r="H31" s="50" t="n">
        <f aca="false">(BS!H29+BS!H38+BS!H45+BS!H39+BS!H46+BS!H40+BS!H47+BS!H41+BS!H48)-(BS!G29+BS!G38+BS!G45+BS!G39+BS!G46+BS!G40+BS!G47+BS!G41+BS!G48)</f>
        <v>3018549000000</v>
      </c>
      <c r="I31" s="58" t="n">
        <f aca="false">CHOOSE(Asumsi!$D$4,I59,I86,I113)</f>
        <v>0</v>
      </c>
      <c r="J31" s="58" t="n">
        <f aca="false">CHOOSE(Asumsi!$D$4,J59,J86,J113)</f>
        <v>0</v>
      </c>
      <c r="K31" s="58" t="n">
        <f aca="false">CHOOSE(Asumsi!$D$4,K59,K86,K113)</f>
        <v>0</v>
      </c>
      <c r="L31" s="58" t="n">
        <f aca="false">CHOOSE(Asumsi!$D$4,L59,L86,L113)</f>
        <v>0</v>
      </c>
      <c r="M31" s="58" t="n">
        <f aca="false">CHOOSE(Asumsi!$D$4,M59,M86,M113)</f>
        <v>0</v>
      </c>
      <c r="N31" s="56" t="s">
        <v>253</v>
      </c>
    </row>
    <row r="32" customFormat="false" ht="36" hidden="false" customHeight="true" outlineLevel="0" collapsed="false">
      <c r="A32" s="54" t="s">
        <v>254</v>
      </c>
      <c r="B32" s="13" t="s">
        <v>255</v>
      </c>
      <c r="C32" s="46"/>
      <c r="D32" s="46" t="n">
        <f aca="false">IFERROR(-CF!D36/IS!C26,"")</f>
        <v>0</v>
      </c>
      <c r="E32" s="46" t="n">
        <f aca="false">IFERROR(-CF!E36/IS!D26,"")</f>
        <v>-0</v>
      </c>
      <c r="F32" s="46" t="n">
        <f aca="false">IFERROR(-CF!F36/IS!E26,"")</f>
        <v>0</v>
      </c>
      <c r="G32" s="46" t="n">
        <f aca="false">IFERROR(-CF!G36/IS!F26,"")</f>
        <v>0</v>
      </c>
      <c r="H32" s="46" t="n">
        <f aca="false">IFERROR(-CF!H36/IS!G26,"")</f>
        <v>0</v>
      </c>
      <c r="I32" s="55" t="n">
        <f aca="false">CHOOSE(Asumsi!$D$4,I60,I87,I114)</f>
        <v>0</v>
      </c>
      <c r="J32" s="55" t="n">
        <f aca="false">CHOOSE(Asumsi!$D$4,J60,J87,J114)</f>
        <v>0</v>
      </c>
      <c r="K32" s="55" t="n">
        <f aca="false">CHOOSE(Asumsi!$D$4,K60,K87,K114)</f>
        <v>0</v>
      </c>
      <c r="L32" s="55" t="n">
        <f aca="false">CHOOSE(Asumsi!$D$4,L60,L87,L114)</f>
        <v>0</v>
      </c>
      <c r="M32" s="55" t="n">
        <f aca="false">CHOOSE(Asumsi!$D$4,M60,M87,M114)</f>
        <v>0</v>
      </c>
      <c r="N32" s="56" t="s">
        <v>256</v>
      </c>
    </row>
    <row r="33" customFormat="false" ht="36" hidden="false" customHeight="true" outlineLevel="0" collapsed="false">
      <c r="A33" s="54" t="s">
        <v>257</v>
      </c>
      <c r="B33" s="13" t="s">
        <v>258</v>
      </c>
      <c r="C33" s="46" t="n">
        <f aca="false">IFERROR(IS!C27/IS!C19,"")</f>
        <v>0.00809976978276658</v>
      </c>
      <c r="D33" s="46" t="n">
        <f aca="false">IFERROR(IS!D27/IS!D19,"")</f>
        <v>0.00178623627332572</v>
      </c>
      <c r="E33" s="46" t="n">
        <f aca="false">IFERROR(IS!E27/IS!E19,"")</f>
        <v>-0.00289038937064506</v>
      </c>
      <c r="F33" s="46" t="n">
        <f aca="false">IFERROR(IS!F27/IS!F19,"")</f>
        <v>-0.00461984182914416</v>
      </c>
      <c r="G33" s="46" t="n">
        <f aca="false">IFERROR(IS!G27/IS!G19,"")</f>
        <v>-0.00723954763536669</v>
      </c>
      <c r="H33" s="46" t="n">
        <f aca="false">IFERROR(IS!H27/IS!H19,"")</f>
        <v>-0.00105639116655767</v>
      </c>
      <c r="I33" s="55" t="n">
        <f aca="false">CHOOSE(Asumsi!$D$4,I61,I88,I115)</f>
        <v>0</v>
      </c>
      <c r="J33" s="55" t="n">
        <f aca="false">CHOOSE(Asumsi!$D$4,J61,J88,J115)</f>
        <v>0</v>
      </c>
      <c r="K33" s="55" t="n">
        <f aca="false">CHOOSE(Asumsi!$D$4,K61,K88,K115)</f>
        <v>0</v>
      </c>
      <c r="L33" s="55" t="n">
        <f aca="false">CHOOSE(Asumsi!$D$4,L61,L88,L115)</f>
        <v>0</v>
      </c>
      <c r="M33" s="55" t="n">
        <f aca="false">CHOOSE(Asumsi!$D$4,M61,M88,M115)</f>
        <v>0</v>
      </c>
      <c r="N33" s="56" t="s">
        <v>259</v>
      </c>
    </row>
    <row r="36" customFormat="false" ht="15" hidden="false" customHeight="false" outlineLevel="0" collapsed="false">
      <c r="A36" s="16"/>
      <c r="B36" s="17" t="s">
        <v>260</v>
      </c>
      <c r="C36" s="16"/>
      <c r="D36" s="16"/>
      <c r="E36" s="16"/>
      <c r="F36" s="16"/>
      <c r="G36" s="16"/>
      <c r="H36" s="16"/>
      <c r="I36" s="16"/>
      <c r="J36" s="16"/>
      <c r="K36" s="16"/>
      <c r="L36" s="16"/>
      <c r="M36" s="16"/>
      <c r="N36" s="16"/>
    </row>
    <row r="37" customFormat="false" ht="15" hidden="false" customHeight="false" outlineLevel="0" collapsed="false">
      <c r="B37" s="4" t="s">
        <v>195</v>
      </c>
    </row>
    <row r="38" customFormat="false" ht="15" hidden="false" customHeight="false" outlineLevel="0" collapsed="false">
      <c r="A38" s="54" t="s">
        <v>261</v>
      </c>
      <c r="B38" s="13" t="s">
        <v>197</v>
      </c>
      <c r="I38" s="59" t="n">
        <v>0.1</v>
      </c>
      <c r="J38" s="59" t="n">
        <v>0.1</v>
      </c>
      <c r="K38" s="59" t="n">
        <v>0.1</v>
      </c>
      <c r="L38" s="59" t="n">
        <v>0.1</v>
      </c>
      <c r="M38" s="59" t="n">
        <v>0.1</v>
      </c>
    </row>
    <row r="39" customFormat="false" ht="15" hidden="false" customHeight="false" outlineLevel="0" collapsed="false">
      <c r="A39" s="54" t="s">
        <v>262</v>
      </c>
      <c r="B39" s="13" t="s">
        <v>200</v>
      </c>
      <c r="I39" s="59" t="n">
        <v>0.08</v>
      </c>
      <c r="J39" s="59" t="n">
        <v>0.08</v>
      </c>
      <c r="K39" s="59" t="n">
        <v>0.08</v>
      </c>
      <c r="L39" s="59" t="n">
        <v>0.08</v>
      </c>
      <c r="M39" s="59" t="n">
        <v>0.08</v>
      </c>
    </row>
    <row r="40" customFormat="false" ht="15" hidden="false" customHeight="false" outlineLevel="0" collapsed="false">
      <c r="A40" s="54" t="s">
        <v>263</v>
      </c>
      <c r="B40" s="13" t="s">
        <v>203</v>
      </c>
      <c r="I40" s="59" t="n">
        <v>0.1</v>
      </c>
      <c r="J40" s="59" t="n">
        <v>0.1</v>
      </c>
      <c r="K40" s="59" t="n">
        <v>0.1</v>
      </c>
      <c r="L40" s="59" t="n">
        <v>0.1</v>
      </c>
      <c r="M40" s="59" t="n">
        <v>0.1</v>
      </c>
    </row>
    <row r="41" customFormat="false" ht="15" hidden="false" customHeight="false" outlineLevel="0" collapsed="false">
      <c r="A41" s="54" t="s">
        <v>264</v>
      </c>
      <c r="B41" s="13" t="s">
        <v>206</v>
      </c>
      <c r="I41" s="59" t="n">
        <v>-0.26</v>
      </c>
      <c r="J41" s="59" t="n">
        <v>-0.26</v>
      </c>
      <c r="K41" s="59" t="n">
        <v>-0.26</v>
      </c>
      <c r="L41" s="59" t="n">
        <v>-0.26</v>
      </c>
      <c r="M41" s="59" t="n">
        <v>-0.26</v>
      </c>
    </row>
    <row r="42" customFormat="false" ht="15" hidden="false" customHeight="false" outlineLevel="0" collapsed="false">
      <c r="B42" s="4" t="s">
        <v>208</v>
      </c>
    </row>
    <row r="43" customFormat="false" ht="15" hidden="false" customHeight="false" outlineLevel="0" collapsed="false">
      <c r="A43" s="54" t="s">
        <v>265</v>
      </c>
      <c r="B43" s="13" t="s">
        <v>210</v>
      </c>
      <c r="I43" s="59" t="n">
        <v>0.49</v>
      </c>
      <c r="J43" s="59" t="n">
        <v>0.49</v>
      </c>
      <c r="K43" s="59" t="n">
        <v>0.49</v>
      </c>
      <c r="L43" s="59" t="n">
        <v>0.49</v>
      </c>
      <c r="M43" s="59" t="n">
        <v>0.49</v>
      </c>
    </row>
    <row r="44" customFormat="false" ht="15" hidden="false" customHeight="false" outlineLevel="0" collapsed="false">
      <c r="A44" s="54" t="s">
        <v>266</v>
      </c>
      <c r="B44" s="13" t="s">
        <v>213</v>
      </c>
      <c r="I44" s="59" t="n">
        <v>0.301</v>
      </c>
      <c r="J44" s="59" t="n">
        <v>0.301</v>
      </c>
      <c r="K44" s="59" t="n">
        <v>0.301</v>
      </c>
      <c r="L44" s="59" t="n">
        <v>0.301</v>
      </c>
      <c r="M44" s="59" t="n">
        <v>0.301</v>
      </c>
    </row>
    <row r="45" customFormat="false" ht="15" hidden="false" customHeight="false" outlineLevel="0" collapsed="false">
      <c r="A45" s="54" t="s">
        <v>267</v>
      </c>
      <c r="B45" s="13" t="s">
        <v>216</v>
      </c>
      <c r="I45" s="59" t="n">
        <v>0</v>
      </c>
      <c r="J45" s="59" t="n">
        <v>0</v>
      </c>
      <c r="K45" s="59" t="n">
        <v>0</v>
      </c>
      <c r="L45" s="59" t="n">
        <v>0</v>
      </c>
      <c r="M45" s="59" t="n">
        <v>0</v>
      </c>
    </row>
    <row r="46" customFormat="false" ht="15" hidden="false" customHeight="false" outlineLevel="0" collapsed="false">
      <c r="B46" s="4" t="s">
        <v>218</v>
      </c>
    </row>
    <row r="47" customFormat="false" ht="15" hidden="false" customHeight="false" outlineLevel="0" collapsed="false">
      <c r="A47" s="54" t="s">
        <v>268</v>
      </c>
      <c r="B47" s="13" t="s">
        <v>220</v>
      </c>
      <c r="I47" s="59" t="n">
        <v>0.15</v>
      </c>
      <c r="J47" s="59" t="n">
        <v>0.15</v>
      </c>
      <c r="K47" s="59" t="n">
        <v>0.15</v>
      </c>
      <c r="L47" s="59" t="n">
        <v>0.15</v>
      </c>
      <c r="M47" s="59" t="n">
        <v>0.15</v>
      </c>
    </row>
    <row r="48" customFormat="false" ht="15" hidden="false" customHeight="false" outlineLevel="0" collapsed="false">
      <c r="A48" s="54" t="s">
        <v>269</v>
      </c>
      <c r="B48" s="13" t="s">
        <v>223</v>
      </c>
      <c r="I48" s="59" t="n">
        <v>0.0004</v>
      </c>
      <c r="J48" s="59" t="n">
        <v>0.0004</v>
      </c>
      <c r="K48" s="59" t="n">
        <v>0.0004</v>
      </c>
      <c r="L48" s="59" t="n">
        <v>0.0004</v>
      </c>
      <c r="M48" s="59" t="n">
        <v>0.0004</v>
      </c>
    </row>
    <row r="49" customFormat="false" ht="15" hidden="false" customHeight="false" outlineLevel="0" collapsed="false">
      <c r="A49" s="54" t="s">
        <v>270</v>
      </c>
      <c r="B49" s="13" t="s">
        <v>226</v>
      </c>
      <c r="I49" s="59" t="n">
        <v>0.0824</v>
      </c>
      <c r="J49" s="59" t="n">
        <v>0.0824</v>
      </c>
      <c r="K49" s="59" t="n">
        <v>0.0824</v>
      </c>
      <c r="L49" s="59" t="n">
        <v>0.0824</v>
      </c>
      <c r="M49" s="59" t="n">
        <v>0.0824</v>
      </c>
    </row>
    <row r="50" customFormat="false" ht="15" hidden="false" customHeight="false" outlineLevel="0" collapsed="false">
      <c r="A50" s="54" t="s">
        <v>271</v>
      </c>
      <c r="B50" s="13" t="s">
        <v>229</v>
      </c>
      <c r="I50" s="59" t="n">
        <v>1.3246</v>
      </c>
      <c r="J50" s="59" t="n">
        <v>1.3246</v>
      </c>
      <c r="K50" s="59" t="n">
        <v>1.3246</v>
      </c>
      <c r="L50" s="59" t="n">
        <v>1.3246</v>
      </c>
      <c r="M50" s="59" t="n">
        <v>1.3246</v>
      </c>
    </row>
    <row r="51" customFormat="false" ht="15" hidden="false" customHeight="false" outlineLevel="0" collapsed="false">
      <c r="B51" s="4" t="s">
        <v>231</v>
      </c>
    </row>
    <row r="52" customFormat="false" ht="15" hidden="false" customHeight="false" outlineLevel="0" collapsed="false">
      <c r="A52" s="54" t="s">
        <v>272</v>
      </c>
      <c r="B52" s="13" t="s">
        <v>233</v>
      </c>
      <c r="I52" s="60" t="n">
        <v>79</v>
      </c>
      <c r="J52" s="60" t="n">
        <v>79</v>
      </c>
      <c r="K52" s="60" t="n">
        <v>79</v>
      </c>
      <c r="L52" s="60" t="n">
        <v>79</v>
      </c>
      <c r="M52" s="60" t="n">
        <v>79</v>
      </c>
    </row>
    <row r="53" customFormat="false" ht="15" hidden="false" customHeight="false" outlineLevel="0" collapsed="false">
      <c r="A53" s="54" t="s">
        <v>273</v>
      </c>
      <c r="B53" s="13" t="s">
        <v>236</v>
      </c>
      <c r="I53" s="60" t="n">
        <v>21</v>
      </c>
      <c r="J53" s="60" t="n">
        <v>21</v>
      </c>
      <c r="K53" s="60" t="n">
        <v>21</v>
      </c>
      <c r="L53" s="60" t="n">
        <v>21</v>
      </c>
      <c r="M53" s="60" t="n">
        <v>21</v>
      </c>
    </row>
    <row r="54" customFormat="false" ht="15" hidden="false" customHeight="false" outlineLevel="0" collapsed="false">
      <c r="A54" s="54" t="s">
        <v>274</v>
      </c>
      <c r="B54" s="13" t="s">
        <v>239</v>
      </c>
      <c r="I54" s="60" t="n">
        <v>33</v>
      </c>
      <c r="J54" s="60" t="n">
        <v>33</v>
      </c>
      <c r="K54" s="60" t="n">
        <v>33</v>
      </c>
      <c r="L54" s="60" t="n">
        <v>33</v>
      </c>
      <c r="M54" s="60" t="n">
        <v>33</v>
      </c>
    </row>
    <row r="55" customFormat="false" ht="15" hidden="false" customHeight="false" outlineLevel="0" collapsed="false">
      <c r="B55" s="4" t="s">
        <v>241</v>
      </c>
    </row>
    <row r="56" customFormat="false" ht="15" hidden="false" customHeight="false" outlineLevel="0" collapsed="false">
      <c r="A56" s="54" t="s">
        <v>275</v>
      </c>
      <c r="B56" s="13" t="s">
        <v>243</v>
      </c>
      <c r="I56" s="59" t="n">
        <v>0.25</v>
      </c>
      <c r="J56" s="59" t="n">
        <v>0.25</v>
      </c>
      <c r="K56" s="59" t="n">
        <v>0.25</v>
      </c>
      <c r="L56" s="59" t="n">
        <v>0.25</v>
      </c>
      <c r="M56" s="59" t="n">
        <v>0.25</v>
      </c>
    </row>
    <row r="57" customFormat="false" ht="15" hidden="false" customHeight="false" outlineLevel="0" collapsed="false">
      <c r="A57" s="54" t="s">
        <v>276</v>
      </c>
      <c r="B57" s="13" t="s">
        <v>246</v>
      </c>
      <c r="I57" s="59" t="n">
        <v>0.11</v>
      </c>
      <c r="J57" s="59" t="n">
        <v>0.11</v>
      </c>
      <c r="K57" s="59" t="n">
        <v>0.11</v>
      </c>
      <c r="L57" s="59" t="n">
        <v>0.11</v>
      </c>
      <c r="M57" s="59" t="n">
        <v>0.11</v>
      </c>
    </row>
    <row r="58" customFormat="false" ht="15" hidden="false" customHeight="false" outlineLevel="0" collapsed="false">
      <c r="A58" s="54" t="s">
        <v>277</v>
      </c>
      <c r="B58" s="13" t="s">
        <v>249</v>
      </c>
      <c r="I58" s="59" t="n">
        <v>0.0978</v>
      </c>
      <c r="J58" s="59" t="n">
        <v>0.0978</v>
      </c>
      <c r="K58" s="59" t="n">
        <v>0.0978</v>
      </c>
      <c r="L58" s="59" t="n">
        <v>0.0978</v>
      </c>
      <c r="M58" s="59" t="n">
        <v>0.0978</v>
      </c>
    </row>
    <row r="59" customFormat="false" ht="15" hidden="false" customHeight="false" outlineLevel="0" collapsed="false">
      <c r="A59" s="54" t="s">
        <v>278</v>
      </c>
      <c r="B59" s="13" t="s">
        <v>252</v>
      </c>
      <c r="I59" s="61" t="n">
        <v>0</v>
      </c>
      <c r="J59" s="61" t="n">
        <v>0</v>
      </c>
      <c r="K59" s="61" t="n">
        <v>0</v>
      </c>
      <c r="L59" s="61" t="n">
        <v>0</v>
      </c>
      <c r="M59" s="61" t="n">
        <v>0</v>
      </c>
    </row>
    <row r="60" customFormat="false" ht="15" hidden="false" customHeight="false" outlineLevel="0" collapsed="false">
      <c r="A60" s="54" t="s">
        <v>279</v>
      </c>
      <c r="B60" s="13" t="s">
        <v>255</v>
      </c>
      <c r="I60" s="59" t="n">
        <v>0</v>
      </c>
      <c r="J60" s="59" t="n">
        <v>0</v>
      </c>
      <c r="K60" s="59" t="n">
        <v>0</v>
      </c>
      <c r="L60" s="59" t="n">
        <v>0</v>
      </c>
      <c r="M60" s="59" t="n">
        <v>0</v>
      </c>
    </row>
    <row r="61" customFormat="false" ht="15" hidden="false" customHeight="false" outlineLevel="0" collapsed="false">
      <c r="A61" s="54" t="s">
        <v>280</v>
      </c>
      <c r="B61" s="13" t="s">
        <v>258</v>
      </c>
      <c r="I61" s="59" t="n">
        <v>0</v>
      </c>
      <c r="J61" s="59" t="n">
        <v>0</v>
      </c>
      <c r="K61" s="59" t="n">
        <v>0</v>
      </c>
      <c r="L61" s="59" t="n">
        <v>0</v>
      </c>
      <c r="M61" s="59" t="n">
        <v>0</v>
      </c>
    </row>
    <row r="63" customFormat="false" ht="15" hidden="false" customHeight="false" outlineLevel="0" collapsed="false">
      <c r="A63" s="16"/>
      <c r="B63" s="17" t="s">
        <v>281</v>
      </c>
      <c r="C63" s="16"/>
      <c r="D63" s="16"/>
      <c r="E63" s="16"/>
      <c r="F63" s="16"/>
      <c r="G63" s="16"/>
      <c r="H63" s="16"/>
      <c r="I63" s="16"/>
      <c r="J63" s="16"/>
      <c r="K63" s="16"/>
      <c r="L63" s="16"/>
      <c r="M63" s="16"/>
      <c r="N63" s="16"/>
    </row>
    <row r="64" customFormat="false" ht="15" hidden="false" customHeight="false" outlineLevel="0" collapsed="false">
      <c r="B64" s="4" t="s">
        <v>195</v>
      </c>
    </row>
    <row r="65" customFormat="false" ht="15" hidden="false" customHeight="false" outlineLevel="0" collapsed="false">
      <c r="A65" s="54" t="s">
        <v>282</v>
      </c>
      <c r="B65" s="13" t="s">
        <v>197</v>
      </c>
      <c r="I65" s="59" t="n">
        <v>0.14</v>
      </c>
      <c r="J65" s="59" t="n">
        <v>0.14</v>
      </c>
      <c r="K65" s="59" t="n">
        <v>0.14</v>
      </c>
      <c r="L65" s="59" t="n">
        <v>0.14</v>
      </c>
      <c r="M65" s="59" t="n">
        <v>0.14</v>
      </c>
    </row>
    <row r="66" customFormat="false" ht="15" hidden="false" customHeight="false" outlineLevel="0" collapsed="false">
      <c r="A66" s="54" t="s">
        <v>283</v>
      </c>
      <c r="B66" s="13" t="s">
        <v>200</v>
      </c>
      <c r="I66" s="59" t="n">
        <v>0.12</v>
      </c>
      <c r="J66" s="59" t="n">
        <v>0.12</v>
      </c>
      <c r="K66" s="59" t="n">
        <v>0.12</v>
      </c>
      <c r="L66" s="59" t="n">
        <v>0.12</v>
      </c>
      <c r="M66" s="59" t="n">
        <v>0.12</v>
      </c>
    </row>
    <row r="67" customFormat="false" ht="15" hidden="false" customHeight="false" outlineLevel="0" collapsed="false">
      <c r="A67" s="54" t="s">
        <v>284</v>
      </c>
      <c r="B67" s="13" t="s">
        <v>203</v>
      </c>
      <c r="I67" s="59" t="n">
        <v>0.14</v>
      </c>
      <c r="J67" s="59" t="n">
        <v>0.14</v>
      </c>
      <c r="K67" s="59" t="n">
        <v>0.14</v>
      </c>
      <c r="L67" s="59" t="n">
        <v>0.14</v>
      </c>
      <c r="M67" s="59" t="n">
        <v>0.14</v>
      </c>
    </row>
    <row r="68" customFormat="false" ht="15" hidden="false" customHeight="false" outlineLevel="0" collapsed="false">
      <c r="A68" s="54" t="s">
        <v>285</v>
      </c>
      <c r="B68" s="13" t="s">
        <v>206</v>
      </c>
      <c r="I68" s="59" t="n">
        <v>-0.26</v>
      </c>
      <c r="J68" s="59" t="n">
        <v>-0.26</v>
      </c>
      <c r="K68" s="59" t="n">
        <v>-0.26</v>
      </c>
      <c r="L68" s="59" t="n">
        <v>-0.26</v>
      </c>
      <c r="M68" s="59" t="n">
        <v>-0.26</v>
      </c>
    </row>
    <row r="69" customFormat="false" ht="15" hidden="false" customHeight="false" outlineLevel="0" collapsed="false">
      <c r="B69" s="4" t="s">
        <v>208</v>
      </c>
    </row>
    <row r="70" customFormat="false" ht="15" hidden="false" customHeight="false" outlineLevel="0" collapsed="false">
      <c r="A70" s="54" t="s">
        <v>286</v>
      </c>
      <c r="B70" s="13" t="s">
        <v>210</v>
      </c>
      <c r="I70" s="59" t="n">
        <v>0.475</v>
      </c>
      <c r="J70" s="59" t="n">
        <v>0.475</v>
      </c>
      <c r="K70" s="59" t="n">
        <v>0.475</v>
      </c>
      <c r="L70" s="59" t="n">
        <v>0.475</v>
      </c>
      <c r="M70" s="59" t="n">
        <v>0.475</v>
      </c>
    </row>
    <row r="71" customFormat="false" ht="15" hidden="false" customHeight="false" outlineLevel="0" collapsed="false">
      <c r="A71" s="54" t="s">
        <v>287</v>
      </c>
      <c r="B71" s="13" t="s">
        <v>213</v>
      </c>
      <c r="I71" s="59" t="n">
        <v>0.281</v>
      </c>
      <c r="J71" s="59" t="n">
        <v>0.281</v>
      </c>
      <c r="K71" s="59" t="n">
        <v>0.281</v>
      </c>
      <c r="L71" s="59" t="n">
        <v>0.281</v>
      </c>
      <c r="M71" s="59" t="n">
        <v>0.281</v>
      </c>
    </row>
    <row r="72" customFormat="false" ht="15" hidden="false" customHeight="false" outlineLevel="0" collapsed="false">
      <c r="A72" s="54" t="s">
        <v>288</v>
      </c>
      <c r="B72" s="13" t="s">
        <v>216</v>
      </c>
      <c r="I72" s="59" t="n">
        <v>0.002</v>
      </c>
      <c r="J72" s="59" t="n">
        <v>0.002</v>
      </c>
      <c r="K72" s="59" t="n">
        <v>0.002</v>
      </c>
      <c r="L72" s="59" t="n">
        <v>0.002</v>
      </c>
      <c r="M72" s="59" t="n">
        <v>0.002</v>
      </c>
    </row>
    <row r="73" customFormat="false" ht="15" hidden="false" customHeight="false" outlineLevel="0" collapsed="false">
      <c r="B73" s="4" t="s">
        <v>218</v>
      </c>
    </row>
    <row r="74" customFormat="false" ht="15" hidden="false" customHeight="false" outlineLevel="0" collapsed="false">
      <c r="A74" s="54" t="s">
        <v>289</v>
      </c>
      <c r="B74" s="13" t="s">
        <v>220</v>
      </c>
      <c r="I74" s="59" t="n">
        <v>0.12</v>
      </c>
      <c r="J74" s="59" t="n">
        <v>0.12</v>
      </c>
      <c r="K74" s="59" t="n">
        <v>0.12</v>
      </c>
      <c r="L74" s="59" t="n">
        <v>0.12</v>
      </c>
      <c r="M74" s="59" t="n">
        <v>0.12</v>
      </c>
    </row>
    <row r="75" customFormat="false" ht="15" hidden="false" customHeight="false" outlineLevel="0" collapsed="false">
      <c r="A75" s="54" t="s">
        <v>290</v>
      </c>
      <c r="B75" s="13" t="s">
        <v>223</v>
      </c>
      <c r="I75" s="59" t="n">
        <v>0.0004</v>
      </c>
      <c r="J75" s="59" t="n">
        <v>0.0004</v>
      </c>
      <c r="K75" s="59" t="n">
        <v>0.0004</v>
      </c>
      <c r="L75" s="59" t="n">
        <v>0.0004</v>
      </c>
      <c r="M75" s="59" t="n">
        <v>0.0004</v>
      </c>
    </row>
    <row r="76" customFormat="false" ht="15" hidden="false" customHeight="false" outlineLevel="0" collapsed="false">
      <c r="A76" s="54" t="s">
        <v>291</v>
      </c>
      <c r="B76" s="13" t="s">
        <v>226</v>
      </c>
      <c r="I76" s="59" t="n">
        <v>0.0824</v>
      </c>
      <c r="J76" s="59" t="n">
        <v>0.0824</v>
      </c>
      <c r="K76" s="59" t="n">
        <v>0.0824</v>
      </c>
      <c r="L76" s="59" t="n">
        <v>0.0824</v>
      </c>
      <c r="M76" s="59" t="n">
        <v>0.0824</v>
      </c>
    </row>
    <row r="77" customFormat="false" ht="15" hidden="false" customHeight="false" outlineLevel="0" collapsed="false">
      <c r="A77" s="54" t="s">
        <v>292</v>
      </c>
      <c r="B77" s="13" t="s">
        <v>229</v>
      </c>
      <c r="I77" s="59" t="n">
        <v>1.3246</v>
      </c>
      <c r="J77" s="59" t="n">
        <v>1.3246</v>
      </c>
      <c r="K77" s="59" t="n">
        <v>1.3246</v>
      </c>
      <c r="L77" s="59" t="n">
        <v>1.3246</v>
      </c>
      <c r="M77" s="59" t="n">
        <v>1.3246</v>
      </c>
    </row>
    <row r="78" customFormat="false" ht="15" hidden="false" customHeight="false" outlineLevel="0" collapsed="false">
      <c r="B78" s="4" t="s">
        <v>231</v>
      </c>
    </row>
    <row r="79" customFormat="false" ht="15" hidden="false" customHeight="false" outlineLevel="0" collapsed="false">
      <c r="A79" s="54" t="s">
        <v>293</v>
      </c>
      <c r="B79" s="13" t="s">
        <v>233</v>
      </c>
      <c r="I79" s="60" t="n">
        <v>74</v>
      </c>
      <c r="J79" s="60" t="n">
        <v>74</v>
      </c>
      <c r="K79" s="60" t="n">
        <v>74</v>
      </c>
      <c r="L79" s="60" t="n">
        <v>74</v>
      </c>
      <c r="M79" s="60" t="n">
        <v>74</v>
      </c>
    </row>
    <row r="80" customFormat="false" ht="15" hidden="false" customHeight="false" outlineLevel="0" collapsed="false">
      <c r="A80" s="54" t="s">
        <v>294</v>
      </c>
      <c r="B80" s="13" t="s">
        <v>236</v>
      </c>
      <c r="I80" s="60" t="n">
        <v>19</v>
      </c>
      <c r="J80" s="60" t="n">
        <v>19</v>
      </c>
      <c r="K80" s="60" t="n">
        <v>19</v>
      </c>
      <c r="L80" s="60" t="n">
        <v>19</v>
      </c>
      <c r="M80" s="60" t="n">
        <v>19</v>
      </c>
    </row>
    <row r="81" customFormat="false" ht="15" hidden="false" customHeight="false" outlineLevel="0" collapsed="false">
      <c r="A81" s="54" t="s">
        <v>295</v>
      </c>
      <c r="B81" s="13" t="s">
        <v>239</v>
      </c>
      <c r="I81" s="60" t="n">
        <v>43</v>
      </c>
      <c r="J81" s="60" t="n">
        <v>43</v>
      </c>
      <c r="K81" s="60" t="n">
        <v>43</v>
      </c>
      <c r="L81" s="60" t="n">
        <v>43</v>
      </c>
      <c r="M81" s="60" t="n">
        <v>43</v>
      </c>
    </row>
    <row r="82" customFormat="false" ht="15" hidden="false" customHeight="false" outlineLevel="0" collapsed="false">
      <c r="B82" s="4" t="s">
        <v>241</v>
      </c>
    </row>
    <row r="83" customFormat="false" ht="15" hidden="false" customHeight="false" outlineLevel="0" collapsed="false">
      <c r="A83" s="54" t="s">
        <v>296</v>
      </c>
      <c r="B83" s="13" t="s">
        <v>243</v>
      </c>
      <c r="I83" s="59" t="n">
        <v>0.22</v>
      </c>
      <c r="J83" s="59" t="n">
        <v>0.22</v>
      </c>
      <c r="K83" s="59" t="n">
        <v>0.22</v>
      </c>
      <c r="L83" s="59" t="n">
        <v>0.22</v>
      </c>
      <c r="M83" s="59" t="n">
        <v>0.22</v>
      </c>
    </row>
    <row r="84" customFormat="false" ht="15" hidden="false" customHeight="false" outlineLevel="0" collapsed="false">
      <c r="A84" s="54" t="s">
        <v>297</v>
      </c>
      <c r="B84" s="13" t="s">
        <v>246</v>
      </c>
      <c r="I84" s="59" t="n">
        <v>0.099</v>
      </c>
      <c r="J84" s="59" t="n">
        <v>0.099</v>
      </c>
      <c r="K84" s="59" t="n">
        <v>0.099</v>
      </c>
      <c r="L84" s="59" t="n">
        <v>0.099</v>
      </c>
      <c r="M84" s="59" t="n">
        <v>0.099</v>
      </c>
    </row>
    <row r="85" customFormat="false" ht="15" hidden="false" customHeight="false" outlineLevel="0" collapsed="false">
      <c r="A85" s="54" t="s">
        <v>298</v>
      </c>
      <c r="B85" s="13" t="s">
        <v>249</v>
      </c>
      <c r="I85" s="59" t="n">
        <v>0.0978</v>
      </c>
      <c r="J85" s="59" t="n">
        <v>0.0978</v>
      </c>
      <c r="K85" s="59" t="n">
        <v>0.0978</v>
      </c>
      <c r="L85" s="59" t="n">
        <v>0.0978</v>
      </c>
      <c r="M85" s="59" t="n">
        <v>0.0978</v>
      </c>
    </row>
    <row r="86" customFormat="false" ht="15" hidden="false" customHeight="false" outlineLevel="0" collapsed="false">
      <c r="A86" s="54" t="s">
        <v>299</v>
      </c>
      <c r="B86" s="13" t="s">
        <v>252</v>
      </c>
      <c r="I86" s="61" t="n">
        <v>0</v>
      </c>
      <c r="J86" s="61" t="n">
        <v>0</v>
      </c>
      <c r="K86" s="61" t="n">
        <v>0</v>
      </c>
      <c r="L86" s="61" t="n">
        <v>0</v>
      </c>
      <c r="M86" s="61" t="n">
        <v>0</v>
      </c>
    </row>
    <row r="87" customFormat="false" ht="15" hidden="false" customHeight="false" outlineLevel="0" collapsed="false">
      <c r="A87" s="54" t="s">
        <v>300</v>
      </c>
      <c r="B87" s="13" t="s">
        <v>255</v>
      </c>
      <c r="I87" s="59" t="n">
        <v>0</v>
      </c>
      <c r="J87" s="59" t="n">
        <v>0</v>
      </c>
      <c r="K87" s="59" t="n">
        <v>0</v>
      </c>
      <c r="L87" s="59" t="n">
        <v>0</v>
      </c>
      <c r="M87" s="59" t="n">
        <v>0</v>
      </c>
    </row>
    <row r="88" customFormat="false" ht="15" hidden="false" customHeight="false" outlineLevel="0" collapsed="false">
      <c r="A88" s="54" t="s">
        <v>301</v>
      </c>
      <c r="B88" s="13" t="s">
        <v>258</v>
      </c>
      <c r="I88" s="59" t="n">
        <v>0</v>
      </c>
      <c r="J88" s="59" t="n">
        <v>0</v>
      </c>
      <c r="K88" s="59" t="n">
        <v>0</v>
      </c>
      <c r="L88" s="59" t="n">
        <v>0</v>
      </c>
      <c r="M88" s="59" t="n">
        <v>0</v>
      </c>
    </row>
    <row r="90" customFormat="false" ht="15" hidden="false" customHeight="false" outlineLevel="0" collapsed="false">
      <c r="A90" s="16"/>
      <c r="B90" s="17" t="s">
        <v>302</v>
      </c>
      <c r="C90" s="16"/>
      <c r="D90" s="16"/>
      <c r="E90" s="16"/>
      <c r="F90" s="16"/>
      <c r="G90" s="16"/>
      <c r="H90" s="16"/>
      <c r="I90" s="16"/>
      <c r="J90" s="16"/>
      <c r="K90" s="16"/>
      <c r="L90" s="16"/>
      <c r="M90" s="16"/>
      <c r="N90" s="16"/>
    </row>
    <row r="91" customFormat="false" ht="15" hidden="false" customHeight="false" outlineLevel="0" collapsed="false">
      <c r="B91" s="4" t="s">
        <v>195</v>
      </c>
    </row>
    <row r="92" customFormat="false" ht="15" hidden="false" customHeight="false" outlineLevel="0" collapsed="false">
      <c r="A92" s="54" t="s">
        <v>303</v>
      </c>
      <c r="B92" s="13" t="s">
        <v>197</v>
      </c>
      <c r="I92" s="59" t="n">
        <v>0.05</v>
      </c>
      <c r="J92" s="59" t="n">
        <v>0.05</v>
      </c>
      <c r="K92" s="59" t="n">
        <v>0.05</v>
      </c>
      <c r="L92" s="59" t="n">
        <v>0.05</v>
      </c>
      <c r="M92" s="59" t="n">
        <v>0.05</v>
      </c>
    </row>
    <row r="93" customFormat="false" ht="15" hidden="false" customHeight="false" outlineLevel="0" collapsed="false">
      <c r="A93" s="54" t="s">
        <v>304</v>
      </c>
      <c r="B93" s="13" t="s">
        <v>200</v>
      </c>
      <c r="I93" s="59" t="n">
        <v>0.04</v>
      </c>
      <c r="J93" s="59" t="n">
        <v>0.04</v>
      </c>
      <c r="K93" s="59" t="n">
        <v>0.04</v>
      </c>
      <c r="L93" s="59" t="n">
        <v>0.04</v>
      </c>
      <c r="M93" s="59" t="n">
        <v>0.04</v>
      </c>
    </row>
    <row r="94" customFormat="false" ht="15" hidden="false" customHeight="false" outlineLevel="0" collapsed="false">
      <c r="A94" s="54" t="s">
        <v>305</v>
      </c>
      <c r="B94" s="13" t="s">
        <v>203</v>
      </c>
      <c r="I94" s="59" t="n">
        <v>0.05</v>
      </c>
      <c r="J94" s="59" t="n">
        <v>0.05</v>
      </c>
      <c r="K94" s="59" t="n">
        <v>0.05</v>
      </c>
      <c r="L94" s="59" t="n">
        <v>0.05</v>
      </c>
      <c r="M94" s="59" t="n">
        <v>0.05</v>
      </c>
    </row>
    <row r="95" customFormat="false" ht="15" hidden="false" customHeight="false" outlineLevel="0" collapsed="false">
      <c r="A95" s="54" t="s">
        <v>306</v>
      </c>
      <c r="B95" s="13" t="s">
        <v>206</v>
      </c>
      <c r="I95" s="59" t="n">
        <v>-0.26</v>
      </c>
      <c r="J95" s="59" t="n">
        <v>-0.26</v>
      </c>
      <c r="K95" s="59" t="n">
        <v>-0.26</v>
      </c>
      <c r="L95" s="59" t="n">
        <v>-0.26</v>
      </c>
      <c r="M95" s="59" t="n">
        <v>-0.26</v>
      </c>
    </row>
    <row r="96" customFormat="false" ht="15" hidden="false" customHeight="false" outlineLevel="0" collapsed="false">
      <c r="B96" s="4" t="s">
        <v>208</v>
      </c>
    </row>
    <row r="97" customFormat="false" ht="15" hidden="false" customHeight="false" outlineLevel="0" collapsed="false">
      <c r="A97" s="54" t="s">
        <v>307</v>
      </c>
      <c r="B97" s="13" t="s">
        <v>210</v>
      </c>
      <c r="I97" s="59" t="n">
        <v>0.505</v>
      </c>
      <c r="J97" s="59" t="n">
        <v>0.505</v>
      </c>
      <c r="K97" s="59" t="n">
        <v>0.505</v>
      </c>
      <c r="L97" s="59" t="n">
        <v>0.505</v>
      </c>
      <c r="M97" s="59" t="n">
        <v>0.505</v>
      </c>
    </row>
    <row r="98" customFormat="false" ht="15" hidden="false" customHeight="false" outlineLevel="0" collapsed="false">
      <c r="A98" s="54" t="s">
        <v>308</v>
      </c>
      <c r="B98" s="13" t="s">
        <v>213</v>
      </c>
      <c r="I98" s="59" t="n">
        <v>0.331</v>
      </c>
      <c r="J98" s="59" t="n">
        <v>0.331</v>
      </c>
      <c r="K98" s="59" t="n">
        <v>0.331</v>
      </c>
      <c r="L98" s="59" t="n">
        <v>0.331</v>
      </c>
      <c r="M98" s="59" t="n">
        <v>0.331</v>
      </c>
    </row>
    <row r="99" customFormat="false" ht="15" hidden="false" customHeight="false" outlineLevel="0" collapsed="false">
      <c r="A99" s="54" t="s">
        <v>309</v>
      </c>
      <c r="B99" s="13" t="s">
        <v>216</v>
      </c>
      <c r="I99" s="59" t="n">
        <v>-0.005</v>
      </c>
      <c r="J99" s="59" t="n">
        <v>-0.005</v>
      </c>
      <c r="K99" s="59" t="n">
        <v>-0.005</v>
      </c>
      <c r="L99" s="59" t="n">
        <v>-0.005</v>
      </c>
      <c r="M99" s="59" t="n">
        <v>-0.005</v>
      </c>
    </row>
    <row r="100" customFormat="false" ht="15" hidden="false" customHeight="false" outlineLevel="0" collapsed="false">
      <c r="B100" s="4" t="s">
        <v>218</v>
      </c>
    </row>
    <row r="101" customFormat="false" ht="15" hidden="false" customHeight="false" outlineLevel="0" collapsed="false">
      <c r="A101" s="54" t="s">
        <v>310</v>
      </c>
      <c r="B101" s="13" t="s">
        <v>220</v>
      </c>
      <c r="I101" s="59" t="n">
        <v>0.2</v>
      </c>
      <c r="J101" s="59" t="n">
        <v>0.2</v>
      </c>
      <c r="K101" s="59" t="n">
        <v>0.2</v>
      </c>
      <c r="L101" s="59" t="n">
        <v>0.2</v>
      </c>
      <c r="M101" s="59" t="n">
        <v>0.2</v>
      </c>
    </row>
    <row r="102" customFormat="false" ht="15" hidden="false" customHeight="false" outlineLevel="0" collapsed="false">
      <c r="A102" s="54" t="s">
        <v>311</v>
      </c>
      <c r="B102" s="13" t="s">
        <v>223</v>
      </c>
      <c r="I102" s="59" t="n">
        <v>0.0004</v>
      </c>
      <c r="J102" s="59" t="n">
        <v>0.0004</v>
      </c>
      <c r="K102" s="59" t="n">
        <v>0.0004</v>
      </c>
      <c r="L102" s="59" t="n">
        <v>0.0004</v>
      </c>
      <c r="M102" s="59" t="n">
        <v>0.0004</v>
      </c>
    </row>
    <row r="103" customFormat="false" ht="15" hidden="false" customHeight="false" outlineLevel="0" collapsed="false">
      <c r="A103" s="54" t="s">
        <v>312</v>
      </c>
      <c r="B103" s="13" t="s">
        <v>226</v>
      </c>
      <c r="I103" s="59" t="n">
        <v>0.0824</v>
      </c>
      <c r="J103" s="59" t="n">
        <v>0.0824</v>
      </c>
      <c r="K103" s="59" t="n">
        <v>0.0824</v>
      </c>
      <c r="L103" s="59" t="n">
        <v>0.0824</v>
      </c>
      <c r="M103" s="59" t="n">
        <v>0.0824</v>
      </c>
    </row>
    <row r="104" customFormat="false" ht="15" hidden="false" customHeight="false" outlineLevel="0" collapsed="false">
      <c r="A104" s="54" t="s">
        <v>313</v>
      </c>
      <c r="B104" s="13" t="s">
        <v>229</v>
      </c>
      <c r="I104" s="59" t="n">
        <v>1.3246</v>
      </c>
      <c r="J104" s="59" t="n">
        <v>1.3246</v>
      </c>
      <c r="K104" s="59" t="n">
        <v>1.3246</v>
      </c>
      <c r="L104" s="59" t="n">
        <v>1.3246</v>
      </c>
      <c r="M104" s="59" t="n">
        <v>1.3246</v>
      </c>
    </row>
    <row r="105" customFormat="false" ht="15" hidden="false" customHeight="false" outlineLevel="0" collapsed="false">
      <c r="B105" s="4" t="s">
        <v>231</v>
      </c>
    </row>
    <row r="106" customFormat="false" ht="15" hidden="false" customHeight="false" outlineLevel="0" collapsed="false">
      <c r="A106" s="54" t="s">
        <v>314</v>
      </c>
      <c r="B106" s="13" t="s">
        <v>233</v>
      </c>
      <c r="I106" s="60" t="n">
        <v>89</v>
      </c>
      <c r="J106" s="60" t="n">
        <v>89</v>
      </c>
      <c r="K106" s="60" t="n">
        <v>89</v>
      </c>
      <c r="L106" s="60" t="n">
        <v>89</v>
      </c>
      <c r="M106" s="60" t="n">
        <v>89</v>
      </c>
    </row>
    <row r="107" customFormat="false" ht="15" hidden="false" customHeight="false" outlineLevel="0" collapsed="false">
      <c r="A107" s="54" t="s">
        <v>315</v>
      </c>
      <c r="B107" s="13" t="s">
        <v>236</v>
      </c>
      <c r="I107" s="60" t="n">
        <v>25</v>
      </c>
      <c r="J107" s="60" t="n">
        <v>25</v>
      </c>
      <c r="K107" s="60" t="n">
        <v>25</v>
      </c>
      <c r="L107" s="60" t="n">
        <v>25</v>
      </c>
      <c r="M107" s="60" t="n">
        <v>25</v>
      </c>
    </row>
    <row r="108" customFormat="false" ht="15" hidden="false" customHeight="false" outlineLevel="0" collapsed="false">
      <c r="A108" s="54" t="s">
        <v>316</v>
      </c>
      <c r="B108" s="13" t="s">
        <v>239</v>
      </c>
      <c r="I108" s="60" t="n">
        <v>18</v>
      </c>
      <c r="J108" s="60" t="n">
        <v>18</v>
      </c>
      <c r="K108" s="60" t="n">
        <v>18</v>
      </c>
      <c r="L108" s="60" t="n">
        <v>18</v>
      </c>
      <c r="M108" s="60" t="n">
        <v>18</v>
      </c>
    </row>
    <row r="109" customFormat="false" ht="15" hidden="false" customHeight="false" outlineLevel="0" collapsed="false">
      <c r="B109" s="4" t="s">
        <v>241</v>
      </c>
    </row>
    <row r="110" customFormat="false" ht="15" hidden="false" customHeight="false" outlineLevel="0" collapsed="false">
      <c r="A110" s="54" t="s">
        <v>317</v>
      </c>
      <c r="B110" s="13" t="s">
        <v>243</v>
      </c>
      <c r="I110" s="59" t="n">
        <v>0.3</v>
      </c>
      <c r="J110" s="59" t="n">
        <v>0.3</v>
      </c>
      <c r="K110" s="59" t="n">
        <v>0.3</v>
      </c>
      <c r="L110" s="59" t="n">
        <v>0.3</v>
      </c>
      <c r="M110" s="59" t="n">
        <v>0.3</v>
      </c>
    </row>
    <row r="111" customFormat="false" ht="15" hidden="false" customHeight="false" outlineLevel="0" collapsed="false">
      <c r="A111" s="54" t="s">
        <v>318</v>
      </c>
      <c r="B111" s="13" t="s">
        <v>246</v>
      </c>
      <c r="I111" s="59" t="n">
        <v>0.121</v>
      </c>
      <c r="J111" s="59" t="n">
        <v>0.121</v>
      </c>
      <c r="K111" s="59" t="n">
        <v>0.121</v>
      </c>
      <c r="L111" s="59" t="n">
        <v>0.121</v>
      </c>
      <c r="M111" s="59" t="n">
        <v>0.121</v>
      </c>
    </row>
    <row r="112" customFormat="false" ht="15" hidden="false" customHeight="false" outlineLevel="0" collapsed="false">
      <c r="A112" s="54" t="s">
        <v>319</v>
      </c>
      <c r="B112" s="13" t="s">
        <v>249</v>
      </c>
      <c r="I112" s="59" t="n">
        <v>0.0782</v>
      </c>
      <c r="J112" s="59" t="n">
        <v>0.0782</v>
      </c>
      <c r="K112" s="59" t="n">
        <v>0.0782</v>
      </c>
      <c r="L112" s="59" t="n">
        <v>0.0782</v>
      </c>
      <c r="M112" s="59" t="n">
        <v>0.0782</v>
      </c>
    </row>
    <row r="113" customFormat="false" ht="15" hidden="false" customHeight="false" outlineLevel="0" collapsed="false">
      <c r="A113" s="54" t="s">
        <v>320</v>
      </c>
      <c r="B113" s="13" t="s">
        <v>252</v>
      </c>
      <c r="I113" s="61" t="n">
        <v>0</v>
      </c>
      <c r="J113" s="61" t="n">
        <v>0</v>
      </c>
      <c r="K113" s="61" t="n">
        <v>0</v>
      </c>
      <c r="L113" s="61" t="n">
        <v>0</v>
      </c>
      <c r="M113" s="61" t="n">
        <v>0</v>
      </c>
    </row>
    <row r="114" customFormat="false" ht="15" hidden="false" customHeight="false" outlineLevel="0" collapsed="false">
      <c r="A114" s="54" t="s">
        <v>321</v>
      </c>
      <c r="B114" s="13" t="s">
        <v>255</v>
      </c>
      <c r="I114" s="59" t="n">
        <v>0</v>
      </c>
      <c r="J114" s="59" t="n">
        <v>0</v>
      </c>
      <c r="K114" s="59" t="n">
        <v>0</v>
      </c>
      <c r="L114" s="59" t="n">
        <v>0</v>
      </c>
      <c r="M114" s="59" t="n">
        <v>0</v>
      </c>
    </row>
    <row r="115" customFormat="false" ht="15" hidden="false" customHeight="false" outlineLevel="0" collapsed="false">
      <c r="A115" s="54" t="s">
        <v>322</v>
      </c>
      <c r="B115" s="13" t="s">
        <v>258</v>
      </c>
      <c r="I115" s="59" t="n">
        <v>0</v>
      </c>
      <c r="J115" s="59" t="n">
        <v>0</v>
      </c>
      <c r="K115" s="59" t="n">
        <v>0</v>
      </c>
      <c r="L115" s="59" t="n">
        <v>0</v>
      </c>
      <c r="M115" s="59" t="n">
        <v>0</v>
      </c>
    </row>
    <row r="117" customFormat="false" ht="15" hidden="false" customHeight="false" outlineLevel="0" collapsed="false">
      <c r="A117" s="16"/>
      <c r="B117" s="17" t="s">
        <v>323</v>
      </c>
      <c r="C117" s="16"/>
      <c r="D117" s="16"/>
      <c r="E117" s="16"/>
      <c r="F117" s="16"/>
      <c r="G117" s="16"/>
      <c r="H117" s="16"/>
      <c r="I117" s="16"/>
      <c r="J117" s="16"/>
      <c r="K117" s="16"/>
      <c r="L117" s="16"/>
      <c r="M117" s="16"/>
      <c r="N117" s="16"/>
    </row>
    <row r="118" customFormat="false" ht="15" hidden="false" customHeight="false" outlineLevel="0" collapsed="false">
      <c r="A118" s="54" t="s">
        <v>324</v>
      </c>
      <c r="B118" s="13" t="s">
        <v>325</v>
      </c>
      <c r="C118" s="62" t="n">
        <v>12238959990</v>
      </c>
      <c r="N118" s="15" t="s">
        <v>326</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327</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333</v>
      </c>
      <c r="C5" s="16"/>
      <c r="D5" s="16"/>
      <c r="E5" s="16"/>
      <c r="F5" s="16"/>
      <c r="G5" s="16"/>
      <c r="H5" s="16"/>
      <c r="I5" s="16"/>
      <c r="J5" s="16"/>
      <c r="K5" s="16"/>
      <c r="L5" s="16"/>
      <c r="M5" s="16"/>
      <c r="N5" s="16"/>
    </row>
    <row r="6" customFormat="false" ht="15" hidden="false" customHeight="false" outlineLevel="0" collapsed="false">
      <c r="A6" s="54" t="s">
        <v>334</v>
      </c>
      <c r="B6" s="13" t="s">
        <v>335</v>
      </c>
      <c r="C6" s="50" t="n">
        <f aca="false">Schedules!C6</f>
        <v>253936863405</v>
      </c>
      <c r="D6" s="50" t="n">
        <f aca="false">Schedules!D6</f>
        <v>417781280603</v>
      </c>
      <c r="E6" s="50" t="n">
        <f aca="false">Schedules!E6</f>
        <v>431771186720</v>
      </c>
      <c r="F6" s="50" t="n">
        <f aca="false">Schedules!F6</f>
        <v>754584000000</v>
      </c>
      <c r="G6" s="50" t="n">
        <f aca="false">Schedules!G6</f>
        <v>1164022000000</v>
      </c>
      <c r="H6" s="50" t="n">
        <f aca="false">Schedules!H6</f>
        <v>1291720000000</v>
      </c>
      <c r="I6" s="51" t="n">
        <f aca="false">H6*(1+Asumsi!I10)</f>
        <v>1420892000000</v>
      </c>
      <c r="J6" s="51" t="n">
        <f aca="false">I6*(1+Asumsi!J10)</f>
        <v>1562981200000</v>
      </c>
      <c r="K6" s="51" t="n">
        <f aca="false">J6*(1+Asumsi!K10)</f>
        <v>1719279320000</v>
      </c>
      <c r="L6" s="51" t="n">
        <f aca="false">K6*(1+Asumsi!L10)</f>
        <v>1891207252000</v>
      </c>
      <c r="M6" s="51" t="n">
        <f aca="false">L6*(1+Asumsi!M10)</f>
        <v>2080327977200</v>
      </c>
    </row>
    <row r="7" customFormat="false" ht="15" hidden="false" customHeight="false" outlineLevel="0" collapsed="false">
      <c r="A7" s="54" t="s">
        <v>336</v>
      </c>
      <c r="B7" s="13" t="s">
        <v>337</v>
      </c>
      <c r="C7" s="50" t="n">
        <f aca="false">Schedules!C7</f>
        <v>467640506965</v>
      </c>
      <c r="D7" s="50" t="n">
        <f aca="false">Schedules!D7</f>
        <v>753471843387</v>
      </c>
      <c r="E7" s="50" t="n">
        <f aca="false">Schedules!E7</f>
        <v>817003131432</v>
      </c>
      <c r="F7" s="50" t="n">
        <f aca="false">Schedules!F7</f>
        <v>1065433000000</v>
      </c>
      <c r="G7" s="50" t="n">
        <f aca="false">Schedules!G7</f>
        <v>1332597000000</v>
      </c>
      <c r="H7" s="50" t="n">
        <f aca="false">Schedules!H7</f>
        <v>1400293000000</v>
      </c>
      <c r="I7" s="51" t="n">
        <f aca="false">H7*(1+Asumsi!I11)</f>
        <v>1512316440000</v>
      </c>
      <c r="J7" s="51" t="n">
        <f aca="false">I7*(1+Asumsi!J11)</f>
        <v>1633301755200</v>
      </c>
      <c r="K7" s="51" t="n">
        <f aca="false">J7*(1+Asumsi!K11)</f>
        <v>1763965895616</v>
      </c>
      <c r="L7" s="51" t="n">
        <f aca="false">K7*(1+Asumsi!L11)</f>
        <v>1905083167265.28</v>
      </c>
      <c r="M7" s="51" t="n">
        <f aca="false">L7*(1+Asumsi!M11)</f>
        <v>2057489820646.5</v>
      </c>
    </row>
    <row r="8" customFormat="false" ht="15" hidden="false" customHeight="false" outlineLevel="0" collapsed="false">
      <c r="A8" s="54" t="s">
        <v>338</v>
      </c>
      <c r="B8" s="13" t="s">
        <v>339</v>
      </c>
      <c r="C8" s="50" t="n">
        <f aca="false">Schedules!C8</f>
        <v>596525411320</v>
      </c>
      <c r="D8" s="50" t="n">
        <f aca="false">Schedules!D8</f>
        <v>788732235692</v>
      </c>
      <c r="E8" s="50" t="n">
        <f aca="false">Schedules!E8</f>
        <v>704457503479</v>
      </c>
      <c r="F8" s="50" t="n">
        <f aca="false">Schedules!F8</f>
        <v>683157000000</v>
      </c>
      <c r="G8" s="50" t="n">
        <f aca="false">Schedules!G8</f>
        <v>651726000000</v>
      </c>
      <c r="H8" s="50" t="n">
        <f aca="false">Schedules!H8</f>
        <v>809565000000</v>
      </c>
      <c r="I8" s="51" t="n">
        <f aca="false">H8*(1+Asumsi!I12)</f>
        <v>890521500000</v>
      </c>
      <c r="J8" s="51" t="n">
        <f aca="false">I8*(1+Asumsi!J12)</f>
        <v>979573650000</v>
      </c>
      <c r="K8" s="51" t="n">
        <f aca="false">J8*(1+Asumsi!K12)</f>
        <v>1077531015000</v>
      </c>
      <c r="L8" s="51" t="n">
        <f aca="false">K8*(1+Asumsi!L12)</f>
        <v>1185284116500</v>
      </c>
      <c r="M8" s="51" t="n">
        <f aca="false">L8*(1+Asumsi!M12)</f>
        <v>1303812528150</v>
      </c>
    </row>
    <row r="9" customFormat="false" ht="15" hidden="false" customHeight="false" outlineLevel="0" collapsed="false">
      <c r="A9" s="54" t="s">
        <v>340</v>
      </c>
      <c r="B9" s="13" t="s">
        <v>341</v>
      </c>
      <c r="C9" s="50" t="n">
        <f aca="false">Schedules!C9</f>
        <v>-34304172516</v>
      </c>
      <c r="D9" s="50" t="n">
        <f aca="false">Schedules!D9</f>
        <v>-35532218704</v>
      </c>
      <c r="E9" s="50" t="n">
        <f aca="false">Schedules!E9</f>
        <v>-19068140667</v>
      </c>
      <c r="F9" s="50" t="n">
        <f aca="false">Schedules!F9</f>
        <v>0</v>
      </c>
      <c r="G9" s="50" t="n">
        <f aca="false">Schedules!G9</f>
        <v>-807914000000</v>
      </c>
      <c r="H9" s="50" t="n">
        <f aca="false">Schedules!H9</f>
        <v>-912138000000</v>
      </c>
      <c r="I9" s="51" t="n">
        <f aca="false">(I6+I7+I8)*Asumsi!I13</f>
        <v>-994169784400</v>
      </c>
      <c r="J9" s="51" t="n">
        <f aca="false">(J6+J7+J8)*Asumsi!J13</f>
        <v>-1085722717352</v>
      </c>
      <c r="K9" s="51" t="n">
        <f aca="false">(K6+K7+K8)*Asumsi!K13</f>
        <v>-1185801819960.16</v>
      </c>
      <c r="L9" s="51" t="n">
        <f aca="false">(L6+L7+L8)*Asumsi!L13</f>
        <v>-1295209379298.97</v>
      </c>
      <c r="M9" s="51" t="n">
        <f aca="false">(M6+M7+M8)*Asumsi!M13</f>
        <v>-1414823884759.09</v>
      </c>
    </row>
    <row r="10" customFormat="false" ht="15" hidden="false" customHeight="false" outlineLevel="0" collapsed="false">
      <c r="A10" s="63" t="s">
        <v>342</v>
      </c>
      <c r="B10" s="64" t="s">
        <v>136</v>
      </c>
      <c r="C10" s="65" t="n">
        <f aca="false">IS!C6</f>
        <v>1283798609174</v>
      </c>
      <c r="D10" s="65" t="n">
        <f aca="false">IS!D6</f>
        <v>1924453140978</v>
      </c>
      <c r="E10" s="65" t="n">
        <f aca="false">IS!E6</f>
        <v>1934163680964</v>
      </c>
      <c r="F10" s="65" t="n">
        <f aca="false">IS!F6</f>
        <v>2503174000000</v>
      </c>
      <c r="G10" s="65" t="n">
        <f aca="false">IS!G6</f>
        <v>2340431000000</v>
      </c>
      <c r="H10" s="65" t="n">
        <f aca="false">IS!H6</f>
        <v>2589440000000</v>
      </c>
      <c r="I10" s="66" t="n">
        <f aca="false">I6+I7+I8+I9</f>
        <v>2829560155600</v>
      </c>
      <c r="J10" s="66" t="n">
        <f aca="false">J6+J7+J8+J9</f>
        <v>3090133887848</v>
      </c>
      <c r="K10" s="66" t="n">
        <f aca="false">K6+K7+K8+K9</f>
        <v>3374974410655.84</v>
      </c>
      <c r="L10" s="66" t="n">
        <f aca="false">L6+L7+L8+L9</f>
        <v>3686365156466.31</v>
      </c>
      <c r="M10" s="66" t="n">
        <f aca="false">M6+M7+M8+M9</f>
        <v>4026806441237.41</v>
      </c>
    </row>
    <row r="11" customFormat="false" ht="15" hidden="false" customHeight="false" outlineLevel="0" collapsed="false">
      <c r="A11" s="54" t="s">
        <v>343</v>
      </c>
      <c r="B11" s="13" t="s">
        <v>344</v>
      </c>
      <c r="C11" s="59"/>
      <c r="D11" s="67" t="n">
        <f aca="false">D10/C10-1</f>
        <v>0.499030398713548</v>
      </c>
      <c r="E11" s="67" t="n">
        <f aca="false">E10/D10-1</f>
        <v>0.00504586980022026</v>
      </c>
      <c r="F11" s="67" t="n">
        <f aca="false">F10/E10-1</f>
        <v>0.294189330839054</v>
      </c>
      <c r="G11" s="67" t="n">
        <f aca="false">G10/F10-1</f>
        <v>-0.0650146573909765</v>
      </c>
      <c r="H11" s="67" t="n">
        <f aca="false">H10/G10-1</f>
        <v>0.1063945059692</v>
      </c>
      <c r="I11" s="68" t="n">
        <f aca="false">I10/H10-1</f>
        <v>0.0927305346329708</v>
      </c>
      <c r="J11" s="68" t="n">
        <f aca="false">J10/I10-1</f>
        <v>0.0920898365536766</v>
      </c>
      <c r="K11" s="68" t="n">
        <f aca="false">K10/J10-1</f>
        <v>0.092177404975228</v>
      </c>
      <c r="L11" s="68" t="n">
        <f aca="false">L10/K10-1</f>
        <v>0.092264624237538</v>
      </c>
      <c r="M11" s="68" t="n">
        <f aca="false">M10/L10-1</f>
        <v>0.092351481831346</v>
      </c>
    </row>
    <row r="12" customFormat="false" ht="15" hidden="false" customHeight="false" outlineLevel="0" collapsed="false">
      <c r="A12" s="16"/>
      <c r="B12" s="17" t="s">
        <v>345</v>
      </c>
      <c r="C12" s="16"/>
      <c r="D12" s="16"/>
      <c r="E12" s="16"/>
      <c r="F12" s="16"/>
      <c r="G12" s="16"/>
      <c r="H12" s="16"/>
      <c r="I12" s="16"/>
      <c r="J12" s="16"/>
      <c r="K12" s="16"/>
      <c r="L12" s="16"/>
      <c r="M12" s="16"/>
      <c r="N12" s="16"/>
    </row>
    <row r="13" customFormat="false" ht="15" hidden="false" customHeight="false" outlineLevel="0" collapsed="false">
      <c r="A13" s="54" t="s">
        <v>346</v>
      </c>
      <c r="B13" s="13" t="s">
        <v>347</v>
      </c>
      <c r="C13" s="50" t="n">
        <f aca="false">IS!C7+Schedules!C12+Schedules!C17</f>
        <v>-780678281447</v>
      </c>
      <c r="D13" s="50" t="n">
        <f aca="false">IS!D7+Schedules!D12+Schedules!D17</f>
        <v>-1108367805956</v>
      </c>
      <c r="E13" s="50" t="n">
        <f aca="false">IS!E7+Schedules!E12+Schedules!E17</f>
        <v>-1228080599500</v>
      </c>
      <c r="F13" s="50" t="n">
        <f aca="false">IS!F7+Schedules!F12+Schedules!F17</f>
        <v>-1591210000000</v>
      </c>
      <c r="G13" s="50" t="n">
        <f aca="false">IS!G7+Schedules!G12+Schedules!G17</f>
        <v>-1198346000000</v>
      </c>
      <c r="H13" s="50" t="n">
        <f aca="false">IS!H7+Schedules!H12+Schedules!H17</f>
        <v>-1268879000000</v>
      </c>
      <c r="I13" s="51" t="n">
        <f aca="false">-I10*Asumsi!I15</f>
        <v>-1386484476244</v>
      </c>
      <c r="J13" s="51" t="n">
        <f aca="false">-J10*Asumsi!J15</f>
        <v>-1514165605045.52</v>
      </c>
      <c r="K13" s="51" t="n">
        <f aca="false">-K10*Asumsi!K15</f>
        <v>-1653737461221.36</v>
      </c>
      <c r="L13" s="51" t="n">
        <f aca="false">-L10*Asumsi!L15</f>
        <v>-1806318926668.49</v>
      </c>
      <c r="M13" s="51" t="n">
        <f aca="false">-M10*Asumsi!M15</f>
        <v>-1973135156206.33</v>
      </c>
    </row>
    <row r="14" customFormat="false" ht="15" hidden="false" customHeight="false" outlineLevel="0" collapsed="false">
      <c r="A14" s="63" t="s">
        <v>348</v>
      </c>
      <c r="B14" s="64" t="s">
        <v>349</v>
      </c>
      <c r="C14" s="66" t="n">
        <f aca="false">C10+C13</f>
        <v>503120327727</v>
      </c>
      <c r="D14" s="66" t="n">
        <f aca="false">D10+D13</f>
        <v>816085335022</v>
      </c>
      <c r="E14" s="66" t="n">
        <f aca="false">E10+E13</f>
        <v>706083081464</v>
      </c>
      <c r="F14" s="66" t="n">
        <f aca="false">F10+F13</f>
        <v>911964000000</v>
      </c>
      <c r="G14" s="66" t="n">
        <f aca="false">G10+G13</f>
        <v>1142085000000</v>
      </c>
      <c r="H14" s="66" t="n">
        <f aca="false">H10+H13</f>
        <v>1320561000000</v>
      </c>
      <c r="I14" s="66" t="n">
        <f aca="false">I10+I13</f>
        <v>1443075679356</v>
      </c>
      <c r="J14" s="66" t="n">
        <f aca="false">J10+J13</f>
        <v>1575968282802.48</v>
      </c>
      <c r="K14" s="66" t="n">
        <f aca="false">K10+K13</f>
        <v>1721236949434.48</v>
      </c>
      <c r="L14" s="66" t="n">
        <f aca="false">L10+L13</f>
        <v>1880046229797.82</v>
      </c>
      <c r="M14" s="66" t="n">
        <f aca="false">M10+M13</f>
        <v>2053671285031.08</v>
      </c>
    </row>
    <row r="15" customFormat="false" ht="15" hidden="false" customHeight="false" outlineLevel="0" collapsed="false">
      <c r="A15" s="54" t="s">
        <v>350</v>
      </c>
      <c r="B15" s="13" t="s">
        <v>351</v>
      </c>
      <c r="C15" s="50" t="n">
        <f aca="false">IS!C11+Schedules!C13+Schedules!C16+Schedules!C18</f>
        <v>-354709454153</v>
      </c>
      <c r="D15" s="50" t="n">
        <f aca="false">IS!D11+Schedules!D13+Schedules!D16+Schedules!D18</f>
        <v>-408410258960</v>
      </c>
      <c r="E15" s="50" t="n">
        <f aca="false">IS!E11+Schedules!E13+Schedules!E16+Schedules!E18</f>
        <v>-441535401895</v>
      </c>
      <c r="F15" s="50" t="n">
        <f aca="false">IS!F11+Schedules!F13+Schedules!F16+Schedules!F18</f>
        <v>-516426000000</v>
      </c>
      <c r="G15" s="50" t="n">
        <f aca="false">IS!G11+Schedules!G13+Schedules!G16+Schedules!G18</f>
        <v>-632866000000</v>
      </c>
      <c r="H15" s="50" t="n">
        <f aca="false">IS!H11+Schedules!H13+Schedules!H16+Schedules!H18</f>
        <v>-856706000000</v>
      </c>
      <c r="I15" s="51" t="n">
        <f aca="false">-I10*Asumsi!I16</f>
        <v>-851697606835.6</v>
      </c>
      <c r="J15" s="51" t="n">
        <f aca="false">-J10*Asumsi!J16</f>
        <v>-930130300242.248</v>
      </c>
      <c r="K15" s="51" t="n">
        <f aca="false">-K10*Asumsi!K16</f>
        <v>-1015867297607.41</v>
      </c>
      <c r="L15" s="51" t="n">
        <f aca="false">-L10*Asumsi!L16</f>
        <v>-1109595912096.36</v>
      </c>
      <c r="M15" s="51" t="n">
        <f aca="false">-M10*Asumsi!M16</f>
        <v>-1212068738812.46</v>
      </c>
    </row>
    <row r="16" customFormat="false" ht="15" hidden="false" customHeight="false" outlineLevel="0" collapsed="false">
      <c r="A16" s="54" t="s">
        <v>352</v>
      </c>
      <c r="B16" s="13" t="s">
        <v>353</v>
      </c>
      <c r="C16" s="50" t="n">
        <f aca="false">IS!C13</f>
        <v>28429533228</v>
      </c>
      <c r="D16" s="50" t="n">
        <f aca="false">IS!D13</f>
        <v>24028154926</v>
      </c>
      <c r="E16" s="50" t="n">
        <f aca="false">IS!E13</f>
        <v>4159861446</v>
      </c>
      <c r="F16" s="50" t="n">
        <f aca="false">IS!F13</f>
        <v>7014000000</v>
      </c>
      <c r="G16" s="50" t="n">
        <f aca="false">IS!G13</f>
        <v>-24777000000</v>
      </c>
      <c r="H16" s="50" t="n">
        <f aca="false">IS!H13</f>
        <v>2883000000</v>
      </c>
      <c r="I16" s="51" t="n">
        <f aca="false">I10*Asumsi!I17</f>
        <v>0</v>
      </c>
      <c r="J16" s="51" t="n">
        <f aca="false">J10*Asumsi!J17</f>
        <v>0</v>
      </c>
      <c r="K16" s="51" t="n">
        <f aca="false">K10*Asumsi!K17</f>
        <v>0</v>
      </c>
      <c r="L16" s="51" t="n">
        <f aca="false">L10*Asumsi!L17</f>
        <v>0</v>
      </c>
      <c r="M16" s="51" t="n">
        <f aca="false">M10*Asumsi!M17</f>
        <v>0</v>
      </c>
    </row>
    <row r="17" customFormat="false" ht="15" hidden="false" customHeight="false" outlineLevel="0" collapsed="false">
      <c r="A17" s="63" t="s">
        <v>354</v>
      </c>
      <c r="B17" s="64" t="s">
        <v>106</v>
      </c>
      <c r="C17" s="66" t="n">
        <f aca="false">C14+C15+C16</f>
        <v>176840406802</v>
      </c>
      <c r="D17" s="66" t="n">
        <f aca="false">D14+D15+D16</f>
        <v>431703230988</v>
      </c>
      <c r="E17" s="66" t="n">
        <f aca="false">E14+E15+E16</f>
        <v>268707541015</v>
      </c>
      <c r="F17" s="66" t="n">
        <f aca="false">F14+F15+F16</f>
        <v>402552000000</v>
      </c>
      <c r="G17" s="66" t="n">
        <f aca="false">G14+G15+G16</f>
        <v>484442000000</v>
      </c>
      <c r="H17" s="66" t="n">
        <f aca="false">H14+H15+H16</f>
        <v>466738000000</v>
      </c>
      <c r="I17" s="66" t="n">
        <f aca="false">I14+I15+I16</f>
        <v>591378072520.4</v>
      </c>
      <c r="J17" s="66" t="n">
        <f aca="false">J14+J15+J16</f>
        <v>645837982560.232</v>
      </c>
      <c r="K17" s="66" t="n">
        <f aca="false">K14+K15+K16</f>
        <v>705369651827.071</v>
      </c>
      <c r="L17" s="66" t="n">
        <f aca="false">L14+L15+L16</f>
        <v>770450317701.459</v>
      </c>
      <c r="M17" s="66" t="n">
        <f aca="false">M14+M15+M16</f>
        <v>841602546218.62</v>
      </c>
      <c r="N17" s="15" t="s">
        <v>355</v>
      </c>
    </row>
    <row r="18" customFormat="false" ht="15" hidden="false" customHeight="false" outlineLevel="0" collapsed="false">
      <c r="A18" s="54" t="s">
        <v>356</v>
      </c>
      <c r="B18" s="13" t="s">
        <v>357</v>
      </c>
      <c r="C18" s="50" t="n">
        <f aca="false">-Schedules!C20</f>
        <v>-132557566789</v>
      </c>
      <c r="D18" s="50" t="n">
        <f aca="false">-Schedules!D20</f>
        <v>-181190606441</v>
      </c>
      <c r="E18" s="50" t="n">
        <f aca="false">-Schedules!E20</f>
        <v>-233533889845</v>
      </c>
      <c r="F18" s="50" t="n">
        <f aca="false">-Schedules!F20</f>
        <v>-289277000000</v>
      </c>
      <c r="G18" s="50" t="n">
        <f aca="false">-Schedules!G20</f>
        <v>-326702000000</v>
      </c>
      <c r="H18" s="50" t="n">
        <f aca="false">-Schedules!H20</f>
        <v>-381251000000</v>
      </c>
      <c r="I18" s="51" t="n">
        <f aca="false">-(Schedules_Proj!I9+Schedules_Proj!I13)</f>
        <v>-388483338000</v>
      </c>
      <c r="J18" s="51" t="n">
        <f aca="false">-(Schedules_Proj!J9+Schedules_Proj!J13)</f>
        <v>-394446832214.425</v>
      </c>
      <c r="K18" s="51" t="n">
        <f aca="false">-(Schedules_Proj!K9+Schedules_Proj!K13)</f>
        <v>-403148214346.381</v>
      </c>
      <c r="L18" s="51" t="n">
        <f aca="false">-(Schedules_Proj!L9+Schedules_Proj!L13)</f>
        <v>-414662619796.2</v>
      </c>
      <c r="M18" s="51" t="n">
        <f aca="false">-(Schedules_Proj!M9+Schedules_Proj!M13)</f>
        <v>-429087291294.154</v>
      </c>
    </row>
    <row r="19" customFormat="false" ht="15" hidden="false" customHeight="false" outlineLevel="0" collapsed="false">
      <c r="A19" s="63" t="s">
        <v>358</v>
      </c>
      <c r="B19" s="64" t="s">
        <v>359</v>
      </c>
      <c r="C19" s="66" t="n">
        <f aca="false">C17+C18</f>
        <v>44282840013</v>
      </c>
      <c r="D19" s="66" t="n">
        <f aca="false">D17+D18</f>
        <v>250512624547</v>
      </c>
      <c r="E19" s="66" t="n">
        <f aca="false">E17+E18</f>
        <v>35173651170</v>
      </c>
      <c r="F19" s="66" t="n">
        <f aca="false">F17+F18</f>
        <v>113275000000</v>
      </c>
      <c r="G19" s="66" t="n">
        <f aca="false">G17+G18</f>
        <v>157740000000</v>
      </c>
      <c r="H19" s="66" t="n">
        <f aca="false">H17+H18</f>
        <v>85487000000</v>
      </c>
      <c r="I19" s="66" t="n">
        <f aca="false">I17+I18</f>
        <v>202894734520.4</v>
      </c>
      <c r="J19" s="66" t="n">
        <f aca="false">J17+J18</f>
        <v>251391150345.807</v>
      </c>
      <c r="K19" s="66" t="n">
        <f aca="false">K17+K18</f>
        <v>302221437480.69</v>
      </c>
      <c r="L19" s="66" t="n">
        <f aca="false">L17+L18</f>
        <v>355787697905.258</v>
      </c>
      <c r="M19" s="66" t="n">
        <f aca="false">M17+M18</f>
        <v>412515254924.465</v>
      </c>
      <c r="N19" s="15" t="s">
        <v>360</v>
      </c>
    </row>
    <row r="20" customFormat="false" ht="15" hidden="false" customHeight="false" outlineLevel="0" collapsed="false">
      <c r="A20" s="54" t="s">
        <v>361</v>
      </c>
      <c r="B20" s="13" t="s">
        <v>362</v>
      </c>
      <c r="C20" s="50" t="n">
        <f aca="false">IS!C16</f>
        <v>26470099827</v>
      </c>
      <c r="D20" s="50" t="n">
        <f aca="false">IS!D16</f>
        <v>23940936423</v>
      </c>
      <c r="E20" s="50" t="n">
        <f aca="false">IS!E16</f>
        <v>19404583424</v>
      </c>
      <c r="F20" s="50" t="n">
        <f aca="false">IS!F16</f>
        <v>29119000000</v>
      </c>
      <c r="G20" s="50" t="n">
        <f aca="false">IS!G16</f>
        <v>13483000000</v>
      </c>
      <c r="H20" s="50" t="n">
        <f aca="false">IS!H16</f>
        <v>66897000000</v>
      </c>
      <c r="I20" s="51" t="n">
        <f aca="false">BS_Proj!H6*Asumsi!I30</f>
        <v>178608521400</v>
      </c>
      <c r="J20" s="51" t="n">
        <f aca="false">BS_Proj!I6*Asumsi!J30</f>
        <v>153612680611.703</v>
      </c>
      <c r="K20" s="51" t="n">
        <f aca="false">BS_Proj!J6*Asumsi!K30</f>
        <v>127394306851.897</v>
      </c>
      <c r="L20" s="51" t="n">
        <f aca="false">BS_Proj!K6*Asumsi!L30</f>
        <v>99768781278.0631</v>
      </c>
      <c r="M20" s="51" t="n">
        <f aca="false">BS_Proj!L6*Asumsi!M30</f>
        <v>70705908536.0815</v>
      </c>
      <c r="N20" s="15" t="s">
        <v>363</v>
      </c>
    </row>
    <row r="21" customFormat="false" ht="15" hidden="false" customHeight="false" outlineLevel="0" collapsed="false">
      <c r="A21" s="54" t="s">
        <v>364</v>
      </c>
      <c r="B21" s="13" t="s">
        <v>365</v>
      </c>
      <c r="C21" s="50" t="n">
        <f aca="false">IS!C15</f>
        <v>-70561549474</v>
      </c>
      <c r="D21" s="50" t="n">
        <f aca="false">IS!D15</f>
        <v>-118034051135</v>
      </c>
      <c r="E21" s="50" t="n">
        <f aca="false">IS!E15</f>
        <v>-96665120830</v>
      </c>
      <c r="F21" s="50" t="n">
        <f aca="false">IS!F15</f>
        <v>-173685000000</v>
      </c>
      <c r="G21" s="50" t="n">
        <f aca="false">IS!G15</f>
        <v>-173863000000</v>
      </c>
      <c r="H21" s="50" t="n">
        <f aca="false">IS!H15</f>
        <v>-387554000000</v>
      </c>
      <c r="I21" s="51" t="n">
        <f aca="false">-Schedules_Proj!I24*Asumsi!I29</f>
        <v>-515285650000</v>
      </c>
      <c r="J21" s="51" t="n">
        <f aca="false">-Schedules_Proj!J24*Asumsi!J29</f>
        <v>-515285650000</v>
      </c>
      <c r="K21" s="51" t="n">
        <f aca="false">-Schedules_Proj!K24*Asumsi!K29</f>
        <v>-515285650000</v>
      </c>
      <c r="L21" s="51" t="n">
        <f aca="false">-Schedules_Proj!L24*Asumsi!L29</f>
        <v>-515285650000</v>
      </c>
      <c r="M21" s="51" t="n">
        <f aca="false">-Schedules_Proj!M24*Asumsi!M29</f>
        <v>-515285650000</v>
      </c>
      <c r="N21" s="15" t="s">
        <v>366</v>
      </c>
    </row>
    <row r="22" customFormat="false" ht="15" hidden="false" customHeight="false" outlineLevel="0" collapsed="false">
      <c r="A22" s="63" t="s">
        <v>367</v>
      </c>
      <c r="B22" s="64" t="s">
        <v>368</v>
      </c>
      <c r="C22" s="66" t="n">
        <f aca="false">C19+C20+C21</f>
        <v>191390366</v>
      </c>
      <c r="D22" s="66" t="n">
        <f aca="false">D19+D20+D21</f>
        <v>156419509835</v>
      </c>
      <c r="E22" s="66" t="n">
        <f aca="false">E19+E20+E21</f>
        <v>-42086886236</v>
      </c>
      <c r="F22" s="66" t="n">
        <f aca="false">F19+F20+F21</f>
        <v>-31291000000</v>
      </c>
      <c r="G22" s="66" t="n">
        <f aca="false">G19+G20+G21</f>
        <v>-2640000000</v>
      </c>
      <c r="H22" s="66" t="n">
        <f aca="false">H19+H20+H21</f>
        <v>-235170000000</v>
      </c>
      <c r="I22" s="66" t="n">
        <f aca="false">I19+I20+I21</f>
        <v>-133782394079.6</v>
      </c>
      <c r="J22" s="66" t="n">
        <f aca="false">J19+J20+J21</f>
        <v>-110281819042.49</v>
      </c>
      <c r="K22" s="66" t="n">
        <f aca="false">K19+K20+K21</f>
        <v>-85669905667.4131</v>
      </c>
      <c r="L22" s="66" t="n">
        <f aca="false">L19+L20+L21</f>
        <v>-59729170816.6788</v>
      </c>
      <c r="M22" s="66" t="n">
        <f aca="false">M19+M20+M21</f>
        <v>-32064486539.4532</v>
      </c>
    </row>
    <row r="23" customFormat="false" ht="15" hidden="false" customHeight="false" outlineLevel="0" collapsed="false">
      <c r="A23" s="54" t="s">
        <v>369</v>
      </c>
      <c r="B23" s="13" t="s">
        <v>370</v>
      </c>
      <c r="C23" s="50" t="n">
        <f aca="false">IS!C18</f>
        <v>-14689448354</v>
      </c>
      <c r="D23" s="50" t="n">
        <f aca="false">IS!D18</f>
        <v>9184536739</v>
      </c>
      <c r="E23" s="50" t="n">
        <f aca="false">IS!E18</f>
        <v>-2100344487</v>
      </c>
      <c r="F23" s="50" t="n">
        <f aca="false">IS!F18</f>
        <v>-7022000000</v>
      </c>
      <c r="G23" s="50" t="n">
        <f aca="false">IS!G18</f>
        <v>-20704000000</v>
      </c>
      <c r="H23" s="50" t="n">
        <f aca="false">IS!H18</f>
        <v>36380000000</v>
      </c>
      <c r="I23" s="51" t="n">
        <f aca="false">-MAX(I22,0)*Asumsi!I28</f>
        <v>-0</v>
      </c>
      <c r="J23" s="51" t="n">
        <f aca="false">-MAX(J22,0)*Asumsi!J28</f>
        <v>-0</v>
      </c>
      <c r="K23" s="51" t="n">
        <f aca="false">-MAX(K22,0)*Asumsi!K28</f>
        <v>-0</v>
      </c>
      <c r="L23" s="51" t="n">
        <f aca="false">-MAX(L22,0)*Asumsi!L28</f>
        <v>-0</v>
      </c>
      <c r="M23" s="51" t="n">
        <f aca="false">-MAX(M22,0)*Asumsi!M28</f>
        <v>-0</v>
      </c>
    </row>
    <row r="24" customFormat="false" ht="15" hidden="false" customHeight="false" outlineLevel="0" collapsed="false">
      <c r="A24" s="63" t="s">
        <v>371</v>
      </c>
      <c r="B24" s="64" t="s">
        <v>140</v>
      </c>
      <c r="C24" s="66" t="n">
        <f aca="false">C22+C23</f>
        <v>-14498057988</v>
      </c>
      <c r="D24" s="66" t="n">
        <f aca="false">D22+D23</f>
        <v>165604046574</v>
      </c>
      <c r="E24" s="66" t="n">
        <f aca="false">E22+E23</f>
        <v>-44187230723</v>
      </c>
      <c r="F24" s="66" t="n">
        <f aca="false">F22+F23</f>
        <v>-38313000000</v>
      </c>
      <c r="G24" s="66" t="n">
        <f aca="false">G22+G23</f>
        <v>-23344000000</v>
      </c>
      <c r="H24" s="66" t="n">
        <f aca="false">H22+H23</f>
        <v>-198790000000</v>
      </c>
      <c r="I24" s="66" t="n">
        <f aca="false">I22+I23</f>
        <v>-133782394079.6</v>
      </c>
      <c r="J24" s="66" t="n">
        <f aca="false">J22+J23</f>
        <v>-110281819042.49</v>
      </c>
      <c r="K24" s="66" t="n">
        <f aca="false">K22+K23</f>
        <v>-85669905667.4131</v>
      </c>
      <c r="L24" s="66" t="n">
        <f aca="false">L22+L23</f>
        <v>-59729170816.6788</v>
      </c>
      <c r="M24" s="66" t="n">
        <f aca="false">M22+M23</f>
        <v>-32064486539.4532</v>
      </c>
    </row>
    <row r="25" customFormat="false" ht="15" hidden="false" customHeight="false" outlineLevel="0" collapsed="false">
      <c r="A25" s="54" t="s">
        <v>372</v>
      </c>
      <c r="B25" s="13" t="s">
        <v>373</v>
      </c>
      <c r="C25" s="50" t="n">
        <f aca="false">IS!C27</f>
        <v>-117430932</v>
      </c>
      <c r="D25" s="50" t="n">
        <f aca="false">IS!D27</f>
        <v>295807955</v>
      </c>
      <c r="E25" s="50" t="n">
        <f aca="false">IS!E27</f>
        <v>127718302</v>
      </c>
      <c r="F25" s="50" t="n">
        <f aca="false">IS!F27</f>
        <v>177000000</v>
      </c>
      <c r="G25" s="50" t="n">
        <f aca="false">IS!G27</f>
        <v>169000000</v>
      </c>
      <c r="H25" s="50" t="n">
        <f aca="false">IS!H27</f>
        <v>210000000</v>
      </c>
      <c r="I25" s="51" t="n">
        <f aca="false">I24*Asumsi!I33</f>
        <v>-0</v>
      </c>
      <c r="J25" s="51" t="n">
        <f aca="false">J24*Asumsi!J33</f>
        <v>-0</v>
      </c>
      <c r="K25" s="51" t="n">
        <f aca="false">K24*Asumsi!K33</f>
        <v>-0</v>
      </c>
      <c r="L25" s="51" t="n">
        <f aca="false">L24*Asumsi!L33</f>
        <v>-0</v>
      </c>
      <c r="M25" s="51" t="n">
        <f aca="false">M24*Asumsi!M33</f>
        <v>-0</v>
      </c>
    </row>
    <row r="26" customFormat="false" ht="15" hidden="false" customHeight="false" outlineLevel="0" collapsed="false">
      <c r="A26" s="63" t="s">
        <v>374</v>
      </c>
      <c r="B26" s="64" t="s">
        <v>375</v>
      </c>
      <c r="C26" s="66" t="n">
        <f aca="false">C24-C25</f>
        <v>-14380627056</v>
      </c>
      <c r="D26" s="66" t="n">
        <f aca="false">D24-D25</f>
        <v>165308238619</v>
      </c>
      <c r="E26" s="66" t="n">
        <f aca="false">E24-E25</f>
        <v>-44314949025</v>
      </c>
      <c r="F26" s="66" t="n">
        <f aca="false">F24-F25</f>
        <v>-38490000000</v>
      </c>
      <c r="G26" s="66" t="n">
        <f aca="false">G24-G25</f>
        <v>-23513000000</v>
      </c>
      <c r="H26" s="66" t="n">
        <f aca="false">H24-H25</f>
        <v>-199000000000</v>
      </c>
      <c r="I26" s="66" t="n">
        <f aca="false">I24-I25</f>
        <v>-133782394079.6</v>
      </c>
      <c r="J26" s="66" t="n">
        <f aca="false">J24-J25</f>
        <v>-110281819042.49</v>
      </c>
      <c r="K26" s="66" t="n">
        <f aca="false">K24-K25</f>
        <v>-85669905667.4131</v>
      </c>
      <c r="L26" s="66" t="n">
        <f aca="false">L24-L25</f>
        <v>-59729170816.6788</v>
      </c>
      <c r="M26" s="66" t="n">
        <f aca="false">M24-M25</f>
        <v>-32064486539.4532</v>
      </c>
    </row>
    <row r="27" customFormat="false" ht="15" hidden="false" customHeight="false" outlineLevel="0" collapsed="false">
      <c r="A27" s="54" t="s">
        <v>376</v>
      </c>
      <c r="B27" s="13" t="s">
        <v>377</v>
      </c>
      <c r="C27" s="69" t="n">
        <f aca="false">C26/Asumsi!$C$118</f>
        <v>-1.17498766788599</v>
      </c>
      <c r="D27" s="69" t="n">
        <f aca="false">D26/Asumsi!$C$118</f>
        <v>13.5067226916394</v>
      </c>
      <c r="E27" s="69" t="n">
        <f aca="false">E26/Asumsi!$C$118</f>
        <v>-3.62081002480669</v>
      </c>
      <c r="F27" s="69" t="n">
        <f aca="false">F26/Asumsi!$C$118</f>
        <v>-3.14487505731277</v>
      </c>
      <c r="G27" s="69" t="n">
        <f aca="false">G26/Asumsi!$C$118</f>
        <v>-1.92115996941011</v>
      </c>
      <c r="H27" s="69" t="n">
        <f aca="false">H26/Asumsi!$C$118</f>
        <v>-16.2595514784422</v>
      </c>
      <c r="I27" s="70" t="n">
        <f aca="false">I26/Asumsi!$C$118</f>
        <v>-10.930862931892</v>
      </c>
      <c r="J27" s="70" t="n">
        <f aca="false">J26/Asumsi!$C$118</f>
        <v>-9.0107181600885</v>
      </c>
      <c r="K27" s="70" t="n">
        <f aca="false">K26/Asumsi!$C$118</f>
        <v>-6.99977005704821</v>
      </c>
      <c r="L27" s="70" t="n">
        <f aca="false">L26/Asumsi!$C$118</f>
        <v>-4.88024888270583</v>
      </c>
      <c r="M27" s="70" t="n">
        <f aca="false">M26/Asumsi!$C$118</f>
        <v>-2.6198701985832</v>
      </c>
      <c r="N27" s="15" t="s">
        <v>378</v>
      </c>
    </row>
    <row r="28" customFormat="false" ht="15" hidden="false" customHeight="false" outlineLevel="0" collapsed="false">
      <c r="A28" s="16"/>
      <c r="B28" s="17" t="s">
        <v>379</v>
      </c>
      <c r="C28" s="16"/>
      <c r="D28" s="16"/>
      <c r="E28" s="16"/>
      <c r="F28" s="16"/>
      <c r="G28" s="16"/>
      <c r="H28" s="16"/>
      <c r="I28" s="16"/>
      <c r="J28" s="16"/>
      <c r="K28" s="16"/>
      <c r="L28" s="16"/>
      <c r="M28" s="16"/>
      <c r="N28" s="16"/>
    </row>
    <row r="29" customFormat="false" ht="15" hidden="false" customHeight="false" outlineLevel="0" collapsed="false">
      <c r="A29" s="54" t="s">
        <v>380</v>
      </c>
      <c r="B29" s="13" t="s">
        <v>381</v>
      </c>
      <c r="C29" s="67" t="n">
        <f aca="false">C14/C10</f>
        <v>0.391899729546139</v>
      </c>
      <c r="D29" s="67" t="n">
        <f aca="false">D14/D10</f>
        <v>0.424060902105036</v>
      </c>
      <c r="E29" s="67" t="n">
        <f aca="false">E14/E10</f>
        <v>0.365058597890786</v>
      </c>
      <c r="F29" s="67" t="n">
        <f aca="false">F14/F10</f>
        <v>0.364323055448802</v>
      </c>
      <c r="G29" s="67" t="n">
        <f aca="false">G14/G10</f>
        <v>0.487980632627067</v>
      </c>
      <c r="H29" s="67" t="n">
        <f aca="false">H14/H10</f>
        <v>0.509979377780524</v>
      </c>
      <c r="I29" s="68" t="n">
        <f aca="false">I14/I10</f>
        <v>0.51</v>
      </c>
      <c r="J29" s="68" t="n">
        <f aca="false">J14/J10</f>
        <v>0.51</v>
      </c>
      <c r="K29" s="68" t="n">
        <f aca="false">K14/K10</f>
        <v>0.51</v>
      </c>
      <c r="L29" s="68" t="n">
        <f aca="false">L14/L10</f>
        <v>0.51</v>
      </c>
      <c r="M29" s="68" t="n">
        <f aca="false">M14/M10</f>
        <v>0.51</v>
      </c>
    </row>
    <row r="30" customFormat="false" ht="15" hidden="false" customHeight="false" outlineLevel="0" collapsed="false">
      <c r="A30" s="54" t="s">
        <v>382</v>
      </c>
      <c r="B30" s="13" t="s">
        <v>179</v>
      </c>
      <c r="C30" s="67" t="n">
        <f aca="false">C17/C10</f>
        <v>0.137747778770207</v>
      </c>
      <c r="D30" s="67" t="n">
        <f aca="false">D17/D10</f>
        <v>0.224325145567644</v>
      </c>
      <c r="E30" s="67" t="n">
        <f aca="false">E17/E10</f>
        <v>0.1389269913708</v>
      </c>
      <c r="F30" s="67" t="n">
        <f aca="false">F17/F10</f>
        <v>0.160816627210094</v>
      </c>
      <c r="G30" s="67" t="n">
        <f aca="false">G17/G10</f>
        <v>0.206988370945352</v>
      </c>
      <c r="H30" s="67" t="n">
        <f aca="false">H17/H10</f>
        <v>0.180246694265942</v>
      </c>
      <c r="I30" s="68" t="n">
        <f aca="false">I17/I10</f>
        <v>0.209</v>
      </c>
      <c r="J30" s="68" t="n">
        <f aca="false">J17/J10</f>
        <v>0.209</v>
      </c>
      <c r="K30" s="68" t="n">
        <f aca="false">K17/K10</f>
        <v>0.209</v>
      </c>
      <c r="L30" s="68" t="n">
        <f aca="false">L17/L10</f>
        <v>0.209</v>
      </c>
      <c r="M30" s="68" t="n">
        <f aca="false">M17/M10</f>
        <v>0.209</v>
      </c>
    </row>
    <row r="31" customFormat="false" ht="15" hidden="false" customHeight="false" outlineLevel="0" collapsed="false">
      <c r="A31" s="54" t="s">
        <v>383</v>
      </c>
      <c r="B31" s="13" t="s">
        <v>384</v>
      </c>
      <c r="C31" s="67" t="n">
        <f aca="false">C19/C10</f>
        <v>0.0344936033553516</v>
      </c>
      <c r="D31" s="67" t="n">
        <f aca="false">D19/D10</f>
        <v>0.130173408337545</v>
      </c>
      <c r="E31" s="67" t="n">
        <f aca="false">E19/E10</f>
        <v>0.0181854573716684</v>
      </c>
      <c r="F31" s="67" t="n">
        <f aca="false">F19/F10</f>
        <v>0.0452525473658643</v>
      </c>
      <c r="G31" s="67" t="n">
        <f aca="false">G19/G10</f>
        <v>0.0673978425341315</v>
      </c>
      <c r="H31" s="67" t="n">
        <f aca="false">H19/H10</f>
        <v>0.0330137018042511</v>
      </c>
      <c r="I31" s="68" t="n">
        <f aca="false">I19/I10</f>
        <v>0.071705397080479</v>
      </c>
      <c r="J31" s="68" t="n">
        <f aca="false">J19/J10</f>
        <v>0.0813528343656587</v>
      </c>
      <c r="K31" s="68" t="n">
        <f aca="false">K19/K10</f>
        <v>0.0895477715405732</v>
      </c>
      <c r="L31" s="68" t="n">
        <f aca="false">L19/L10</f>
        <v>0.0965145021732765</v>
      </c>
      <c r="M31" s="68" t="n">
        <f aca="false">M19/M10</f>
        <v>0.102442285454799</v>
      </c>
    </row>
    <row r="32" customFormat="false" ht="15" hidden="false" customHeight="false" outlineLevel="0" collapsed="false">
      <c r="A32" s="54" t="s">
        <v>385</v>
      </c>
      <c r="B32" s="13" t="s">
        <v>386</v>
      </c>
      <c r="C32" s="67" t="n">
        <f aca="false">C24/C10</f>
        <v>-0.0112930937020785</v>
      </c>
      <c r="D32" s="67" t="n">
        <f aca="false">D24/D10</f>
        <v>0.0860525221673315</v>
      </c>
      <c r="E32" s="67" t="n">
        <f aca="false">E24/E10</f>
        <v>-0.0228456521843988</v>
      </c>
      <c r="F32" s="67" t="n">
        <f aca="false">F24/F10</f>
        <v>-0.0153057677972047</v>
      </c>
      <c r="G32" s="67" t="n">
        <f aca="false">G24/G10</f>
        <v>-0.00997423124202337</v>
      </c>
      <c r="H32" s="67" t="n">
        <f aca="false">H24/H10</f>
        <v>-0.0767694945625309</v>
      </c>
      <c r="I32" s="68" t="n">
        <f aca="false">I24/I10</f>
        <v>-0.0472802791680645</v>
      </c>
      <c r="J32" s="68" t="n">
        <f aca="false">J24/J10</f>
        <v>-0.0356883627198726</v>
      </c>
      <c r="K32" s="68" t="n">
        <f aca="false">K24/K10</f>
        <v>-0.0253838682145046</v>
      </c>
      <c r="L32" s="68" t="n">
        <f aca="false">L24/L10</f>
        <v>-0.0162027276955749</v>
      </c>
      <c r="M32" s="68" t="n">
        <f aca="false">M24/M10</f>
        <v>-0.00796275833153777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387</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388</v>
      </c>
      <c r="C5" s="16"/>
      <c r="D5" s="16"/>
      <c r="E5" s="16"/>
      <c r="F5" s="16"/>
      <c r="G5" s="16"/>
      <c r="H5" s="16"/>
      <c r="I5" s="16"/>
      <c r="J5" s="16"/>
      <c r="K5" s="16"/>
      <c r="L5" s="16"/>
      <c r="M5" s="16"/>
      <c r="N5" s="16"/>
    </row>
    <row r="6" customFormat="false" ht="15" hidden="false" customHeight="false" outlineLevel="0" collapsed="false">
      <c r="A6" s="54" t="s">
        <v>389</v>
      </c>
      <c r="B6" s="13" t="s">
        <v>390</v>
      </c>
      <c r="C6" s="50" t="n">
        <f aca="false">BS!C6</f>
        <v>629608688874</v>
      </c>
      <c r="D6" s="50" t="n">
        <f aca="false">BS!D6</f>
        <v>700922359619</v>
      </c>
      <c r="E6" s="50" t="n">
        <f aca="false">BS!E6</f>
        <v>1118254250664</v>
      </c>
      <c r="F6" s="50" t="n">
        <f aca="false">BS!F6</f>
        <v>515185000000</v>
      </c>
      <c r="G6" s="50" t="n">
        <f aca="false">BS!G6</f>
        <v>277208000000</v>
      </c>
      <c r="H6" s="50" t="n">
        <f aca="false">BS!H6</f>
        <v>1826263000000</v>
      </c>
      <c r="I6" s="51" t="n">
        <f aca="false">CF_Proj!I25</f>
        <v>1570681805845.63</v>
      </c>
      <c r="J6" s="51" t="n">
        <f aca="false">CF_Proj!J25</f>
        <v>1302600274559.27</v>
      </c>
      <c r="K6" s="51" t="n">
        <f aca="false">CF_Proj!K25</f>
        <v>1020130687914.76</v>
      </c>
      <c r="L6" s="51" t="n">
        <f aca="false">CF_Proj!L25</f>
        <v>722964299959.933</v>
      </c>
      <c r="M6" s="51" t="n">
        <f aca="false">CF_Proj!M25</f>
        <v>410865239896.464</v>
      </c>
      <c r="N6" s="15" t="s">
        <v>391</v>
      </c>
    </row>
    <row r="7" customFormat="false" ht="15" hidden="false" customHeight="false" outlineLevel="0" collapsed="false">
      <c r="A7" s="54" t="s">
        <v>392</v>
      </c>
      <c r="B7" s="13" t="s">
        <v>393</v>
      </c>
      <c r="C7" s="50" t="n">
        <f aca="false">(BS!C8+BS!C9)</f>
        <v>225422821680</v>
      </c>
      <c r="D7" s="50" t="n">
        <f aca="false">(BS!D8+BS!D9)</f>
        <v>233901361278</v>
      </c>
      <c r="E7" s="50" t="n">
        <f aca="false">(BS!E8+BS!E9)</f>
        <v>242981358318</v>
      </c>
      <c r="F7" s="50" t="n">
        <f aca="false">(BS!F8+BS!F9)</f>
        <v>395321000000</v>
      </c>
      <c r="G7" s="50" t="n">
        <f aca="false">(BS!G8+BS!G9)</f>
        <v>424298000000</v>
      </c>
      <c r="H7" s="50" t="n">
        <f aca="false">(BS!H8+BS!H9)</f>
        <v>557933000000</v>
      </c>
      <c r="I7" s="51" t="n">
        <f aca="false">Schedules_Proj!I26</f>
        <v>612425348746.301</v>
      </c>
      <c r="J7" s="51" t="n">
        <f aca="false">Schedules_Proj!J26</f>
        <v>668823499013.677</v>
      </c>
      <c r="K7" s="51" t="n">
        <f aca="false">Schedules_Proj!K26</f>
        <v>730473913539.21</v>
      </c>
      <c r="L7" s="51" t="n">
        <f aca="false">Schedules_Proj!L26</f>
        <v>797870814687.228</v>
      </c>
      <c r="M7" s="51" t="n">
        <f aca="false">Schedules_Proj!M26</f>
        <v>871555366733.577</v>
      </c>
    </row>
    <row r="8" customFormat="false" ht="15" hidden="false" customHeight="false" outlineLevel="0" collapsed="false">
      <c r="A8" s="54" t="s">
        <v>394</v>
      </c>
      <c r="B8" s="13" t="s">
        <v>395</v>
      </c>
      <c r="C8" s="50" t="n">
        <f aca="false">BS!C12</f>
        <v>74691220678</v>
      </c>
      <c r="D8" s="50" t="n">
        <f aca="false">BS!D12</f>
        <v>70409082280</v>
      </c>
      <c r="E8" s="50" t="n">
        <f aca="false">BS!E12</f>
        <v>49621868590</v>
      </c>
      <c r="F8" s="50" t="n">
        <f aca="false">BS!F12</f>
        <v>48940000000</v>
      </c>
      <c r="G8" s="50" t="n">
        <f aca="false">BS!G12</f>
        <v>61316000000</v>
      </c>
      <c r="H8" s="50" t="n">
        <f aca="false">BS!H12</f>
        <v>73323000000</v>
      </c>
      <c r="I8" s="51" t="n">
        <f aca="false">Schedules_Proj!I27</f>
        <v>79770339729.1068</v>
      </c>
      <c r="J8" s="51" t="n">
        <f aca="false">Schedules_Proj!J27</f>
        <v>87116377276.5916</v>
      </c>
      <c r="K8" s="51" t="n">
        <f aca="false">Schedules_Proj!K27</f>
        <v>95146538864.7907</v>
      </c>
      <c r="L8" s="51" t="n">
        <f aca="false">Schedules_Proj!L27</f>
        <v>103925198520.653</v>
      </c>
      <c r="M8" s="51" t="n">
        <f aca="false">Schedules_Proj!M27</f>
        <v>113522844603.652</v>
      </c>
    </row>
    <row r="9" customFormat="false" ht="15" hidden="false" customHeight="false" outlineLevel="0" collapsed="false">
      <c r="A9" s="54" t="s">
        <v>396</v>
      </c>
      <c r="B9" s="13" t="s">
        <v>397</v>
      </c>
      <c r="C9" s="50" t="n">
        <f aca="false">BS!C16-BS!C6-BS!C8-BS!C9-BS!C12</f>
        <v>10112775510</v>
      </c>
      <c r="D9" s="50" t="n">
        <f aca="false">BS!D16-BS!D6-BS!D8-BS!D9-BS!D12</f>
        <v>16221734195</v>
      </c>
      <c r="E9" s="50" t="n">
        <f aca="false">BS!E16-BS!E6-BS!E8-BS!E9-BS!E12</f>
        <v>34756121020</v>
      </c>
      <c r="F9" s="50" t="n">
        <f aca="false">BS!F16-BS!F6-BS!F8-BS!F9-BS!F12</f>
        <v>38803000000</v>
      </c>
      <c r="G9" s="50" t="n">
        <f aca="false">BS!G16-BS!G6-BS!G8-BS!G9-BS!G12</f>
        <v>69980000000</v>
      </c>
      <c r="H9" s="50" t="n">
        <f aca="false">BS!H16-BS!H6-BS!H8-BS!H9-BS!H12</f>
        <v>70398000000</v>
      </c>
      <c r="I9" s="71" t="n">
        <f aca="false">H9</f>
        <v>70398000000</v>
      </c>
      <c r="J9" s="71" t="n">
        <f aca="false">I9</f>
        <v>70398000000</v>
      </c>
      <c r="K9" s="71" t="n">
        <f aca="false">J9</f>
        <v>70398000000</v>
      </c>
      <c r="L9" s="71" t="n">
        <f aca="false">K9</f>
        <v>70398000000</v>
      </c>
      <c r="M9" s="71" t="n">
        <f aca="false">L9</f>
        <v>70398000000</v>
      </c>
      <c r="N9" s="15" t="s">
        <v>398</v>
      </c>
    </row>
    <row r="10" customFormat="false" ht="15" hidden="false" customHeight="false" outlineLevel="0" collapsed="false">
      <c r="A10" s="63" t="s">
        <v>399</v>
      </c>
      <c r="B10" s="64" t="s">
        <v>400</v>
      </c>
      <c r="C10" s="66" t="n">
        <f aca="false">C6+C7+C8+C9</f>
        <v>939835506742</v>
      </c>
      <c r="D10" s="66" t="n">
        <f aca="false">D6+D7+D8+D9</f>
        <v>1021454537372</v>
      </c>
      <c r="E10" s="66" t="n">
        <f aca="false">E6+E7+E8+E9</f>
        <v>1445613598592</v>
      </c>
      <c r="F10" s="66" t="n">
        <f aca="false">F6+F7+F8+F9</f>
        <v>998249000000</v>
      </c>
      <c r="G10" s="66" t="n">
        <f aca="false">G6+G7+G8+G9</f>
        <v>832802000000</v>
      </c>
      <c r="H10" s="66" t="n">
        <f aca="false">H6+H7+H8+H9</f>
        <v>2527917000000</v>
      </c>
      <c r="I10" s="66" t="n">
        <f aca="false">I6+I7+I8+I9</f>
        <v>2333275494321.04</v>
      </c>
      <c r="J10" s="66" t="n">
        <f aca="false">J6+J7+J8+J9</f>
        <v>2128938150849.54</v>
      </c>
      <c r="K10" s="66" t="n">
        <f aca="false">K6+K7+K8+K9</f>
        <v>1916149140318.76</v>
      </c>
      <c r="L10" s="66" t="n">
        <f aca="false">L6+L7+L8+L9</f>
        <v>1695158313167.81</v>
      </c>
      <c r="M10" s="66" t="n">
        <f aca="false">M6+M7+M8+M9</f>
        <v>1466341451233.69</v>
      </c>
    </row>
    <row r="11" customFormat="false" ht="15" hidden="false" customHeight="false" outlineLevel="0" collapsed="false">
      <c r="A11" s="54" t="s">
        <v>401</v>
      </c>
      <c r="B11" s="13" t="s">
        <v>402</v>
      </c>
      <c r="C11" s="50" t="n">
        <f aca="false">BS!C19</f>
        <v>2641613456689</v>
      </c>
      <c r="D11" s="50" t="n">
        <f aca="false">BS!D19</f>
        <v>3169775593830</v>
      </c>
      <c r="E11" s="50" t="n">
        <f aca="false">BS!E19</f>
        <v>3607142163990</v>
      </c>
      <c r="F11" s="50" t="n">
        <f aca="false">BS!F19</f>
        <v>3952312000000</v>
      </c>
      <c r="G11" s="50" t="n">
        <f aca="false">BS!G19</f>
        <v>4164140000000</v>
      </c>
      <c r="H11" s="50" t="n">
        <f aca="false">BS!H19</f>
        <v>4286327000000</v>
      </c>
      <c r="I11" s="51" t="n">
        <f aca="false">Schedules_Proj!I10</f>
        <v>4358699502602.24</v>
      </c>
      <c r="J11" s="51" t="n">
        <f aca="false">Schedules_Proj!J10</f>
        <v>4464298800320.16</v>
      </c>
      <c r="K11" s="51" t="n">
        <f aca="false">Schedules_Proj!K10</f>
        <v>4604036730536.41</v>
      </c>
      <c r="L11" s="51" t="n">
        <f aca="false">Schedules_Proj!L10</f>
        <v>4779093423472.75</v>
      </c>
      <c r="M11" s="51" t="n">
        <f aca="false">Schedules_Proj!M10</f>
        <v>4990927814140.7</v>
      </c>
    </row>
    <row r="12" customFormat="false" ht="15" hidden="false" customHeight="false" outlineLevel="0" collapsed="false">
      <c r="A12" s="54" t="s">
        <v>403</v>
      </c>
      <c r="B12" s="13" t="s">
        <v>404</v>
      </c>
      <c r="C12" s="50" t="n">
        <f aca="false">BS!C22</f>
        <v>10032147719</v>
      </c>
      <c r="D12" s="50" t="n">
        <f aca="false">BS!D22</f>
        <v>18016628295</v>
      </c>
      <c r="E12" s="50" t="n">
        <f aca="false">BS!E22</f>
        <v>12824038513</v>
      </c>
      <c r="F12" s="50" t="n">
        <f aca="false">BS!F22</f>
        <v>11773000000</v>
      </c>
      <c r="G12" s="50" t="n">
        <f aca="false">BS!G22</f>
        <v>11616000000</v>
      </c>
      <c r="H12" s="50" t="n">
        <f aca="false">BS!H22</f>
        <v>26642000000</v>
      </c>
      <c r="I12" s="51" t="n">
        <f aca="false">Schedules_Proj!I15</f>
        <v>26642000000</v>
      </c>
      <c r="J12" s="51" t="n">
        <f aca="false">Schedules_Proj!J15</f>
        <v>26642000000</v>
      </c>
      <c r="K12" s="51" t="n">
        <f aca="false">Schedules_Proj!K15</f>
        <v>26642000000</v>
      </c>
      <c r="L12" s="51" t="n">
        <f aca="false">Schedules_Proj!L15</f>
        <v>26642000000</v>
      </c>
      <c r="M12" s="51" t="n">
        <f aca="false">Schedules_Proj!M15</f>
        <v>26642000000</v>
      </c>
    </row>
    <row r="13" customFormat="false" ht="15" hidden="false" customHeight="false" outlineLevel="0" collapsed="false">
      <c r="A13" s="54" t="s">
        <v>405</v>
      </c>
      <c r="B13" s="13" t="s">
        <v>406</v>
      </c>
      <c r="C13" s="50" t="n">
        <f aca="false">BS!C26-BS!C19-BS!C22</f>
        <v>754847976856</v>
      </c>
      <c r="D13" s="50" t="n">
        <f aca="false">BS!D26-BS!D19-BS!D22</f>
        <v>662559848864</v>
      </c>
      <c r="E13" s="50" t="n">
        <f aca="false">BS!E26-BS!E19-BS!E22</f>
        <v>684019446657</v>
      </c>
      <c r="F13" s="50" t="n">
        <f aca="false">BS!F26-BS!F19-BS!F22</f>
        <v>643957000000</v>
      </c>
      <c r="G13" s="50" t="n">
        <f aca="false">BS!G26-BS!G19-BS!G22</f>
        <v>674464000000</v>
      </c>
      <c r="H13" s="50" t="n">
        <f aca="false">BS!H26-BS!H19-BS!H22</f>
        <v>783024000000</v>
      </c>
      <c r="I13" s="71" t="n">
        <f aca="false">H13</f>
        <v>783024000000</v>
      </c>
      <c r="J13" s="71" t="n">
        <f aca="false">I13</f>
        <v>783024000000</v>
      </c>
      <c r="K13" s="71" t="n">
        <f aca="false">J13</f>
        <v>783024000000</v>
      </c>
      <c r="L13" s="71" t="n">
        <f aca="false">K13</f>
        <v>783024000000</v>
      </c>
      <c r="M13" s="71" t="n">
        <f aca="false">L13</f>
        <v>783024000000</v>
      </c>
      <c r="N13" s="15" t="s">
        <v>398</v>
      </c>
    </row>
    <row r="14" customFormat="false" ht="15" hidden="false" customHeight="false" outlineLevel="0" collapsed="false">
      <c r="A14" s="63" t="s">
        <v>407</v>
      </c>
      <c r="B14" s="64" t="s">
        <v>408</v>
      </c>
      <c r="C14" s="66" t="n">
        <f aca="false">C11+C12+C13</f>
        <v>3406493581264</v>
      </c>
      <c r="D14" s="66" t="n">
        <f aca="false">D11+D12+D13</f>
        <v>3850352070989</v>
      </c>
      <c r="E14" s="66" t="n">
        <f aca="false">E11+E12+E13</f>
        <v>4303985649160</v>
      </c>
      <c r="F14" s="66" t="n">
        <f aca="false">F11+F12+F13</f>
        <v>4608042000000</v>
      </c>
      <c r="G14" s="66" t="n">
        <f aca="false">G11+G12+G13</f>
        <v>4850220000000</v>
      </c>
      <c r="H14" s="66" t="n">
        <f aca="false">H11+H12+H13</f>
        <v>5095993000000</v>
      </c>
      <c r="I14" s="66" t="n">
        <f aca="false">I11+I12+I13</f>
        <v>5168365502602.24</v>
      </c>
      <c r="J14" s="66" t="n">
        <f aca="false">J11+J12+J13</f>
        <v>5273964800320.16</v>
      </c>
      <c r="K14" s="66" t="n">
        <f aca="false">K11+K12+K13</f>
        <v>5413702730536.41</v>
      </c>
      <c r="L14" s="66" t="n">
        <f aca="false">L11+L12+L13</f>
        <v>5588759423472.75</v>
      </c>
      <c r="M14" s="66" t="n">
        <f aca="false">M11+M12+M13</f>
        <v>5800593814140.7</v>
      </c>
    </row>
    <row r="15" customFormat="false" ht="15" hidden="false" customHeight="false" outlineLevel="0" collapsed="false">
      <c r="A15" s="63" t="s">
        <v>409</v>
      </c>
      <c r="B15" s="64" t="s">
        <v>410</v>
      </c>
      <c r="C15" s="66" t="n">
        <f aca="false">C10+C14</f>
        <v>4346329088006</v>
      </c>
      <c r="D15" s="66" t="n">
        <f aca="false">D10+D14</f>
        <v>4871806608361</v>
      </c>
      <c r="E15" s="66" t="n">
        <f aca="false">E10+E14</f>
        <v>5749599247752</v>
      </c>
      <c r="F15" s="66" t="n">
        <f aca="false">F10+F14</f>
        <v>5606291000000</v>
      </c>
      <c r="G15" s="66" t="n">
        <f aca="false">G10+G14</f>
        <v>5683022000000</v>
      </c>
      <c r="H15" s="66" t="n">
        <f aca="false">H10+H14</f>
        <v>7623910000000</v>
      </c>
      <c r="I15" s="66" t="n">
        <f aca="false">I10+I14</f>
        <v>7501640996923.28</v>
      </c>
      <c r="J15" s="66" t="n">
        <f aca="false">J10+J14</f>
        <v>7402902951169.7</v>
      </c>
      <c r="K15" s="66" t="n">
        <f aca="false">K10+K14</f>
        <v>7329851870855.17</v>
      </c>
      <c r="L15" s="66" t="n">
        <f aca="false">L10+L14</f>
        <v>7283917736640.56</v>
      </c>
      <c r="M15" s="66" t="n">
        <f aca="false">M10+M14</f>
        <v>7266935265374.39</v>
      </c>
    </row>
    <row r="16" customFormat="false" ht="15" hidden="false" customHeight="false" outlineLevel="0" collapsed="false">
      <c r="A16" s="16"/>
      <c r="B16" s="17" t="s">
        <v>411</v>
      </c>
      <c r="C16" s="16"/>
      <c r="D16" s="16"/>
      <c r="E16" s="16"/>
      <c r="F16" s="16"/>
      <c r="G16" s="16"/>
      <c r="H16" s="16"/>
      <c r="I16" s="16"/>
      <c r="J16" s="16"/>
      <c r="K16" s="16"/>
      <c r="L16" s="16"/>
      <c r="M16" s="16"/>
      <c r="N16" s="16"/>
    </row>
    <row r="17" customFormat="false" ht="15" hidden="false" customHeight="false" outlineLevel="0" collapsed="false">
      <c r="A17" s="54" t="s">
        <v>412</v>
      </c>
      <c r="B17" s="13" t="s">
        <v>413</v>
      </c>
      <c r="C17" s="50" t="n">
        <f aca="false">(BS!C30+BS!C31)</f>
        <v>175206597303</v>
      </c>
      <c r="D17" s="50" t="n">
        <f aca="false">(BS!D30+BS!D31)</f>
        <v>192301032210</v>
      </c>
      <c r="E17" s="50" t="n">
        <f aca="false">(BS!E30+BS!E31)</f>
        <v>161991239794</v>
      </c>
      <c r="F17" s="50" t="n">
        <f aca="false">(BS!F30+BS!F31)</f>
        <v>140702000000</v>
      </c>
      <c r="G17" s="50" t="n">
        <f aca="false">(BS!G30+BS!G31)</f>
        <v>156194000000</v>
      </c>
      <c r="H17" s="50" t="n">
        <f aca="false">(BS!H30+BS!H31)</f>
        <v>113840000000</v>
      </c>
      <c r="I17" s="51" t="n">
        <f aca="false">Schedules_Proj!I28</f>
        <v>125353391002.882</v>
      </c>
      <c r="J17" s="51" t="n">
        <f aca="false">Schedules_Proj!J28</f>
        <v>136897164291.787</v>
      </c>
      <c r="K17" s="51" t="n">
        <f aca="false">Schedules_Proj!K28</f>
        <v>149515989644.671</v>
      </c>
      <c r="L17" s="51" t="n">
        <f aca="false">Schedules_Proj!L28</f>
        <v>163311026246.74</v>
      </c>
      <c r="M17" s="51" t="n">
        <f aca="false">Schedules_Proj!M28</f>
        <v>178393041520.025</v>
      </c>
    </row>
    <row r="18" customFormat="false" ht="15" hidden="false" customHeight="false" outlineLevel="0" collapsed="false">
      <c r="A18" s="54" t="s">
        <v>414</v>
      </c>
      <c r="B18" s="13" t="s">
        <v>415</v>
      </c>
      <c r="C18" s="50" t="n">
        <f aca="false">(BS!C29+BS!C38+BS!C45+BS!C39+BS!C46+BS!C40+BS!C47+BS!C41+BS!C48)</f>
        <v>1072251221694</v>
      </c>
      <c r="D18" s="50" t="n">
        <f aca="false">(BS!D29+BS!D38+BS!D45+BS!D39+BS!D46+BS!D40+BS!D47+BS!D41+BS!D48)</f>
        <v>846194719314</v>
      </c>
      <c r="E18" s="50" t="n">
        <f aca="false">(BS!E29+BS!E38+BS!E45+BS!E39+BS!E46+BS!E40+BS!E47+BS!E41+BS!E48)</f>
        <v>1725310890922</v>
      </c>
      <c r="F18" s="50" t="n">
        <f aca="false">(BS!F29+BS!F38+BS!F45+BS!F39+BS!F46+BS!F40+BS!F47+BS!F41+BS!F48)</f>
        <v>1646343000000</v>
      </c>
      <c r="G18" s="50" t="n">
        <f aca="false">(BS!G29+BS!G38+BS!G45+BS!G39+BS!G46+BS!G40+BS!G47+BS!G41+BS!G48)</f>
        <v>1665866000000</v>
      </c>
      <c r="H18" s="50" t="n">
        <f aca="false">(BS!H29+BS!H38+BS!H45+BS!H39+BS!H46+BS!H40+BS!H47+BS!H41+BS!H48)</f>
        <v>4684415000000</v>
      </c>
      <c r="I18" s="51" t="n">
        <f aca="false">Schedules_Proj!I23</f>
        <v>4684415000000</v>
      </c>
      <c r="J18" s="51" t="n">
        <f aca="false">Schedules_Proj!J23</f>
        <v>4684415000000</v>
      </c>
      <c r="K18" s="51" t="n">
        <f aca="false">Schedules_Proj!K23</f>
        <v>4684415000000</v>
      </c>
      <c r="L18" s="51" t="n">
        <f aca="false">Schedules_Proj!L23</f>
        <v>4684415000000</v>
      </c>
      <c r="M18" s="51" t="n">
        <f aca="false">Schedules_Proj!M23</f>
        <v>4684415000000</v>
      </c>
    </row>
    <row r="19" customFormat="false" ht="15" hidden="false" customHeight="false" outlineLevel="0" collapsed="false">
      <c r="A19" s="54" t="s">
        <v>416</v>
      </c>
      <c r="B19" s="13" t="s">
        <v>417</v>
      </c>
      <c r="C19" s="50" t="n">
        <f aca="false">(BS!C42+BS!C49)</f>
        <v>0</v>
      </c>
      <c r="D19" s="50" t="n">
        <f aca="false">(BS!D42+BS!D49)</f>
        <v>0</v>
      </c>
      <c r="E19" s="50" t="n">
        <f aca="false">(BS!E42+BS!E49)</f>
        <v>0</v>
      </c>
      <c r="F19" s="50" t="n">
        <f aca="false">(BS!F42+BS!F49)</f>
        <v>3891000000</v>
      </c>
      <c r="G19" s="50" t="n">
        <f aca="false">(BS!G42+BS!G49)</f>
        <v>3276000000</v>
      </c>
      <c r="H19" s="50" t="n">
        <f aca="false">(BS!H42+BS!H49)</f>
        <v>7677000000</v>
      </c>
      <c r="I19" s="51" t="n">
        <f aca="false">Schedules_Proj!I18</f>
        <v>7677000000</v>
      </c>
      <c r="J19" s="51" t="n">
        <f aca="false">Schedules_Proj!J18</f>
        <v>7677000000</v>
      </c>
      <c r="K19" s="51" t="n">
        <f aca="false">Schedules_Proj!K18</f>
        <v>7677000000</v>
      </c>
      <c r="L19" s="51" t="n">
        <f aca="false">Schedules_Proj!L18</f>
        <v>7677000000</v>
      </c>
      <c r="M19" s="51" t="n">
        <f aca="false">Schedules_Proj!M18</f>
        <v>7677000000</v>
      </c>
    </row>
    <row r="20" customFormat="false" ht="15" hidden="false" customHeight="false" outlineLevel="0" collapsed="false">
      <c r="A20" s="54" t="s">
        <v>418</v>
      </c>
      <c r="B20" s="13" t="s">
        <v>419</v>
      </c>
      <c r="C20" s="50" t="n">
        <f aca="false">BS!C53-BS!C30-BS!C31-(BS!C29+BS!C38+BS!C45+BS!C39+BS!C46+BS!C40+BS!C47+BS!C41+BS!C48)-BS!C42-BS!C49</f>
        <v>1344134996245</v>
      </c>
      <c r="D20" s="50" t="n">
        <f aca="false">BS!D53-BS!D30-BS!D31-(BS!D29+BS!D38+BS!D45+BS!D39+BS!D46+BS!D40+BS!D47+BS!D41+BS!D48)-BS!D42-BS!D49</f>
        <v>1905908311154</v>
      </c>
      <c r="E20" s="50" t="n">
        <f aca="false">BS!E53-BS!E30-BS!E31-(BS!E29+BS!E38+BS!E45+BS!E39+BS!E46+BS!E40+BS!E47+BS!E41+BS!E48)-BS!E42-BS!E49</f>
        <v>1967158995920</v>
      </c>
      <c r="F20" s="50" t="n">
        <f aca="false">BS!F53-BS!F30-BS!F31-(BS!F29+BS!F38+BS!F45+BS!F39+BS!F46+BS!F40+BS!F47+BS!F41+BS!F48)-BS!F42-BS!F49</f>
        <v>1957898000000</v>
      </c>
      <c r="G20" s="50" t="n">
        <f aca="false">BS!G53-BS!G30-BS!G31-(BS!G29+BS!G38+BS!G45+BS!G39+BS!G46+BS!G40+BS!G47+BS!G41+BS!G48)-BS!G42-BS!G49</f>
        <v>2024382000000</v>
      </c>
      <c r="H20" s="50" t="n">
        <f aca="false">BS!H53-BS!H30-BS!H31-(BS!H29+BS!H38+BS!H45+BS!H39+BS!H46+BS!H40+BS!H47+BS!H41+BS!H48)-BS!H42-BS!H49</f>
        <v>1482253000000</v>
      </c>
      <c r="I20" s="71" t="n">
        <f aca="false">H20</f>
        <v>1482253000000</v>
      </c>
      <c r="J20" s="71" t="n">
        <f aca="false">I20</f>
        <v>1482253000000</v>
      </c>
      <c r="K20" s="71" t="n">
        <f aca="false">J20</f>
        <v>1482253000000</v>
      </c>
      <c r="L20" s="71" t="n">
        <f aca="false">K20</f>
        <v>1482253000000</v>
      </c>
      <c r="M20" s="71" t="n">
        <f aca="false">L20</f>
        <v>1482253000000</v>
      </c>
      <c r="N20" s="15" t="s">
        <v>420</v>
      </c>
    </row>
    <row r="21" customFormat="false" ht="15" hidden="false" customHeight="false" outlineLevel="0" collapsed="false">
      <c r="A21" s="63" t="s">
        <v>421</v>
      </c>
      <c r="B21" s="64" t="s">
        <v>422</v>
      </c>
      <c r="C21" s="66" t="n">
        <f aca="false">C17+C18+C19+C20</f>
        <v>2591592815242</v>
      </c>
      <c r="D21" s="66" t="n">
        <f aca="false">D17+D18+D19+D20</f>
        <v>2944404062678</v>
      </c>
      <c r="E21" s="66" t="n">
        <f aca="false">E17+E18+E19+E20</f>
        <v>3854461126636</v>
      </c>
      <c r="F21" s="66" t="n">
        <f aca="false">F17+F18+F19+F20</f>
        <v>3748834000000</v>
      </c>
      <c r="G21" s="66" t="n">
        <f aca="false">G17+G18+G19+G20</f>
        <v>3849718000000</v>
      </c>
      <c r="H21" s="66" t="n">
        <f aca="false">H17+H18+H19+H20</f>
        <v>6288185000000</v>
      </c>
      <c r="I21" s="66" t="n">
        <f aca="false">I17+I18+I19+I20</f>
        <v>6299698391002.88</v>
      </c>
      <c r="J21" s="66" t="n">
        <f aca="false">J17+J18+J19+J20</f>
        <v>6311242164291.79</v>
      </c>
      <c r="K21" s="66" t="n">
        <f aca="false">K17+K18+K19+K20</f>
        <v>6323860989644.67</v>
      </c>
      <c r="L21" s="66" t="n">
        <f aca="false">L17+L18+L19+L20</f>
        <v>6337656026246.74</v>
      </c>
      <c r="M21" s="66" t="n">
        <f aca="false">M17+M18+M19+M20</f>
        <v>6352738041520.02</v>
      </c>
    </row>
    <row r="22" customFormat="false" ht="15" hidden="false" customHeight="false" outlineLevel="0" collapsed="false">
      <c r="A22" s="16"/>
      <c r="B22" s="17" t="s">
        <v>423</v>
      </c>
      <c r="C22" s="16"/>
      <c r="D22" s="16"/>
      <c r="E22" s="16"/>
      <c r="F22" s="16"/>
      <c r="G22" s="16"/>
      <c r="H22" s="16"/>
      <c r="I22" s="16"/>
      <c r="J22" s="16"/>
      <c r="K22" s="16"/>
      <c r="L22" s="16"/>
      <c r="M22" s="16"/>
      <c r="N22" s="16"/>
    </row>
    <row r="23" customFormat="false" ht="15" hidden="false" customHeight="false" outlineLevel="0" collapsed="false">
      <c r="A23" s="54" t="s">
        <v>424</v>
      </c>
      <c r="B23" s="13" t="s">
        <v>425</v>
      </c>
      <c r="C23" s="50" t="n">
        <f aca="false">BS!C60-BS!C59</f>
        <v>2354636312859</v>
      </c>
      <c r="D23" s="50" t="n">
        <f aca="false">BS!D60-BS!D59</f>
        <v>2361693272138</v>
      </c>
      <c r="E23" s="50" t="n">
        <f aca="false">BS!E60-BS!E59</f>
        <v>2373608250616</v>
      </c>
      <c r="F23" s="50" t="n">
        <f aca="false">BS!F60-BS!F59</f>
        <v>2374241000000</v>
      </c>
      <c r="G23" s="50" t="n">
        <f aca="false">BS!G60-BS!G59</f>
        <v>2371951000000</v>
      </c>
      <c r="H23" s="50" t="n">
        <f aca="false">BS!H60-BS!H59</f>
        <v>2073289000000</v>
      </c>
      <c r="I23" s="71" t="n">
        <f aca="false">H23</f>
        <v>2073289000000</v>
      </c>
      <c r="J23" s="71" t="n">
        <f aca="false">I23</f>
        <v>2073289000000</v>
      </c>
      <c r="K23" s="71" t="n">
        <f aca="false">J23</f>
        <v>2073289000000</v>
      </c>
      <c r="L23" s="71" t="n">
        <f aca="false">K23</f>
        <v>2073289000000</v>
      </c>
      <c r="M23" s="71" t="n">
        <f aca="false">L23</f>
        <v>2073289000000</v>
      </c>
      <c r="N23" s="15" t="s">
        <v>398</v>
      </c>
    </row>
    <row r="24" customFormat="false" ht="15" hidden="false" customHeight="false" outlineLevel="0" collapsed="false">
      <c r="A24" s="54" t="s">
        <v>426</v>
      </c>
      <c r="B24" s="13" t="s">
        <v>427</v>
      </c>
      <c r="C24" s="50" t="n">
        <f aca="false">BS!C59</f>
        <v>-600688806428</v>
      </c>
      <c r="D24" s="50" t="n">
        <f aca="false">BS!D59</f>
        <v>-435380567809</v>
      </c>
      <c r="E24" s="50" t="n">
        <f aca="false">BS!E59</f>
        <v>-479695516834</v>
      </c>
      <c r="F24" s="50" t="n">
        <f aca="false">BS!F59</f>
        <v>-518186000000</v>
      </c>
      <c r="G24" s="50" t="n">
        <f aca="false">BS!G59</f>
        <v>-541699000000</v>
      </c>
      <c r="H24" s="50" t="n">
        <f aca="false">BS!H59</f>
        <v>-740699000000</v>
      </c>
      <c r="I24" s="51" t="n">
        <f aca="false">H24+IS_Proj!I26+CF_Proj!I19</f>
        <v>-874481394079.6</v>
      </c>
      <c r="J24" s="51" t="n">
        <f aca="false">I24+IS_Proj!J26+CF_Proj!J19</f>
        <v>-984763213122.09</v>
      </c>
      <c r="K24" s="51" t="n">
        <f aca="false">J24+IS_Proj!K26+CF_Proj!K19</f>
        <v>-1070433118789.5</v>
      </c>
      <c r="L24" s="51" t="n">
        <f aca="false">K24+IS_Proj!L26+CF_Proj!L19</f>
        <v>-1130162289606.18</v>
      </c>
      <c r="M24" s="51" t="n">
        <f aca="false">L24+IS_Proj!M26+CF_Proj!M19</f>
        <v>-1162226776145.63</v>
      </c>
    </row>
    <row r="25" customFormat="false" ht="15" hidden="false" customHeight="false" outlineLevel="0" collapsed="false">
      <c r="A25" s="63" t="s">
        <v>428</v>
      </c>
      <c r="B25" s="64" t="s">
        <v>429</v>
      </c>
      <c r="C25" s="66" t="n">
        <f aca="false">C23+C24</f>
        <v>1753947506431</v>
      </c>
      <c r="D25" s="66" t="n">
        <f aca="false">D23+D24</f>
        <v>1926312704329</v>
      </c>
      <c r="E25" s="66" t="n">
        <f aca="false">E23+E24</f>
        <v>1893912733782</v>
      </c>
      <c r="F25" s="66" t="n">
        <f aca="false">F23+F24</f>
        <v>1856055000000</v>
      </c>
      <c r="G25" s="66" t="n">
        <f aca="false">G23+G24</f>
        <v>1830252000000</v>
      </c>
      <c r="H25" s="66" t="n">
        <f aca="false">H23+H24</f>
        <v>1332590000000</v>
      </c>
      <c r="I25" s="66" t="n">
        <f aca="false">I23+I24</f>
        <v>1198807605920.4</v>
      </c>
      <c r="J25" s="66" t="n">
        <f aca="false">J23+J24</f>
        <v>1088525786877.91</v>
      </c>
      <c r="K25" s="66" t="n">
        <f aca="false">K23+K24</f>
        <v>1002855881210.5</v>
      </c>
      <c r="L25" s="66" t="n">
        <f aca="false">L23+L24</f>
        <v>943126710393.818</v>
      </c>
      <c r="M25" s="66" t="n">
        <f aca="false">M23+M24</f>
        <v>911062223854.365</v>
      </c>
    </row>
    <row r="26" customFormat="false" ht="15" hidden="false" customHeight="false" outlineLevel="0" collapsed="false">
      <c r="A26" s="54" t="s">
        <v>430</v>
      </c>
      <c r="B26" s="13" t="s">
        <v>431</v>
      </c>
      <c r="C26" s="50" t="n">
        <f aca="false">BS!C61</f>
        <v>788766333</v>
      </c>
      <c r="D26" s="50" t="n">
        <f aca="false">BS!D61</f>
        <v>1089841354</v>
      </c>
      <c r="E26" s="50" t="n">
        <f aca="false">BS!E61</f>
        <v>1225387334</v>
      </c>
      <c r="F26" s="50" t="n">
        <f aca="false">BS!F61</f>
        <v>1402000000</v>
      </c>
      <c r="G26" s="50" t="n">
        <f aca="false">BS!G61</f>
        <v>3052000000</v>
      </c>
      <c r="H26" s="50" t="n">
        <f aca="false">BS!H61</f>
        <v>3135000000</v>
      </c>
      <c r="I26" s="51" t="n">
        <f aca="false">H26+IS_Proj!I25</f>
        <v>3135000000</v>
      </c>
      <c r="J26" s="51" t="n">
        <f aca="false">I26+IS_Proj!J25</f>
        <v>3135000000</v>
      </c>
      <c r="K26" s="51" t="n">
        <f aca="false">J26+IS_Proj!K25</f>
        <v>3135000000</v>
      </c>
      <c r="L26" s="51" t="n">
        <f aca="false">K26+IS_Proj!L25</f>
        <v>3135000000</v>
      </c>
      <c r="M26" s="51" t="n">
        <f aca="false">L26+IS_Proj!M25</f>
        <v>3135000000</v>
      </c>
      <c r="N26" s="15" t="s">
        <v>432</v>
      </c>
    </row>
    <row r="27" customFormat="false" ht="15" hidden="false" customHeight="false" outlineLevel="0" collapsed="false">
      <c r="A27" s="63" t="s">
        <v>433</v>
      </c>
      <c r="B27" s="64" t="s">
        <v>434</v>
      </c>
      <c r="C27" s="66" t="n">
        <f aca="false">C25+C26</f>
        <v>1754736272764</v>
      </c>
      <c r="D27" s="66" t="n">
        <f aca="false">D25+D26</f>
        <v>1927402545683</v>
      </c>
      <c r="E27" s="66" t="n">
        <f aca="false">E25+E26</f>
        <v>1895138121116</v>
      </c>
      <c r="F27" s="66" t="n">
        <f aca="false">F25+F26</f>
        <v>1857457000000</v>
      </c>
      <c r="G27" s="66" t="n">
        <f aca="false">G25+G26</f>
        <v>1833304000000</v>
      </c>
      <c r="H27" s="66" t="n">
        <f aca="false">H25+H26</f>
        <v>1335725000000</v>
      </c>
      <c r="I27" s="66" t="n">
        <f aca="false">I25+I26</f>
        <v>1201942605920.4</v>
      </c>
      <c r="J27" s="66" t="n">
        <f aca="false">J25+J26</f>
        <v>1091660786877.91</v>
      </c>
      <c r="K27" s="66" t="n">
        <f aca="false">K25+K26</f>
        <v>1005990881210.5</v>
      </c>
      <c r="L27" s="66" t="n">
        <f aca="false">L25+L26</f>
        <v>946261710393.818</v>
      </c>
      <c r="M27" s="66" t="n">
        <f aca="false">M25+M26</f>
        <v>914197223854.365</v>
      </c>
    </row>
    <row r="28" customFormat="false" ht="15" hidden="false" customHeight="false" outlineLevel="0" collapsed="false">
      <c r="A28" s="63" t="s">
        <v>435</v>
      </c>
      <c r="B28" s="64" t="s">
        <v>436</v>
      </c>
      <c r="C28" s="66" t="n">
        <f aca="false">C21+C27</f>
        <v>4346329088006</v>
      </c>
      <c r="D28" s="66" t="n">
        <f aca="false">D21+D27</f>
        <v>4871806608361</v>
      </c>
      <c r="E28" s="66" t="n">
        <f aca="false">E21+E27</f>
        <v>5749599247752</v>
      </c>
      <c r="F28" s="66" t="n">
        <f aca="false">F21+F27</f>
        <v>5606291000000</v>
      </c>
      <c r="G28" s="66" t="n">
        <f aca="false">G21+G27</f>
        <v>5683022000000</v>
      </c>
      <c r="H28" s="66" t="n">
        <f aca="false">H21+H27</f>
        <v>7623910000000</v>
      </c>
      <c r="I28" s="66" t="n">
        <f aca="false">I21+I27</f>
        <v>7501640996923.28</v>
      </c>
      <c r="J28" s="66" t="n">
        <f aca="false">J21+J27</f>
        <v>7402902951169.7</v>
      </c>
      <c r="K28" s="66" t="n">
        <f aca="false">K21+K27</f>
        <v>7329851870855.17</v>
      </c>
      <c r="L28" s="66" t="n">
        <f aca="false">L21+L27</f>
        <v>7283917736640.56</v>
      </c>
      <c r="M28" s="66" t="n">
        <f aca="false">M21+M27</f>
        <v>7266935265374.39</v>
      </c>
    </row>
    <row r="30" customFormat="false" ht="15" hidden="false" customHeight="false" outlineLevel="0" collapsed="false">
      <c r="A30" s="54" t="s">
        <v>437</v>
      </c>
      <c r="B30" s="13" t="s">
        <v>438</v>
      </c>
      <c r="C30" s="72" t="n">
        <f aca="false">ROUND(C15-C28,0)</f>
        <v>0</v>
      </c>
      <c r="D30" s="72" t="n">
        <f aca="false">ROUND(D15-D28,0)</f>
        <v>0</v>
      </c>
      <c r="E30" s="72" t="n">
        <f aca="false">ROUND(E15-E28,0)</f>
        <v>0</v>
      </c>
      <c r="F30" s="72" t="n">
        <f aca="false">ROUND(F15-F28,0)</f>
        <v>0</v>
      </c>
      <c r="G30" s="72" t="n">
        <f aca="false">ROUND(G15-G28,0)</f>
        <v>0</v>
      </c>
      <c r="H30" s="72" t="n">
        <f aca="false">ROUND(H15-H28,0)</f>
        <v>0</v>
      </c>
      <c r="I30" s="71" t="n">
        <f aca="false">ROUND(I15-I28,0)</f>
        <v>0</v>
      </c>
      <c r="J30" s="71" t="n">
        <f aca="false">ROUND(J15-J28,0)</f>
        <v>0</v>
      </c>
      <c r="K30" s="71" t="n">
        <f aca="false">ROUND(K15-K28,0)</f>
        <v>0</v>
      </c>
      <c r="L30" s="71" t="n">
        <f aca="false">ROUND(L15-L28,0)</f>
        <v>0</v>
      </c>
      <c r="M30" s="71" t="n">
        <f aca="false">ROUND(M15-M28,0)</f>
        <v>0</v>
      </c>
    </row>
    <row r="31" customFormat="false" ht="15" hidden="false" customHeight="false" outlineLevel="0" collapsed="false">
      <c r="A31" s="54" t="s">
        <v>439</v>
      </c>
      <c r="B31" s="13" t="s">
        <v>440</v>
      </c>
      <c r="C31" s="72" t="n">
        <f aca="false">C18+C19-C6</f>
        <v>442642532820</v>
      </c>
      <c r="D31" s="72" t="n">
        <f aca="false">D18+D19-D6</f>
        <v>145272359695</v>
      </c>
      <c r="E31" s="72" t="n">
        <f aca="false">E18+E19-E6</f>
        <v>607056640258</v>
      </c>
      <c r="F31" s="72" t="n">
        <f aca="false">F18+F19-F6</f>
        <v>1135049000000</v>
      </c>
      <c r="G31" s="72" t="n">
        <f aca="false">G18+G19-G6</f>
        <v>1391934000000</v>
      </c>
      <c r="H31" s="72" t="n">
        <f aca="false">H18+H19-H6</f>
        <v>2865829000000</v>
      </c>
      <c r="I31" s="71" t="n">
        <f aca="false">I18+I19-I6</f>
        <v>3121410194154.37</v>
      </c>
      <c r="J31" s="71" t="n">
        <f aca="false">J18+J19-J6</f>
        <v>3389491725440.73</v>
      </c>
      <c r="K31" s="71" t="n">
        <f aca="false">K18+K19-K6</f>
        <v>3671961312085.24</v>
      </c>
      <c r="L31" s="71" t="n">
        <f aca="false">L18+L19-L6</f>
        <v>3969127700040.07</v>
      </c>
      <c r="M31" s="71" t="n">
        <f aca="false">M18+M19-M6</f>
        <v>4281226760103.54</v>
      </c>
    </row>
    <row r="32" customFormat="false" ht="15" hidden="false" customHeight="false" outlineLevel="0" collapsed="false">
      <c r="A32" s="54" t="s">
        <v>441</v>
      </c>
      <c r="B32" s="13" t="s">
        <v>442</v>
      </c>
      <c r="C32" s="59"/>
      <c r="D32" s="46" t="n">
        <f aca="false">IS_Proj!D26/AVERAGE(C25,D25)</f>
        <v>0.089835081843228</v>
      </c>
      <c r="E32" s="46" t="n">
        <f aca="false">IS_Proj!E26/AVERAGE(D25,E25)</f>
        <v>-0.0232001748289036</v>
      </c>
      <c r="F32" s="46" t="n">
        <f aca="false">IS_Proj!F26/AVERAGE(E25,F25)</f>
        <v>-0.0205281766310993</v>
      </c>
      <c r="G32" s="46" t="n">
        <f aca="false">IS_Proj!G26/AVERAGE(F25,G25)</f>
        <v>-0.012756940753985</v>
      </c>
      <c r="H32" s="46" t="n">
        <f aca="false">IS_Proj!H26/AVERAGE(G25,H25)</f>
        <v>-0.125836194157027</v>
      </c>
      <c r="I32" s="47" t="n">
        <f aca="false">IS_Proj!I26/AVERAGE(H25,I25)</f>
        <v>-0.105698444026898</v>
      </c>
      <c r="J32" s="47" t="n">
        <f aca="false">IS_Proj!J26/AVERAGE(I25,J25)</f>
        <v>-0.0964282857844098</v>
      </c>
      <c r="K32" s="47" t="n">
        <f aca="false">IS_Proj!K26/AVERAGE(J25,K25)</f>
        <v>-0.0819266105031113</v>
      </c>
      <c r="L32" s="47" t="n">
        <f aca="false">IS_Proj!L26/AVERAGE(K25,L25)</f>
        <v>-0.0613871584199904</v>
      </c>
      <c r="M32" s="47" t="n">
        <f aca="false">IS_Proj!M26/AVERAGE(L25,M25)</f>
        <v>-0.0345859970871354</v>
      </c>
    </row>
    <row r="33" customFormat="false" ht="15" hidden="false" customHeight="false" outlineLevel="0" collapsed="false">
      <c r="A33" s="54" t="s">
        <v>443</v>
      </c>
      <c r="B33" s="13" t="s">
        <v>444</v>
      </c>
      <c r="C33" s="48" t="n">
        <f aca="false">C31/IS_Proj!C17</f>
        <v>2.5030621724118</v>
      </c>
      <c r="D33" s="48" t="n">
        <f aca="false">D31/IS_Proj!D17</f>
        <v>0.336509780949585</v>
      </c>
      <c r="E33" s="48" t="n">
        <f aca="false">E31/IS_Proj!E17</f>
        <v>2.25917232529069</v>
      </c>
      <c r="F33" s="48" t="n">
        <f aca="false">F31/IS_Proj!F17</f>
        <v>2.81963323992925</v>
      </c>
      <c r="G33" s="48" t="n">
        <f aca="false">G31/IS_Proj!G17</f>
        <v>2.87327275504601</v>
      </c>
      <c r="H33" s="48" t="n">
        <f aca="false">H31/IS_Proj!H17</f>
        <v>6.14012358110974</v>
      </c>
      <c r="I33" s="49" t="n">
        <f aca="false">I31/IS_Proj!I17</f>
        <v>5.27819738200843</v>
      </c>
      <c r="J33" s="49" t="n">
        <f aca="false">J31/IS_Proj!J17</f>
        <v>5.24820747148394</v>
      </c>
      <c r="K33" s="49" t="n">
        <f aca="false">K31/IS_Proj!K17</f>
        <v>5.20572624945518</v>
      </c>
      <c r="L33" s="49" t="n">
        <f aca="false">L31/IS_Proj!L17</f>
        <v>5.15169844031145</v>
      </c>
      <c r="M33" s="49" t="n">
        <f aca="false">M31/IS_Proj!M17</f>
        <v>5.0869935925686</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445</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446</v>
      </c>
      <c r="C5" s="16"/>
      <c r="D5" s="16"/>
      <c r="E5" s="16"/>
      <c r="F5" s="16"/>
      <c r="G5" s="16"/>
      <c r="H5" s="16"/>
      <c r="I5" s="16"/>
      <c r="J5" s="16"/>
      <c r="K5" s="16"/>
      <c r="L5" s="16"/>
      <c r="M5" s="16"/>
      <c r="N5" s="16"/>
    </row>
    <row r="6" customFormat="false" ht="15" hidden="false" customHeight="false" outlineLevel="0" collapsed="false">
      <c r="A6" s="54" t="s">
        <v>447</v>
      </c>
      <c r="B6" s="13" t="s">
        <v>140</v>
      </c>
      <c r="C6" s="50" t="n">
        <f aca="false">IS_Proj!C24</f>
        <v>-14498057988</v>
      </c>
      <c r="D6" s="50" t="n">
        <f aca="false">IS_Proj!D24</f>
        <v>165604046574</v>
      </c>
      <c r="E6" s="50" t="n">
        <f aca="false">IS_Proj!E24</f>
        <v>-44187230723</v>
      </c>
      <c r="F6" s="50" t="n">
        <f aca="false">IS_Proj!F24</f>
        <v>-38313000000</v>
      </c>
      <c r="G6" s="50" t="n">
        <f aca="false">IS_Proj!G24</f>
        <v>-23344000000</v>
      </c>
      <c r="H6" s="50" t="n">
        <f aca="false">IS_Proj!H24</f>
        <v>-198790000000</v>
      </c>
      <c r="I6" s="51" t="n">
        <f aca="false">IS_Proj!I24</f>
        <v>-133782394079.6</v>
      </c>
      <c r="J6" s="51" t="n">
        <f aca="false">IS_Proj!J24</f>
        <v>-110281819042.49</v>
      </c>
      <c r="K6" s="51" t="n">
        <f aca="false">IS_Proj!K24</f>
        <v>-85669905667.4131</v>
      </c>
      <c r="L6" s="51" t="n">
        <f aca="false">IS_Proj!L24</f>
        <v>-59729170816.6788</v>
      </c>
      <c r="M6" s="51" t="n">
        <f aca="false">IS_Proj!M24</f>
        <v>-32064486539.4532</v>
      </c>
    </row>
    <row r="7" customFormat="false" ht="15" hidden="false" customHeight="false" outlineLevel="0" collapsed="false">
      <c r="A7" s="54" t="s">
        <v>448</v>
      </c>
      <c r="B7" s="13" t="s">
        <v>449</v>
      </c>
      <c r="C7" s="61"/>
      <c r="D7" s="61"/>
      <c r="E7" s="61"/>
      <c r="F7" s="61"/>
      <c r="G7" s="61"/>
      <c r="H7" s="61"/>
      <c r="I7" s="51" t="n">
        <f aca="false">-IS_Proj!I18</f>
        <v>388483338000</v>
      </c>
      <c r="J7" s="51" t="n">
        <f aca="false">-IS_Proj!J18</f>
        <v>394446832214.425</v>
      </c>
      <c r="K7" s="51" t="n">
        <f aca="false">-IS_Proj!K18</f>
        <v>403148214346.381</v>
      </c>
      <c r="L7" s="51" t="n">
        <f aca="false">-IS_Proj!L18</f>
        <v>414662619796.2</v>
      </c>
      <c r="M7" s="51" t="n">
        <f aca="false">-IS_Proj!M18</f>
        <v>429087291294.154</v>
      </c>
    </row>
    <row r="8" customFormat="false" ht="15" hidden="false" customHeight="false" outlineLevel="0" collapsed="false">
      <c r="A8" s="54" t="s">
        <v>450</v>
      </c>
      <c r="B8" s="13" t="s">
        <v>451</v>
      </c>
      <c r="C8" s="61"/>
      <c r="D8" s="61"/>
      <c r="E8" s="61"/>
      <c r="F8" s="61"/>
      <c r="G8" s="61"/>
      <c r="H8" s="61"/>
      <c r="I8" s="51" t="n">
        <f aca="false">BS_Proj!H7-BS_Proj!I7</f>
        <v>-54492348746.3014</v>
      </c>
      <c r="J8" s="51" t="n">
        <f aca="false">BS_Proj!I7-BS_Proj!J7</f>
        <v>-56398150267.3754</v>
      </c>
      <c r="K8" s="51" t="n">
        <f aca="false">BS_Proj!J7-BS_Proj!K7</f>
        <v>-61650414525.5327</v>
      </c>
      <c r="L8" s="51" t="n">
        <f aca="false">BS_Proj!K7-BS_Proj!L7</f>
        <v>-67396901148.0188</v>
      </c>
      <c r="M8" s="51" t="n">
        <f aca="false">BS_Proj!L7-BS_Proj!M7</f>
        <v>-73684552046.349</v>
      </c>
    </row>
    <row r="9" customFormat="false" ht="15" hidden="false" customHeight="false" outlineLevel="0" collapsed="false">
      <c r="A9" s="54" t="s">
        <v>452</v>
      </c>
      <c r="B9" s="13" t="s">
        <v>453</v>
      </c>
      <c r="C9" s="61"/>
      <c r="D9" s="61"/>
      <c r="E9" s="61"/>
      <c r="F9" s="61"/>
      <c r="G9" s="61"/>
      <c r="H9" s="61"/>
      <c r="I9" s="51" t="n">
        <f aca="false">BS_Proj!H8-BS_Proj!I8</f>
        <v>-6447339729.10684</v>
      </c>
      <c r="J9" s="51" t="n">
        <f aca="false">BS_Proj!I8-BS_Proj!J8</f>
        <v>-7346037547.48473</v>
      </c>
      <c r="K9" s="51" t="n">
        <f aca="false">BS_Proj!J8-BS_Proj!K8</f>
        <v>-8030161588.19913</v>
      </c>
      <c r="L9" s="51" t="n">
        <f aca="false">BS_Proj!K8-BS_Proj!L8</f>
        <v>-8778659655.86221</v>
      </c>
      <c r="M9" s="51" t="n">
        <f aca="false">BS_Proj!L8-BS_Proj!M8</f>
        <v>-9597646082.9991</v>
      </c>
    </row>
    <row r="10" customFormat="false" ht="15" hidden="false" customHeight="false" outlineLevel="0" collapsed="false">
      <c r="A10" s="54" t="s">
        <v>454</v>
      </c>
      <c r="B10" s="13" t="s">
        <v>455</v>
      </c>
      <c r="C10" s="61"/>
      <c r="D10" s="61"/>
      <c r="E10" s="61"/>
      <c r="F10" s="61"/>
      <c r="G10" s="61"/>
      <c r="H10" s="61"/>
      <c r="I10" s="51" t="n">
        <f aca="false">BS_Proj!I17-BS_Proj!H17</f>
        <v>11513391002.8822</v>
      </c>
      <c r="J10" s="51" t="n">
        <f aca="false">BS_Proj!J17-BS_Proj!I17</f>
        <v>11543773288.9046</v>
      </c>
      <c r="K10" s="51" t="n">
        <f aca="false">BS_Proj!K17-BS_Proj!J17</f>
        <v>12618825352.8843</v>
      </c>
      <c r="L10" s="51" t="n">
        <f aca="false">BS_Proj!L17-BS_Proj!K17</f>
        <v>13795036602.0692</v>
      </c>
      <c r="M10" s="51" t="n">
        <f aca="false">BS_Proj!M17-BS_Proj!L17</f>
        <v>15082015273.2843</v>
      </c>
    </row>
    <row r="11" customFormat="false" ht="15" hidden="false" customHeight="false" outlineLevel="0" collapsed="false">
      <c r="A11" s="63" t="s">
        <v>456</v>
      </c>
      <c r="B11" s="64" t="s">
        <v>144</v>
      </c>
      <c r="C11" s="65" t="n">
        <f aca="false">CF!C13</f>
        <v>93881891402</v>
      </c>
      <c r="D11" s="65" t="n">
        <f aca="false">CF!D13</f>
        <v>336786662790</v>
      </c>
      <c r="E11" s="65" t="n">
        <f aca="false">CF!E13</f>
        <v>210474822261</v>
      </c>
      <c r="F11" s="65" t="n">
        <f aca="false">CF!F13</f>
        <v>55917000000</v>
      </c>
      <c r="G11" s="65" t="n">
        <f aca="false">CF!G13</f>
        <v>273248000000</v>
      </c>
      <c r="H11" s="65" t="n">
        <f aca="false">CF!H13</f>
        <v>129670000000</v>
      </c>
      <c r="I11" s="66" t="n">
        <f aca="false">I6+I7+I8+I9+I10</f>
        <v>205274646447.874</v>
      </c>
      <c r="J11" s="66" t="n">
        <f aca="false">J6+J7+J8+J9+J10</f>
        <v>231964598645.98</v>
      </c>
      <c r="K11" s="66" t="n">
        <f aca="false">K6+K7+K8+K9+K10</f>
        <v>260416557918.12</v>
      </c>
      <c r="L11" s="66" t="n">
        <f aca="false">L6+L7+L8+L9+L10</f>
        <v>292552924777.71</v>
      </c>
      <c r="M11" s="66" t="n">
        <f aca="false">M6+M7+M8+M9+M10</f>
        <v>328822621898.637</v>
      </c>
      <c r="N11" s="15" t="s">
        <v>457</v>
      </c>
    </row>
    <row r="12" customFormat="false" ht="15" hidden="false" customHeight="false" outlineLevel="0" collapsed="false">
      <c r="A12" s="16"/>
      <c r="B12" s="17" t="s">
        <v>458</v>
      </c>
      <c r="C12" s="16"/>
      <c r="D12" s="16"/>
      <c r="E12" s="16"/>
      <c r="F12" s="16"/>
      <c r="G12" s="16"/>
      <c r="H12" s="16"/>
      <c r="I12" s="16"/>
      <c r="J12" s="16"/>
      <c r="K12" s="16"/>
      <c r="L12" s="16"/>
      <c r="M12" s="16"/>
      <c r="N12" s="16"/>
    </row>
    <row r="13" customFormat="false" ht="15" hidden="false" customHeight="false" outlineLevel="0" collapsed="false">
      <c r="A13" s="54" t="s">
        <v>459</v>
      </c>
      <c r="B13" s="13" t="s">
        <v>460</v>
      </c>
      <c r="C13" s="50" t="n">
        <f aca="false">CF!C15+CF!C16+CF!C18</f>
        <v>-544122343656</v>
      </c>
      <c r="D13" s="50" t="n">
        <f aca="false">CF!D15+CF!D16+CF!D18</f>
        <v>-464023277324</v>
      </c>
      <c r="E13" s="50" t="n">
        <f aca="false">CF!E15+CF!E16+CF!E18</f>
        <v>-655546517280</v>
      </c>
      <c r="F13" s="50" t="n">
        <f aca="false">CF!F15+CF!F16+CF!F18</f>
        <v>-583532000000</v>
      </c>
      <c r="G13" s="50" t="n">
        <f aca="false">CF!G15+CF!G16+CF!G18</f>
        <v>-525029000000</v>
      </c>
      <c r="H13" s="50" t="n">
        <f aca="false">CF!H15+CF!H16+CF!H18</f>
        <v>-584290000000</v>
      </c>
      <c r="I13" s="51" t="n">
        <f aca="false">-Schedules_Proj!I7</f>
        <v>-424434023340</v>
      </c>
      <c r="J13" s="51" t="n">
        <f aca="false">-Schedules_Proj!J7</f>
        <v>-463520083177.2</v>
      </c>
      <c r="K13" s="51" t="n">
        <f aca="false">-Schedules_Proj!K7</f>
        <v>-506246161598.376</v>
      </c>
      <c r="L13" s="51" t="n">
        <f aca="false">-Schedules_Proj!L7</f>
        <v>-552954773469.946</v>
      </c>
      <c r="M13" s="51" t="n">
        <f aca="false">-Schedules_Proj!M7</f>
        <v>-604020966185.612</v>
      </c>
    </row>
    <row r="14" customFormat="false" ht="15" hidden="false" customHeight="false" outlineLevel="0" collapsed="false">
      <c r="A14" s="54" t="s">
        <v>461</v>
      </c>
      <c r="B14" s="13" t="s">
        <v>462</v>
      </c>
      <c r="C14" s="50" t="n">
        <f aca="false">CF!C17</f>
        <v>-6697340640</v>
      </c>
      <c r="D14" s="50" t="n">
        <f aca="false">CF!D17</f>
        <v>-3165516135</v>
      </c>
      <c r="E14" s="50" t="n">
        <f aca="false">CF!E17</f>
        <v>-4343974611</v>
      </c>
      <c r="F14" s="50" t="n">
        <f aca="false">CF!F17</f>
        <v>-5066000000</v>
      </c>
      <c r="G14" s="50" t="n">
        <f aca="false">CF!G17</f>
        <v>-7568000000</v>
      </c>
      <c r="H14" s="50" t="n">
        <f aca="false">CF!H17</f>
        <v>-28217000000</v>
      </c>
      <c r="I14" s="51" t="n">
        <f aca="false">-Schedules_Proj!I14</f>
        <v>-35289993200</v>
      </c>
      <c r="J14" s="51" t="n">
        <f aca="false">-Schedules_Proj!J14</f>
        <v>-35289993200</v>
      </c>
      <c r="K14" s="51" t="n">
        <f aca="false">-Schedules_Proj!K14</f>
        <v>-35289993200</v>
      </c>
      <c r="L14" s="51" t="n">
        <f aca="false">-Schedules_Proj!L14</f>
        <v>-35289993200</v>
      </c>
      <c r="M14" s="51" t="n">
        <f aca="false">-Schedules_Proj!M14</f>
        <v>-35289993200</v>
      </c>
    </row>
    <row r="15" customFormat="false" ht="15" hidden="false" customHeight="false" outlineLevel="0" collapsed="false">
      <c r="A15" s="63" t="s">
        <v>463</v>
      </c>
      <c r="B15" s="64" t="s">
        <v>464</v>
      </c>
      <c r="C15" s="65" t="n">
        <f aca="false">CF!C21</f>
        <v>-550711027296</v>
      </c>
      <c r="D15" s="65" t="n">
        <f aca="false">CF!D21</f>
        <v>-468280289395</v>
      </c>
      <c r="E15" s="65" t="n">
        <f aca="false">CF!E21</f>
        <v>-678222368151</v>
      </c>
      <c r="F15" s="65" t="n">
        <f aca="false">CF!F21</f>
        <v>-585390000000</v>
      </c>
      <c r="G15" s="65" t="n">
        <f aca="false">CF!G21</f>
        <v>-532317000000</v>
      </c>
      <c r="H15" s="65" t="n">
        <f aca="false">CF!H21</f>
        <v>-612150000000</v>
      </c>
      <c r="I15" s="66" t="n">
        <f aca="false">I13+I14</f>
        <v>-459724016540</v>
      </c>
      <c r="J15" s="66" t="n">
        <f aca="false">J13+J14</f>
        <v>-498810076377.2</v>
      </c>
      <c r="K15" s="66" t="n">
        <f aca="false">K13+K14</f>
        <v>-541536154798.376</v>
      </c>
      <c r="L15" s="66" t="n">
        <f aca="false">L13+L14</f>
        <v>-588244766669.946</v>
      </c>
      <c r="M15" s="66" t="n">
        <f aca="false">M13+M14</f>
        <v>-639310959385.612</v>
      </c>
      <c r="N15" s="15" t="s">
        <v>465</v>
      </c>
    </row>
    <row r="16" customFormat="false" ht="15" hidden="false" customHeight="false" outlineLevel="0" collapsed="false">
      <c r="A16" s="16"/>
      <c r="B16" s="17" t="s">
        <v>466</v>
      </c>
      <c r="C16" s="16"/>
      <c r="D16" s="16"/>
      <c r="E16" s="16"/>
      <c r="F16" s="16"/>
      <c r="G16" s="16"/>
      <c r="H16" s="16"/>
      <c r="I16" s="16"/>
      <c r="J16" s="16"/>
      <c r="K16" s="16"/>
      <c r="L16" s="16"/>
      <c r="M16" s="16"/>
      <c r="N16" s="16"/>
    </row>
    <row r="17" customFormat="false" ht="15" hidden="false" customHeight="false" outlineLevel="0" collapsed="false">
      <c r="A17" s="54" t="s">
        <v>467</v>
      </c>
      <c r="B17" s="13" t="s">
        <v>468</v>
      </c>
      <c r="C17" s="50" t="n">
        <f aca="false">(CF!C23+CF!C24+CF!C25+CF!C26+CF!C27+CF!C28+CF!C29+CF!C30+CF!C31)</f>
        <v>842012402091</v>
      </c>
      <c r="D17" s="50" t="n">
        <f aca="false">(CF!D23+CF!D24+CF!D25+CF!D26+CF!D27+CF!D28+CF!D29+CF!D30+CF!D31)</f>
        <v>-249603489944</v>
      </c>
      <c r="E17" s="50" t="n">
        <f aca="false">(CF!E23+CF!E24+CF!E25+CF!E26+CF!E27+CF!E28+CF!E29+CF!E30+CF!E31)</f>
        <v>885079436935</v>
      </c>
      <c r="F17" s="50" t="n">
        <f aca="false">(CF!F23+CF!F24+CF!F25+CF!F26+CF!F27+CF!F28+CF!F29+CF!F30+CF!F31)</f>
        <v>-72889000000</v>
      </c>
      <c r="G17" s="50" t="n">
        <f aca="false">(CF!G23+CF!G24+CF!G25+CF!G26+CF!G27+CF!G28+CF!G29+CF!G30+CF!G31)</f>
        <v>10445000000</v>
      </c>
      <c r="H17" s="50" t="n">
        <f aca="false">(CF!H23+CF!H24+CF!H25+CF!H26+CF!H27+CF!H28+CF!H29+CF!H30+CF!H31)</f>
        <v>1956697000000</v>
      </c>
      <c r="I17" s="51" t="n">
        <f aca="false">Asumsi!I31</f>
        <v>0</v>
      </c>
      <c r="J17" s="51" t="n">
        <f aca="false">Asumsi!J31</f>
        <v>0</v>
      </c>
      <c r="K17" s="51" t="n">
        <f aca="false">Asumsi!K31</f>
        <v>0</v>
      </c>
      <c r="L17" s="51" t="n">
        <f aca="false">Asumsi!L31</f>
        <v>0</v>
      </c>
      <c r="M17" s="51" t="n">
        <f aca="false">Asumsi!M31</f>
        <v>0</v>
      </c>
    </row>
    <row r="18" customFormat="false" ht="15" hidden="false" customHeight="false" outlineLevel="0" collapsed="false">
      <c r="A18" s="54" t="s">
        <v>469</v>
      </c>
      <c r="B18" s="13" t="s">
        <v>470</v>
      </c>
      <c r="C18" s="50" t="n">
        <f aca="false">CF!C35</f>
        <v>-330000000000</v>
      </c>
      <c r="D18" s="50" t="n">
        <f aca="false">CF!D35</f>
        <v>0</v>
      </c>
      <c r="E18" s="50" t="n">
        <f aca="false">CF!E35</f>
        <v>0</v>
      </c>
      <c r="F18" s="50" t="n">
        <f aca="false">CF!F35</f>
        <v>-707000000</v>
      </c>
      <c r="G18" s="50" t="n">
        <f aca="false">CF!G35</f>
        <v>-708000000</v>
      </c>
      <c r="H18" s="50" t="n">
        <f aca="false">CF!H35</f>
        <v>-1599000000</v>
      </c>
      <c r="I18" s="51" t="n">
        <f aca="false">-Schedules_Proj!I8</f>
        <v>-1131824062.24</v>
      </c>
      <c r="J18" s="51" t="n">
        <f aca="false">-Schedules_Proj!J8</f>
        <v>-1236053555.1392</v>
      </c>
      <c r="K18" s="51" t="n">
        <f aca="false">-Schedules_Proj!K8</f>
        <v>-1349989764.26234</v>
      </c>
      <c r="L18" s="51" t="n">
        <f aca="false">-Schedules_Proj!L8</f>
        <v>-1474546062.58652</v>
      </c>
      <c r="M18" s="51" t="n">
        <f aca="false">-Schedules_Proj!M8</f>
        <v>-1610722576.49497</v>
      </c>
    </row>
    <row r="19" customFormat="false" ht="15" hidden="false" customHeight="false" outlineLevel="0" collapsed="false">
      <c r="A19" s="54" t="s">
        <v>471</v>
      </c>
      <c r="B19" s="13" t="s">
        <v>472</v>
      </c>
      <c r="C19" s="50" t="n">
        <f aca="false">CF!C36</f>
        <v>0</v>
      </c>
      <c r="D19" s="50" t="n">
        <f aca="false">CF!D36</f>
        <v>0</v>
      </c>
      <c r="E19" s="50" t="n">
        <f aca="false">CF!E36</f>
        <v>0</v>
      </c>
      <c r="F19" s="50" t="n">
        <f aca="false">CF!F36</f>
        <v>0</v>
      </c>
      <c r="G19" s="50" t="n">
        <f aca="false">CF!G36</f>
        <v>0</v>
      </c>
      <c r="H19" s="50" t="n">
        <f aca="false">CF!H36</f>
        <v>0</v>
      </c>
      <c r="I19" s="51" t="n">
        <f aca="false">-Asumsi!I32*MAX(IS_Proj!H26,0)</f>
        <v>-0</v>
      </c>
      <c r="J19" s="51" t="n">
        <f aca="false">-Asumsi!J32*MAX(IS_Proj!I26,0)</f>
        <v>-0</v>
      </c>
      <c r="K19" s="51" t="n">
        <f aca="false">-Asumsi!K32*MAX(IS_Proj!J26,0)</f>
        <v>-0</v>
      </c>
      <c r="L19" s="51" t="n">
        <f aca="false">-Asumsi!L32*MAX(IS_Proj!K26,0)</f>
        <v>-0</v>
      </c>
      <c r="M19" s="51" t="n">
        <f aca="false">-Asumsi!M32*MAX(IS_Proj!L26,0)</f>
        <v>-0</v>
      </c>
    </row>
    <row r="20" customFormat="false" ht="15" hidden="false" customHeight="false" outlineLevel="0" collapsed="false">
      <c r="A20" s="63" t="s">
        <v>473</v>
      </c>
      <c r="B20" s="64" t="s">
        <v>474</v>
      </c>
      <c r="C20" s="65" t="n">
        <f aca="false">CF!C37</f>
        <v>854320635527</v>
      </c>
      <c r="D20" s="65" t="n">
        <f aca="false">CF!D37</f>
        <v>179238263141</v>
      </c>
      <c r="E20" s="65" t="n">
        <f aca="false">CF!E37</f>
        <v>885079436935</v>
      </c>
      <c r="F20" s="65" t="n">
        <f aca="false">CF!F37</f>
        <v>-73596000000</v>
      </c>
      <c r="G20" s="65" t="n">
        <f aca="false">CF!G37</f>
        <v>9737000000</v>
      </c>
      <c r="H20" s="65" t="n">
        <f aca="false">CF!H37</f>
        <v>2023440000000</v>
      </c>
      <c r="I20" s="66" t="n">
        <f aca="false">I17+I18+I19</f>
        <v>-1131824062.24</v>
      </c>
      <c r="J20" s="66" t="n">
        <f aca="false">J17+J18+J19</f>
        <v>-1236053555.1392</v>
      </c>
      <c r="K20" s="66" t="n">
        <f aca="false">K17+K18+K19</f>
        <v>-1349989764.26234</v>
      </c>
      <c r="L20" s="66" t="n">
        <f aca="false">L17+L18+L19</f>
        <v>-1474546062.58652</v>
      </c>
      <c r="M20" s="66" t="n">
        <f aca="false">M17+M18+M19</f>
        <v>-1610722576.49497</v>
      </c>
      <c r="N20" s="15" t="s">
        <v>465</v>
      </c>
    </row>
    <row r="22" customFormat="false" ht="15" hidden="false" customHeight="false" outlineLevel="0" collapsed="false">
      <c r="A22" s="63" t="s">
        <v>475</v>
      </c>
      <c r="B22" s="64" t="s">
        <v>476</v>
      </c>
      <c r="C22" s="66" t="n">
        <f aca="false">C11+C15+C20</f>
        <v>397491499633</v>
      </c>
      <c r="D22" s="66" t="n">
        <f aca="false">D11+D15+D20</f>
        <v>47744636536</v>
      </c>
      <c r="E22" s="66" t="n">
        <f aca="false">E11+E15+E20</f>
        <v>417331891045</v>
      </c>
      <c r="F22" s="66" t="n">
        <f aca="false">F11+F15+F20</f>
        <v>-603069000000</v>
      </c>
      <c r="G22" s="66" t="n">
        <f aca="false">G11+G15+G20</f>
        <v>-249332000000</v>
      </c>
      <c r="H22" s="66" t="n">
        <f aca="false">H11+H15+H20</f>
        <v>1540960000000</v>
      </c>
      <c r="I22" s="66" t="n">
        <f aca="false">I11+I15+I20</f>
        <v>-255581194154.366</v>
      </c>
      <c r="J22" s="66" t="n">
        <f aca="false">J11+J15+J20</f>
        <v>-268081531286.36</v>
      </c>
      <c r="K22" s="66" t="n">
        <f aca="false">K11+K15+K20</f>
        <v>-282469586644.518</v>
      </c>
      <c r="L22" s="66" t="n">
        <f aca="false">L11+L15+L20</f>
        <v>-297166387954.823</v>
      </c>
      <c r="M22" s="66" t="n">
        <f aca="false">M11+M15+M20</f>
        <v>-312099060063.47</v>
      </c>
    </row>
    <row r="23" customFormat="false" ht="15" hidden="false" customHeight="false" outlineLevel="0" collapsed="false">
      <c r="A23" s="54" t="s">
        <v>477</v>
      </c>
      <c r="B23" s="13" t="s">
        <v>478</v>
      </c>
      <c r="C23" s="50" t="n">
        <f aca="false">CF!C40</f>
        <v>232117189241</v>
      </c>
      <c r="D23" s="50" t="n">
        <f aca="false">CF!D40</f>
        <v>653177723083</v>
      </c>
      <c r="E23" s="50" t="n">
        <f aca="false">CF!E40</f>
        <v>700922359619</v>
      </c>
      <c r="F23" s="50" t="n">
        <f aca="false">CF!F40</f>
        <v>1118254000000</v>
      </c>
      <c r="G23" s="50" t="n">
        <f aca="false">CF!G40</f>
        <v>497371000000</v>
      </c>
      <c r="H23" s="50" t="n">
        <f aca="false">CF!H40</f>
        <v>248039000000</v>
      </c>
      <c r="I23" s="51" t="n">
        <f aca="false">BS_Proj!H6</f>
        <v>1826263000000</v>
      </c>
      <c r="J23" s="51" t="n">
        <f aca="false">BS_Proj!I6</f>
        <v>1570681805845.63</v>
      </c>
      <c r="K23" s="51" t="n">
        <f aca="false">BS_Proj!J6</f>
        <v>1302600274559.27</v>
      </c>
      <c r="L23" s="51" t="n">
        <f aca="false">BS_Proj!K6</f>
        <v>1020130687914.76</v>
      </c>
      <c r="M23" s="51" t="n">
        <f aca="false">BS_Proj!L6</f>
        <v>722964299959.933</v>
      </c>
      <c r="N23" s="15" t="s">
        <v>479</v>
      </c>
    </row>
    <row r="24" customFormat="false" ht="15" hidden="false" customHeight="false" outlineLevel="0" collapsed="false">
      <c r="A24" s="54" t="s">
        <v>480</v>
      </c>
      <c r="B24" s="13" t="s">
        <v>481</v>
      </c>
      <c r="C24" s="50" t="n">
        <f aca="false">BS!C6-C23-C22</f>
        <v>0</v>
      </c>
      <c r="D24" s="50" t="n">
        <f aca="false">BS!D6-D23-D22</f>
        <v>0</v>
      </c>
      <c r="E24" s="50" t="n">
        <f aca="false">BS!E6-E23-E22</f>
        <v>0</v>
      </c>
      <c r="F24" s="50" t="n">
        <f aca="false">BS!F6-F23-F22</f>
        <v>0</v>
      </c>
      <c r="G24" s="50" t="n">
        <f aca="false">BS!G6-G23-G22</f>
        <v>29169000000</v>
      </c>
      <c r="H24" s="50" t="n">
        <f aca="false">BS!H6-H23-H22</f>
        <v>37264000000</v>
      </c>
      <c r="I24" s="71" t="n">
        <f aca="false">0</f>
        <v>0</v>
      </c>
      <c r="J24" s="71" t="n">
        <f aca="false">0</f>
        <v>0</v>
      </c>
      <c r="K24" s="71" t="n">
        <f aca="false">0</f>
        <v>0</v>
      </c>
      <c r="L24" s="71" t="n">
        <f aca="false">0</f>
        <v>0</v>
      </c>
      <c r="M24" s="71" t="n">
        <f aca="false">0</f>
        <v>0</v>
      </c>
      <c r="N24" s="15" t="s">
        <v>482</v>
      </c>
    </row>
    <row r="25" customFormat="false" ht="15" hidden="false" customHeight="false" outlineLevel="0" collapsed="false">
      <c r="A25" s="63" t="s">
        <v>483</v>
      </c>
      <c r="B25" s="64" t="s">
        <v>484</v>
      </c>
      <c r="C25" s="66" t="n">
        <f aca="false">C23+C22+C24</f>
        <v>629608688874</v>
      </c>
      <c r="D25" s="66" t="n">
        <f aca="false">D23+D22+D24</f>
        <v>700922359619</v>
      </c>
      <c r="E25" s="66" t="n">
        <f aca="false">E23+E22+E24</f>
        <v>1118254250664</v>
      </c>
      <c r="F25" s="66" t="n">
        <f aca="false">F23+F22+F24</f>
        <v>515185000000</v>
      </c>
      <c r="G25" s="66" t="n">
        <f aca="false">G23+G22+G24</f>
        <v>277208000000</v>
      </c>
      <c r="H25" s="66" t="n">
        <f aca="false">H23+H22+H24</f>
        <v>1826263000000</v>
      </c>
      <c r="I25" s="66" t="n">
        <f aca="false">I23+I22+I24</f>
        <v>1570681805845.63</v>
      </c>
      <c r="J25" s="66" t="n">
        <f aca="false">J23+J22+J24</f>
        <v>1302600274559.27</v>
      </c>
      <c r="K25" s="66" t="n">
        <f aca="false">K23+K22+K24</f>
        <v>1020130687914.76</v>
      </c>
      <c r="L25" s="66" t="n">
        <f aca="false">L23+L22+L24</f>
        <v>722964299959.933</v>
      </c>
      <c r="M25" s="66" t="n">
        <f aca="false">M23+M22+M24</f>
        <v>410865239896.464</v>
      </c>
    </row>
    <row r="26" customFormat="false" ht="15" hidden="false" customHeight="false" outlineLevel="0" collapsed="false">
      <c r="A26" s="16"/>
      <c r="B26" s="17" t="s">
        <v>485</v>
      </c>
      <c r="C26" s="16"/>
      <c r="D26" s="16"/>
      <c r="E26" s="16"/>
      <c r="F26" s="16"/>
      <c r="G26" s="16"/>
      <c r="H26" s="16"/>
      <c r="I26" s="16"/>
      <c r="J26" s="16"/>
      <c r="K26" s="16"/>
      <c r="L26" s="16"/>
      <c r="M26" s="16"/>
      <c r="N26" s="16"/>
    </row>
    <row r="27" customFormat="false" ht="15" hidden="false" customHeight="false" outlineLevel="0" collapsed="false">
      <c r="A27" s="54" t="s">
        <v>486</v>
      </c>
      <c r="B27" s="13" t="s">
        <v>487</v>
      </c>
      <c r="C27" s="72" t="n">
        <f aca="false">C11+C13+N(C14)</f>
        <v>-456937792894</v>
      </c>
      <c r="D27" s="72" t="n">
        <f aca="false">D11+D13+N(D14)</f>
        <v>-130402130669</v>
      </c>
      <c r="E27" s="72" t="n">
        <f aca="false">E11+E13+N(E14)</f>
        <v>-449415669630</v>
      </c>
      <c r="F27" s="72" t="n">
        <f aca="false">F11+F13+N(F14)</f>
        <v>-532681000000</v>
      </c>
      <c r="G27" s="72" t="n">
        <f aca="false">G11+G13+N(G14)</f>
        <v>-259349000000</v>
      </c>
      <c r="H27" s="72" t="n">
        <f aca="false">H11+H13+N(H14)</f>
        <v>-482837000000</v>
      </c>
      <c r="I27" s="71" t="n">
        <f aca="false">I11+I13+I14</f>
        <v>-254449370092.126</v>
      </c>
      <c r="J27" s="71" t="n">
        <f aca="false">J11+J13+J14</f>
        <v>-266845477731.221</v>
      </c>
      <c r="K27" s="71" t="n">
        <f aca="false">K11+K13+K14</f>
        <v>-281119596880.256</v>
      </c>
      <c r="L27" s="71" t="n">
        <f aca="false">L11+L13+L14</f>
        <v>-295691841892.236</v>
      </c>
      <c r="M27" s="71" t="n">
        <f aca="false">M11+M13+M14</f>
        <v>-310488337486.975</v>
      </c>
    </row>
    <row r="28" customFormat="false" ht="15" hidden="false" customHeight="false" outlineLevel="0" collapsed="false">
      <c r="A28" s="54" t="s">
        <v>488</v>
      </c>
      <c r="B28" s="13" t="s">
        <v>489</v>
      </c>
      <c r="C28" s="72" t="n">
        <f aca="false">C27+C18</f>
        <v>-786937792894</v>
      </c>
      <c r="D28" s="72" t="n">
        <f aca="false">D27+D18</f>
        <v>-130402130669</v>
      </c>
      <c r="E28" s="72" t="n">
        <f aca="false">E27+E18</f>
        <v>-449415669630</v>
      </c>
      <c r="F28" s="72" t="n">
        <f aca="false">F27+F18</f>
        <v>-533388000000</v>
      </c>
      <c r="G28" s="72" t="n">
        <f aca="false">G27+G18</f>
        <v>-260057000000</v>
      </c>
      <c r="H28" s="72" t="n">
        <f aca="false">H27+H18</f>
        <v>-484436000000</v>
      </c>
      <c r="I28" s="71" t="n">
        <f aca="false">I27+I18</f>
        <v>-255581194154.366</v>
      </c>
      <c r="J28" s="71" t="n">
        <f aca="false">J27+J18</f>
        <v>-268081531286.36</v>
      </c>
      <c r="K28" s="71" t="n">
        <f aca="false">K27+K18</f>
        <v>-282469586644.518</v>
      </c>
      <c r="L28" s="71" t="n">
        <f aca="false">L27+L18</f>
        <v>-297166387954.823</v>
      </c>
      <c r="M28" s="71" t="n">
        <f aca="false">M27+M18</f>
        <v>-312099060063.47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490</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491</v>
      </c>
      <c r="C5" s="16"/>
      <c r="D5" s="16"/>
      <c r="E5" s="16"/>
      <c r="F5" s="16"/>
      <c r="G5" s="16"/>
      <c r="H5" s="16"/>
      <c r="I5" s="16"/>
      <c r="J5" s="16"/>
      <c r="K5" s="16"/>
      <c r="L5" s="16"/>
      <c r="M5" s="16"/>
      <c r="N5" s="16"/>
    </row>
    <row r="6" customFormat="false" ht="15" hidden="false" customHeight="false" outlineLevel="0" collapsed="false">
      <c r="A6" s="54" t="s">
        <v>492</v>
      </c>
      <c r="B6" s="13" t="s">
        <v>493</v>
      </c>
      <c r="C6" s="61"/>
      <c r="D6" s="61"/>
      <c r="E6" s="61"/>
      <c r="F6" s="61"/>
      <c r="G6" s="61"/>
      <c r="H6" s="61"/>
      <c r="I6" s="51" t="n">
        <f aca="false">BS_Proj!H11</f>
        <v>4286327000000</v>
      </c>
      <c r="J6" s="51" t="n">
        <f aca="false">BS_Proj!I11</f>
        <v>4358699502602.24</v>
      </c>
      <c r="K6" s="51" t="n">
        <f aca="false">BS_Proj!J11</f>
        <v>4464298800320.16</v>
      </c>
      <c r="L6" s="51" t="n">
        <f aca="false">BS_Proj!K11</f>
        <v>4604036730536.41</v>
      </c>
      <c r="M6" s="51" t="n">
        <f aca="false">BS_Proj!L11</f>
        <v>4779093423472.75</v>
      </c>
    </row>
    <row r="7" customFormat="false" ht="15" hidden="false" customHeight="false" outlineLevel="0" collapsed="false">
      <c r="A7" s="54" t="s">
        <v>494</v>
      </c>
      <c r="B7" s="13" t="s">
        <v>495</v>
      </c>
      <c r="C7" s="50" t="n">
        <f aca="false">-(CF!C15+CF!C16)</f>
        <v>544122343656</v>
      </c>
      <c r="D7" s="50" t="n">
        <f aca="false">-(CF!D15+CF!D16)</f>
        <v>464023277324</v>
      </c>
      <c r="E7" s="50" t="n">
        <f aca="false">-(CF!E15+CF!E16)</f>
        <v>655546517280</v>
      </c>
      <c r="F7" s="50" t="n">
        <f aca="false">-(CF!F15+CF!F16)</f>
        <v>583532000000</v>
      </c>
      <c r="G7" s="50" t="n">
        <f aca="false">-(CF!G15+CF!G16)</f>
        <v>525029000000</v>
      </c>
      <c r="H7" s="50" t="n">
        <f aca="false">-(CF!H15+CF!H16)</f>
        <v>579605000000</v>
      </c>
      <c r="I7" s="51" t="n">
        <f aca="false">Asumsi!I19*IS_Proj!I10</f>
        <v>424434023340</v>
      </c>
      <c r="J7" s="51" t="n">
        <f aca="false">Asumsi!J19*IS_Proj!J10</f>
        <v>463520083177.2</v>
      </c>
      <c r="K7" s="51" t="n">
        <f aca="false">Asumsi!K19*IS_Proj!K10</f>
        <v>506246161598.376</v>
      </c>
      <c r="L7" s="51" t="n">
        <f aca="false">Asumsi!L19*IS_Proj!L10</f>
        <v>552954773469.946</v>
      </c>
      <c r="M7" s="51" t="n">
        <f aca="false">Asumsi!M19*IS_Proj!M10</f>
        <v>604020966185.612</v>
      </c>
    </row>
    <row r="8" customFormat="false" ht="15" hidden="false" customHeight="false" outlineLevel="0" collapsed="false">
      <c r="A8" s="54" t="s">
        <v>496</v>
      </c>
      <c r="B8" s="13" t="s">
        <v>497</v>
      </c>
      <c r="C8" s="50" t="n">
        <f aca="false">-CF!C35</f>
        <v>330000000000</v>
      </c>
      <c r="D8" s="50" t="n">
        <f aca="false">-CF!D35</f>
        <v>-0</v>
      </c>
      <c r="E8" s="50" t="n">
        <f aca="false">-CF!E35</f>
        <v>-0</v>
      </c>
      <c r="F8" s="50" t="n">
        <f aca="false">-CF!F35</f>
        <v>707000000</v>
      </c>
      <c r="G8" s="50" t="n">
        <f aca="false">-CF!G35</f>
        <v>708000000</v>
      </c>
      <c r="H8" s="50" t="n">
        <f aca="false">-CF!H35</f>
        <v>1599000000</v>
      </c>
      <c r="I8" s="51" t="n">
        <f aca="false">Asumsi!I20*IS_Proj!I10</f>
        <v>1131824062.24</v>
      </c>
      <c r="J8" s="51" t="n">
        <f aca="false">Asumsi!J20*IS_Proj!J10</f>
        <v>1236053555.1392</v>
      </c>
      <c r="K8" s="51" t="n">
        <f aca="false">Asumsi!K20*IS_Proj!K10</f>
        <v>1349989764.26234</v>
      </c>
      <c r="L8" s="51" t="n">
        <f aca="false">Asumsi!L20*IS_Proj!L10</f>
        <v>1474546062.58652</v>
      </c>
      <c r="M8" s="51" t="n">
        <f aca="false">Asumsi!M20*IS_Proj!M10</f>
        <v>1610722576.49497</v>
      </c>
    </row>
    <row r="9" customFormat="false" ht="15" hidden="false" customHeight="false" outlineLevel="0" collapsed="false">
      <c r="A9" s="54" t="s">
        <v>498</v>
      </c>
      <c r="B9" s="13" t="s">
        <v>499</v>
      </c>
      <c r="C9" s="50" t="n">
        <f aca="false">Schedules!C14+Schedules!C16</f>
        <v>130182090222</v>
      </c>
      <c r="D9" s="50" t="n">
        <f aca="false">Schedules!D14+Schedules!D16</f>
        <v>176694169969</v>
      </c>
      <c r="E9" s="50" t="n">
        <f aca="false">Schedules!E14+Schedules!E16</f>
        <v>227237596826</v>
      </c>
      <c r="F9" s="50" t="n">
        <f aca="false">Schedules!F14+Schedules!F16</f>
        <v>283295000000</v>
      </c>
      <c r="G9" s="50" t="n">
        <f aca="false">Schedules!G14+Schedules!G16</f>
        <v>318977000000</v>
      </c>
      <c r="H9" s="50" t="n">
        <f aca="false">Schedules!H14+Schedules!H16</f>
        <v>365864000000</v>
      </c>
      <c r="I9" s="51" t="n">
        <f aca="false">I6*Asumsi!I21</f>
        <v>353193344800</v>
      </c>
      <c r="J9" s="51" t="n">
        <f aca="false">J6*Asumsi!J21</f>
        <v>359156839014.425</v>
      </c>
      <c r="K9" s="51" t="n">
        <f aca="false">K6*Asumsi!K21</f>
        <v>367858221146.381</v>
      </c>
      <c r="L9" s="51" t="n">
        <f aca="false">L6*Asumsi!L21</f>
        <v>379372626596.2</v>
      </c>
      <c r="M9" s="51" t="n">
        <f aca="false">M6*Asumsi!M21</f>
        <v>393797298094.154</v>
      </c>
    </row>
    <row r="10" customFormat="false" ht="15" hidden="false" customHeight="false" outlineLevel="0" collapsed="false">
      <c r="A10" s="63" t="s">
        <v>500</v>
      </c>
      <c r="B10" s="64" t="s">
        <v>501</v>
      </c>
      <c r="C10" s="65" t="n">
        <f aca="false">BS!C19</f>
        <v>2641613456689</v>
      </c>
      <c r="D10" s="65" t="n">
        <f aca="false">BS!D19</f>
        <v>3169775593830</v>
      </c>
      <c r="E10" s="65" t="n">
        <f aca="false">BS!E19</f>
        <v>3607142163990</v>
      </c>
      <c r="F10" s="65" t="n">
        <f aca="false">BS!F19</f>
        <v>3952312000000</v>
      </c>
      <c r="G10" s="65" t="n">
        <f aca="false">BS!G19</f>
        <v>4164140000000</v>
      </c>
      <c r="H10" s="65" t="n">
        <f aca="false">BS!H19</f>
        <v>4286327000000</v>
      </c>
      <c r="I10" s="66" t="n">
        <f aca="false">I6+I7+I8-I9</f>
        <v>4358699502602.24</v>
      </c>
      <c r="J10" s="66" t="n">
        <f aca="false">J6+J7+J8-J9</f>
        <v>4464298800320.16</v>
      </c>
      <c r="K10" s="66" t="n">
        <f aca="false">K6+K7+K8-K9</f>
        <v>4604036730536.41</v>
      </c>
      <c r="L10" s="66" t="n">
        <f aca="false">L6+L7+L8-L9</f>
        <v>4779093423472.75</v>
      </c>
      <c r="M10" s="66" t="n">
        <f aca="false">M6+M7+M8-M9</f>
        <v>4990927814140.7</v>
      </c>
      <c r="N10" s="15" t="s">
        <v>502</v>
      </c>
    </row>
    <row r="11" customFormat="false" ht="15" hidden="false" customHeight="false" outlineLevel="0" collapsed="false">
      <c r="A11" s="16"/>
      <c r="B11" s="17" t="s">
        <v>503</v>
      </c>
      <c r="C11" s="16"/>
      <c r="D11" s="16"/>
      <c r="E11" s="16"/>
      <c r="F11" s="16"/>
      <c r="G11" s="16"/>
      <c r="H11" s="16"/>
      <c r="I11" s="16"/>
      <c r="J11" s="16"/>
      <c r="K11" s="16"/>
      <c r="L11" s="16"/>
      <c r="M11" s="16"/>
      <c r="N11" s="16"/>
    </row>
    <row r="12" customFormat="false" ht="15" hidden="false" customHeight="false" outlineLevel="0" collapsed="false">
      <c r="A12" s="54" t="s">
        <v>504</v>
      </c>
      <c r="B12" s="13" t="s">
        <v>505</v>
      </c>
      <c r="C12" s="61"/>
      <c r="D12" s="61"/>
      <c r="E12" s="61"/>
      <c r="F12" s="61"/>
      <c r="G12" s="61"/>
      <c r="H12" s="61"/>
      <c r="I12" s="51" t="n">
        <f aca="false">BS_Proj!H12</f>
        <v>26642000000</v>
      </c>
      <c r="J12" s="51" t="n">
        <f aca="false">BS_Proj!I12</f>
        <v>26642000000</v>
      </c>
      <c r="K12" s="51" t="n">
        <f aca="false">BS_Proj!J12</f>
        <v>26642000000</v>
      </c>
      <c r="L12" s="51" t="n">
        <f aca="false">BS_Proj!K12</f>
        <v>26642000000</v>
      </c>
      <c r="M12" s="51" t="n">
        <f aca="false">BS_Proj!L12</f>
        <v>26642000000</v>
      </c>
    </row>
    <row r="13" customFormat="false" ht="15" hidden="false" customHeight="false" outlineLevel="0" collapsed="false">
      <c r="A13" s="54" t="s">
        <v>506</v>
      </c>
      <c r="B13" s="13" t="s">
        <v>507</v>
      </c>
      <c r="C13" s="50" t="n">
        <f aca="false">Schedules!C19</f>
        <v>2375476567</v>
      </c>
      <c r="D13" s="50" t="n">
        <f aca="false">Schedules!D19</f>
        <v>4496436472</v>
      </c>
      <c r="E13" s="50" t="n">
        <f aca="false">Schedules!E19</f>
        <v>6296293019</v>
      </c>
      <c r="F13" s="50" t="n">
        <f aca="false">Schedules!F19</f>
        <v>5982000000</v>
      </c>
      <c r="G13" s="50" t="n">
        <f aca="false">Schedules!G19</f>
        <v>7725000000</v>
      </c>
      <c r="H13" s="50" t="n">
        <f aca="false">Schedules!H19</f>
        <v>15387000000</v>
      </c>
      <c r="I13" s="51" t="n">
        <f aca="false">I12*Asumsi!I22</f>
        <v>35289993200</v>
      </c>
      <c r="J13" s="51" t="n">
        <f aca="false">J12*Asumsi!J22</f>
        <v>35289993200</v>
      </c>
      <c r="K13" s="51" t="n">
        <f aca="false">K12*Asumsi!K22</f>
        <v>35289993200</v>
      </c>
      <c r="L13" s="51" t="n">
        <f aca="false">L12*Asumsi!L22</f>
        <v>35289993200</v>
      </c>
      <c r="M13" s="51" t="n">
        <f aca="false">M12*Asumsi!M22</f>
        <v>35289993200</v>
      </c>
    </row>
    <row r="14" customFormat="false" ht="15" hidden="false" customHeight="false" outlineLevel="0" collapsed="false">
      <c r="A14" s="54" t="s">
        <v>508</v>
      </c>
      <c r="B14" s="13" t="s">
        <v>509</v>
      </c>
      <c r="C14" s="61"/>
      <c r="D14" s="61"/>
      <c r="E14" s="61"/>
      <c r="F14" s="61"/>
      <c r="G14" s="61"/>
      <c r="H14" s="61"/>
      <c r="I14" s="71" t="n">
        <f aca="false">I13</f>
        <v>35289993200</v>
      </c>
      <c r="J14" s="71" t="n">
        <f aca="false">J13</f>
        <v>35289993200</v>
      </c>
      <c r="K14" s="71" t="n">
        <f aca="false">K13</f>
        <v>35289993200</v>
      </c>
      <c r="L14" s="71" t="n">
        <f aca="false">L13</f>
        <v>35289993200</v>
      </c>
      <c r="M14" s="71" t="n">
        <f aca="false">M13</f>
        <v>35289993200</v>
      </c>
    </row>
    <row r="15" customFormat="false" ht="15" hidden="false" customHeight="false" outlineLevel="0" collapsed="false">
      <c r="A15" s="63" t="s">
        <v>510</v>
      </c>
      <c r="B15" s="64" t="s">
        <v>511</v>
      </c>
      <c r="C15" s="65" t="n">
        <f aca="false">BS!C22</f>
        <v>10032147719</v>
      </c>
      <c r="D15" s="65" t="n">
        <f aca="false">BS!D22</f>
        <v>18016628295</v>
      </c>
      <c r="E15" s="65" t="n">
        <f aca="false">BS!E22</f>
        <v>12824038513</v>
      </c>
      <c r="F15" s="65" t="n">
        <f aca="false">BS!F22</f>
        <v>11773000000</v>
      </c>
      <c r="G15" s="65" t="n">
        <f aca="false">BS!G22</f>
        <v>11616000000</v>
      </c>
      <c r="H15" s="65" t="n">
        <f aca="false">BS!H22</f>
        <v>26642000000</v>
      </c>
      <c r="I15" s="66" t="n">
        <f aca="false">I12+I14-I13</f>
        <v>26642000000</v>
      </c>
      <c r="J15" s="66" t="n">
        <f aca="false">J12+J14-J13</f>
        <v>26642000000</v>
      </c>
      <c r="K15" s="66" t="n">
        <f aca="false">K12+K14-K13</f>
        <v>26642000000</v>
      </c>
      <c r="L15" s="66" t="n">
        <f aca="false">L12+L14-L13</f>
        <v>26642000000</v>
      </c>
      <c r="M15" s="66" t="n">
        <f aca="false">M12+M14-M13</f>
        <v>26642000000</v>
      </c>
    </row>
    <row r="16" customFormat="false" ht="15" hidden="false" customHeight="false" outlineLevel="0" collapsed="false">
      <c r="A16" s="16"/>
      <c r="B16" s="17" t="s">
        <v>512</v>
      </c>
      <c r="C16" s="16"/>
      <c r="D16" s="16"/>
      <c r="E16" s="16"/>
      <c r="F16" s="16"/>
      <c r="G16" s="16"/>
      <c r="H16" s="16"/>
      <c r="I16" s="16"/>
      <c r="J16" s="16"/>
      <c r="K16" s="16"/>
      <c r="L16" s="16"/>
      <c r="M16" s="16"/>
      <c r="N16" s="16"/>
    </row>
    <row r="17" customFormat="false" ht="15" hidden="false" customHeight="false" outlineLevel="0" collapsed="false">
      <c r="A17" s="54" t="s">
        <v>513</v>
      </c>
      <c r="B17" s="13" t="s">
        <v>514</v>
      </c>
      <c r="C17" s="61"/>
      <c r="D17" s="61"/>
      <c r="E17" s="61"/>
      <c r="F17" s="61"/>
      <c r="G17" s="61"/>
      <c r="H17" s="61"/>
      <c r="I17" s="51" t="n">
        <f aca="false">BS_Proj!H19</f>
        <v>7677000000</v>
      </c>
      <c r="J17" s="51" t="n">
        <f aca="false">BS_Proj!I19</f>
        <v>7677000000</v>
      </c>
      <c r="K17" s="51" t="n">
        <f aca="false">BS_Proj!J19</f>
        <v>7677000000</v>
      </c>
      <c r="L17" s="51" t="n">
        <f aca="false">BS_Proj!K19</f>
        <v>7677000000</v>
      </c>
      <c r="M17" s="51" t="n">
        <f aca="false">BS_Proj!L19</f>
        <v>7677000000</v>
      </c>
    </row>
    <row r="18" customFormat="false" ht="15" hidden="false" customHeight="false" outlineLevel="0" collapsed="false">
      <c r="A18" s="63" t="s">
        <v>515</v>
      </c>
      <c r="B18" s="64" t="s">
        <v>516</v>
      </c>
      <c r="C18" s="65" t="n">
        <f aca="false">(BS!C42+BS!C49)</f>
        <v>0</v>
      </c>
      <c r="D18" s="65" t="n">
        <f aca="false">(BS!D42+BS!D49)</f>
        <v>0</v>
      </c>
      <c r="E18" s="65" t="n">
        <f aca="false">(BS!E42+BS!E49)</f>
        <v>0</v>
      </c>
      <c r="F18" s="65" t="n">
        <f aca="false">(BS!F42+BS!F49)</f>
        <v>3891000000</v>
      </c>
      <c r="G18" s="65" t="n">
        <f aca="false">(BS!G42+BS!G49)</f>
        <v>3276000000</v>
      </c>
      <c r="H18" s="65" t="n">
        <f aca="false">(BS!H42+BS!H49)</f>
        <v>7677000000</v>
      </c>
      <c r="I18" s="66" t="n">
        <f aca="false">I17</f>
        <v>7677000000</v>
      </c>
      <c r="J18" s="66" t="n">
        <f aca="false">J17</f>
        <v>7677000000</v>
      </c>
      <c r="K18" s="66" t="n">
        <f aca="false">K17</f>
        <v>7677000000</v>
      </c>
      <c r="L18" s="66" t="n">
        <f aca="false">L17</f>
        <v>7677000000</v>
      </c>
      <c r="M18" s="66" t="n">
        <f aca="false">M17</f>
        <v>7677000000</v>
      </c>
      <c r="N18" s="15" t="s">
        <v>517</v>
      </c>
    </row>
    <row r="19" customFormat="false" ht="15" hidden="false" customHeight="false" outlineLevel="0" collapsed="false">
      <c r="A19" s="54" t="s">
        <v>518</v>
      </c>
      <c r="B19" s="13" t="s">
        <v>519</v>
      </c>
      <c r="C19" s="61"/>
      <c r="D19" s="50" t="n">
        <f aca="false">AVERAGE((BS!C42+BS!C49),D18)</f>
        <v>0</v>
      </c>
      <c r="E19" s="50" t="n">
        <f aca="false">AVERAGE((BS!D42+BS!D49),E18)</f>
        <v>0</v>
      </c>
      <c r="F19" s="50" t="n">
        <f aca="false">AVERAGE((BS!E42+BS!E49),F18)</f>
        <v>1945500000</v>
      </c>
      <c r="G19" s="50" t="n">
        <f aca="false">AVERAGE((BS!F42+BS!F49),G18)</f>
        <v>3583500000</v>
      </c>
      <c r="H19" s="50" t="n">
        <f aca="false">AVERAGE((BS!G42+BS!G49),H18)</f>
        <v>5476500000</v>
      </c>
      <c r="I19" s="71" t="n">
        <f aca="false">AVERAGE(I17,I18)</f>
        <v>7677000000</v>
      </c>
      <c r="J19" s="71" t="n">
        <f aca="false">AVERAGE(J17,J18)</f>
        <v>7677000000</v>
      </c>
      <c r="K19" s="71" t="n">
        <f aca="false">AVERAGE(K17,K18)</f>
        <v>7677000000</v>
      </c>
      <c r="L19" s="71" t="n">
        <f aca="false">AVERAGE(L17,L18)</f>
        <v>7677000000</v>
      </c>
      <c r="M19" s="71" t="n">
        <f aca="false">AVERAGE(M17,M18)</f>
        <v>7677000000</v>
      </c>
    </row>
    <row r="20" customFormat="false" ht="15" hidden="false" customHeight="false" outlineLevel="0" collapsed="false">
      <c r="A20" s="16"/>
      <c r="B20" s="17" t="s">
        <v>520</v>
      </c>
      <c r="C20" s="16"/>
      <c r="D20" s="16"/>
      <c r="E20" s="16"/>
      <c r="F20" s="16"/>
      <c r="G20" s="16"/>
      <c r="H20" s="16"/>
      <c r="I20" s="16"/>
      <c r="J20" s="16"/>
      <c r="K20" s="16"/>
      <c r="L20" s="16"/>
      <c r="M20" s="16"/>
      <c r="N20" s="16"/>
    </row>
    <row r="21" customFormat="false" ht="15" hidden="false" customHeight="false" outlineLevel="0" collapsed="false">
      <c r="A21" s="54" t="s">
        <v>521</v>
      </c>
      <c r="B21" s="13" t="s">
        <v>522</v>
      </c>
      <c r="C21" s="61"/>
      <c r="D21" s="61"/>
      <c r="E21" s="61"/>
      <c r="F21" s="61"/>
      <c r="G21" s="61"/>
      <c r="H21" s="61"/>
      <c r="I21" s="51" t="n">
        <f aca="false">BS_Proj!H18</f>
        <v>4684415000000</v>
      </c>
      <c r="J21" s="51" t="n">
        <f aca="false">BS_Proj!I18</f>
        <v>4684415000000</v>
      </c>
      <c r="K21" s="51" t="n">
        <f aca="false">BS_Proj!J18</f>
        <v>4684415000000</v>
      </c>
      <c r="L21" s="51" t="n">
        <f aca="false">BS_Proj!K18</f>
        <v>4684415000000</v>
      </c>
      <c r="M21" s="51" t="n">
        <f aca="false">BS_Proj!L18</f>
        <v>4684415000000</v>
      </c>
    </row>
    <row r="22" customFormat="false" ht="15" hidden="false" customHeight="false" outlineLevel="0" collapsed="false">
      <c r="A22" s="54" t="s">
        <v>523</v>
      </c>
      <c r="B22" s="13" t="s">
        <v>524</v>
      </c>
      <c r="C22" s="61"/>
      <c r="D22" s="61"/>
      <c r="E22" s="61"/>
      <c r="F22" s="61"/>
      <c r="G22" s="61"/>
      <c r="H22" s="61"/>
      <c r="I22" s="51" t="n">
        <f aca="false">Asumsi!I31</f>
        <v>0</v>
      </c>
      <c r="J22" s="51" t="n">
        <f aca="false">Asumsi!J31</f>
        <v>0</v>
      </c>
      <c r="K22" s="51" t="n">
        <f aca="false">Asumsi!K31</f>
        <v>0</v>
      </c>
      <c r="L22" s="51" t="n">
        <f aca="false">Asumsi!L31</f>
        <v>0</v>
      </c>
      <c r="M22" s="51" t="n">
        <f aca="false">Asumsi!M31</f>
        <v>0</v>
      </c>
    </row>
    <row r="23" customFormat="false" ht="15" hidden="false" customHeight="false" outlineLevel="0" collapsed="false">
      <c r="A23" s="63" t="s">
        <v>525</v>
      </c>
      <c r="B23" s="64" t="s">
        <v>526</v>
      </c>
      <c r="C23" s="65" t="n">
        <f aca="false">(BS!C29+BS!C38+BS!C45+BS!C39+BS!C46+BS!C40+BS!C47+BS!C41+BS!C48)</f>
        <v>1072251221694</v>
      </c>
      <c r="D23" s="65" t="n">
        <f aca="false">(BS!D29+BS!D38+BS!D45+BS!D39+BS!D46+BS!D40+BS!D47+BS!D41+BS!D48)</f>
        <v>846194719314</v>
      </c>
      <c r="E23" s="65" t="n">
        <f aca="false">(BS!E29+BS!E38+BS!E45+BS!E39+BS!E46+BS!E40+BS!E47+BS!E41+BS!E48)</f>
        <v>1725310890922</v>
      </c>
      <c r="F23" s="65" t="n">
        <f aca="false">(BS!F29+BS!F38+BS!F45+BS!F39+BS!F46+BS!F40+BS!F47+BS!F41+BS!F48)</f>
        <v>1646343000000</v>
      </c>
      <c r="G23" s="65" t="n">
        <f aca="false">(BS!G29+BS!G38+BS!G45+BS!G39+BS!G46+BS!G40+BS!G47+BS!G41+BS!G48)</f>
        <v>1665866000000</v>
      </c>
      <c r="H23" s="65" t="n">
        <f aca="false">(BS!H29+BS!H38+BS!H45+BS!H39+BS!H46+BS!H40+BS!H47+BS!H41+BS!H48)</f>
        <v>4684415000000</v>
      </c>
      <c r="I23" s="66" t="n">
        <f aca="false">I21+I22</f>
        <v>4684415000000</v>
      </c>
      <c r="J23" s="66" t="n">
        <f aca="false">J21+J22</f>
        <v>4684415000000</v>
      </c>
      <c r="K23" s="66" t="n">
        <f aca="false">K21+K22</f>
        <v>4684415000000</v>
      </c>
      <c r="L23" s="66" t="n">
        <f aca="false">L21+L22</f>
        <v>4684415000000</v>
      </c>
      <c r="M23" s="66" t="n">
        <f aca="false">M21+M22</f>
        <v>4684415000000</v>
      </c>
    </row>
    <row r="24" customFormat="false" ht="15" hidden="false" customHeight="false" outlineLevel="0" collapsed="false">
      <c r="A24" s="54" t="s">
        <v>527</v>
      </c>
      <c r="B24" s="13" t="s">
        <v>528</v>
      </c>
      <c r="C24" s="61"/>
      <c r="D24" s="50" t="n">
        <f aca="false">AVERAGE((BS!C29+BS!C38+BS!C45+BS!C39+BS!C46+BS!C40+BS!C47+BS!C41+BS!C48),D23)</f>
        <v>959222970504</v>
      </c>
      <c r="E24" s="50" t="n">
        <f aca="false">AVERAGE((BS!D29+BS!D38+BS!D45+BS!D39+BS!D46+BS!D40+BS!D47+BS!D41+BS!D48),E23)</f>
        <v>1285752805118</v>
      </c>
      <c r="F24" s="50" t="n">
        <f aca="false">AVERAGE((BS!E29+BS!E38+BS!E45+BS!E39+BS!E46+BS!E40+BS!E47+BS!E41+BS!E48),F23)</f>
        <v>1685826945461</v>
      </c>
      <c r="G24" s="50" t="n">
        <f aca="false">AVERAGE((BS!F29+BS!F38+BS!F45+BS!F39+BS!F46+BS!F40+BS!F47+BS!F41+BS!F48),G23)</f>
        <v>1656104500000</v>
      </c>
      <c r="H24" s="50" t="n">
        <f aca="false">AVERAGE((BS!G29+BS!G38+BS!G45+BS!G39+BS!G46+BS!G40+BS!G47+BS!G41+BS!G48),H23)</f>
        <v>3175140500000</v>
      </c>
      <c r="I24" s="71" t="n">
        <f aca="false">AVERAGE(I21,I23)</f>
        <v>4684415000000</v>
      </c>
      <c r="J24" s="71" t="n">
        <f aca="false">AVERAGE(J21,J23)</f>
        <v>4684415000000</v>
      </c>
      <c r="K24" s="71" t="n">
        <f aca="false">AVERAGE(K21,K23)</f>
        <v>4684415000000</v>
      </c>
      <c r="L24" s="71" t="n">
        <f aca="false">AVERAGE(L21,L23)</f>
        <v>4684415000000</v>
      </c>
      <c r="M24" s="71" t="n">
        <f aca="false">AVERAGE(M21,M23)</f>
        <v>4684415000000</v>
      </c>
    </row>
    <row r="25" customFormat="false" ht="15" hidden="false" customHeight="false" outlineLevel="0" collapsed="false">
      <c r="A25" s="16"/>
      <c r="B25" s="17" t="s">
        <v>529</v>
      </c>
      <c r="C25" s="16"/>
      <c r="D25" s="16"/>
      <c r="E25" s="16"/>
      <c r="F25" s="16"/>
      <c r="G25" s="16"/>
      <c r="H25" s="16"/>
      <c r="I25" s="16"/>
      <c r="J25" s="16"/>
      <c r="K25" s="16"/>
      <c r="L25" s="16"/>
      <c r="M25" s="16"/>
      <c r="N25" s="16"/>
    </row>
    <row r="26" customFormat="false" ht="15" hidden="false" customHeight="false" outlineLevel="0" collapsed="false">
      <c r="A26" s="54" t="s">
        <v>530</v>
      </c>
      <c r="B26" s="13" t="s">
        <v>531</v>
      </c>
      <c r="C26" s="50" t="n">
        <f aca="false">(BS!C8+BS!C9)</f>
        <v>225422821680</v>
      </c>
      <c r="D26" s="50" t="n">
        <f aca="false">(BS!D8+BS!D9)</f>
        <v>233901361278</v>
      </c>
      <c r="E26" s="50" t="n">
        <f aca="false">(BS!E8+BS!E9)</f>
        <v>242981358318</v>
      </c>
      <c r="F26" s="50" t="n">
        <f aca="false">(BS!F8+BS!F9)</f>
        <v>395321000000</v>
      </c>
      <c r="G26" s="50" t="n">
        <f aca="false">(BS!G8+BS!G9)</f>
        <v>424298000000</v>
      </c>
      <c r="H26" s="50" t="n">
        <f aca="false">(BS!H8+BS!H9)</f>
        <v>557933000000</v>
      </c>
      <c r="I26" s="51" t="n">
        <f aca="false">IS_Proj!I10*Asumsi!I24/365</f>
        <v>612425348746.301</v>
      </c>
      <c r="J26" s="51" t="n">
        <f aca="false">IS_Proj!J10*Asumsi!J24/365</f>
        <v>668823499013.677</v>
      </c>
      <c r="K26" s="51" t="n">
        <f aca="false">IS_Proj!K10*Asumsi!K24/365</f>
        <v>730473913539.21</v>
      </c>
      <c r="L26" s="51" t="n">
        <f aca="false">IS_Proj!L10*Asumsi!L24/365</f>
        <v>797870814687.228</v>
      </c>
      <c r="M26" s="51" t="n">
        <f aca="false">IS_Proj!M10*Asumsi!M24/365</f>
        <v>871555366733.577</v>
      </c>
    </row>
    <row r="27" customFormat="false" ht="15" hidden="false" customHeight="false" outlineLevel="0" collapsed="false">
      <c r="A27" s="54" t="s">
        <v>532</v>
      </c>
      <c r="B27" s="13" t="s">
        <v>533</v>
      </c>
      <c r="C27" s="50" t="n">
        <f aca="false">BS!C12</f>
        <v>74691220678</v>
      </c>
      <c r="D27" s="50" t="n">
        <f aca="false">BS!D12</f>
        <v>70409082280</v>
      </c>
      <c r="E27" s="50" t="n">
        <f aca="false">BS!E12</f>
        <v>49621868590</v>
      </c>
      <c r="F27" s="50" t="n">
        <f aca="false">BS!F12</f>
        <v>48940000000</v>
      </c>
      <c r="G27" s="50" t="n">
        <f aca="false">BS!G12</f>
        <v>61316000000</v>
      </c>
      <c r="H27" s="50" t="n">
        <f aca="false">BS!H12</f>
        <v>73323000000</v>
      </c>
      <c r="I27" s="51" t="n">
        <f aca="false">-IS_Proj!I13*Asumsi!I25/365</f>
        <v>79770339729.1068</v>
      </c>
      <c r="J27" s="51" t="n">
        <f aca="false">-IS_Proj!J13*Asumsi!J25/365</f>
        <v>87116377276.5916</v>
      </c>
      <c r="K27" s="51" t="n">
        <f aca="false">-IS_Proj!K13*Asumsi!K25/365</f>
        <v>95146538864.7907</v>
      </c>
      <c r="L27" s="51" t="n">
        <f aca="false">-IS_Proj!L13*Asumsi!L25/365</f>
        <v>103925198520.653</v>
      </c>
      <c r="M27" s="51" t="n">
        <f aca="false">-IS_Proj!M13*Asumsi!M25/365</f>
        <v>113522844603.652</v>
      </c>
    </row>
    <row r="28" customFormat="false" ht="15" hidden="false" customHeight="false" outlineLevel="0" collapsed="false">
      <c r="A28" s="54" t="s">
        <v>534</v>
      </c>
      <c r="B28" s="13" t="s">
        <v>535</v>
      </c>
      <c r="C28" s="50" t="n">
        <f aca="false">(BS!C30+BS!C31)</f>
        <v>175206597303</v>
      </c>
      <c r="D28" s="50" t="n">
        <f aca="false">(BS!D30+BS!D31)</f>
        <v>192301032210</v>
      </c>
      <c r="E28" s="50" t="n">
        <f aca="false">(BS!E30+BS!E31)</f>
        <v>161991239794</v>
      </c>
      <c r="F28" s="50" t="n">
        <f aca="false">(BS!F30+BS!F31)</f>
        <v>140702000000</v>
      </c>
      <c r="G28" s="50" t="n">
        <f aca="false">(BS!G30+BS!G31)</f>
        <v>156194000000</v>
      </c>
      <c r="H28" s="50" t="n">
        <f aca="false">(BS!H30+BS!H31)</f>
        <v>113840000000</v>
      </c>
      <c r="I28" s="51" t="n">
        <f aca="false">-IS_Proj!I13*Asumsi!I26/365</f>
        <v>125353391002.882</v>
      </c>
      <c r="J28" s="51" t="n">
        <f aca="false">-IS_Proj!J13*Asumsi!J26/365</f>
        <v>136897164291.787</v>
      </c>
      <c r="K28" s="51" t="n">
        <f aca="false">-IS_Proj!K13*Asumsi!K26/365</f>
        <v>149515989644.671</v>
      </c>
      <c r="L28" s="51" t="n">
        <f aca="false">-IS_Proj!L13*Asumsi!L26/365</f>
        <v>163311026246.74</v>
      </c>
      <c r="M28" s="51" t="n">
        <f aca="false">-IS_Proj!M13*Asumsi!M26/365</f>
        <v>178393041520.025</v>
      </c>
    </row>
    <row r="29" customFormat="false" ht="15" hidden="false" customHeight="false" outlineLevel="0" collapsed="false">
      <c r="A29" s="63" t="s">
        <v>536</v>
      </c>
      <c r="B29" s="64" t="s">
        <v>537</v>
      </c>
      <c r="C29" s="66" t="n">
        <f aca="false">C26+C27-C28</f>
        <v>124907445055</v>
      </c>
      <c r="D29" s="66" t="n">
        <f aca="false">D26+D27-D28</f>
        <v>112009411348</v>
      </c>
      <c r="E29" s="66" t="n">
        <f aca="false">E26+E27-E28</f>
        <v>130611987114</v>
      </c>
      <c r="F29" s="66" t="n">
        <f aca="false">F26+F27-F28</f>
        <v>303559000000</v>
      </c>
      <c r="G29" s="66" t="n">
        <f aca="false">G26+G27-G28</f>
        <v>329420000000</v>
      </c>
      <c r="H29" s="66" t="n">
        <f aca="false">H26+H27-H28</f>
        <v>517416000000</v>
      </c>
      <c r="I29" s="66" t="n">
        <f aca="false">I26+I27-I28</f>
        <v>566842297472.526</v>
      </c>
      <c r="J29" s="66" t="n">
        <f aca="false">J26+J27-J28</f>
        <v>619042711998.482</v>
      </c>
      <c r="K29" s="66" t="n">
        <f aca="false">K26+K27-K28</f>
        <v>676104462759.329</v>
      </c>
      <c r="L29" s="66" t="n">
        <f aca="false">L26+L27-L28</f>
        <v>738484986961.141</v>
      </c>
      <c r="M29" s="66" t="n">
        <f aca="false">M26+M27-M28</f>
        <v>806685169817.205</v>
      </c>
    </row>
    <row r="30" customFormat="false" ht="15" hidden="false" customHeight="false" outlineLevel="0" collapsed="false">
      <c r="A30" s="54" t="s">
        <v>538</v>
      </c>
      <c r="B30" s="13" t="s">
        <v>539</v>
      </c>
      <c r="C30" s="61"/>
      <c r="D30" s="72" t="n">
        <f aca="false">C29-D29</f>
        <v>12898033707</v>
      </c>
      <c r="E30" s="72" t="n">
        <f aca="false">D29-E29</f>
        <v>-18602575766</v>
      </c>
      <c r="F30" s="72" t="n">
        <f aca="false">E29-F29</f>
        <v>-172947012886</v>
      </c>
      <c r="G30" s="72" t="n">
        <f aca="false">F29-G29</f>
        <v>-25861000000</v>
      </c>
      <c r="H30" s="72" t="n">
        <f aca="false">G29-H29</f>
        <v>-187996000000</v>
      </c>
      <c r="I30" s="71" t="n">
        <f aca="false">H29-I29</f>
        <v>-49426297472.526</v>
      </c>
      <c r="J30" s="71" t="n">
        <f aca="false">I29-J29</f>
        <v>-52200414525.9556</v>
      </c>
      <c r="K30" s="71" t="n">
        <f aca="false">J29-K29</f>
        <v>-57061750760.8475</v>
      </c>
      <c r="L30" s="71" t="n">
        <f aca="false">K29-L29</f>
        <v>-62380524201.8118</v>
      </c>
      <c r="M30" s="71" t="n">
        <f aca="false">L29-M29</f>
        <v>-68200182856.0637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540</v>
      </c>
    </row>
    <row r="2" customFormat="false" ht="15" hidden="false" customHeight="false" outlineLevel="0" collapsed="false">
      <c r="A2" s="15" t="s">
        <v>541</v>
      </c>
    </row>
    <row r="4" customFormat="false" ht="15" hidden="false" customHeight="false" outlineLevel="0" collapsed="false">
      <c r="A4" s="16"/>
      <c r="B4" s="17" t="s">
        <v>542</v>
      </c>
      <c r="C4" s="16"/>
      <c r="D4" s="16"/>
      <c r="E4" s="16"/>
      <c r="F4" s="16"/>
      <c r="G4" s="16"/>
      <c r="H4" s="16"/>
      <c r="I4" s="16"/>
      <c r="J4" s="16"/>
      <c r="K4" s="16"/>
      <c r="L4" s="16"/>
      <c r="M4" s="16"/>
      <c r="N4" s="16"/>
    </row>
    <row r="5" customFormat="false" ht="15" hidden="false" customHeight="false" outlineLevel="0" collapsed="false">
      <c r="B5" s="13" t="s">
        <v>543</v>
      </c>
      <c r="C5" s="73"/>
      <c r="D5" s="15" t="s">
        <v>544</v>
      </c>
    </row>
    <row r="6" customFormat="false" ht="15" hidden="false" customHeight="false" outlineLevel="0" collapsed="false">
      <c r="B6" s="13" t="s">
        <v>545</v>
      </c>
      <c r="C6" s="73"/>
      <c r="D6" s="15" t="s">
        <v>546</v>
      </c>
    </row>
    <row r="7" customFormat="false" ht="15" hidden="false" customHeight="false" outlineLevel="0" collapsed="false">
      <c r="B7" s="13" t="s">
        <v>547</v>
      </c>
      <c r="C7" s="74"/>
      <c r="D7" s="15" t="s">
        <v>548</v>
      </c>
    </row>
    <row r="8" customFormat="false" ht="15" hidden="false" customHeight="false" outlineLevel="0" collapsed="false">
      <c r="B8" s="13" t="s">
        <v>549</v>
      </c>
      <c r="C8" s="73"/>
      <c r="D8" s="15" t="s">
        <v>550</v>
      </c>
    </row>
    <row r="9" customFormat="false" ht="15" hidden="false" customHeight="false" outlineLevel="0" collapsed="false">
      <c r="B9" s="13" t="s">
        <v>551</v>
      </c>
      <c r="C9" s="73"/>
      <c r="D9" s="15" t="s">
        <v>552</v>
      </c>
    </row>
    <row r="10" customFormat="false" ht="15" hidden="false" customHeight="false" outlineLevel="0" collapsed="false">
      <c r="B10" s="13" t="s">
        <v>553</v>
      </c>
      <c r="C10" s="73"/>
      <c r="D10" s="15" t="s">
        <v>554</v>
      </c>
    </row>
    <row r="11" customFormat="false" ht="15" hidden="false" customHeight="false" outlineLevel="0" collapsed="false">
      <c r="B11" s="13" t="s">
        <v>555</v>
      </c>
      <c r="C11" s="73"/>
      <c r="D11" s="15" t="s">
        <v>552</v>
      </c>
    </row>
    <row r="12" customFormat="false" ht="15" hidden="false" customHeight="false" outlineLevel="0" collapsed="false">
      <c r="B12" s="13" t="s">
        <v>556</v>
      </c>
      <c r="C12" s="73"/>
      <c r="D12" s="15" t="s">
        <v>552</v>
      </c>
    </row>
    <row r="13" customFormat="false" ht="15" hidden="false" customHeight="false" outlineLevel="0" collapsed="false">
      <c r="B13" s="13" t="s">
        <v>557</v>
      </c>
      <c r="C13" s="75"/>
      <c r="D13" s="15" t="s">
        <v>558</v>
      </c>
    </row>
    <row r="14" customFormat="false" ht="15" hidden="false" customHeight="false" outlineLevel="0" collapsed="false">
      <c r="B14" s="13" t="s">
        <v>559</v>
      </c>
      <c r="C14" s="76"/>
      <c r="D14" s="15" t="s">
        <v>550</v>
      </c>
    </row>
    <row r="15" customFormat="false" ht="15" hidden="false" customHeight="false" outlineLevel="0" collapsed="false">
      <c r="B15" s="13" t="s">
        <v>560</v>
      </c>
      <c r="C15" s="77" t="b">
        <f aca="false">COUNT($C$5,$C$6,$C$7,$C$9,$C$10,$C$11)=6</f>
        <v>0</v>
      </c>
    </row>
    <row r="16" customFormat="false" ht="15" hidden="false" customHeight="false" outlineLevel="0" collapsed="false">
      <c r="B16" s="13" t="s">
        <v>561</v>
      </c>
      <c r="C16" s="77" t="b">
        <f aca="false">AND($C$15,COUNT($C$12)=1)</f>
        <v>0</v>
      </c>
    </row>
    <row r="17" customFormat="false" ht="15" hidden="false" customHeight="false" outlineLevel="0" collapsed="false">
      <c r="B17" s="13" t="s">
        <v>562</v>
      </c>
      <c r="C17" s="77" t="b">
        <f aca="false">AND($C$15,COUNT($C$13)=1)</f>
        <v>0</v>
      </c>
    </row>
    <row r="19" customFormat="false" ht="15" hidden="false" customHeight="false" outlineLevel="0" collapsed="false">
      <c r="A19" s="16"/>
      <c r="B19" s="17" t="s">
        <v>563</v>
      </c>
      <c r="C19" s="16"/>
      <c r="D19" s="16"/>
      <c r="E19" s="16"/>
      <c r="F19" s="16"/>
      <c r="G19" s="16"/>
      <c r="H19" s="16"/>
      <c r="I19" s="16"/>
      <c r="J19" s="16"/>
      <c r="K19" s="16"/>
      <c r="L19" s="16"/>
      <c r="M19" s="16"/>
      <c r="N19" s="16"/>
    </row>
    <row r="20" customFormat="false" ht="15" hidden="false" customHeight="false" outlineLevel="0" collapsed="false">
      <c r="B20" s="13" t="s">
        <v>564</v>
      </c>
      <c r="C20" s="67" t="str">
        <f aca="false">IF($C$15,$C$5+$C$7*$C$6+N($C$8),"")</f>
        <v/>
      </c>
    </row>
    <row r="21" customFormat="false" ht="15" hidden="false" customHeight="false" outlineLevel="0" collapsed="false">
      <c r="B21" s="13" t="s">
        <v>565</v>
      </c>
      <c r="C21" s="67" t="str">
        <f aca="false">IF($C$15,$C$9*(1-$C$10),"")</f>
        <v/>
      </c>
    </row>
    <row r="22" customFormat="false" ht="15" hidden="false" customHeight="false" outlineLevel="0" collapsed="false">
      <c r="B22" s="13" t="s">
        <v>563</v>
      </c>
      <c r="C22" s="67" t="str">
        <f aca="false">IF($C$15,$C$20*(1-$C$11)+$C$21*$C$11,"")</f>
        <v/>
      </c>
    </row>
    <row r="24" customFormat="false" ht="15" hidden="false" customHeight="false" outlineLevel="0" collapsed="false">
      <c r="A24" s="16"/>
      <c r="B24" s="17" t="s">
        <v>566</v>
      </c>
      <c r="C24" s="16"/>
      <c r="D24" s="16"/>
      <c r="E24" s="16"/>
      <c r="F24" s="16"/>
      <c r="G24" s="16"/>
      <c r="H24" s="16"/>
      <c r="I24" s="16"/>
      <c r="J24" s="16"/>
      <c r="K24" s="16"/>
      <c r="L24" s="16"/>
      <c r="M24" s="16"/>
      <c r="N24" s="16"/>
    </row>
    <row r="25" customFormat="false" ht="15" hidden="false" customHeight="false" outlineLevel="0" collapsed="false">
      <c r="I25" s="43" t="s">
        <v>171</v>
      </c>
      <c r="J25" s="43" t="s">
        <v>172</v>
      </c>
      <c r="K25" s="43" t="s">
        <v>173</v>
      </c>
      <c r="L25" s="43" t="s">
        <v>174</v>
      </c>
      <c r="M25" s="43" t="s">
        <v>175</v>
      </c>
    </row>
    <row r="26" customFormat="false" ht="15" hidden="false" customHeight="false" outlineLevel="0" collapsed="false">
      <c r="B26" s="13" t="s">
        <v>567</v>
      </c>
      <c r="I26" s="78" t="n">
        <v>1</v>
      </c>
      <c r="J26" s="78" t="n">
        <v>2</v>
      </c>
      <c r="K26" s="78" t="n">
        <v>3</v>
      </c>
      <c r="L26" s="78" t="n">
        <v>4</v>
      </c>
      <c r="M26" s="78" t="n">
        <v>5</v>
      </c>
    </row>
    <row r="27" customFormat="false" ht="15" hidden="false" customHeight="false" outlineLevel="0" collapsed="false">
      <c r="B27" s="13" t="s">
        <v>568</v>
      </c>
      <c r="I27" s="50" t="n">
        <f aca="false">IS_Proj!I19</f>
        <v>202894734520.4</v>
      </c>
      <c r="J27" s="50" t="n">
        <f aca="false">IS_Proj!J19</f>
        <v>251391150345.807</v>
      </c>
      <c r="K27" s="50" t="n">
        <f aca="false">IS_Proj!K19</f>
        <v>302221437480.69</v>
      </c>
      <c r="L27" s="50" t="n">
        <f aca="false">IS_Proj!L19</f>
        <v>355787697905.258</v>
      </c>
      <c r="M27" s="50" t="n">
        <f aca="false">IS_Proj!M19</f>
        <v>412515254924.465</v>
      </c>
    </row>
    <row r="28" customFormat="false" ht="15" hidden="false" customHeight="false" outlineLevel="0" collapsed="false">
      <c r="B28" s="13" t="s">
        <v>569</v>
      </c>
      <c r="I28" s="50" t="n">
        <f aca="false">-MAX(I27,0)*Asumsi!I28</f>
        <v>-50723683630.1</v>
      </c>
      <c r="J28" s="50" t="n">
        <f aca="false">-MAX(J27,0)*Asumsi!J28</f>
        <v>-62847787586.4519</v>
      </c>
      <c r="K28" s="50" t="n">
        <f aca="false">-MAX(K27,0)*Asumsi!K28</f>
        <v>-75555359370.1725</v>
      </c>
      <c r="L28" s="50" t="n">
        <f aca="false">-MAX(L27,0)*Asumsi!L28</f>
        <v>-88946924476.3145</v>
      </c>
      <c r="M28" s="50" t="n">
        <f aca="false">-MAX(M27,0)*Asumsi!M28</f>
        <v>-103128813731.116</v>
      </c>
    </row>
    <row r="29" customFormat="false" ht="15" hidden="false" customHeight="false" outlineLevel="0" collapsed="false">
      <c r="B29" s="13" t="s">
        <v>570</v>
      </c>
      <c r="I29" s="72" t="n">
        <f aca="false">I27+I28</f>
        <v>152171050890.3</v>
      </c>
      <c r="J29" s="72" t="n">
        <f aca="false">J27+J28</f>
        <v>188543362759.356</v>
      </c>
      <c r="K29" s="72" t="n">
        <f aca="false">K27+K28</f>
        <v>226666078110.517</v>
      </c>
      <c r="L29" s="72" t="n">
        <f aca="false">L27+L28</f>
        <v>266840773428.944</v>
      </c>
      <c r="M29" s="72" t="n">
        <f aca="false">M27+M28</f>
        <v>309386441193.349</v>
      </c>
    </row>
    <row r="30" customFormat="false" ht="15" hidden="false" customHeight="false" outlineLevel="0" collapsed="false">
      <c r="B30" s="13" t="s">
        <v>571</v>
      </c>
      <c r="I30" s="50" t="n">
        <f aca="false">-IS_Proj!I18</f>
        <v>388483338000</v>
      </c>
      <c r="J30" s="50" t="n">
        <f aca="false">-IS_Proj!J18</f>
        <v>394446832214.425</v>
      </c>
      <c r="K30" s="50" t="n">
        <f aca="false">-IS_Proj!K18</f>
        <v>403148214346.381</v>
      </c>
      <c r="L30" s="50" t="n">
        <f aca="false">-IS_Proj!L18</f>
        <v>414662619796.2</v>
      </c>
      <c r="M30" s="50" t="n">
        <f aca="false">-IS_Proj!M18</f>
        <v>429087291294.154</v>
      </c>
    </row>
    <row r="31" customFormat="false" ht="15" hidden="false" customHeight="false" outlineLevel="0" collapsed="false">
      <c r="B31" s="13" t="s">
        <v>572</v>
      </c>
      <c r="I31" s="50" t="n">
        <f aca="false">CF_Proj!I13</f>
        <v>-424434023340</v>
      </c>
      <c r="J31" s="50" t="n">
        <f aca="false">CF_Proj!J13</f>
        <v>-463520083177.2</v>
      </c>
      <c r="K31" s="50" t="n">
        <f aca="false">CF_Proj!K13</f>
        <v>-506246161598.376</v>
      </c>
      <c r="L31" s="50" t="n">
        <f aca="false">CF_Proj!L13</f>
        <v>-552954773469.946</v>
      </c>
      <c r="M31" s="50" t="n">
        <f aca="false">CF_Proj!M13</f>
        <v>-604020966185.612</v>
      </c>
    </row>
    <row r="32" customFormat="false" ht="15" hidden="false" customHeight="false" outlineLevel="0" collapsed="false">
      <c r="B32" s="13" t="s">
        <v>573</v>
      </c>
      <c r="I32" s="50" t="n">
        <f aca="false">Schedules_Proj!I30</f>
        <v>-49426297472.526</v>
      </c>
      <c r="J32" s="50" t="n">
        <f aca="false">Schedules_Proj!J30</f>
        <v>-52200414525.9556</v>
      </c>
      <c r="K32" s="50" t="n">
        <f aca="false">Schedules_Proj!K30</f>
        <v>-57061750760.8475</v>
      </c>
      <c r="L32" s="50" t="n">
        <f aca="false">Schedules_Proj!L30</f>
        <v>-62380524201.8118</v>
      </c>
      <c r="M32" s="50" t="n">
        <f aca="false">Schedules_Proj!M30</f>
        <v>-68200182856.0637</v>
      </c>
    </row>
    <row r="33" customFormat="false" ht="15" hidden="false" customHeight="false" outlineLevel="0" collapsed="false">
      <c r="B33" s="4" t="s">
        <v>574</v>
      </c>
      <c r="I33" s="79" t="n">
        <f aca="false">SUM(I29:I32)</f>
        <v>66794068077.774</v>
      </c>
      <c r="J33" s="79" t="n">
        <f aca="false">SUM(J29:J32)</f>
        <v>67269697270.6246</v>
      </c>
      <c r="K33" s="79" t="n">
        <f aca="false">SUM(K29:K32)</f>
        <v>66506380097.6746</v>
      </c>
      <c r="L33" s="79" t="n">
        <f aca="false">SUM(L29:L32)</f>
        <v>66168095553.3861</v>
      </c>
      <c r="M33" s="79" t="n">
        <f aca="false">SUM(M29:M32)</f>
        <v>66252583445.8275</v>
      </c>
    </row>
    <row r="34" customFormat="false" ht="15" hidden="false" customHeight="false" outlineLevel="0" collapsed="false">
      <c r="B34" s="13" t="s">
        <v>575</v>
      </c>
      <c r="I34" s="80" t="str">
        <f aca="false">IF($C$15,1/(1+$C$22)^I26,"")</f>
        <v/>
      </c>
      <c r="J34" s="80" t="str">
        <f aca="false">IF($C$15,1/(1+$C$22)^J26,"")</f>
        <v/>
      </c>
      <c r="K34" s="80" t="str">
        <f aca="false">IF($C$15,1/(1+$C$22)^K26,"")</f>
        <v/>
      </c>
      <c r="L34" s="80" t="str">
        <f aca="false">IF($C$15,1/(1+$C$22)^L26,"")</f>
        <v/>
      </c>
      <c r="M34" s="80" t="str">
        <f aca="false">IF($C$15,1/(1+$C$22)^M26,"")</f>
        <v/>
      </c>
    </row>
    <row r="35" customFormat="false" ht="15" hidden="false" customHeight="false" outlineLevel="0" collapsed="false">
      <c r="B35" s="13" t="s">
        <v>576</v>
      </c>
      <c r="I35" s="72" t="str">
        <f aca="false">IF($C$15,I33*I34,"")</f>
        <v/>
      </c>
      <c r="J35" s="72" t="str">
        <f aca="false">IF($C$15,J33*J34,"")</f>
        <v/>
      </c>
      <c r="K35" s="72" t="str">
        <f aca="false">IF($C$15,K33*K34,"")</f>
        <v/>
      </c>
      <c r="L35" s="72" t="str">
        <f aca="false">IF($C$15,L33*L34,"")</f>
        <v/>
      </c>
      <c r="M35" s="72" t="str">
        <f aca="false">IF($C$15,M33*M34,"")</f>
        <v/>
      </c>
    </row>
    <row r="36" customFormat="false" ht="15" hidden="false" customHeight="false" outlineLevel="0" collapsed="false">
      <c r="B36" s="15" t="s">
        <v>577</v>
      </c>
    </row>
    <row r="38" customFormat="false" ht="15" hidden="false" customHeight="false" outlineLevel="0" collapsed="false">
      <c r="A38" s="16"/>
      <c r="B38" s="17" t="s">
        <v>578</v>
      </c>
      <c r="C38" s="81" t="s">
        <v>579</v>
      </c>
      <c r="D38" s="81" t="s">
        <v>580</v>
      </c>
      <c r="E38" s="16"/>
      <c r="F38" s="16"/>
      <c r="G38" s="16"/>
      <c r="H38" s="16"/>
      <c r="I38" s="16"/>
      <c r="J38" s="16"/>
      <c r="K38" s="16"/>
      <c r="L38" s="16"/>
      <c r="M38" s="16"/>
      <c r="N38" s="16"/>
    </row>
    <row r="39" customFormat="false" ht="15" hidden="false" customHeight="false" outlineLevel="0" collapsed="false">
      <c r="B39" s="13" t="s">
        <v>581</v>
      </c>
      <c r="C39" s="72" t="str">
        <f aca="false">IF($C$16,SUMPRODUCT($I$33:$M$33/(1+$C$22)^$I$26:$M$26),"")</f>
        <v/>
      </c>
      <c r="D39" s="72" t="str">
        <f aca="false">IF($C$17,SUMPRODUCT($I$33:$M$33/(1+$C$22)^$I$26:$M$26),"")</f>
        <v/>
      </c>
    </row>
    <row r="40" customFormat="false" ht="15" hidden="false" customHeight="false" outlineLevel="0" collapsed="false">
      <c r="B40" s="13" t="s">
        <v>582</v>
      </c>
      <c r="C40" s="72" t="str">
        <f aca="false">IF($C$16,IF($C$22&gt;$C$12,$M$33*(1+$C$12)/($C$22-$C$12),"WACC&lt;=g"),"")</f>
        <v/>
      </c>
      <c r="D40" s="50" t="str">
        <f aca="false">IF($C$17,IS_Proj!$M$17*$C$13,"")</f>
        <v/>
      </c>
    </row>
    <row r="41" customFormat="false" ht="15" hidden="false" customHeight="false" outlineLevel="0" collapsed="false">
      <c r="B41" s="13" t="s">
        <v>583</v>
      </c>
      <c r="C41" s="72" t="str">
        <f aca="false">IFERROR(C40/(1+$C$22)^5,"")</f>
        <v/>
      </c>
      <c r="D41" s="72" t="str">
        <f aca="false">IFERROR(D40/(1+$C$22)^5,"")</f>
        <v/>
      </c>
    </row>
    <row r="42" customFormat="false" ht="15" hidden="false" customHeight="false" outlineLevel="0" collapsed="false">
      <c r="B42" s="4" t="s">
        <v>584</v>
      </c>
      <c r="C42" s="82" t="str">
        <f aca="false">IFERROR(C39+C41,"")</f>
        <v/>
      </c>
      <c r="D42" s="82" t="str">
        <f aca="false">IFERROR(D39+D41,"")</f>
        <v/>
      </c>
    </row>
    <row r="43" customFormat="false" ht="15" hidden="false" customHeight="false" outlineLevel="0" collapsed="false">
      <c r="B43" s="13" t="s">
        <v>585</v>
      </c>
      <c r="C43" s="50" t="n">
        <f aca="false">-BS_Proj!H18</f>
        <v>-4684415000000</v>
      </c>
      <c r="D43" s="50" t="n">
        <f aca="false">-BS_Proj!H18</f>
        <v>-4684415000000</v>
      </c>
    </row>
    <row r="44" customFormat="false" ht="15" hidden="false" customHeight="false" outlineLevel="0" collapsed="false">
      <c r="B44" s="13" t="s">
        <v>586</v>
      </c>
      <c r="C44" s="50" t="n">
        <f aca="false">-BS_Proj!H19</f>
        <v>-7677000000</v>
      </c>
      <c r="D44" s="50" t="n">
        <f aca="false">-BS_Proj!H19</f>
        <v>-7677000000</v>
      </c>
    </row>
    <row r="45" customFormat="false" ht="15" hidden="false" customHeight="false" outlineLevel="0" collapsed="false">
      <c r="B45" s="13" t="s">
        <v>587</v>
      </c>
      <c r="C45" s="50" t="n">
        <f aca="false">BS_Proj!H6</f>
        <v>1826263000000</v>
      </c>
      <c r="D45" s="50" t="n">
        <f aca="false">BS_Proj!H6</f>
        <v>1826263000000</v>
      </c>
    </row>
    <row r="46" customFormat="false" ht="15" hidden="false" customHeight="false" outlineLevel="0" collapsed="false">
      <c r="B46" s="13" t="s">
        <v>588</v>
      </c>
      <c r="C46" s="50" t="n">
        <f aca="false">-BS_Proj!H26</f>
        <v>-3135000000</v>
      </c>
      <c r="D46" s="50" t="n">
        <f aca="false">-BS_Proj!H26</f>
        <v>-3135000000</v>
      </c>
    </row>
    <row r="47" customFormat="false" ht="15" hidden="false" customHeight="false" outlineLevel="0" collapsed="false">
      <c r="B47" s="13" t="s">
        <v>589</v>
      </c>
      <c r="C47" s="72" t="n">
        <f aca="false">N($C$14)</f>
        <v>0</v>
      </c>
      <c r="D47" s="72" t="n">
        <f aca="false">N($C$14)</f>
        <v>0</v>
      </c>
    </row>
    <row r="48" customFormat="false" ht="15" hidden="false" customHeight="false" outlineLevel="0" collapsed="false">
      <c r="B48" s="4" t="s">
        <v>590</v>
      </c>
      <c r="C48" s="82" t="str">
        <f aca="false">IFERROR(C42+SUM(C43:C47),"")</f>
        <v/>
      </c>
      <c r="D48" s="82" t="str">
        <f aca="false">IFERROR(D42+SUM(D43:D47),"")</f>
        <v/>
      </c>
    </row>
    <row r="49" customFormat="false" ht="15" hidden="false" customHeight="false" outlineLevel="0" collapsed="false">
      <c r="B49" s="13" t="s">
        <v>591</v>
      </c>
      <c r="C49" s="69" t="str">
        <f aca="false">IFERROR(C48/Asumsi!$C$118,"")</f>
        <v/>
      </c>
      <c r="D49" s="69" t="str">
        <f aca="false">IFERROR(D48/Asumsi!$C$118,"")</f>
        <v/>
      </c>
    </row>
    <row r="50" customFormat="false" ht="15" hidden="false" customHeight="false" outlineLevel="0" collapsed="false">
      <c r="B50" s="15" t="s">
        <v>592</v>
      </c>
    </row>
    <row r="52" customFormat="false" ht="15" hidden="false" customHeight="false" outlineLevel="0" collapsed="false">
      <c r="A52" s="16"/>
      <c r="B52" s="17" t="s">
        <v>593</v>
      </c>
      <c r="C52" s="16"/>
      <c r="D52" s="16"/>
      <c r="E52" s="16"/>
      <c r="F52" s="16"/>
      <c r="G52" s="16"/>
      <c r="H52" s="16"/>
      <c r="I52" s="16"/>
      <c r="J52" s="16"/>
      <c r="K52" s="16"/>
      <c r="L52" s="16"/>
      <c r="M52" s="16"/>
      <c r="N52" s="16"/>
    </row>
    <row r="53" customFormat="false" ht="15" hidden="false" customHeight="false" outlineLevel="0" collapsed="false">
      <c r="B53" s="4" t="s">
        <v>594</v>
      </c>
      <c r="C53" s="83" t="str">
        <f aca="false">IF($C$16,$C$12+(-0.01),"")</f>
        <v/>
      </c>
      <c r="D53" s="83" t="str">
        <f aca="false">IF($C$16,$C$12+(-0.005),"")</f>
        <v/>
      </c>
      <c r="E53" s="83" t="str">
        <f aca="false">IF($C$16,$C$12+(0),"")</f>
        <v/>
      </c>
      <c r="F53" s="83" t="str">
        <f aca="false">IF($C$16,$C$12+(0.005),"")</f>
        <v/>
      </c>
      <c r="G53" s="83" t="str">
        <f aca="false">IF($C$16,$C$12+(0.01),"")</f>
        <v/>
      </c>
    </row>
    <row r="54" customFormat="false" ht="15" hidden="false" customHeight="false" outlineLevel="0" collapsed="false">
      <c r="B54" s="83" t="str">
        <f aca="false">IF($C$16,$C$22+(-0.02),"")</f>
        <v/>
      </c>
      <c r="C54" s="84" t="str">
        <f aca="false">IF($C$16,IFERROR(IF($B54&gt;C$53,(SUMPRODUCT($I$33:$M$33/(1+$B54)^$I$26:$M$26)+$M$33*(1+C$53)/($B54-C$53)/(1+$B54)^5+SUM($C$43:$C$47))/Asumsi!$C$118,"n/a"),""),"")</f>
        <v/>
      </c>
      <c r="D54" s="84" t="str">
        <f aca="false">IF($C$16,IFERROR(IF($B54&gt;D$53,(SUMPRODUCT($I$33:$M$33/(1+$B54)^$I$26:$M$26)+$M$33*(1+D$53)/($B54-D$53)/(1+$B54)^5+SUM($C$43:$C$47))/Asumsi!$C$118,"n/a"),""),"")</f>
        <v/>
      </c>
      <c r="E54" s="84" t="str">
        <f aca="false">IF($C$16,IFERROR(IF($B54&gt;E$53,(SUMPRODUCT($I$33:$M$33/(1+$B54)^$I$26:$M$26)+$M$33*(1+E$53)/($B54-E$53)/(1+$B54)^5+SUM($C$43:$C$47))/Asumsi!$C$118,"n/a"),""),"")</f>
        <v/>
      </c>
      <c r="F54" s="84" t="str">
        <f aca="false">IF($C$16,IFERROR(IF($B54&gt;F$53,(SUMPRODUCT($I$33:$M$33/(1+$B54)^$I$26:$M$26)+$M$33*(1+F$53)/($B54-F$53)/(1+$B54)^5+SUM($C$43:$C$47))/Asumsi!$C$118,"n/a"),""),"")</f>
        <v/>
      </c>
      <c r="G54" s="84" t="str">
        <f aca="false">IF($C$16,IFERROR(IF($B54&gt;G$53,(SUMPRODUCT($I$33:$M$33/(1+$B54)^$I$26:$M$26)+$M$33*(1+G$53)/($B54-G$53)/(1+$B54)^5+SUM($C$43:$C$47))/Asumsi!$C$118,"n/a"),""),"")</f>
        <v/>
      </c>
    </row>
    <row r="55" customFormat="false" ht="15" hidden="false" customHeight="false" outlineLevel="0" collapsed="false">
      <c r="B55" s="83" t="str">
        <f aca="false">IF($C$16,$C$22+(-0.01),"")</f>
        <v/>
      </c>
      <c r="C55" s="84" t="str">
        <f aca="false">IF($C$16,IFERROR(IF($B55&gt;C$53,(SUMPRODUCT($I$33:$M$33/(1+$B55)^$I$26:$M$26)+$M$33*(1+C$53)/($B55-C$53)/(1+$B55)^5+SUM($C$43:$C$47))/Asumsi!$C$118,"n/a"),""),"")</f>
        <v/>
      </c>
      <c r="D55" s="84" t="str">
        <f aca="false">IF($C$16,IFERROR(IF($B55&gt;D$53,(SUMPRODUCT($I$33:$M$33/(1+$B55)^$I$26:$M$26)+$M$33*(1+D$53)/($B55-D$53)/(1+$B55)^5+SUM($C$43:$C$47))/Asumsi!$C$118,"n/a"),""),"")</f>
        <v/>
      </c>
      <c r="E55" s="84" t="str">
        <f aca="false">IF($C$16,IFERROR(IF($B55&gt;E$53,(SUMPRODUCT($I$33:$M$33/(1+$B55)^$I$26:$M$26)+$M$33*(1+E$53)/($B55-E$53)/(1+$B55)^5+SUM($C$43:$C$47))/Asumsi!$C$118,"n/a"),""),"")</f>
        <v/>
      </c>
      <c r="F55" s="84" t="str">
        <f aca="false">IF($C$16,IFERROR(IF($B55&gt;F$53,(SUMPRODUCT($I$33:$M$33/(1+$B55)^$I$26:$M$26)+$M$33*(1+F$53)/($B55-F$53)/(1+$B55)^5+SUM($C$43:$C$47))/Asumsi!$C$118,"n/a"),""),"")</f>
        <v/>
      </c>
      <c r="G55" s="84" t="str">
        <f aca="false">IF($C$16,IFERROR(IF($B55&gt;G$53,(SUMPRODUCT($I$33:$M$33/(1+$B55)^$I$26:$M$26)+$M$33*(1+G$53)/($B55-G$53)/(1+$B55)^5+SUM($C$43:$C$47))/Asumsi!$C$118,"n/a"),""),"")</f>
        <v/>
      </c>
    </row>
    <row r="56" customFormat="false" ht="15" hidden="false" customHeight="false" outlineLevel="0" collapsed="false">
      <c r="B56" s="83" t="str">
        <f aca="false">IF($C$16,$C$22+(0),"")</f>
        <v/>
      </c>
      <c r="C56" s="84" t="str">
        <f aca="false">IF($C$16,IFERROR(IF($B56&gt;C$53,(SUMPRODUCT($I$33:$M$33/(1+$B56)^$I$26:$M$26)+$M$33*(1+C$53)/($B56-C$53)/(1+$B56)^5+SUM($C$43:$C$47))/Asumsi!$C$118,"n/a"),""),"")</f>
        <v/>
      </c>
      <c r="D56" s="84" t="str">
        <f aca="false">IF($C$16,IFERROR(IF($B56&gt;D$53,(SUMPRODUCT($I$33:$M$33/(1+$B56)^$I$26:$M$26)+$M$33*(1+D$53)/($B56-D$53)/(1+$B56)^5+SUM($C$43:$C$47))/Asumsi!$C$118,"n/a"),""),"")</f>
        <v/>
      </c>
      <c r="E56" s="84" t="str">
        <f aca="false">IF($C$16,IFERROR(IF($B56&gt;E$53,(SUMPRODUCT($I$33:$M$33/(1+$B56)^$I$26:$M$26)+$M$33*(1+E$53)/($B56-E$53)/(1+$B56)^5+SUM($C$43:$C$47))/Asumsi!$C$118,"n/a"),""),"")</f>
        <v/>
      </c>
      <c r="F56" s="84" t="str">
        <f aca="false">IF($C$16,IFERROR(IF($B56&gt;F$53,(SUMPRODUCT($I$33:$M$33/(1+$B56)^$I$26:$M$26)+$M$33*(1+F$53)/($B56-F$53)/(1+$B56)^5+SUM($C$43:$C$47))/Asumsi!$C$118,"n/a"),""),"")</f>
        <v/>
      </c>
      <c r="G56" s="84" t="str">
        <f aca="false">IF($C$16,IFERROR(IF($B56&gt;G$53,(SUMPRODUCT($I$33:$M$33/(1+$B56)^$I$26:$M$26)+$M$33*(1+G$53)/($B56-G$53)/(1+$B56)^5+SUM($C$43:$C$47))/Asumsi!$C$118,"n/a"),""),"")</f>
        <v/>
      </c>
    </row>
    <row r="57" customFormat="false" ht="15" hidden="false" customHeight="false" outlineLevel="0" collapsed="false">
      <c r="B57" s="83" t="str">
        <f aca="false">IF($C$16,$C$22+(0.01),"")</f>
        <v/>
      </c>
      <c r="C57" s="84" t="str">
        <f aca="false">IF($C$16,IFERROR(IF($B57&gt;C$53,(SUMPRODUCT($I$33:$M$33/(1+$B57)^$I$26:$M$26)+$M$33*(1+C$53)/($B57-C$53)/(1+$B57)^5+SUM($C$43:$C$47))/Asumsi!$C$118,"n/a"),""),"")</f>
        <v/>
      </c>
      <c r="D57" s="84" t="str">
        <f aca="false">IF($C$16,IFERROR(IF($B57&gt;D$53,(SUMPRODUCT($I$33:$M$33/(1+$B57)^$I$26:$M$26)+$M$33*(1+D$53)/($B57-D$53)/(1+$B57)^5+SUM($C$43:$C$47))/Asumsi!$C$118,"n/a"),""),"")</f>
        <v/>
      </c>
      <c r="E57" s="84" t="str">
        <f aca="false">IF($C$16,IFERROR(IF($B57&gt;E$53,(SUMPRODUCT($I$33:$M$33/(1+$B57)^$I$26:$M$26)+$M$33*(1+E$53)/($B57-E$53)/(1+$B57)^5+SUM($C$43:$C$47))/Asumsi!$C$118,"n/a"),""),"")</f>
        <v/>
      </c>
      <c r="F57" s="84" t="str">
        <f aca="false">IF($C$16,IFERROR(IF($B57&gt;F$53,(SUMPRODUCT($I$33:$M$33/(1+$B57)^$I$26:$M$26)+$M$33*(1+F$53)/($B57-F$53)/(1+$B57)^5+SUM($C$43:$C$47))/Asumsi!$C$118,"n/a"),""),"")</f>
        <v/>
      </c>
      <c r="G57" s="84" t="str">
        <f aca="false">IF($C$16,IFERROR(IF($B57&gt;G$53,(SUMPRODUCT($I$33:$M$33/(1+$B57)^$I$26:$M$26)+$M$33*(1+G$53)/($B57-G$53)/(1+$B57)^5+SUM($C$43:$C$47))/Asumsi!$C$118,"n/a"),""),"")</f>
        <v/>
      </c>
    </row>
    <row r="58" customFormat="false" ht="15" hidden="false" customHeight="false" outlineLevel="0" collapsed="false">
      <c r="B58" s="83" t="str">
        <f aca="false">IF($C$16,$C$22+(0.02),"")</f>
        <v/>
      </c>
      <c r="C58" s="84" t="str">
        <f aca="false">IF($C$16,IFERROR(IF($B58&gt;C$53,(SUMPRODUCT($I$33:$M$33/(1+$B58)^$I$26:$M$26)+$M$33*(1+C$53)/($B58-C$53)/(1+$B58)^5+SUM($C$43:$C$47))/Asumsi!$C$118,"n/a"),""),"")</f>
        <v/>
      </c>
      <c r="D58" s="84" t="str">
        <f aca="false">IF($C$16,IFERROR(IF($B58&gt;D$53,(SUMPRODUCT($I$33:$M$33/(1+$B58)^$I$26:$M$26)+$M$33*(1+D$53)/($B58-D$53)/(1+$B58)^5+SUM($C$43:$C$47))/Asumsi!$C$118,"n/a"),""),"")</f>
        <v/>
      </c>
      <c r="E58" s="84" t="str">
        <f aca="false">IF($C$16,IFERROR(IF($B58&gt;E$53,(SUMPRODUCT($I$33:$M$33/(1+$B58)^$I$26:$M$26)+$M$33*(1+E$53)/($B58-E$53)/(1+$B58)^5+SUM($C$43:$C$47))/Asumsi!$C$118,"n/a"),""),"")</f>
        <v/>
      </c>
      <c r="F58" s="84" t="str">
        <f aca="false">IF($C$16,IFERROR(IF($B58&gt;F$53,(SUMPRODUCT($I$33:$M$33/(1+$B58)^$I$26:$M$26)+$M$33*(1+F$53)/($B58-F$53)/(1+$B58)^5+SUM($C$43:$C$47))/Asumsi!$C$118,"n/a"),""),"")</f>
        <v/>
      </c>
      <c r="G58" s="84" t="str">
        <f aca="false">IF($C$16,IFERROR(IF($B58&gt;G$53,(SUMPRODUCT($I$33:$M$33/(1+$B58)^$I$26:$M$26)+$M$33*(1+G$53)/($B58-G$53)/(1+$B58)^5+SUM($C$43:$C$47))/Asumsi!$C$118,"n/a"),""),"")</f>
        <v/>
      </c>
    </row>
    <row r="60" customFormat="false" ht="15" hidden="false" customHeight="false" outlineLevel="0" collapsed="false">
      <c r="B60" s="53" t="s">
        <v>595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596</v>
      </c>
    </row>
    <row r="2" customFormat="false" ht="15" hidden="false" customHeight="false" outlineLevel="0" collapsed="false">
      <c r="A2" s="15" t="s">
        <v>597</v>
      </c>
    </row>
    <row r="4" customFormat="false" ht="42" hidden="false" customHeight="true" outlineLevel="0" collapsed="false">
      <c r="A4" s="25" t="s">
        <v>330</v>
      </c>
      <c r="B4" s="25" t="s">
        <v>598</v>
      </c>
      <c r="C4" s="25" t="s">
        <v>599</v>
      </c>
      <c r="D4" s="25" t="s">
        <v>600</v>
      </c>
      <c r="E4" s="25" t="s">
        <v>601</v>
      </c>
      <c r="F4" s="25" t="s">
        <v>178</v>
      </c>
      <c r="G4" s="25" t="s">
        <v>179</v>
      </c>
      <c r="H4" s="25" t="s">
        <v>386</v>
      </c>
      <c r="I4" s="25" t="s">
        <v>183</v>
      </c>
      <c r="J4" s="25" t="s">
        <v>602</v>
      </c>
      <c r="K4" s="25" t="s">
        <v>603</v>
      </c>
      <c r="L4" s="25" t="s">
        <v>182</v>
      </c>
      <c r="M4" s="25" t="s">
        <v>604</v>
      </c>
      <c r="N4" s="25" t="s">
        <v>605</v>
      </c>
      <c r="O4" s="25" t="s">
        <v>606</v>
      </c>
      <c r="P4" s="25" t="s">
        <v>607</v>
      </c>
      <c r="Q4" s="25" t="s">
        <v>608</v>
      </c>
    </row>
    <row r="5" customFormat="false" ht="15" hidden="false" customHeight="false" outlineLevel="0" collapsed="false">
      <c r="A5" s="13" t="s">
        <v>609</v>
      </c>
      <c r="B5" s="13" t="s">
        <v>610</v>
      </c>
      <c r="C5" s="13" t="s">
        <v>611</v>
      </c>
      <c r="D5" s="85" t="n">
        <v>2025</v>
      </c>
      <c r="E5" s="44" t="n">
        <f aca="false">IS_Proj!H10/1000000000</f>
        <v>2589.44</v>
      </c>
      <c r="F5" s="46" t="n">
        <f aca="false">IS_Proj!H11</f>
        <v>0.1063945059692</v>
      </c>
      <c r="G5" s="46" t="n">
        <f aca="false">IS_Proj!H30</f>
        <v>0.180246694265942</v>
      </c>
      <c r="H5" s="46" t="n">
        <f aca="false">IS_Proj!H32</f>
        <v>-0.0767694945625309</v>
      </c>
      <c r="I5" s="46" t="n">
        <f aca="false">BS_Proj!H32</f>
        <v>-0.125836194157027</v>
      </c>
      <c r="J5" s="46" t="n">
        <f aca="false">IS_Proj!H24/BS_Proj!H15</f>
        <v>-0.0260745470500045</v>
      </c>
      <c r="K5" s="48" t="n">
        <f aca="false">BS_Proj!H18/BS_Proj!H27</f>
        <v>3.50702053192087</v>
      </c>
      <c r="L5" s="48" t="n">
        <f aca="false">BS_Proj!H33</f>
        <v>6.14012358110974</v>
      </c>
      <c r="M5" s="86"/>
      <c r="N5" s="86"/>
      <c r="O5" s="46" t="n">
        <f aca="false">IS_Proj!H6/IS_Proj!H10</f>
        <v>0.498841448344044</v>
      </c>
      <c r="P5" s="13" t="s">
        <v>612</v>
      </c>
      <c r="Q5" s="13"/>
    </row>
    <row r="6" customFormat="false" ht="15" hidden="false" customHeight="false" outlineLevel="0" collapsed="false">
      <c r="A6" s="87"/>
      <c r="B6" s="87"/>
      <c r="C6" s="87"/>
      <c r="D6" s="88"/>
      <c r="E6" s="89"/>
      <c r="F6" s="73"/>
      <c r="G6" s="73"/>
      <c r="H6" s="73"/>
      <c r="I6" s="73"/>
      <c r="J6" s="73"/>
      <c r="K6" s="75"/>
      <c r="L6" s="75"/>
      <c r="M6" s="90"/>
      <c r="N6" s="90"/>
      <c r="O6" s="73"/>
      <c r="P6" s="87"/>
      <c r="Q6" s="87"/>
    </row>
    <row r="7" customFormat="false" ht="15" hidden="false" customHeight="false" outlineLevel="0" collapsed="false">
      <c r="A7" s="87"/>
      <c r="B7" s="87"/>
      <c r="C7" s="87"/>
      <c r="D7" s="88"/>
      <c r="E7" s="89"/>
      <c r="F7" s="73"/>
      <c r="G7" s="73"/>
      <c r="H7" s="73"/>
      <c r="I7" s="73"/>
      <c r="J7" s="73"/>
      <c r="K7" s="75"/>
      <c r="L7" s="75"/>
      <c r="M7" s="90"/>
      <c r="N7" s="90"/>
      <c r="O7" s="73"/>
      <c r="P7" s="87"/>
      <c r="Q7" s="87"/>
    </row>
    <row r="8" customFormat="false" ht="15" hidden="false" customHeight="false" outlineLevel="0" collapsed="false">
      <c r="A8" s="87"/>
      <c r="B8" s="87"/>
      <c r="C8" s="87"/>
      <c r="D8" s="88"/>
      <c r="E8" s="89"/>
      <c r="F8" s="73"/>
      <c r="G8" s="73"/>
      <c r="H8" s="73"/>
      <c r="I8" s="73"/>
      <c r="J8" s="73"/>
      <c r="K8" s="75"/>
      <c r="L8" s="75"/>
      <c r="M8" s="90"/>
      <c r="N8" s="90"/>
      <c r="O8" s="73"/>
      <c r="P8" s="87"/>
      <c r="Q8" s="87"/>
    </row>
    <row r="9" customFormat="false" ht="15" hidden="false" customHeight="false" outlineLevel="0" collapsed="false">
      <c r="A9" s="87"/>
      <c r="B9" s="87"/>
      <c r="C9" s="87"/>
      <c r="D9" s="88"/>
      <c r="E9" s="89"/>
      <c r="F9" s="73"/>
      <c r="G9" s="73"/>
      <c r="H9" s="73"/>
      <c r="I9" s="73"/>
      <c r="J9" s="73"/>
      <c r="K9" s="75"/>
      <c r="L9" s="75"/>
      <c r="M9" s="90"/>
      <c r="N9" s="90"/>
      <c r="O9" s="73"/>
      <c r="P9" s="87"/>
      <c r="Q9" s="87"/>
    </row>
    <row r="10" customFormat="false" ht="15" hidden="false" customHeight="false" outlineLevel="0" collapsed="false">
      <c r="A10" s="87"/>
      <c r="B10" s="87"/>
      <c r="C10" s="87"/>
      <c r="D10" s="88"/>
      <c r="E10" s="89"/>
      <c r="F10" s="73"/>
      <c r="G10" s="73"/>
      <c r="H10" s="73"/>
      <c r="I10" s="73"/>
      <c r="J10" s="73"/>
      <c r="K10" s="75"/>
      <c r="L10" s="75"/>
      <c r="M10" s="90"/>
      <c r="N10" s="90"/>
      <c r="O10" s="73"/>
      <c r="P10" s="87"/>
      <c r="Q10" s="87"/>
    </row>
    <row r="11" customFormat="false" ht="15" hidden="false" customHeight="false" outlineLevel="0" collapsed="false">
      <c r="A11" s="87"/>
      <c r="B11" s="87"/>
      <c r="C11" s="87"/>
      <c r="D11" s="88"/>
      <c r="E11" s="89"/>
      <c r="F11" s="73"/>
      <c r="G11" s="73"/>
      <c r="H11" s="73"/>
      <c r="I11" s="73"/>
      <c r="J11" s="73"/>
      <c r="K11" s="75"/>
      <c r="L11" s="75"/>
      <c r="M11" s="90"/>
      <c r="N11" s="90"/>
      <c r="O11" s="73"/>
      <c r="P11" s="87"/>
      <c r="Q11" s="87"/>
    </row>
    <row r="12" customFormat="false" ht="15" hidden="false" customHeight="false" outlineLevel="0" collapsed="false">
      <c r="A12" s="87"/>
      <c r="B12" s="87"/>
      <c r="C12" s="87"/>
      <c r="D12" s="88"/>
      <c r="E12" s="89"/>
      <c r="F12" s="73"/>
      <c r="G12" s="73"/>
      <c r="H12" s="73"/>
      <c r="I12" s="73"/>
      <c r="J12" s="73"/>
      <c r="K12" s="75"/>
      <c r="L12" s="75"/>
      <c r="M12" s="90"/>
      <c r="N12" s="90"/>
      <c r="O12" s="73"/>
      <c r="P12" s="87"/>
      <c r="Q12" s="87"/>
    </row>
    <row r="13" customFormat="false" ht="15" hidden="false" customHeight="false" outlineLevel="0" collapsed="false">
      <c r="A13" s="87"/>
      <c r="B13" s="87"/>
      <c r="C13" s="87"/>
      <c r="D13" s="88"/>
      <c r="E13" s="89"/>
      <c r="F13" s="73"/>
      <c r="G13" s="73"/>
      <c r="H13" s="73"/>
      <c r="I13" s="73"/>
      <c r="J13" s="73"/>
      <c r="K13" s="75"/>
      <c r="L13" s="75"/>
      <c r="M13" s="90"/>
      <c r="N13" s="90"/>
      <c r="O13" s="73"/>
      <c r="P13" s="87"/>
      <c r="Q13" s="87"/>
    </row>
    <row r="14" customFormat="false" ht="15" hidden="false" customHeight="false" outlineLevel="0" collapsed="false">
      <c r="B14" s="4" t="s">
        <v>613</v>
      </c>
      <c r="E14" s="91" t="str">
        <f aca="false">IF(COUNT(E6:E13)=0,"",MEDIAN(E6:E13))</f>
        <v/>
      </c>
      <c r="F14" s="83" t="str">
        <f aca="false">IF(COUNT(F6:F13)=0,"",MEDIAN(F6:F13))</f>
        <v/>
      </c>
      <c r="G14" s="83" t="str">
        <f aca="false">IF(COUNT(G6:G13)=0,"",MEDIAN(G6:G13))</f>
        <v/>
      </c>
      <c r="H14" s="83" t="str">
        <f aca="false">IF(COUNT(H6:H13)=0,"",MEDIAN(H6:H13))</f>
        <v/>
      </c>
      <c r="I14" s="83" t="str">
        <f aca="false">IF(COUNT(I6:I13)=0,"",MEDIAN(I6:I13))</f>
        <v/>
      </c>
      <c r="J14" s="83" t="str">
        <f aca="false">IF(COUNT(J6:J13)=0,"",MEDIAN(J6:J13))</f>
        <v/>
      </c>
      <c r="K14" s="92" t="str">
        <f aca="false">IF(COUNT(K6:K13)=0,"",MEDIAN(K6:K13))</f>
        <v/>
      </c>
      <c r="L14" s="92" t="str">
        <f aca="false">IF(COUNT(L6:L13)=0,"",MEDIAN(L6:L13))</f>
        <v/>
      </c>
      <c r="M14" s="93" t="str">
        <f aca="false">IF(COUNT(M6:M13)=0,"",MEDIAN(M6:M13))</f>
        <v/>
      </c>
      <c r="N14" s="93" t="str">
        <f aca="false">IF(COUNT(N6:N13)=0,"",MEDIAN(N6:N13))</f>
        <v/>
      </c>
      <c r="O14" s="83" t="str">
        <f aca="false">IF(COUNT(O6:O13)=0,"",MEDIAN(O6:O13))</f>
        <v/>
      </c>
    </row>
    <row r="15" customFormat="false" ht="15" hidden="false" customHeight="false" outlineLevel="0" collapsed="false">
      <c r="B15" s="4" t="s">
        <v>614</v>
      </c>
      <c r="E15" s="91" t="str">
        <f aca="false">IF(COUNT(E6:E13)=0,"",AVERAGE(E6:E13))</f>
        <v/>
      </c>
      <c r="F15" s="83" t="str">
        <f aca="false">IF(COUNT(F6:F13)=0,"",AVERAGE(F6:F13))</f>
        <v/>
      </c>
      <c r="G15" s="83" t="str">
        <f aca="false">IF(COUNT(G6:G13)=0,"",AVERAGE(G6:G13))</f>
        <v/>
      </c>
      <c r="H15" s="83" t="str">
        <f aca="false">IF(COUNT(H6:H13)=0,"",AVERAGE(H6:H13))</f>
        <v/>
      </c>
      <c r="I15" s="83" t="str">
        <f aca="false">IF(COUNT(I6:I13)=0,"",AVERAGE(I6:I13))</f>
        <v/>
      </c>
      <c r="J15" s="83" t="str">
        <f aca="false">IF(COUNT(J6:J13)=0,"",AVERAGE(J6:J13))</f>
        <v/>
      </c>
      <c r="K15" s="92" t="str">
        <f aca="false">IF(COUNT(K6:K13)=0,"",AVERAGE(K6:K13))</f>
        <v/>
      </c>
      <c r="L15" s="92" t="str">
        <f aca="false">IF(COUNT(L6:L13)=0,"",AVERAGE(L6:L13))</f>
        <v/>
      </c>
      <c r="M15" s="93" t="str">
        <f aca="false">IF(COUNT(M6:M13)=0,"",AVERAGE(M6:M13))</f>
        <v/>
      </c>
      <c r="N15" s="93" t="str">
        <f aca="false">IF(COUNT(N6:N13)=0,"",AVERAGE(N6:N13))</f>
        <v/>
      </c>
      <c r="O15" s="83" t="str">
        <f aca="false">IF(COUNT(O6:O13)=0,"",AVERAGE(O6:O13))</f>
        <v/>
      </c>
    </row>
    <row r="17" customFormat="false" ht="15" hidden="false" customHeight="false" outlineLevel="0" collapsed="false">
      <c r="B17" s="15" t="s">
        <v>615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616</v>
      </c>
    </row>
    <row r="2" customFormat="false" ht="15" hidden="false" customHeight="false" outlineLevel="0" collapsed="false">
      <c r="A2" s="15" t="s">
        <v>617</v>
      </c>
    </row>
    <row r="3" customFormat="false" ht="39.75" hidden="false" customHeight="true" outlineLevel="0" collapsed="false">
      <c r="B3" s="15" t="s">
        <v>618</v>
      </c>
      <c r="C3" s="94" t="s">
        <v>619</v>
      </c>
      <c r="D3" s="95" t="s">
        <v>620</v>
      </c>
      <c r="E3" s="95" t="s">
        <v>621</v>
      </c>
      <c r="F3" s="95" t="s">
        <v>622</v>
      </c>
      <c r="G3" s="95" t="s">
        <v>623</v>
      </c>
      <c r="H3" s="95" t="s">
        <v>624</v>
      </c>
      <c r="I3" s="5" t="s">
        <v>625</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626</v>
      </c>
      <c r="C5" s="16"/>
      <c r="D5" s="16"/>
      <c r="E5" s="16"/>
      <c r="F5" s="16"/>
      <c r="G5" s="16"/>
      <c r="H5" s="16"/>
      <c r="I5" s="16"/>
    </row>
    <row r="6" customFormat="false" ht="15" hidden="false" customHeight="false" outlineLevel="0" collapsed="false">
      <c r="A6" s="54" t="s">
        <v>627</v>
      </c>
      <c r="B6" s="13" t="s">
        <v>628</v>
      </c>
      <c r="C6" s="61" t="n">
        <v>1283798609174</v>
      </c>
      <c r="D6" s="61" t="n">
        <v>1924453140978</v>
      </c>
      <c r="E6" s="61" t="n">
        <v>1934163680964</v>
      </c>
      <c r="F6" s="61" t="n">
        <v>2503174000000</v>
      </c>
      <c r="G6" s="61" t="n">
        <v>2340431000000</v>
      </c>
      <c r="H6" s="61" t="n">
        <v>2589440000000</v>
      </c>
      <c r="I6" s="15" t="s">
        <v>629</v>
      </c>
    </row>
    <row r="7" customFormat="false" ht="15" hidden="false" customHeight="false" outlineLevel="0" collapsed="false">
      <c r="A7" s="54" t="s">
        <v>630</v>
      </c>
      <c r="B7" s="13" t="s">
        <v>631</v>
      </c>
      <c r="C7" s="61" t="n">
        <v>-864698280519</v>
      </c>
      <c r="D7" s="61" t="n">
        <v>-1219420404326</v>
      </c>
      <c r="E7" s="61" t="n">
        <v>-1377109387379</v>
      </c>
      <c r="F7" s="61" t="n">
        <v>-1785154000000</v>
      </c>
      <c r="G7" s="61" t="n">
        <v>-1423988000000</v>
      </c>
      <c r="H7" s="61" t="n">
        <v>-1530564000000</v>
      </c>
      <c r="I7" s="15" t="s">
        <v>632</v>
      </c>
    </row>
    <row r="8" customFormat="false" ht="15" hidden="false" customHeight="false" outlineLevel="0" collapsed="false">
      <c r="A8" s="63" t="s">
        <v>633</v>
      </c>
      <c r="B8" s="64" t="s">
        <v>634</v>
      </c>
      <c r="C8" s="66" t="n">
        <f aca="false">C6+C7</f>
        <v>419100328655</v>
      </c>
      <c r="D8" s="66" t="n">
        <f aca="false">D6+D7</f>
        <v>705032736652</v>
      </c>
      <c r="E8" s="66" t="n">
        <f aca="false">E6+E7</f>
        <v>557054293585</v>
      </c>
      <c r="F8" s="66" t="n">
        <f aca="false">F6+F7</f>
        <v>718020000000</v>
      </c>
      <c r="G8" s="66" t="n">
        <f aca="false">G6+G7</f>
        <v>916443000000</v>
      </c>
      <c r="H8" s="66" t="n">
        <f aca="false">H6+H7</f>
        <v>1058876000000</v>
      </c>
    </row>
    <row r="9" customFormat="false" ht="15" hidden="false" customHeight="false" outlineLevel="0" collapsed="false">
      <c r="A9" s="54" t="s">
        <v>635</v>
      </c>
      <c r="B9" s="13" t="s">
        <v>636</v>
      </c>
      <c r="C9" s="61" t="n">
        <v>-10542219731</v>
      </c>
      <c r="D9" s="61" t="n">
        <v>-16138644007</v>
      </c>
      <c r="E9" s="61" t="n">
        <v>-24027267689</v>
      </c>
      <c r="F9" s="61" t="n">
        <v>-34839000000</v>
      </c>
      <c r="G9" s="61" t="n">
        <v>-44779000000</v>
      </c>
      <c r="H9" s="61" t="n">
        <v>-53940000000</v>
      </c>
      <c r="I9" s="15" t="s">
        <v>637</v>
      </c>
    </row>
    <row r="10" customFormat="false" ht="15" hidden="false" customHeight="false" outlineLevel="0" collapsed="false">
      <c r="A10" s="54" t="s">
        <v>638</v>
      </c>
      <c r="B10" s="13" t="s">
        <v>639</v>
      </c>
      <c r="C10" s="61" t="n">
        <v>-392704802139</v>
      </c>
      <c r="D10" s="61" t="n">
        <v>-462409623024</v>
      </c>
      <c r="E10" s="61" t="n">
        <v>-502013236172</v>
      </c>
      <c r="F10" s="61" t="n">
        <v>-576920000000</v>
      </c>
      <c r="G10" s="61" t="n">
        <v>-689147000000</v>
      </c>
      <c r="H10" s="61" t="n">
        <v>-922332000000</v>
      </c>
      <c r="I10" s="15" t="s">
        <v>640</v>
      </c>
    </row>
    <row r="11" customFormat="false" ht="15" hidden="false" customHeight="false" outlineLevel="0" collapsed="false">
      <c r="A11" s="63" t="s">
        <v>641</v>
      </c>
      <c r="B11" s="64" t="s">
        <v>642</v>
      </c>
      <c r="C11" s="66" t="n">
        <f aca="false">C9+C10</f>
        <v>-403247021870</v>
      </c>
      <c r="D11" s="66" t="n">
        <f aca="false">D9+D10</f>
        <v>-478548267031</v>
      </c>
      <c r="E11" s="66" t="n">
        <f aca="false">E9+E10</f>
        <v>-526040503861</v>
      </c>
      <c r="F11" s="66" t="n">
        <f aca="false">F9+F10</f>
        <v>-611759000000</v>
      </c>
      <c r="G11" s="66" t="n">
        <f aca="false">G9+G10</f>
        <v>-733926000000</v>
      </c>
      <c r="H11" s="66" t="n">
        <f aca="false">H9+H10</f>
        <v>-976272000000</v>
      </c>
    </row>
    <row r="12" customFormat="false" ht="15" hidden="false" customHeight="false" outlineLevel="0" collapsed="false">
      <c r="A12" s="54" t="s">
        <v>643</v>
      </c>
      <c r="B12" s="13" t="s">
        <v>644</v>
      </c>
      <c r="C12" s="61" t="n">
        <v>28429533228</v>
      </c>
      <c r="D12" s="61" t="n">
        <v>24028154926</v>
      </c>
      <c r="E12" s="61" t="n">
        <v>4159861446</v>
      </c>
      <c r="F12" s="61" t="n">
        <v>7014000000</v>
      </c>
      <c r="G12" s="61" t="n">
        <v>-24777000000</v>
      </c>
      <c r="H12" s="61" t="n">
        <v>2883000000</v>
      </c>
      <c r="I12" s="15" t="s">
        <v>645</v>
      </c>
    </row>
    <row r="13" customFormat="false" ht="15" hidden="false" customHeight="false" outlineLevel="0" collapsed="false">
      <c r="A13" s="63" t="s">
        <v>646</v>
      </c>
      <c r="B13" s="64" t="s">
        <v>353</v>
      </c>
      <c r="C13" s="66" t="n">
        <f aca="false">C12</f>
        <v>28429533228</v>
      </c>
      <c r="D13" s="66" t="n">
        <f aca="false">D12</f>
        <v>24028154926</v>
      </c>
      <c r="E13" s="66" t="n">
        <f aca="false">E12</f>
        <v>4159861446</v>
      </c>
      <c r="F13" s="66" t="n">
        <f aca="false">F12</f>
        <v>7014000000</v>
      </c>
      <c r="G13" s="66" t="n">
        <f aca="false">G12</f>
        <v>-24777000000</v>
      </c>
      <c r="H13" s="66" t="n">
        <f aca="false">H12</f>
        <v>2883000000</v>
      </c>
    </row>
    <row r="14" customFormat="false" ht="15" hidden="false" customHeight="false" outlineLevel="0" collapsed="false">
      <c r="A14" s="63" t="s">
        <v>647</v>
      </c>
      <c r="B14" s="64" t="s">
        <v>648</v>
      </c>
      <c r="C14" s="66" t="n">
        <f aca="false">C8+C11+C13</f>
        <v>44282840013</v>
      </c>
      <c r="D14" s="66" t="n">
        <f aca="false">D8+D11+D13</f>
        <v>250512624547</v>
      </c>
      <c r="E14" s="66" t="n">
        <f aca="false">E8+E11+E13</f>
        <v>35173651170</v>
      </c>
      <c r="F14" s="66" t="n">
        <f aca="false">F8+F11+F13</f>
        <v>113275000000</v>
      </c>
      <c r="G14" s="66" t="n">
        <f aca="false">G8+G11+G13</f>
        <v>157740000000</v>
      </c>
      <c r="H14" s="66" t="n">
        <f aca="false">H8+H11+H13</f>
        <v>85487000000</v>
      </c>
    </row>
    <row r="15" customFormat="false" ht="15" hidden="false" customHeight="false" outlineLevel="0" collapsed="false">
      <c r="A15" s="54" t="s">
        <v>649</v>
      </c>
      <c r="B15" s="13" t="s">
        <v>365</v>
      </c>
      <c r="C15" s="61" t="n">
        <v>-70561549474</v>
      </c>
      <c r="D15" s="61" t="n">
        <v>-118034051135</v>
      </c>
      <c r="E15" s="61" t="n">
        <v>-96665120830</v>
      </c>
      <c r="F15" s="61" t="n">
        <v>-173685000000</v>
      </c>
      <c r="G15" s="61" t="n">
        <v>-173863000000</v>
      </c>
      <c r="H15" s="61" t="n">
        <v>-387554000000</v>
      </c>
      <c r="I15" s="15" t="s">
        <v>650</v>
      </c>
    </row>
    <row r="16" customFormat="false" ht="15" hidden="false" customHeight="false" outlineLevel="0" collapsed="false">
      <c r="A16" s="54" t="s">
        <v>651</v>
      </c>
      <c r="B16" s="13" t="s">
        <v>362</v>
      </c>
      <c r="C16" s="61" t="n">
        <v>26470099827</v>
      </c>
      <c r="D16" s="61" t="n">
        <v>23940936423</v>
      </c>
      <c r="E16" s="61" t="n">
        <v>19404583424</v>
      </c>
      <c r="F16" s="61" t="n">
        <v>29119000000</v>
      </c>
      <c r="G16" s="61" t="n">
        <v>13483000000</v>
      </c>
      <c r="H16" s="61" t="n">
        <v>66897000000</v>
      </c>
      <c r="I16" s="15" t="s">
        <v>652</v>
      </c>
    </row>
    <row r="17" customFormat="false" ht="15" hidden="false" customHeight="false" outlineLevel="0" collapsed="false">
      <c r="A17" s="63" t="s">
        <v>653</v>
      </c>
      <c r="B17" s="64" t="s">
        <v>654</v>
      </c>
      <c r="C17" s="66" t="n">
        <f aca="false">C14+C16+C15</f>
        <v>191390366</v>
      </c>
      <c r="D17" s="66" t="n">
        <f aca="false">D14+D16+D15</f>
        <v>156419509835</v>
      </c>
      <c r="E17" s="66" t="n">
        <f aca="false">E14+E16+E15</f>
        <v>-42086886236</v>
      </c>
      <c r="F17" s="66" t="n">
        <f aca="false">F14+F16+F15</f>
        <v>-31291000000</v>
      </c>
      <c r="G17" s="66" t="n">
        <f aca="false">G14+G16+G15</f>
        <v>-2640000000</v>
      </c>
      <c r="H17" s="66" t="n">
        <f aca="false">H14+H16+H15</f>
        <v>-235170000000</v>
      </c>
    </row>
    <row r="18" customFormat="false" ht="15" hidden="false" customHeight="false" outlineLevel="0" collapsed="false">
      <c r="A18" s="54" t="s">
        <v>655</v>
      </c>
      <c r="B18" s="13" t="s">
        <v>656</v>
      </c>
      <c r="C18" s="61" t="n">
        <v>-14689448354</v>
      </c>
      <c r="D18" s="61" t="n">
        <v>9184536739</v>
      </c>
      <c r="E18" s="61" t="n">
        <v>-2100344487</v>
      </c>
      <c r="F18" s="61" t="n">
        <v>-7022000000</v>
      </c>
      <c r="G18" s="61" t="n">
        <v>-20704000000</v>
      </c>
      <c r="H18" s="61" t="n">
        <v>36380000000</v>
      </c>
      <c r="I18" s="15" t="s">
        <v>657</v>
      </c>
    </row>
    <row r="19" customFormat="false" ht="15" hidden="false" customHeight="false" outlineLevel="0" collapsed="false">
      <c r="A19" s="63" t="s">
        <v>658</v>
      </c>
      <c r="B19" s="64" t="s">
        <v>659</v>
      </c>
      <c r="C19" s="66" t="n">
        <f aca="false">C17+C18</f>
        <v>-14498057988</v>
      </c>
      <c r="D19" s="66" t="n">
        <f aca="false">D17+D18</f>
        <v>165604046574</v>
      </c>
      <c r="E19" s="66" t="n">
        <f aca="false">E17+E18</f>
        <v>-44187230723</v>
      </c>
      <c r="F19" s="66" t="n">
        <f aca="false">F17+F18</f>
        <v>-38313000000</v>
      </c>
      <c r="G19" s="66" t="n">
        <f aca="false">G17+G18</f>
        <v>-23344000000</v>
      </c>
      <c r="H19" s="66" t="n">
        <f aca="false">H17+H18</f>
        <v>-198790000000</v>
      </c>
    </row>
    <row r="20" customFormat="false" ht="15" hidden="false" customHeight="false" outlineLevel="0" collapsed="false">
      <c r="A20" s="16"/>
      <c r="B20" s="17" t="s">
        <v>660</v>
      </c>
      <c r="C20" s="16"/>
      <c r="D20" s="16"/>
      <c r="E20" s="16"/>
      <c r="F20" s="16"/>
      <c r="G20" s="16"/>
      <c r="H20" s="16"/>
      <c r="I20" s="16"/>
    </row>
    <row r="21" customFormat="false" ht="15" hidden="false" customHeight="false" outlineLevel="0" collapsed="false">
      <c r="A21" s="54" t="s">
        <v>661</v>
      </c>
      <c r="B21" s="13" t="s">
        <v>662</v>
      </c>
      <c r="C21" s="61" t="n">
        <v>7358311173</v>
      </c>
      <c r="D21" s="61" t="n">
        <v>9054136342</v>
      </c>
      <c r="E21" s="61" t="n">
        <v>15285648917</v>
      </c>
      <c r="F21" s="61" t="n">
        <v>810000000</v>
      </c>
      <c r="G21" s="61" t="n">
        <v>-1037000000</v>
      </c>
      <c r="H21" s="61" t="n">
        <v>-5373000000</v>
      </c>
      <c r="I21" s="15" t="s">
        <v>663</v>
      </c>
    </row>
    <row r="22" customFormat="false" ht="15" hidden="false" customHeight="false" outlineLevel="0" collapsed="false">
      <c r="A22" s="54" t="s">
        <v>664</v>
      </c>
      <c r="B22" s="13" t="s">
        <v>665</v>
      </c>
      <c r="C22" s="61" t="n">
        <v>-2361493433</v>
      </c>
      <c r="D22" s="61" t="n">
        <v>-1991909997</v>
      </c>
      <c r="E22" s="61" t="n">
        <v>-3362842761</v>
      </c>
      <c r="F22" s="61" t="n">
        <v>-178000000</v>
      </c>
      <c r="G22" s="61" t="n">
        <v>228000000</v>
      </c>
      <c r="H22" s="61" t="n">
        <v>1182000000</v>
      </c>
      <c r="I22" s="15" t="s">
        <v>666</v>
      </c>
    </row>
    <row r="23" customFormat="false" ht="15" hidden="false" customHeight="false" outlineLevel="0" collapsed="false">
      <c r="A23" s="63" t="s">
        <v>667</v>
      </c>
      <c r="B23" s="64" t="s">
        <v>668</v>
      </c>
      <c r="C23" s="66" t="n">
        <f aca="false">C21+C22</f>
        <v>4996817740</v>
      </c>
      <c r="D23" s="66" t="n">
        <f aca="false">D21+D22</f>
        <v>7062226345</v>
      </c>
      <c r="E23" s="66" t="n">
        <f aca="false">E21+E22</f>
        <v>11922806156</v>
      </c>
      <c r="F23" s="66" t="n">
        <f aca="false">F21+F22</f>
        <v>632000000</v>
      </c>
      <c r="G23" s="66" t="n">
        <f aca="false">G21+G22</f>
        <v>-809000000</v>
      </c>
      <c r="H23" s="66" t="n">
        <f aca="false">H21+H22</f>
        <v>-4191000000</v>
      </c>
    </row>
    <row r="24" customFormat="false" ht="15" hidden="false" customHeight="false" outlineLevel="0" collapsed="false">
      <c r="A24" s="63" t="s">
        <v>669</v>
      </c>
      <c r="B24" s="64" t="s">
        <v>670</v>
      </c>
      <c r="C24" s="66" t="n">
        <f aca="false">C19+C23</f>
        <v>-9501240248</v>
      </c>
      <c r="D24" s="66" t="n">
        <f aca="false">D19+D23</f>
        <v>172666272919</v>
      </c>
      <c r="E24" s="66" t="n">
        <f aca="false">E19+E23</f>
        <v>-32264424567</v>
      </c>
      <c r="F24" s="66" t="n">
        <f aca="false">F19+F23</f>
        <v>-37681000000</v>
      </c>
      <c r="G24" s="66" t="n">
        <f aca="false">G19+G23</f>
        <v>-24153000000</v>
      </c>
      <c r="H24" s="66" t="n">
        <f aca="false">H19+H23</f>
        <v>-202981000000</v>
      </c>
    </row>
    <row r="25" customFormat="false" ht="15" hidden="false" customHeight="false" outlineLevel="0" collapsed="false">
      <c r="A25" s="16"/>
      <c r="B25" s="17" t="s">
        <v>671</v>
      </c>
      <c r="C25" s="16"/>
      <c r="D25" s="16"/>
      <c r="E25" s="16"/>
      <c r="F25" s="16"/>
      <c r="G25" s="16"/>
      <c r="H25" s="16"/>
      <c r="I25" s="16"/>
    </row>
    <row r="26" customFormat="false" ht="15" hidden="false" customHeight="false" outlineLevel="0" collapsed="false">
      <c r="A26" s="54" t="s">
        <v>672</v>
      </c>
      <c r="B26" s="13" t="s">
        <v>673</v>
      </c>
      <c r="C26" s="61" t="n">
        <v>-14380627056</v>
      </c>
      <c r="D26" s="61" t="n">
        <v>165308238619</v>
      </c>
      <c r="E26" s="61" t="n">
        <v>-44314949025</v>
      </c>
      <c r="F26" s="61" t="n">
        <v>-38490000000</v>
      </c>
      <c r="G26" s="61" t="n">
        <v>-23513000000</v>
      </c>
      <c r="H26" s="61" t="n">
        <v>-199000000000</v>
      </c>
      <c r="I26" s="15" t="s">
        <v>674</v>
      </c>
    </row>
    <row r="27" customFormat="false" ht="15" hidden="false" customHeight="false" outlineLevel="0" collapsed="false">
      <c r="A27" s="54" t="s">
        <v>675</v>
      </c>
      <c r="B27" s="13" t="s">
        <v>676</v>
      </c>
      <c r="C27" s="61" t="n">
        <v>-117430932</v>
      </c>
      <c r="D27" s="61" t="n">
        <v>295807955</v>
      </c>
      <c r="E27" s="61" t="n">
        <v>127718302</v>
      </c>
      <c r="F27" s="61" t="n">
        <v>177000000</v>
      </c>
      <c r="G27" s="61" t="n">
        <v>169000000</v>
      </c>
      <c r="H27" s="61" t="n">
        <v>210000000</v>
      </c>
      <c r="I27" s="15" t="s">
        <v>677</v>
      </c>
    </row>
    <row r="28" customFormat="false" ht="15" hidden="false" customHeight="false" outlineLevel="0" collapsed="false">
      <c r="A28" s="54" t="s">
        <v>678</v>
      </c>
      <c r="B28" s="13" t="s">
        <v>679</v>
      </c>
      <c r="C28" s="61" t="n">
        <v>-9387214298</v>
      </c>
      <c r="D28" s="61" t="n">
        <v>172365197898</v>
      </c>
      <c r="E28" s="61" t="n">
        <v>-32399970547</v>
      </c>
      <c r="F28" s="61" t="n">
        <v>-37858000000</v>
      </c>
      <c r="G28" s="61" t="n">
        <v>-24323000000</v>
      </c>
      <c r="H28" s="61" t="n">
        <v>-203188000000</v>
      </c>
      <c r="I28" s="15" t="s">
        <v>680</v>
      </c>
    </row>
    <row r="29" customFormat="false" ht="15" hidden="false" customHeight="false" outlineLevel="0" collapsed="false">
      <c r="A29" s="54" t="s">
        <v>681</v>
      </c>
      <c r="B29" s="13" t="s">
        <v>682</v>
      </c>
      <c r="C29" s="61" t="n">
        <v>-114025950</v>
      </c>
      <c r="D29" s="61" t="n">
        <v>301075021</v>
      </c>
      <c r="E29" s="61" t="n">
        <v>135545980</v>
      </c>
      <c r="F29" s="61" t="n">
        <v>177000000</v>
      </c>
      <c r="G29" s="61" t="n">
        <v>170000000</v>
      </c>
      <c r="H29" s="61" t="n">
        <v>207000000</v>
      </c>
      <c r="I29" s="15" t="s">
        <v>683</v>
      </c>
    </row>
    <row r="30" customFormat="false" ht="15" hidden="false" customHeight="false" outlineLevel="0" collapsed="false">
      <c r="A30" s="54" t="s">
        <v>684</v>
      </c>
      <c r="B30" s="13" t="s">
        <v>685</v>
      </c>
      <c r="C30" s="96" t="n">
        <v>-1.2</v>
      </c>
      <c r="D30" s="96" t="n">
        <v>13.77</v>
      </c>
      <c r="E30" s="96" t="n">
        <v>-3.69</v>
      </c>
      <c r="F30" s="96" t="n">
        <v>-3.21</v>
      </c>
      <c r="G30" s="96" t="n">
        <v>-1.96</v>
      </c>
      <c r="H30" s="96" t="n">
        <v>-16.31</v>
      </c>
      <c r="I30" s="15" t="s">
        <v>686</v>
      </c>
    </row>
    <row r="31" customFormat="false" ht="15" hidden="false" customHeight="false" outlineLevel="0" collapsed="false">
      <c r="A31" s="16"/>
      <c r="B31" s="17" t="s">
        <v>687</v>
      </c>
      <c r="C31" s="16"/>
      <c r="D31" s="16"/>
      <c r="E31" s="16"/>
      <c r="F31" s="16"/>
      <c r="G31" s="16"/>
      <c r="H31" s="16"/>
      <c r="I31" s="16"/>
    </row>
    <row r="32" customFormat="false" ht="15" hidden="false" customHeight="false" outlineLevel="0" collapsed="false">
      <c r="A32" s="54" t="s">
        <v>688</v>
      </c>
      <c r="B32" s="13" t="s">
        <v>689</v>
      </c>
      <c r="C32" s="61" t="n">
        <v>419100328655</v>
      </c>
      <c r="D32" s="61" t="n">
        <v>705032736652</v>
      </c>
      <c r="E32" s="61" t="n">
        <v>557054293585</v>
      </c>
      <c r="F32" s="61" t="n">
        <v>718020000000</v>
      </c>
      <c r="G32" s="61" t="n">
        <v>916443000000</v>
      </c>
      <c r="H32" s="61" t="n">
        <v>1058876000000</v>
      </c>
      <c r="I32" s="15" t="s">
        <v>690</v>
      </c>
    </row>
    <row r="33" customFormat="false" ht="15" hidden="false" customHeight="false" outlineLevel="0" collapsed="false">
      <c r="A33" s="54" t="s">
        <v>691</v>
      </c>
      <c r="B33" s="13" t="s">
        <v>692</v>
      </c>
      <c r="C33" s="61" t="n">
        <v>191390366</v>
      </c>
      <c r="D33" s="61" t="n">
        <v>156419509835</v>
      </c>
      <c r="E33" s="61" t="n">
        <v>-42086886236</v>
      </c>
      <c r="F33" s="61" t="n">
        <v>-31291000000</v>
      </c>
      <c r="G33" s="61" t="n">
        <v>-2640000000</v>
      </c>
      <c r="H33" s="61" t="n">
        <v>-235170000000</v>
      </c>
      <c r="I33" s="15" t="s">
        <v>693</v>
      </c>
    </row>
    <row r="34" customFormat="false" ht="15" hidden="false" customHeight="false" outlineLevel="0" collapsed="false">
      <c r="A34" s="54" t="s">
        <v>694</v>
      </c>
      <c r="B34" s="13" t="s">
        <v>695</v>
      </c>
      <c r="C34" s="61" t="n">
        <v>-14498057988</v>
      </c>
      <c r="D34" s="61" t="n">
        <v>165604046574</v>
      </c>
      <c r="E34" s="61" t="n">
        <v>-44187230723</v>
      </c>
      <c r="F34" s="61" t="n">
        <v>-38313000000</v>
      </c>
      <c r="G34" s="61" t="n">
        <v>-23344000000</v>
      </c>
      <c r="H34" s="61" t="n">
        <v>-198790000000</v>
      </c>
      <c r="I34" s="15" t="s">
        <v>696</v>
      </c>
    </row>
    <row r="35" customFormat="false" ht="15" hidden="false" customHeight="false" outlineLevel="0" collapsed="false">
      <c r="A35" s="54" t="s">
        <v>697</v>
      </c>
      <c r="B35" s="13" t="s">
        <v>698</v>
      </c>
      <c r="C35" s="61" t="n">
        <v>4996817740</v>
      </c>
      <c r="D35" s="61" t="n">
        <v>7062226345</v>
      </c>
      <c r="E35" s="61" t="n">
        <v>11922806156</v>
      </c>
      <c r="F35" s="61" t="n">
        <v>632000000</v>
      </c>
      <c r="G35" s="61" t="n">
        <v>-809000000</v>
      </c>
      <c r="H35" s="61" t="n">
        <v>-4191000000</v>
      </c>
      <c r="I35" s="15" t="s">
        <v>699</v>
      </c>
    </row>
    <row r="36" customFormat="false" ht="15" hidden="false" customHeight="false" outlineLevel="0" collapsed="false">
      <c r="A36" s="54" t="s">
        <v>700</v>
      </c>
      <c r="B36" s="13" t="s">
        <v>701</v>
      </c>
      <c r="C36" s="61" t="n">
        <v>-9501240248</v>
      </c>
      <c r="D36" s="61" t="n">
        <v>172666272919</v>
      </c>
      <c r="E36" s="61" t="n">
        <v>-32264424567</v>
      </c>
      <c r="F36" s="61" t="n">
        <v>-37681000000</v>
      </c>
      <c r="G36" s="61" t="n">
        <v>-24153000000</v>
      </c>
      <c r="H36" s="61" t="n">
        <v>-202981000000</v>
      </c>
      <c r="I36" s="15" t="s">
        <v>702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703</v>
      </c>
    </row>
    <row r="2" customFormat="false" ht="15" hidden="false" customHeight="false" outlineLevel="0" collapsed="false">
      <c r="A2" s="15" t="s">
        <v>617</v>
      </c>
    </row>
    <row r="3" customFormat="false" ht="39.75" hidden="false" customHeight="true" outlineLevel="0" collapsed="false">
      <c r="B3" s="15" t="s">
        <v>618</v>
      </c>
      <c r="C3" s="94" t="s">
        <v>619</v>
      </c>
      <c r="D3" s="95" t="s">
        <v>620</v>
      </c>
      <c r="E3" s="95" t="s">
        <v>621</v>
      </c>
      <c r="F3" s="95" t="s">
        <v>622</v>
      </c>
      <c r="G3" s="95" t="s">
        <v>623</v>
      </c>
      <c r="H3" s="95" t="s">
        <v>624</v>
      </c>
      <c r="I3" s="5" t="s">
        <v>625</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388</v>
      </c>
      <c r="C5" s="16"/>
      <c r="D5" s="16"/>
      <c r="E5" s="16"/>
      <c r="F5" s="16"/>
      <c r="G5" s="16"/>
      <c r="H5" s="16"/>
      <c r="I5" s="16"/>
    </row>
    <row r="6" customFormat="false" ht="15" hidden="false" customHeight="false" outlineLevel="0" collapsed="false">
      <c r="A6" s="54" t="s">
        <v>704</v>
      </c>
      <c r="B6" s="13" t="s">
        <v>390</v>
      </c>
      <c r="C6" s="61" t="n">
        <v>629608688874</v>
      </c>
      <c r="D6" s="61" t="n">
        <v>700922359619</v>
      </c>
      <c r="E6" s="61" t="n">
        <v>1118254250664</v>
      </c>
      <c r="F6" s="61" t="n">
        <v>515185000000</v>
      </c>
      <c r="G6" s="61" t="n">
        <v>277208000000</v>
      </c>
      <c r="H6" s="61" t="n">
        <v>1826263000000</v>
      </c>
      <c r="I6" s="15" t="s">
        <v>705</v>
      </c>
    </row>
    <row r="7" customFormat="false" ht="15" hidden="false" customHeight="false" outlineLevel="0" collapsed="false">
      <c r="A7" s="54" t="s">
        <v>706</v>
      </c>
      <c r="B7" s="13" t="s">
        <v>707</v>
      </c>
      <c r="C7" s="61"/>
      <c r="D7" s="61"/>
      <c r="E7" s="61"/>
      <c r="F7" s="61" t="n">
        <v>6517000000</v>
      </c>
      <c r="G7" s="61" t="n">
        <v>6532000000</v>
      </c>
      <c r="H7" s="61" t="n">
        <v>24842000000</v>
      </c>
      <c r="I7" s="15" t="s">
        <v>708</v>
      </c>
    </row>
    <row r="8" customFormat="false" ht="15" hidden="false" customHeight="false" outlineLevel="0" collapsed="false">
      <c r="A8" s="54" t="s">
        <v>709</v>
      </c>
      <c r="B8" s="13" t="s">
        <v>710</v>
      </c>
      <c r="C8" s="61" t="n">
        <v>220460304910</v>
      </c>
      <c r="D8" s="61" t="n">
        <v>220052635242</v>
      </c>
      <c r="E8" s="61" t="n">
        <v>236288599157</v>
      </c>
      <c r="F8" s="61" t="n">
        <v>386346000000</v>
      </c>
      <c r="G8" s="61" t="n">
        <v>414860000000</v>
      </c>
      <c r="H8" s="61" t="n">
        <v>547368000000</v>
      </c>
      <c r="I8" s="15" t="s">
        <v>711</v>
      </c>
    </row>
    <row r="9" customFormat="false" ht="15" hidden="false" customHeight="false" outlineLevel="0" collapsed="false">
      <c r="A9" s="54" t="s">
        <v>712</v>
      </c>
      <c r="B9" s="13" t="s">
        <v>713</v>
      </c>
      <c r="C9" s="61" t="n">
        <v>4962516770</v>
      </c>
      <c r="D9" s="61" t="n">
        <v>13848726036</v>
      </c>
      <c r="E9" s="61" t="n">
        <v>6692759161</v>
      </c>
      <c r="F9" s="61" t="n">
        <v>8975000000</v>
      </c>
      <c r="G9" s="61" t="n">
        <v>9438000000</v>
      </c>
      <c r="H9" s="61" t="n">
        <v>10565000000</v>
      </c>
      <c r="I9" s="15" t="s">
        <v>714</v>
      </c>
    </row>
    <row r="10" customFormat="false" ht="15" hidden="false" customHeight="false" outlineLevel="0" collapsed="false">
      <c r="A10" s="54" t="s">
        <v>715</v>
      </c>
      <c r="B10" s="13" t="s">
        <v>716</v>
      </c>
      <c r="C10" s="61" t="n">
        <v>5236876642</v>
      </c>
      <c r="D10" s="61" t="n">
        <v>6793936211</v>
      </c>
      <c r="E10" s="61" t="n">
        <v>7310678172</v>
      </c>
      <c r="F10" s="61" t="n">
        <v>8852000000</v>
      </c>
      <c r="G10" s="61" t="n">
        <v>10458000000</v>
      </c>
      <c r="H10" s="61" t="n">
        <v>12256000000</v>
      </c>
      <c r="I10" s="15" t="s">
        <v>717</v>
      </c>
    </row>
    <row r="11" customFormat="false" ht="15" hidden="false" customHeight="false" outlineLevel="0" collapsed="false">
      <c r="A11" s="54" t="s">
        <v>718</v>
      </c>
      <c r="B11" s="13" t="s">
        <v>719</v>
      </c>
      <c r="C11" s="61"/>
      <c r="D11" s="61" t="n">
        <v>1404495936</v>
      </c>
      <c r="E11" s="61" t="n">
        <v>18626561484</v>
      </c>
      <c r="F11" s="61" t="n">
        <v>90000000</v>
      </c>
      <c r="G11" s="61" t="n">
        <v>23876000000</v>
      </c>
      <c r="H11" s="61" t="n">
        <v>165000000</v>
      </c>
      <c r="I11" s="15" t="s">
        <v>720</v>
      </c>
    </row>
    <row r="12" customFormat="false" ht="15" hidden="false" customHeight="false" outlineLevel="0" collapsed="false">
      <c r="A12" s="54" t="s">
        <v>721</v>
      </c>
      <c r="B12" s="13" t="s">
        <v>395</v>
      </c>
      <c r="C12" s="61" t="n">
        <v>74691220678</v>
      </c>
      <c r="D12" s="61" t="n">
        <v>70409082280</v>
      </c>
      <c r="E12" s="61" t="n">
        <v>49621868590</v>
      </c>
      <c r="F12" s="61" t="n">
        <v>48940000000</v>
      </c>
      <c r="G12" s="61" t="n">
        <v>61316000000</v>
      </c>
      <c r="H12" s="61" t="n">
        <v>73323000000</v>
      </c>
      <c r="I12" s="15" t="s">
        <v>722</v>
      </c>
    </row>
    <row r="13" customFormat="false" ht="15" hidden="false" customHeight="false" outlineLevel="0" collapsed="false">
      <c r="A13" s="54" t="s">
        <v>723</v>
      </c>
      <c r="B13" s="13" t="s">
        <v>724</v>
      </c>
      <c r="C13" s="61" t="n">
        <v>2034924128</v>
      </c>
      <c r="D13" s="61" t="n">
        <v>2900786193</v>
      </c>
      <c r="E13" s="61" t="n">
        <v>4312304352</v>
      </c>
      <c r="F13" s="61" t="n">
        <v>14564000000</v>
      </c>
      <c r="G13" s="61" t="n">
        <v>16299000000</v>
      </c>
      <c r="H13" s="61" t="n">
        <v>4624000000</v>
      </c>
      <c r="I13" s="15" t="s">
        <v>725</v>
      </c>
    </row>
    <row r="14" customFormat="false" ht="15" hidden="false" customHeight="false" outlineLevel="0" collapsed="false">
      <c r="A14" s="54" t="s">
        <v>726</v>
      </c>
      <c r="B14" s="13" t="s">
        <v>727</v>
      </c>
      <c r="C14" s="61" t="n">
        <v>2833681995</v>
      </c>
      <c r="D14" s="61" t="n">
        <v>3822885889</v>
      </c>
      <c r="E14" s="61" t="n">
        <v>4402483862</v>
      </c>
      <c r="F14" s="61" t="n">
        <v>8381000000</v>
      </c>
      <c r="G14" s="61" t="n">
        <v>11258000000</v>
      </c>
      <c r="H14" s="61" t="n">
        <v>26770000000</v>
      </c>
      <c r="I14" s="15" t="s">
        <v>728</v>
      </c>
    </row>
    <row r="15" customFormat="false" ht="15" hidden="false" customHeight="false" outlineLevel="0" collapsed="false">
      <c r="A15" s="54" t="s">
        <v>729</v>
      </c>
      <c r="B15" s="13" t="s">
        <v>730</v>
      </c>
      <c r="C15" s="61" t="n">
        <v>7292745</v>
      </c>
      <c r="D15" s="61" t="n">
        <v>1299629966</v>
      </c>
      <c r="E15" s="61" t="n">
        <v>104093150</v>
      </c>
      <c r="F15" s="61" t="n">
        <v>399000000</v>
      </c>
      <c r="G15" s="61" t="n">
        <v>1557000000</v>
      </c>
      <c r="H15" s="61" t="n">
        <v>1741000000</v>
      </c>
      <c r="I15" s="15" t="s">
        <v>731</v>
      </c>
    </row>
    <row r="16" customFormat="false" ht="15" hidden="false" customHeight="false" outlineLevel="0" collapsed="false">
      <c r="A16" s="63" t="s">
        <v>732</v>
      </c>
      <c r="B16" s="64" t="s">
        <v>400</v>
      </c>
      <c r="C16" s="66" t="n">
        <f aca="false">C6+C7+C8+C9+C10+C11+C12+C13+C14+C15</f>
        <v>939835506742</v>
      </c>
      <c r="D16" s="66" t="n">
        <f aca="false">D6+D7+D8+D9+D10+D11+D12+D13+D14+D15</f>
        <v>1021454537372</v>
      </c>
      <c r="E16" s="66" t="n">
        <f aca="false">E6+E7+E8+E9+E10+E11+E12+E13+E14+E15</f>
        <v>1445613598592</v>
      </c>
      <c r="F16" s="66" t="n">
        <f aca="false">F6+F7+F8+F9+F10+F11+F12+F13+F14+F15</f>
        <v>998249000000</v>
      </c>
      <c r="G16" s="66" t="n">
        <f aca="false">G6+G7+G8+G9+G10+G11+G12+G13+G14+G15</f>
        <v>832802000000</v>
      </c>
      <c r="H16" s="66" t="n">
        <f aca="false">H6+H7+H8+H9+H10+H11+H12+H13+H14+H15</f>
        <v>2527917000000</v>
      </c>
    </row>
    <row r="17" customFormat="false" ht="15" hidden="false" customHeight="false" outlineLevel="0" collapsed="false">
      <c r="A17" s="54" t="s">
        <v>733</v>
      </c>
      <c r="B17" s="13" t="s">
        <v>734</v>
      </c>
      <c r="C17" s="61" t="n">
        <v>104654187444</v>
      </c>
      <c r="D17" s="61"/>
      <c r="E17" s="61"/>
      <c r="F17" s="61" t="n">
        <v>1581000000</v>
      </c>
      <c r="G17" s="61" t="n">
        <v>1569000000</v>
      </c>
      <c r="H17" s="61" t="n">
        <v>101000000</v>
      </c>
      <c r="I17" s="15" t="s">
        <v>735</v>
      </c>
    </row>
    <row r="18" customFormat="false" ht="15" hidden="false" customHeight="false" outlineLevel="0" collapsed="false">
      <c r="A18" s="54" t="s">
        <v>736</v>
      </c>
      <c r="B18" s="13" t="s">
        <v>737</v>
      </c>
      <c r="C18" s="61" t="n">
        <v>16208296660</v>
      </c>
      <c r="D18" s="61" t="n">
        <v>36491564325</v>
      </c>
      <c r="E18" s="61" t="n">
        <v>58126636520</v>
      </c>
      <c r="F18" s="61" t="n">
        <v>17269000000</v>
      </c>
      <c r="G18" s="61" t="n">
        <v>62164000000</v>
      </c>
      <c r="H18" s="61" t="n">
        <v>131298000000</v>
      </c>
      <c r="I18" s="15" t="s">
        <v>738</v>
      </c>
    </row>
    <row r="19" customFormat="false" ht="15" hidden="false" customHeight="false" outlineLevel="0" collapsed="false">
      <c r="A19" s="54" t="s">
        <v>739</v>
      </c>
      <c r="B19" s="13" t="s">
        <v>740</v>
      </c>
      <c r="C19" s="61" t="n">
        <v>2641613456689</v>
      </c>
      <c r="D19" s="61" t="n">
        <v>3169775593830</v>
      </c>
      <c r="E19" s="61" t="n">
        <v>3607142163990</v>
      </c>
      <c r="F19" s="61" t="n">
        <v>3952312000000</v>
      </c>
      <c r="G19" s="61" t="n">
        <v>4164140000000</v>
      </c>
      <c r="H19" s="61" t="n">
        <v>4286327000000</v>
      </c>
      <c r="I19" s="15" t="s">
        <v>741</v>
      </c>
    </row>
    <row r="20" customFormat="false" ht="15" hidden="false" customHeight="false" outlineLevel="0" collapsed="false">
      <c r="A20" s="54" t="s">
        <v>742</v>
      </c>
      <c r="B20" s="13" t="s">
        <v>743</v>
      </c>
      <c r="C20" s="61" t="n">
        <v>40010000000</v>
      </c>
      <c r="D20" s="61" t="n">
        <v>40010000000</v>
      </c>
      <c r="E20" s="61" t="n">
        <v>40010000000</v>
      </c>
      <c r="F20" s="61" t="n">
        <v>40010000000</v>
      </c>
      <c r="G20" s="61" t="n">
        <v>40010000000</v>
      </c>
      <c r="H20" s="61" t="n">
        <v>44695000000</v>
      </c>
      <c r="I20" s="15" t="s">
        <v>744</v>
      </c>
    </row>
    <row r="21" customFormat="false" ht="15" hidden="false" customHeight="false" outlineLevel="0" collapsed="false">
      <c r="A21" s="54" t="s">
        <v>745</v>
      </c>
      <c r="B21" s="13" t="s">
        <v>746</v>
      </c>
      <c r="C21" s="61" t="n">
        <v>308029359532</v>
      </c>
      <c r="D21" s="61" t="n">
        <v>280850298397</v>
      </c>
      <c r="E21" s="61" t="n">
        <v>253671237262</v>
      </c>
      <c r="F21" s="61" t="n">
        <v>227253000000</v>
      </c>
      <c r="G21" s="61" t="n">
        <v>199858000000</v>
      </c>
      <c r="H21" s="61" t="n">
        <v>177145000000</v>
      </c>
      <c r="I21" s="15" t="s">
        <v>747</v>
      </c>
    </row>
    <row r="22" customFormat="false" ht="15" hidden="false" customHeight="false" outlineLevel="0" collapsed="false">
      <c r="A22" s="54" t="s">
        <v>748</v>
      </c>
      <c r="B22" s="13" t="s">
        <v>404</v>
      </c>
      <c r="C22" s="61" t="n">
        <v>10032147719</v>
      </c>
      <c r="D22" s="61" t="n">
        <v>18016628295</v>
      </c>
      <c r="E22" s="61" t="n">
        <v>12824038513</v>
      </c>
      <c r="F22" s="61" t="n">
        <v>11773000000</v>
      </c>
      <c r="G22" s="61" t="n">
        <v>11616000000</v>
      </c>
      <c r="H22" s="61" t="n">
        <v>26642000000</v>
      </c>
      <c r="I22" s="15" t="s">
        <v>749</v>
      </c>
    </row>
    <row r="23" customFormat="false" ht="15" hidden="false" customHeight="false" outlineLevel="0" collapsed="false">
      <c r="A23" s="54" t="s">
        <v>750</v>
      </c>
      <c r="B23" s="13" t="s">
        <v>751</v>
      </c>
      <c r="C23" s="61" t="n">
        <v>1292381206</v>
      </c>
      <c r="D23" s="61" t="n">
        <v>1292381206</v>
      </c>
      <c r="E23" s="61" t="n">
        <v>7436614727</v>
      </c>
      <c r="F23" s="61" t="n">
        <v>12673000000</v>
      </c>
      <c r="G23" s="61" t="n">
        <v>11645000000</v>
      </c>
      <c r="H23" s="61" t="n">
        <v>11151000000</v>
      </c>
      <c r="I23" s="15" t="s">
        <v>752</v>
      </c>
    </row>
    <row r="24" customFormat="false" ht="15" hidden="false" customHeight="false" outlineLevel="0" collapsed="false">
      <c r="A24" s="54" t="s">
        <v>753</v>
      </c>
      <c r="B24" s="13" t="s">
        <v>754</v>
      </c>
      <c r="C24" s="61" t="n">
        <v>46883177777</v>
      </c>
      <c r="D24" s="61" t="n">
        <v>66145030699</v>
      </c>
      <c r="E24" s="61" t="n">
        <v>87004383911</v>
      </c>
      <c r="F24" s="61" t="n">
        <v>107400000000</v>
      </c>
      <c r="G24" s="61" t="n">
        <v>121447000000</v>
      </c>
      <c r="H24" s="61" t="n">
        <v>180863000000</v>
      </c>
      <c r="I24" s="15" t="s">
        <v>755</v>
      </c>
    </row>
    <row r="25" customFormat="false" ht="15" hidden="false" customHeight="false" outlineLevel="0" collapsed="false">
      <c r="A25" s="54" t="s">
        <v>756</v>
      </c>
      <c r="B25" s="13" t="s">
        <v>757</v>
      </c>
      <c r="C25" s="61" t="n">
        <v>237770574237</v>
      </c>
      <c r="D25" s="61" t="n">
        <v>237770574237</v>
      </c>
      <c r="E25" s="61" t="n">
        <v>237770574237</v>
      </c>
      <c r="F25" s="61" t="n">
        <v>237771000000</v>
      </c>
      <c r="G25" s="61" t="n">
        <v>237771000000</v>
      </c>
      <c r="H25" s="61" t="n">
        <v>237771000000</v>
      </c>
      <c r="I25" s="15" t="s">
        <v>758</v>
      </c>
    </row>
    <row r="26" customFormat="false" ht="15" hidden="false" customHeight="false" outlineLevel="0" collapsed="false">
      <c r="A26" s="63" t="s">
        <v>759</v>
      </c>
      <c r="B26" s="64" t="s">
        <v>408</v>
      </c>
      <c r="C26" s="66" t="n">
        <f aca="false">C17+C18+C19+C20+C21+C22+C23+C24+C25</f>
        <v>3406493581264</v>
      </c>
      <c r="D26" s="66" t="n">
        <f aca="false">D17+D18+D19+D20+D21+D22+D23+D24+D25</f>
        <v>3850352070989</v>
      </c>
      <c r="E26" s="66" t="n">
        <f aca="false">E17+E18+E19+E20+E21+E22+E23+E24+E25</f>
        <v>4303985649160</v>
      </c>
      <c r="F26" s="66" t="n">
        <f aca="false">F17+F18+F19+F20+F21+F22+F23+F24+F25</f>
        <v>4608042000000</v>
      </c>
      <c r="G26" s="66" t="n">
        <f aca="false">G17+G18+G19+G20+G21+G22+G23+G24+G25</f>
        <v>4850220000000</v>
      </c>
      <c r="H26" s="66" t="n">
        <f aca="false">H17+H18+H19+H20+H21+H22+H23+H24+H25</f>
        <v>5095993000000</v>
      </c>
    </row>
    <row r="27" customFormat="false" ht="15" hidden="false" customHeight="false" outlineLevel="0" collapsed="false">
      <c r="A27" s="63" t="s">
        <v>760</v>
      </c>
      <c r="B27" s="64" t="s">
        <v>410</v>
      </c>
      <c r="C27" s="66" t="n">
        <f aca="false">C16+C26</f>
        <v>4346329088006</v>
      </c>
      <c r="D27" s="66" t="n">
        <f aca="false">D16+D26</f>
        <v>4871806608361</v>
      </c>
      <c r="E27" s="66" t="n">
        <f aca="false">E16+E26</f>
        <v>5749599247752</v>
      </c>
      <c r="F27" s="66" t="n">
        <f aca="false">F16+F26</f>
        <v>5606291000000</v>
      </c>
      <c r="G27" s="66" t="n">
        <f aca="false">G16+G26</f>
        <v>5683022000000</v>
      </c>
      <c r="H27" s="66" t="n">
        <f aca="false">H16+H26</f>
        <v>7623910000000</v>
      </c>
    </row>
    <row r="28" customFormat="false" ht="15" hidden="false" customHeight="false" outlineLevel="0" collapsed="false">
      <c r="A28" s="16"/>
      <c r="B28" s="17" t="s">
        <v>411</v>
      </c>
      <c r="C28" s="16"/>
      <c r="D28" s="16"/>
      <c r="E28" s="16"/>
      <c r="F28" s="16"/>
      <c r="G28" s="16"/>
      <c r="H28" s="16"/>
      <c r="I28" s="16"/>
    </row>
    <row r="29" customFormat="false" ht="15" hidden="false" customHeight="false" outlineLevel="0" collapsed="false">
      <c r="A29" s="54" t="s">
        <v>761</v>
      </c>
      <c r="B29" s="13" t="s">
        <v>762</v>
      </c>
      <c r="C29" s="61" t="n">
        <v>221000000000</v>
      </c>
      <c r="D29" s="61" t="n">
        <v>589152777778</v>
      </c>
      <c r="E29" s="61" t="n">
        <v>483535978780</v>
      </c>
      <c r="F29" s="61" t="n">
        <v>17814000000</v>
      </c>
      <c r="G29" s="61" t="n">
        <v>29169000000</v>
      </c>
      <c r="H29" s="61"/>
      <c r="I29" s="15" t="s">
        <v>763</v>
      </c>
    </row>
    <row r="30" customFormat="false" ht="15" hidden="false" customHeight="false" outlineLevel="0" collapsed="false">
      <c r="A30" s="54" t="s">
        <v>764</v>
      </c>
      <c r="B30" s="13" t="s">
        <v>765</v>
      </c>
      <c r="C30" s="61" t="n">
        <v>175206597303</v>
      </c>
      <c r="D30" s="61" t="n">
        <v>192301032210</v>
      </c>
      <c r="E30" s="61" t="n">
        <v>161991239794</v>
      </c>
      <c r="F30" s="61" t="n">
        <v>140702000000</v>
      </c>
      <c r="G30" s="61" t="n">
        <v>156194000000</v>
      </c>
      <c r="H30" s="61" t="n">
        <v>113840000000</v>
      </c>
      <c r="I30" s="15" t="s">
        <v>766</v>
      </c>
    </row>
    <row r="31" customFormat="false" ht="15" hidden="false" customHeight="false" outlineLevel="0" collapsed="false">
      <c r="A31" s="54" t="s">
        <v>767</v>
      </c>
      <c r="B31" s="13" t="s">
        <v>768</v>
      </c>
      <c r="C31" s="61"/>
      <c r="D31" s="61"/>
      <c r="E31" s="61"/>
      <c r="F31" s="61"/>
      <c r="G31" s="61"/>
      <c r="H31" s="61"/>
      <c r="I31" s="15" t="s">
        <v>769</v>
      </c>
    </row>
    <row r="32" customFormat="false" ht="15" hidden="false" customHeight="false" outlineLevel="0" collapsed="false">
      <c r="A32" s="54" t="s">
        <v>770</v>
      </c>
      <c r="B32" s="13" t="s">
        <v>771</v>
      </c>
      <c r="C32" s="61" t="n">
        <v>66098090281</v>
      </c>
      <c r="D32" s="61" t="n">
        <v>170509062467</v>
      </c>
      <c r="E32" s="61" t="n">
        <v>201562330538</v>
      </c>
      <c r="F32" s="61" t="n">
        <v>145827000000</v>
      </c>
      <c r="G32" s="61" t="n">
        <v>191476000000</v>
      </c>
      <c r="H32" s="61" t="n">
        <v>118144000000</v>
      </c>
      <c r="I32" s="15" t="s">
        <v>772</v>
      </c>
    </row>
    <row r="33" customFormat="false" ht="15" hidden="false" customHeight="false" outlineLevel="0" collapsed="false">
      <c r="A33" s="54" t="s">
        <v>773</v>
      </c>
      <c r="B33" s="13" t="s">
        <v>774</v>
      </c>
      <c r="C33" s="61" t="n">
        <v>1085218611770</v>
      </c>
      <c r="D33" s="61" t="n">
        <v>1514060364827</v>
      </c>
      <c r="E33" s="61" t="n">
        <v>1512219212558</v>
      </c>
      <c r="F33" s="61" t="n">
        <v>1512219000000</v>
      </c>
      <c r="G33" s="61" t="n">
        <v>1512219000000</v>
      </c>
      <c r="H33" s="61" t="n">
        <v>972118000000</v>
      </c>
      <c r="I33" s="15" t="s">
        <v>775</v>
      </c>
    </row>
    <row r="34" customFormat="false" ht="15" hidden="false" customHeight="false" outlineLevel="0" collapsed="false">
      <c r="A34" s="54" t="s">
        <v>776</v>
      </c>
      <c r="B34" s="13" t="s">
        <v>777</v>
      </c>
      <c r="C34" s="61" t="n">
        <v>5880237037</v>
      </c>
      <c r="D34" s="61" t="n">
        <v>14970177592</v>
      </c>
      <c r="E34" s="61" t="n">
        <v>25707571372</v>
      </c>
      <c r="F34" s="61" t="n">
        <v>31481000000</v>
      </c>
      <c r="G34" s="61" t="n">
        <v>15733000000</v>
      </c>
      <c r="H34" s="61" t="n">
        <v>12818000000</v>
      </c>
      <c r="I34" s="15" t="s">
        <v>778</v>
      </c>
    </row>
    <row r="35" customFormat="false" ht="15" hidden="false" customHeight="false" outlineLevel="0" collapsed="false">
      <c r="A35" s="54" t="s">
        <v>779</v>
      </c>
      <c r="B35" s="13" t="s">
        <v>780</v>
      </c>
      <c r="C35" s="61" t="n">
        <v>95105436109</v>
      </c>
      <c r="D35" s="61" t="n">
        <v>123381315476</v>
      </c>
      <c r="E35" s="61" t="n">
        <v>139578855784</v>
      </c>
      <c r="F35" s="61" t="n">
        <v>158668000000</v>
      </c>
      <c r="G35" s="61" t="n">
        <v>143972000000</v>
      </c>
      <c r="H35" s="61" t="n">
        <v>186564000000</v>
      </c>
      <c r="I35" s="15" t="s">
        <v>781</v>
      </c>
    </row>
    <row r="36" customFormat="false" ht="15" hidden="false" customHeight="false" outlineLevel="0" collapsed="false">
      <c r="A36" s="54" t="s">
        <v>782</v>
      </c>
      <c r="B36" s="13" t="s">
        <v>783</v>
      </c>
      <c r="C36" s="61" t="n">
        <v>1303280866</v>
      </c>
      <c r="D36" s="61" t="n">
        <v>938125432</v>
      </c>
      <c r="E36" s="61" t="n">
        <v>1287099899</v>
      </c>
      <c r="F36" s="61" t="n">
        <v>8693000000</v>
      </c>
      <c r="G36" s="61" t="n">
        <v>11579000000</v>
      </c>
      <c r="H36" s="61" t="n">
        <v>9708000000</v>
      </c>
      <c r="I36" s="15" t="s">
        <v>784</v>
      </c>
    </row>
    <row r="37" customFormat="false" ht="15" hidden="false" customHeight="false" outlineLevel="0" collapsed="false">
      <c r="A37" s="54" t="s">
        <v>785</v>
      </c>
      <c r="B37" s="13" t="s">
        <v>786</v>
      </c>
      <c r="C37" s="61"/>
      <c r="D37" s="61"/>
      <c r="E37" s="61"/>
      <c r="F37" s="61"/>
      <c r="G37" s="61" t="n">
        <v>22216000000</v>
      </c>
      <c r="H37" s="61" t="n">
        <v>27260000000</v>
      </c>
      <c r="I37" s="15" t="s">
        <v>787</v>
      </c>
    </row>
    <row r="38" customFormat="false" ht="15" hidden="false" customHeight="false" outlineLevel="0" collapsed="false">
      <c r="A38" s="54" t="s">
        <v>788</v>
      </c>
      <c r="B38" s="13" t="s">
        <v>789</v>
      </c>
      <c r="C38" s="61" t="n">
        <v>91176257959</v>
      </c>
      <c r="D38" s="61" t="n">
        <v>52297722986</v>
      </c>
      <c r="E38" s="61" t="n">
        <v>74790481477</v>
      </c>
      <c r="F38" s="61" t="n">
        <v>63114000000</v>
      </c>
      <c r="G38" s="61" t="n">
        <v>78393000000</v>
      </c>
      <c r="H38" s="61" t="n">
        <v>91017000000</v>
      </c>
      <c r="I38" s="15" t="s">
        <v>790</v>
      </c>
    </row>
    <row r="39" customFormat="false" ht="15" hidden="false" customHeight="false" outlineLevel="0" collapsed="false">
      <c r="A39" s="54" t="s">
        <v>791</v>
      </c>
      <c r="B39" s="13" t="s">
        <v>792</v>
      </c>
      <c r="C39" s="61"/>
      <c r="D39" s="61"/>
      <c r="E39" s="61"/>
      <c r="F39" s="61" t="n">
        <v>24083000000</v>
      </c>
      <c r="G39" s="61" t="n">
        <v>27093000000</v>
      </c>
      <c r="H39" s="61" t="n">
        <v>76309000000</v>
      </c>
      <c r="I39" s="15" t="s">
        <v>793</v>
      </c>
    </row>
    <row r="40" customFormat="false" ht="15" hidden="false" customHeight="false" outlineLevel="0" collapsed="false">
      <c r="A40" s="54" t="s">
        <v>794</v>
      </c>
      <c r="B40" s="13" t="s">
        <v>795</v>
      </c>
      <c r="C40" s="61"/>
      <c r="D40" s="61"/>
      <c r="E40" s="61"/>
      <c r="F40" s="61"/>
      <c r="G40" s="61" t="n">
        <v>407900000000</v>
      </c>
      <c r="H40" s="61"/>
      <c r="I40" s="15" t="s">
        <v>796</v>
      </c>
    </row>
    <row r="41" customFormat="false" ht="15" hidden="false" customHeight="false" outlineLevel="0" collapsed="false">
      <c r="A41" s="54" t="s">
        <v>797</v>
      </c>
      <c r="B41" s="13" t="s">
        <v>798</v>
      </c>
      <c r="C41" s="61"/>
      <c r="D41" s="61" t="n">
        <v>1570320009</v>
      </c>
      <c r="E41" s="61" t="n">
        <v>2092655844</v>
      </c>
      <c r="F41" s="61" t="n">
        <v>2311000000</v>
      </c>
      <c r="G41" s="61" t="n">
        <v>431000000</v>
      </c>
      <c r="H41" s="61"/>
      <c r="I41" s="15" t="s">
        <v>799</v>
      </c>
    </row>
    <row r="42" customFormat="false" ht="15" hidden="false" customHeight="false" outlineLevel="0" collapsed="false">
      <c r="A42" s="54" t="s">
        <v>800</v>
      </c>
      <c r="B42" s="13" t="s">
        <v>801</v>
      </c>
      <c r="C42" s="61"/>
      <c r="D42" s="61"/>
      <c r="E42" s="61"/>
      <c r="F42" s="61" t="n">
        <v>614000000</v>
      </c>
      <c r="G42" s="61" t="n">
        <v>671000000</v>
      </c>
      <c r="H42" s="61" t="n">
        <v>2252000000</v>
      </c>
      <c r="I42" s="15" t="s">
        <v>802</v>
      </c>
    </row>
    <row r="43" customFormat="false" ht="15" hidden="false" customHeight="false" outlineLevel="0" collapsed="false">
      <c r="A43" s="63" t="s">
        <v>803</v>
      </c>
      <c r="B43" s="64" t="s">
        <v>804</v>
      </c>
      <c r="C43" s="66" t="n">
        <f aca="false">C29+C30+C31+C32+C33+C34+C35+C36+C37+C38+C39+C40+C41+C42</f>
        <v>1740988511325</v>
      </c>
      <c r="D43" s="66" t="n">
        <f aca="false">D29+D30+D31+D32+D33+D34+D35+D36+D37+D38+D39+D40+D41+D42</f>
        <v>2659180898777</v>
      </c>
      <c r="E43" s="66" t="n">
        <f aca="false">E29+E30+E31+E32+E33+E34+E35+E36+E37+E38+E39+E40+E41+E42</f>
        <v>2602765426046</v>
      </c>
      <c r="F43" s="66" t="n">
        <f aca="false">F29+F30+F31+F32+F33+F34+F35+F36+F37+F38+F39+F40+F41+F42</f>
        <v>2105526000000</v>
      </c>
      <c r="G43" s="66" t="n">
        <f aca="false">G29+G30+G31+G32+G33+G34+G35+G36+G37+G38+G39+G40+G41+G42</f>
        <v>2597046000000</v>
      </c>
      <c r="H43" s="66" t="n">
        <f aca="false">H29+H30+H31+H32+H33+H34+H35+H36+H37+H38+H39+H40+H41+H42</f>
        <v>1610030000000</v>
      </c>
    </row>
    <row r="44" customFormat="false" ht="15" hidden="false" customHeight="false" outlineLevel="0" collapsed="false">
      <c r="A44" s="54" t="s">
        <v>805</v>
      </c>
      <c r="B44" s="13" t="s">
        <v>806</v>
      </c>
      <c r="C44" s="61" t="n">
        <v>1231545813</v>
      </c>
      <c r="D44" s="61"/>
      <c r="E44" s="61" t="n">
        <v>212900943</v>
      </c>
      <c r="F44" s="61"/>
      <c r="G44" s="61"/>
      <c r="H44" s="61"/>
      <c r="I44" s="15" t="s">
        <v>807</v>
      </c>
    </row>
    <row r="45" customFormat="false" ht="15" hidden="false" customHeight="false" outlineLevel="0" collapsed="false">
      <c r="A45" s="54" t="s">
        <v>808</v>
      </c>
      <c r="B45" s="13" t="s">
        <v>809</v>
      </c>
      <c r="C45" s="61" t="n">
        <v>760074963735</v>
      </c>
      <c r="D45" s="61" t="n">
        <v>199591059102</v>
      </c>
      <c r="E45" s="61" t="n">
        <v>219148960138</v>
      </c>
      <c r="F45" s="61" t="n">
        <v>150054000000</v>
      </c>
      <c r="G45" s="61" t="n">
        <v>166878000000</v>
      </c>
      <c r="H45" s="61" t="n">
        <v>208514000000</v>
      </c>
      <c r="I45" s="15" t="s">
        <v>810</v>
      </c>
    </row>
    <row r="46" customFormat="false" ht="15" hidden="false" customHeight="false" outlineLevel="0" collapsed="false">
      <c r="A46" s="54" t="s">
        <v>811</v>
      </c>
      <c r="B46" s="13" t="s">
        <v>812</v>
      </c>
      <c r="C46" s="61"/>
      <c r="D46" s="61"/>
      <c r="E46" s="61"/>
      <c r="F46" s="61" t="n">
        <v>443840000000</v>
      </c>
      <c r="G46" s="61" t="n">
        <v>417535000000</v>
      </c>
      <c r="H46" s="61" t="n">
        <v>734153000000</v>
      </c>
      <c r="I46" s="15" t="s">
        <v>813</v>
      </c>
    </row>
    <row r="47" customFormat="false" ht="15" hidden="false" customHeight="false" outlineLevel="0" collapsed="false">
      <c r="A47" s="54" t="s">
        <v>814</v>
      </c>
      <c r="B47" s="13" t="s">
        <v>815</v>
      </c>
      <c r="C47" s="61"/>
      <c r="D47" s="61"/>
      <c r="E47" s="61" t="n">
        <v>943301762640</v>
      </c>
      <c r="F47" s="61" t="n">
        <v>944725000000</v>
      </c>
      <c r="G47" s="61" t="n">
        <v>538467000000</v>
      </c>
      <c r="H47" s="61" t="n">
        <v>3574422000000</v>
      </c>
      <c r="I47" s="15" t="s">
        <v>816</v>
      </c>
    </row>
    <row r="48" customFormat="false" ht="15" hidden="false" customHeight="false" outlineLevel="0" collapsed="false">
      <c r="A48" s="54" t="s">
        <v>817</v>
      </c>
      <c r="B48" s="13" t="s">
        <v>818</v>
      </c>
      <c r="C48" s="61"/>
      <c r="D48" s="61" t="n">
        <v>3582839439</v>
      </c>
      <c r="E48" s="61" t="n">
        <v>2441052043</v>
      </c>
      <c r="F48" s="61" t="n">
        <v>402000000</v>
      </c>
      <c r="G48" s="61"/>
      <c r="H48" s="61"/>
      <c r="I48" s="15" t="s">
        <v>819</v>
      </c>
    </row>
    <row r="49" customFormat="false" ht="15" hidden="false" customHeight="false" outlineLevel="0" collapsed="false">
      <c r="A49" s="54" t="s">
        <v>820</v>
      </c>
      <c r="B49" s="13" t="s">
        <v>821</v>
      </c>
      <c r="C49" s="61"/>
      <c r="D49" s="61"/>
      <c r="E49" s="61"/>
      <c r="F49" s="61" t="n">
        <v>3277000000</v>
      </c>
      <c r="G49" s="61" t="n">
        <v>2605000000</v>
      </c>
      <c r="H49" s="61" t="n">
        <v>5425000000</v>
      </c>
      <c r="I49" s="15" t="s">
        <v>822</v>
      </c>
    </row>
    <row r="50" customFormat="false" ht="15" hidden="false" customHeight="false" outlineLevel="0" collapsed="false">
      <c r="A50" s="54" t="s">
        <v>823</v>
      </c>
      <c r="B50" s="13" t="s">
        <v>824</v>
      </c>
      <c r="C50" s="61" t="n">
        <v>89297794369</v>
      </c>
      <c r="D50" s="61" t="n">
        <v>82049265360</v>
      </c>
      <c r="E50" s="61" t="n">
        <v>76938154146</v>
      </c>
      <c r="F50" s="61" t="n">
        <v>86578000000</v>
      </c>
      <c r="G50" s="61" t="n">
        <v>111014000000</v>
      </c>
      <c r="H50" s="61" t="n">
        <v>155333000000</v>
      </c>
      <c r="I50" s="15" t="s">
        <v>825</v>
      </c>
    </row>
    <row r="51" customFormat="false" ht="15" hidden="false" customHeight="false" outlineLevel="0" collapsed="false">
      <c r="A51" s="54" t="s">
        <v>826</v>
      </c>
      <c r="B51" s="13" t="s">
        <v>827</v>
      </c>
      <c r="C51" s="61"/>
      <c r="D51" s="61"/>
      <c r="E51" s="61" t="n">
        <v>9652870680</v>
      </c>
      <c r="F51" s="61" t="n">
        <v>14432000000</v>
      </c>
      <c r="G51" s="61" t="n">
        <v>16173000000</v>
      </c>
      <c r="H51" s="61" t="n">
        <v>308000000</v>
      </c>
      <c r="I51" s="15" t="s">
        <v>828</v>
      </c>
    </row>
    <row r="52" customFormat="false" ht="15" hidden="false" customHeight="false" outlineLevel="0" collapsed="false">
      <c r="A52" s="63" t="s">
        <v>829</v>
      </c>
      <c r="B52" s="64" t="s">
        <v>830</v>
      </c>
      <c r="C52" s="66" t="n">
        <f aca="false">C44+C45+C46+C47+C48+C49+C50+C51</f>
        <v>850604303917</v>
      </c>
      <c r="D52" s="66" t="n">
        <f aca="false">D44+D45+D46+D47+D48+D49+D50+D51</f>
        <v>285223163901</v>
      </c>
      <c r="E52" s="66" t="n">
        <f aca="false">E44+E45+E46+E47+E48+E49+E50+E51</f>
        <v>1251695700590</v>
      </c>
      <c r="F52" s="66" t="n">
        <f aca="false">F44+F45+F46+F47+F48+F49+F50+F51</f>
        <v>1643308000000</v>
      </c>
      <c r="G52" s="66" t="n">
        <f aca="false">G44+G45+G46+G47+G48+G49+G50+G51</f>
        <v>1252672000000</v>
      </c>
      <c r="H52" s="66" t="n">
        <f aca="false">H44+H45+H46+H47+H48+H49+H50+H51</f>
        <v>4678155000000</v>
      </c>
    </row>
    <row r="53" customFormat="false" ht="15" hidden="false" customHeight="false" outlineLevel="0" collapsed="false">
      <c r="A53" s="63" t="s">
        <v>831</v>
      </c>
      <c r="B53" s="64" t="s">
        <v>422</v>
      </c>
      <c r="C53" s="66" t="n">
        <f aca="false">C43+C52</f>
        <v>2591592815242</v>
      </c>
      <c r="D53" s="66" t="n">
        <f aca="false">D43+D52</f>
        <v>2944404062678</v>
      </c>
      <c r="E53" s="66" t="n">
        <f aca="false">E43+E52</f>
        <v>3854461126636</v>
      </c>
      <c r="F53" s="66" t="n">
        <f aca="false">F43+F52</f>
        <v>3748834000000</v>
      </c>
      <c r="G53" s="66" t="n">
        <f aca="false">G43+G52</f>
        <v>3849718000000</v>
      </c>
      <c r="H53" s="66" t="n">
        <f aca="false">H43+H52</f>
        <v>6288185000000</v>
      </c>
    </row>
    <row r="54" customFormat="false" ht="15" hidden="false" customHeight="false" outlineLevel="0" collapsed="false">
      <c r="A54" s="16"/>
      <c r="B54" s="17" t="s">
        <v>423</v>
      </c>
      <c r="C54" s="16"/>
      <c r="D54" s="16"/>
      <c r="E54" s="16"/>
      <c r="F54" s="16"/>
      <c r="G54" s="16"/>
      <c r="H54" s="16"/>
      <c r="I54" s="16"/>
    </row>
    <row r="55" customFormat="false" ht="15" hidden="false" customHeight="false" outlineLevel="0" collapsed="false">
      <c r="A55" s="54" t="s">
        <v>832</v>
      </c>
      <c r="B55" s="13" t="s">
        <v>833</v>
      </c>
      <c r="C55" s="61" t="n">
        <v>1200070544500</v>
      </c>
      <c r="D55" s="61" t="n">
        <v>1200070544500</v>
      </c>
      <c r="E55" s="61" t="n">
        <v>1200070544500</v>
      </c>
      <c r="F55" s="61" t="n">
        <v>1200071000000</v>
      </c>
      <c r="G55" s="61" t="n">
        <v>1200071000000</v>
      </c>
      <c r="H55" s="61" t="n">
        <v>1223896000000</v>
      </c>
      <c r="I55" s="15" t="s">
        <v>834</v>
      </c>
    </row>
    <row r="56" customFormat="false" ht="15" hidden="false" customHeight="false" outlineLevel="0" collapsed="false">
      <c r="A56" s="54" t="s">
        <v>835</v>
      </c>
      <c r="B56" s="13" t="s">
        <v>836</v>
      </c>
      <c r="C56" s="61" t="n">
        <v>1124816856453</v>
      </c>
      <c r="D56" s="61" t="n">
        <v>1124816856453</v>
      </c>
      <c r="E56" s="61" t="n">
        <v>1124816856453</v>
      </c>
      <c r="F56" s="61" t="n">
        <v>1124817000000</v>
      </c>
      <c r="G56" s="61" t="n">
        <v>1124817000000</v>
      </c>
      <c r="H56" s="61" t="n">
        <v>806384000000</v>
      </c>
      <c r="I56" s="15" t="s">
        <v>837</v>
      </c>
    </row>
    <row r="57" customFormat="false" ht="15" hidden="false" customHeight="false" outlineLevel="0" collapsed="false">
      <c r="A57" s="54" t="s">
        <v>838</v>
      </c>
      <c r="B57" s="13" t="s">
        <v>839</v>
      </c>
      <c r="C57" s="61"/>
      <c r="D57" s="61"/>
      <c r="E57" s="61"/>
      <c r="F57" s="61"/>
      <c r="G57" s="61" t="n">
        <v>-1480000000</v>
      </c>
      <c r="H57" s="61" t="n">
        <v>-1346000000</v>
      </c>
      <c r="I57" s="15" t="s">
        <v>840</v>
      </c>
    </row>
    <row r="58" customFormat="false" ht="15" hidden="false" customHeight="false" outlineLevel="0" collapsed="false">
      <c r="A58" s="54" t="s">
        <v>841</v>
      </c>
      <c r="B58" s="13" t="s">
        <v>842</v>
      </c>
      <c r="C58" s="61" t="n">
        <v>29748911906</v>
      </c>
      <c r="D58" s="61" t="n">
        <v>36805871185</v>
      </c>
      <c r="E58" s="61" t="n">
        <v>48720849663</v>
      </c>
      <c r="F58" s="61" t="n">
        <v>49353000000</v>
      </c>
      <c r="G58" s="61" t="n">
        <v>48543000000</v>
      </c>
      <c r="H58" s="61" t="n">
        <v>44355000000</v>
      </c>
      <c r="I58" s="15" t="s">
        <v>843</v>
      </c>
    </row>
    <row r="59" customFormat="false" ht="15" hidden="false" customHeight="false" outlineLevel="0" collapsed="false">
      <c r="A59" s="54" t="s">
        <v>844</v>
      </c>
      <c r="B59" s="13" t="s">
        <v>845</v>
      </c>
      <c r="C59" s="61" t="n">
        <v>-600688806428</v>
      </c>
      <c r="D59" s="61" t="n">
        <v>-435380567809</v>
      </c>
      <c r="E59" s="61" t="n">
        <v>-479695516834</v>
      </c>
      <c r="F59" s="61" t="n">
        <v>-518186000000</v>
      </c>
      <c r="G59" s="61" t="n">
        <v>-541699000000</v>
      </c>
      <c r="H59" s="61" t="n">
        <v>-740699000000</v>
      </c>
      <c r="I59" s="15" t="s">
        <v>846</v>
      </c>
    </row>
    <row r="60" customFormat="false" ht="15" hidden="false" customHeight="false" outlineLevel="0" collapsed="false">
      <c r="A60" s="63" t="s">
        <v>847</v>
      </c>
      <c r="B60" s="64" t="s">
        <v>429</v>
      </c>
      <c r="C60" s="66" t="n">
        <f aca="false">C55+C56+C57+C58+C59</f>
        <v>1753947506431</v>
      </c>
      <c r="D60" s="66" t="n">
        <f aca="false">D55+D56+D57+D58+D59</f>
        <v>1926312704329</v>
      </c>
      <c r="E60" s="66" t="n">
        <f aca="false">E55+E56+E57+E58+E59</f>
        <v>1893912733782</v>
      </c>
      <c r="F60" s="66" t="n">
        <f aca="false">F55+F56+F57+F58+F59</f>
        <v>1856055000000</v>
      </c>
      <c r="G60" s="66" t="n">
        <f aca="false">G55+G56+G57+G58+G59</f>
        <v>1830252000000</v>
      </c>
      <c r="H60" s="66" t="n">
        <f aca="false">H55+H56+H57+H58+H59</f>
        <v>1332590000000</v>
      </c>
    </row>
    <row r="61" customFormat="false" ht="15" hidden="false" customHeight="false" outlineLevel="0" collapsed="false">
      <c r="A61" s="54" t="s">
        <v>848</v>
      </c>
      <c r="B61" s="13" t="s">
        <v>431</v>
      </c>
      <c r="C61" s="61" t="n">
        <v>788766333</v>
      </c>
      <c r="D61" s="61" t="n">
        <v>1089841354</v>
      </c>
      <c r="E61" s="61" t="n">
        <v>1225387334</v>
      </c>
      <c r="F61" s="61" t="n">
        <v>1402000000</v>
      </c>
      <c r="G61" s="61" t="n">
        <v>3052000000</v>
      </c>
      <c r="H61" s="61" t="n">
        <v>3135000000</v>
      </c>
      <c r="I61" s="15" t="s">
        <v>849</v>
      </c>
    </row>
    <row r="62" customFormat="false" ht="15" hidden="false" customHeight="false" outlineLevel="0" collapsed="false">
      <c r="A62" s="63" t="s">
        <v>850</v>
      </c>
      <c r="B62" s="64" t="s">
        <v>434</v>
      </c>
      <c r="C62" s="66" t="n">
        <f aca="false">C60+C61</f>
        <v>1754736272764</v>
      </c>
      <c r="D62" s="66" t="n">
        <f aca="false">D60+D61</f>
        <v>1927402545683</v>
      </c>
      <c r="E62" s="66" t="n">
        <f aca="false">E60+E61</f>
        <v>1895138121116</v>
      </c>
      <c r="F62" s="66" t="n">
        <f aca="false">F60+F61</f>
        <v>1857457000000</v>
      </c>
      <c r="G62" s="66" t="n">
        <f aca="false">G60+G61</f>
        <v>1833304000000</v>
      </c>
      <c r="H62" s="66" t="n">
        <f aca="false">H60+H61</f>
        <v>1335725000000</v>
      </c>
    </row>
    <row r="63" customFormat="false" ht="15" hidden="false" customHeight="false" outlineLevel="0" collapsed="false">
      <c r="A63" s="63" t="s">
        <v>851</v>
      </c>
      <c r="B63" s="64" t="s">
        <v>436</v>
      </c>
      <c r="C63" s="66" t="n">
        <f aca="false">C53+C62</f>
        <v>4346329088006</v>
      </c>
      <c r="D63" s="66" t="n">
        <f aca="false">D53+D62</f>
        <v>4871806608361</v>
      </c>
      <c r="E63" s="66" t="n">
        <f aca="false">E53+E62</f>
        <v>5749599247752</v>
      </c>
      <c r="F63" s="66" t="n">
        <f aca="false">F53+F62</f>
        <v>5606291000000</v>
      </c>
      <c r="G63" s="66" t="n">
        <f aca="false">G53+G62</f>
        <v>5683022000000</v>
      </c>
      <c r="H63" s="66" t="n">
        <f aca="false">H53+H62</f>
        <v>7623910000000</v>
      </c>
    </row>
    <row r="64" customFormat="false" ht="15" hidden="false" customHeight="false" outlineLevel="0" collapsed="false">
      <c r="A64" s="16"/>
      <c r="B64" s="17" t="s">
        <v>852</v>
      </c>
      <c r="C64" s="16"/>
      <c r="D64" s="16"/>
      <c r="E64" s="16"/>
      <c r="F64" s="16"/>
      <c r="G64" s="16"/>
      <c r="H64" s="16"/>
      <c r="I64" s="16"/>
    </row>
    <row r="65" customFormat="false" ht="15" hidden="false" customHeight="false" outlineLevel="0" collapsed="false">
      <c r="A65" s="54" t="s">
        <v>853</v>
      </c>
      <c r="B65" s="13" t="s">
        <v>854</v>
      </c>
      <c r="C65" s="61" t="n">
        <v>2000000000</v>
      </c>
      <c r="D65" s="61" t="n">
        <v>2000000000</v>
      </c>
      <c r="E65" s="61" t="n">
        <v>7000000000</v>
      </c>
      <c r="F65" s="61" t="n">
        <v>7000000000</v>
      </c>
      <c r="G65" s="61" t="n">
        <v>7000000000</v>
      </c>
      <c r="H65" s="61" t="n">
        <v>7000000000</v>
      </c>
      <c r="I65" s="15" t="s">
        <v>855</v>
      </c>
    </row>
    <row r="66" customFormat="false" ht="15" hidden="false" customHeight="false" outlineLevel="0" collapsed="false">
      <c r="A66" s="54" t="s">
        <v>856</v>
      </c>
      <c r="B66" s="13" t="s">
        <v>857</v>
      </c>
      <c r="C66" s="61" t="n">
        <v>-602688806428</v>
      </c>
      <c r="D66" s="61" t="n">
        <v>-437380567809</v>
      </c>
      <c r="E66" s="61" t="n">
        <v>-486695516834</v>
      </c>
      <c r="F66" s="61" t="n">
        <v>-525186000000</v>
      </c>
      <c r="G66" s="61" t="n">
        <v>-548699000000</v>
      </c>
      <c r="H66" s="61" t="n">
        <v>-747699000000</v>
      </c>
      <c r="I66" s="15" t="s">
        <v>858</v>
      </c>
    </row>
    <row r="67" customFormat="false" ht="15" hidden="false" customHeight="false" outlineLevel="0" collapsed="false">
      <c r="A67" s="16"/>
      <c r="B67" s="17" t="s">
        <v>859</v>
      </c>
      <c r="C67" s="16"/>
      <c r="D67" s="16"/>
      <c r="E67" s="16"/>
      <c r="F67" s="16"/>
      <c r="G67" s="16"/>
      <c r="H67" s="16"/>
      <c r="I67" s="16"/>
    </row>
    <row r="68" customFormat="false" ht="15" hidden="false" customHeight="false" outlineLevel="0" collapsed="false">
      <c r="A68" s="54" t="s">
        <v>860</v>
      </c>
      <c r="B68" s="13" t="s">
        <v>861</v>
      </c>
      <c r="C68" s="61" t="n">
        <v>939835506742</v>
      </c>
      <c r="D68" s="61" t="n">
        <v>1021454537372</v>
      </c>
      <c r="E68" s="61" t="n">
        <v>1445613598592</v>
      </c>
      <c r="F68" s="61" t="n">
        <v>998249000000</v>
      </c>
      <c r="G68" s="61" t="n">
        <v>832802000000</v>
      </c>
      <c r="H68" s="61" t="n">
        <v>2527917000000</v>
      </c>
      <c r="I68" s="15" t="s">
        <v>862</v>
      </c>
    </row>
    <row r="69" customFormat="false" ht="15" hidden="false" customHeight="false" outlineLevel="0" collapsed="false">
      <c r="A69" s="54" t="s">
        <v>863</v>
      </c>
      <c r="B69" s="13" t="s">
        <v>864</v>
      </c>
      <c r="C69" s="61" t="n">
        <v>3406493581264</v>
      </c>
      <c r="D69" s="61" t="n">
        <v>3850352070989</v>
      </c>
      <c r="E69" s="61" t="n">
        <v>4303985649160</v>
      </c>
      <c r="F69" s="61" t="n">
        <v>4608042000000</v>
      </c>
      <c r="G69" s="61" t="n">
        <v>4850220000000</v>
      </c>
      <c r="H69" s="61" t="n">
        <v>5095993000000</v>
      </c>
      <c r="I69" s="15" t="s">
        <v>865</v>
      </c>
    </row>
    <row r="70" customFormat="false" ht="15" hidden="false" customHeight="false" outlineLevel="0" collapsed="false">
      <c r="A70" s="54" t="s">
        <v>866</v>
      </c>
      <c r="B70" s="13" t="s">
        <v>867</v>
      </c>
      <c r="C70" s="61" t="n">
        <v>4346329088006</v>
      </c>
      <c r="D70" s="61" t="n">
        <v>4871806608361</v>
      </c>
      <c r="E70" s="61" t="n">
        <v>5749599247752</v>
      </c>
      <c r="F70" s="61" t="n">
        <v>5606291000000</v>
      </c>
      <c r="G70" s="61" t="n">
        <v>5683022000000</v>
      </c>
      <c r="H70" s="61" t="n">
        <v>7623910000000</v>
      </c>
      <c r="I70" s="15" t="s">
        <v>868</v>
      </c>
    </row>
    <row r="71" customFormat="false" ht="15" hidden="false" customHeight="false" outlineLevel="0" collapsed="false">
      <c r="A71" s="54" t="s">
        <v>869</v>
      </c>
      <c r="B71" s="13" t="s">
        <v>870</v>
      </c>
      <c r="C71" s="61" t="n">
        <v>1740988511325</v>
      </c>
      <c r="D71" s="61" t="n">
        <v>2659180898777</v>
      </c>
      <c r="E71" s="61" t="n">
        <v>2602765426046</v>
      </c>
      <c r="F71" s="61" t="n">
        <v>2105526000000</v>
      </c>
      <c r="G71" s="61" t="n">
        <v>2597046000000</v>
      </c>
      <c r="H71" s="61" t="n">
        <v>1610030000000</v>
      </c>
      <c r="I71" s="15" t="s">
        <v>871</v>
      </c>
    </row>
    <row r="72" customFormat="false" ht="15" hidden="false" customHeight="false" outlineLevel="0" collapsed="false">
      <c r="A72" s="54" t="s">
        <v>872</v>
      </c>
      <c r="B72" s="13" t="s">
        <v>873</v>
      </c>
      <c r="C72" s="61" t="n">
        <v>850604303917</v>
      </c>
      <c r="D72" s="61" t="n">
        <v>285223163901</v>
      </c>
      <c r="E72" s="61" t="n">
        <v>1251695700590</v>
      </c>
      <c r="F72" s="61" t="n">
        <v>1643308000000</v>
      </c>
      <c r="G72" s="61" t="n">
        <v>1252672000000</v>
      </c>
      <c r="H72" s="61" t="n">
        <v>4678155000000</v>
      </c>
      <c r="I72" s="15" t="s">
        <v>874</v>
      </c>
    </row>
    <row r="73" customFormat="false" ht="15" hidden="false" customHeight="false" outlineLevel="0" collapsed="false">
      <c r="A73" s="54" t="s">
        <v>875</v>
      </c>
      <c r="B73" s="13" t="s">
        <v>876</v>
      </c>
      <c r="C73" s="61" t="n">
        <v>2591592815242</v>
      </c>
      <c r="D73" s="61" t="n">
        <v>2944404062678</v>
      </c>
      <c r="E73" s="61" t="n">
        <v>3854461126636</v>
      </c>
      <c r="F73" s="61" t="n">
        <v>3748834000000</v>
      </c>
      <c r="G73" s="61" t="n">
        <v>3849718000000</v>
      </c>
      <c r="H73" s="61" t="n">
        <v>6288185000000</v>
      </c>
      <c r="I73" s="15" t="s">
        <v>877</v>
      </c>
    </row>
    <row r="74" customFormat="false" ht="15" hidden="false" customHeight="false" outlineLevel="0" collapsed="false">
      <c r="A74" s="54" t="s">
        <v>878</v>
      </c>
      <c r="B74" s="13" t="s">
        <v>879</v>
      </c>
      <c r="C74" s="61" t="n">
        <v>1753947506431</v>
      </c>
      <c r="D74" s="61" t="n">
        <v>1926312704329</v>
      </c>
      <c r="E74" s="61" t="n">
        <v>1893912733782</v>
      </c>
      <c r="F74" s="61" t="n">
        <v>1856055000000</v>
      </c>
      <c r="G74" s="61" t="n">
        <v>1830252000000</v>
      </c>
      <c r="H74" s="61" t="n">
        <v>1332590000000</v>
      </c>
      <c r="I74" s="15" t="s">
        <v>880</v>
      </c>
    </row>
    <row r="75" customFormat="false" ht="15" hidden="false" customHeight="false" outlineLevel="0" collapsed="false">
      <c r="A75" s="54" t="s">
        <v>881</v>
      </c>
      <c r="B75" s="13" t="s">
        <v>882</v>
      </c>
      <c r="C75" s="61" t="n">
        <v>1754736272764</v>
      </c>
      <c r="D75" s="61" t="n">
        <v>1927402545683</v>
      </c>
      <c r="E75" s="61" t="n">
        <v>1895138121116</v>
      </c>
      <c r="F75" s="61" t="n">
        <v>1857457000000</v>
      </c>
      <c r="G75" s="61" t="n">
        <v>1833304000000</v>
      </c>
      <c r="H75" s="61" t="n">
        <v>1335725000000</v>
      </c>
      <c r="I75" s="15" t="s">
        <v>883</v>
      </c>
    </row>
    <row r="76" customFormat="false" ht="15" hidden="false" customHeight="false" outlineLevel="0" collapsed="false">
      <c r="A76" s="54" t="s">
        <v>884</v>
      </c>
      <c r="B76" s="13" t="s">
        <v>885</v>
      </c>
      <c r="C76" s="61" t="n">
        <v>4346329088006</v>
      </c>
      <c r="D76" s="61" t="n">
        <v>4871806608361</v>
      </c>
      <c r="E76" s="61" t="n">
        <v>5749599247752</v>
      </c>
      <c r="F76" s="61" t="n">
        <v>5606291000000</v>
      </c>
      <c r="G76" s="61" t="n">
        <v>5683022000000</v>
      </c>
      <c r="H76" s="61" t="n">
        <v>7623910000000</v>
      </c>
      <c r="I76" s="15" t="s">
        <v>886</v>
      </c>
    </row>
    <row r="77" customFormat="false" ht="15" hidden="false" customHeight="false" outlineLevel="0" collapsed="false">
      <c r="A77" s="16"/>
      <c r="B77" s="17" t="s">
        <v>887</v>
      </c>
      <c r="C77" s="16"/>
      <c r="D77" s="16"/>
      <c r="E77" s="16"/>
      <c r="F77" s="16"/>
      <c r="G77" s="16"/>
      <c r="H77" s="16"/>
      <c r="I77" s="16"/>
    </row>
    <row r="78" customFormat="false" ht="15" hidden="false" customHeight="false" outlineLevel="0" collapsed="false">
      <c r="A78" s="63" t="s">
        <v>888</v>
      </c>
      <c r="B78" s="64" t="s">
        <v>889</v>
      </c>
      <c r="C78" s="66" t="n">
        <f aca="false">C27-C63</f>
        <v>0</v>
      </c>
      <c r="D78" s="66" t="n">
        <f aca="false">D27-D63</f>
        <v>0</v>
      </c>
      <c r="E78" s="66" t="n">
        <f aca="false">E27-E63</f>
        <v>0</v>
      </c>
      <c r="F78" s="66" t="n">
        <f aca="false">F27-F63</f>
        <v>0</v>
      </c>
      <c r="G78" s="66" t="n">
        <f aca="false">G27-G63</f>
        <v>0</v>
      </c>
      <c r="H78" s="66" t="n">
        <f aca="false">H27-H63</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890</v>
      </c>
    </row>
    <row r="2" customFormat="false" ht="15" hidden="false" customHeight="false" outlineLevel="0" collapsed="false">
      <c r="A2" s="15" t="s">
        <v>617</v>
      </c>
    </row>
    <row r="3" customFormat="false" ht="39.75" hidden="false" customHeight="true" outlineLevel="0" collapsed="false">
      <c r="B3" s="15" t="s">
        <v>618</v>
      </c>
      <c r="C3" s="94" t="s">
        <v>619</v>
      </c>
      <c r="D3" s="95" t="s">
        <v>620</v>
      </c>
      <c r="E3" s="95" t="s">
        <v>621</v>
      </c>
      <c r="F3" s="95" t="s">
        <v>622</v>
      </c>
      <c r="G3" s="95" t="s">
        <v>623</v>
      </c>
      <c r="H3" s="95" t="s">
        <v>624</v>
      </c>
      <c r="I3" s="5" t="s">
        <v>625</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446</v>
      </c>
      <c r="C5" s="16"/>
      <c r="D5" s="16"/>
      <c r="E5" s="16"/>
      <c r="F5" s="16"/>
      <c r="G5" s="16"/>
      <c r="H5" s="16"/>
      <c r="I5" s="16"/>
    </row>
    <row r="6" customFormat="false" ht="15" hidden="false" customHeight="false" outlineLevel="0" collapsed="false">
      <c r="A6" s="54" t="s">
        <v>891</v>
      </c>
      <c r="B6" s="13" t="s">
        <v>892</v>
      </c>
      <c r="C6" s="61" t="n">
        <v>1206282381896</v>
      </c>
      <c r="D6" s="61" t="n">
        <v>1917035104557</v>
      </c>
      <c r="E6" s="61" t="n">
        <v>1932446236358</v>
      </c>
      <c r="F6" s="61" t="n">
        <v>2365859000000</v>
      </c>
      <c r="G6" s="61" t="n">
        <v>2274208000000</v>
      </c>
      <c r="H6" s="61" t="n">
        <v>2460965000000</v>
      </c>
      <c r="I6" s="15" t="s">
        <v>893</v>
      </c>
    </row>
    <row r="7" customFormat="false" ht="15" hidden="false" customHeight="false" outlineLevel="0" collapsed="false">
      <c r="A7" s="54" t="s">
        <v>894</v>
      </c>
      <c r="B7" s="13" t="s">
        <v>895</v>
      </c>
      <c r="C7" s="61" t="n">
        <v>-518122857052</v>
      </c>
      <c r="D7" s="61" t="n">
        <v>-700717424697</v>
      </c>
      <c r="E7" s="61" t="n">
        <v>-858868120858</v>
      </c>
      <c r="F7" s="61" t="n">
        <v>-1126223000000</v>
      </c>
      <c r="G7" s="61" t="n">
        <v>-556717000000</v>
      </c>
      <c r="H7" s="61" t="n">
        <v>-669878000000</v>
      </c>
      <c r="I7" s="15" t="s">
        <v>896</v>
      </c>
    </row>
    <row r="8" customFormat="false" ht="15" hidden="false" customHeight="false" outlineLevel="0" collapsed="false">
      <c r="A8" s="54" t="s">
        <v>897</v>
      </c>
      <c r="B8" s="13" t="s">
        <v>898</v>
      </c>
      <c r="C8" s="61" t="n">
        <v>-518399717152</v>
      </c>
      <c r="D8" s="61" t="n">
        <v>-782054151603</v>
      </c>
      <c r="E8" s="61" t="n">
        <v>-789221263965</v>
      </c>
      <c r="F8" s="61" t="n">
        <v>-1058144000000</v>
      </c>
      <c r="G8" s="61" t="n">
        <v>-1316325000000</v>
      </c>
      <c r="H8" s="61" t="n">
        <v>-1506034000000</v>
      </c>
      <c r="I8" s="15" t="s">
        <v>899</v>
      </c>
    </row>
    <row r="9" customFormat="false" ht="15" hidden="false" customHeight="false" outlineLevel="0" collapsed="false">
      <c r="A9" s="63" t="s">
        <v>900</v>
      </c>
      <c r="B9" s="64" t="s">
        <v>901</v>
      </c>
      <c r="C9" s="66" t="n">
        <f aca="false">C6+C7+C8</f>
        <v>169759807692</v>
      </c>
      <c r="D9" s="66" t="n">
        <f aca="false">D6+D7+D8</f>
        <v>434263528257</v>
      </c>
      <c r="E9" s="66" t="n">
        <f aca="false">E6+E7+E8</f>
        <v>284356851535</v>
      </c>
      <c r="F9" s="66" t="n">
        <f aca="false">F6+F7+F8</f>
        <v>181492000000</v>
      </c>
      <c r="G9" s="66" t="n">
        <f aca="false">G6+G7+G8</f>
        <v>401166000000</v>
      </c>
      <c r="H9" s="66" t="n">
        <f aca="false">H6+H7+H8</f>
        <v>285053000000</v>
      </c>
    </row>
    <row r="10" customFormat="false" ht="15" hidden="false" customHeight="false" outlineLevel="0" collapsed="false">
      <c r="A10" s="54" t="s">
        <v>902</v>
      </c>
      <c r="B10" s="13" t="s">
        <v>903</v>
      </c>
      <c r="C10" s="61" t="n">
        <v>26470099827</v>
      </c>
      <c r="D10" s="61" t="n">
        <v>23940936423</v>
      </c>
      <c r="E10" s="61" t="n">
        <v>19404583424</v>
      </c>
      <c r="F10" s="61" t="n">
        <v>29050000000</v>
      </c>
      <c r="G10" s="61" t="n">
        <v>13483000000</v>
      </c>
      <c r="H10" s="61" t="n">
        <v>66897000000</v>
      </c>
      <c r="I10" s="15" t="s">
        <v>904</v>
      </c>
    </row>
    <row r="11" customFormat="false" ht="15" hidden="false" customHeight="false" outlineLevel="0" collapsed="false">
      <c r="A11" s="54" t="s">
        <v>905</v>
      </c>
      <c r="B11" s="13" t="s">
        <v>906</v>
      </c>
      <c r="C11" s="61" t="n">
        <v>-100262493441</v>
      </c>
      <c r="D11" s="61" t="n">
        <v>-115124935079</v>
      </c>
      <c r="E11" s="61" t="n">
        <v>-80404699161</v>
      </c>
      <c r="F11" s="61" t="n">
        <v>-145447000000</v>
      </c>
      <c r="G11" s="61" t="n">
        <v>-120996000000</v>
      </c>
      <c r="H11" s="61" t="n">
        <v>-180398000000</v>
      </c>
      <c r="I11" s="15" t="s">
        <v>907</v>
      </c>
    </row>
    <row r="12" customFormat="false" ht="15" hidden="false" customHeight="false" outlineLevel="0" collapsed="false">
      <c r="A12" s="54" t="s">
        <v>908</v>
      </c>
      <c r="B12" s="13" t="s">
        <v>909</v>
      </c>
      <c r="C12" s="61" t="n">
        <v>-2085522676</v>
      </c>
      <c r="D12" s="61" t="n">
        <v>-6292866811</v>
      </c>
      <c r="E12" s="61" t="n">
        <v>-12881913537</v>
      </c>
      <c r="F12" s="61" t="n">
        <v>-9178000000</v>
      </c>
      <c r="G12" s="61" t="n">
        <v>-20405000000</v>
      </c>
      <c r="H12" s="61" t="n">
        <v>-41882000000</v>
      </c>
      <c r="I12" s="15" t="s">
        <v>910</v>
      </c>
    </row>
    <row r="13" customFormat="false" ht="15" hidden="false" customHeight="false" outlineLevel="0" collapsed="false">
      <c r="A13" s="63" t="s">
        <v>911</v>
      </c>
      <c r="B13" s="64" t="s">
        <v>912</v>
      </c>
      <c r="C13" s="66" t="n">
        <f aca="false">C9+C10+C11+C12</f>
        <v>93881891402</v>
      </c>
      <c r="D13" s="66" t="n">
        <f aca="false">D9+D10+D11+D12</f>
        <v>336786662790</v>
      </c>
      <c r="E13" s="66" t="n">
        <f aca="false">E9+E10+E11+E12</f>
        <v>210474822261</v>
      </c>
      <c r="F13" s="66" t="n">
        <f aca="false">F9+F10+F11+F12</f>
        <v>55917000000</v>
      </c>
      <c r="G13" s="66" t="n">
        <f aca="false">G9+G10+G11+G12</f>
        <v>273248000000</v>
      </c>
      <c r="H13" s="66" t="n">
        <f aca="false">H9+H10+H11+H12</f>
        <v>129670000000</v>
      </c>
    </row>
    <row r="14" customFormat="false" ht="15" hidden="false" customHeight="false" outlineLevel="0" collapsed="false">
      <c r="A14" s="16"/>
      <c r="B14" s="17" t="s">
        <v>458</v>
      </c>
      <c r="C14" s="16"/>
      <c r="D14" s="16"/>
      <c r="E14" s="16"/>
      <c r="F14" s="16"/>
      <c r="G14" s="16"/>
      <c r="H14" s="16"/>
      <c r="I14" s="16"/>
    </row>
    <row r="15" customFormat="false" ht="15" hidden="false" customHeight="false" outlineLevel="0" collapsed="false">
      <c r="A15" s="54" t="s">
        <v>913</v>
      </c>
      <c r="B15" s="13" t="s">
        <v>914</v>
      </c>
      <c r="C15" s="61" t="n">
        <v>-544122343656</v>
      </c>
      <c r="D15" s="61" t="n">
        <v>-464023277324</v>
      </c>
      <c r="E15" s="61" t="n">
        <v>-569712834234</v>
      </c>
      <c r="F15" s="61" t="n">
        <v>-570699000000</v>
      </c>
      <c r="G15" s="61" t="n">
        <v>-525029000000</v>
      </c>
      <c r="H15" s="61" t="n">
        <v>-579605000000</v>
      </c>
      <c r="I15" s="15" t="s">
        <v>915</v>
      </c>
    </row>
    <row r="16" customFormat="false" ht="15" hidden="false" customHeight="false" outlineLevel="0" collapsed="false">
      <c r="A16" s="54" t="s">
        <v>916</v>
      </c>
      <c r="B16" s="13" t="s">
        <v>737</v>
      </c>
      <c r="C16" s="61"/>
      <c r="D16" s="61"/>
      <c r="E16" s="61" t="n">
        <v>-85833683046</v>
      </c>
      <c r="F16" s="61" t="n">
        <v>-12833000000</v>
      </c>
      <c r="G16" s="61"/>
      <c r="H16" s="61"/>
      <c r="I16" s="15" t="s">
        <v>917</v>
      </c>
    </row>
    <row r="17" customFormat="false" ht="15" hidden="false" customHeight="false" outlineLevel="0" collapsed="false">
      <c r="A17" s="54" t="s">
        <v>918</v>
      </c>
      <c r="B17" s="13" t="s">
        <v>462</v>
      </c>
      <c r="C17" s="61" t="n">
        <v>-6697340640</v>
      </c>
      <c r="D17" s="61" t="n">
        <v>-3165516135</v>
      </c>
      <c r="E17" s="61" t="n">
        <v>-4343974611</v>
      </c>
      <c r="F17" s="61" t="n">
        <v>-5066000000</v>
      </c>
      <c r="G17" s="61" t="n">
        <v>-7568000000</v>
      </c>
      <c r="H17" s="61" t="n">
        <v>-28217000000</v>
      </c>
      <c r="I17" s="15" t="s">
        <v>919</v>
      </c>
    </row>
    <row r="18" customFormat="false" ht="15" hidden="false" customHeight="false" outlineLevel="0" collapsed="false">
      <c r="A18" s="54" t="s">
        <v>920</v>
      </c>
      <c r="B18" s="13" t="s">
        <v>921</v>
      </c>
      <c r="C18" s="61"/>
      <c r="D18" s="61"/>
      <c r="E18" s="61"/>
      <c r="F18" s="61"/>
      <c r="G18" s="61"/>
      <c r="H18" s="61" t="n">
        <v>-4685000000</v>
      </c>
      <c r="I18" s="15" t="s">
        <v>922</v>
      </c>
    </row>
    <row r="19" customFormat="false" ht="15" hidden="false" customHeight="false" outlineLevel="0" collapsed="false">
      <c r="A19" s="54" t="s">
        <v>923</v>
      </c>
      <c r="B19" s="13" t="s">
        <v>924</v>
      </c>
      <c r="C19" s="61" t="n">
        <v>108657000</v>
      </c>
      <c r="D19" s="61" t="n">
        <v>313000000</v>
      </c>
      <c r="E19" s="61" t="n">
        <v>294685224</v>
      </c>
      <c r="F19" s="61" t="n">
        <v>3208000000</v>
      </c>
      <c r="G19" s="61" t="n">
        <v>280000000</v>
      </c>
      <c r="H19" s="61" t="n">
        <v>357000000</v>
      </c>
      <c r="I19" s="15" t="s">
        <v>925</v>
      </c>
    </row>
    <row r="20" customFormat="false" ht="15" hidden="false" customHeight="false" outlineLevel="0" collapsed="false">
      <c r="A20" s="54" t="s">
        <v>926</v>
      </c>
      <c r="B20" s="13" t="s">
        <v>927</v>
      </c>
      <c r="C20" s="61"/>
      <c r="D20" s="61" t="n">
        <v>-1404495936</v>
      </c>
      <c r="E20" s="61" t="n">
        <v>-18626561484</v>
      </c>
      <c r="F20" s="61"/>
      <c r="G20" s="61"/>
      <c r="H20" s="61"/>
      <c r="I20" s="15" t="s">
        <v>928</v>
      </c>
    </row>
    <row r="21" customFormat="false" ht="15" hidden="false" customHeight="false" outlineLevel="0" collapsed="false">
      <c r="A21" s="63" t="s">
        <v>929</v>
      </c>
      <c r="B21" s="64" t="s">
        <v>930</v>
      </c>
      <c r="C21" s="66" t="n">
        <f aca="false">C15+C16+C17+C18+C19+C20</f>
        <v>-550711027296</v>
      </c>
      <c r="D21" s="66" t="n">
        <f aca="false">D15+D16+D17+D18+D19+D20</f>
        <v>-468280289395</v>
      </c>
      <c r="E21" s="66" t="n">
        <f aca="false">E15+E16+E17+E18+E19+E20</f>
        <v>-678222368151</v>
      </c>
      <c r="F21" s="66" t="n">
        <f aca="false">F15+F16+F17+F18+F19+F20</f>
        <v>-585390000000</v>
      </c>
      <c r="G21" s="66" t="n">
        <f aca="false">G15+G16+G17+G18+G19+G20</f>
        <v>-532317000000</v>
      </c>
      <c r="H21" s="66" t="n">
        <f aca="false">H15+H16+H17+H18+H19+H20</f>
        <v>-612150000000</v>
      </c>
    </row>
    <row r="22" customFormat="false" ht="15" hidden="false" customHeight="false" outlineLevel="0" collapsed="false">
      <c r="A22" s="16"/>
      <c r="B22" s="17" t="s">
        <v>466</v>
      </c>
      <c r="C22" s="16"/>
      <c r="D22" s="16"/>
      <c r="E22" s="16"/>
      <c r="F22" s="16"/>
      <c r="G22" s="16"/>
      <c r="H22" s="16"/>
      <c r="I22" s="16"/>
    </row>
    <row r="23" customFormat="false" ht="15" hidden="false" customHeight="false" outlineLevel="0" collapsed="false">
      <c r="A23" s="54" t="s">
        <v>931</v>
      </c>
      <c r="B23" s="13" t="s">
        <v>932</v>
      </c>
      <c r="C23" s="61" t="n">
        <v>171000000000</v>
      </c>
      <c r="D23" s="61" t="n">
        <v>390000000000</v>
      </c>
      <c r="E23" s="61" t="n">
        <v>36827459956</v>
      </c>
      <c r="F23" s="61" t="n">
        <v>11525000000</v>
      </c>
      <c r="G23" s="61"/>
      <c r="H23" s="61"/>
      <c r="I23" s="15" t="s">
        <v>933</v>
      </c>
    </row>
    <row r="24" customFormat="false" ht="15" hidden="false" customHeight="false" outlineLevel="0" collapsed="false">
      <c r="A24" s="54" t="s">
        <v>934</v>
      </c>
      <c r="B24" s="13" t="s">
        <v>935</v>
      </c>
      <c r="C24" s="61" t="n">
        <v>-24678569749</v>
      </c>
      <c r="D24" s="61" t="n">
        <v>-20000000000</v>
      </c>
      <c r="E24" s="61" t="n">
        <v>-142490111313</v>
      </c>
      <c r="F24" s="61" t="n">
        <v>-477247000000</v>
      </c>
      <c r="G24" s="61"/>
      <c r="H24" s="61"/>
      <c r="I24" s="15" t="s">
        <v>936</v>
      </c>
    </row>
    <row r="25" customFormat="false" ht="15" hidden="false" customHeight="false" outlineLevel="0" collapsed="false">
      <c r="A25" s="54" t="s">
        <v>937</v>
      </c>
      <c r="B25" s="13" t="s">
        <v>938</v>
      </c>
      <c r="C25" s="61" t="n">
        <v>830000000000</v>
      </c>
      <c r="D25" s="61" t="n">
        <v>220000000000</v>
      </c>
      <c r="E25" s="61" t="n">
        <v>100000000000</v>
      </c>
      <c r="F25" s="61"/>
      <c r="G25" s="61" t="n">
        <v>288607000000</v>
      </c>
      <c r="H25" s="61" t="n">
        <v>136758000000</v>
      </c>
      <c r="I25" s="15" t="s">
        <v>939</v>
      </c>
    </row>
    <row r="26" customFormat="false" ht="15" hidden="false" customHeight="false" outlineLevel="0" collapsed="false">
      <c r="A26" s="54" t="s">
        <v>940</v>
      </c>
      <c r="B26" s="13" t="s">
        <v>941</v>
      </c>
      <c r="C26" s="61" t="n">
        <v>-134309028160</v>
      </c>
      <c r="D26" s="61" t="n">
        <v>-839428499944</v>
      </c>
      <c r="E26" s="61" t="n">
        <v>-57661026547</v>
      </c>
      <c r="F26" s="61" t="n">
        <v>-80956000000</v>
      </c>
      <c r="G26" s="61" t="n">
        <v>-251795000000</v>
      </c>
      <c r="H26" s="61" t="n">
        <v>-83663000000</v>
      </c>
      <c r="I26" s="15" t="s">
        <v>942</v>
      </c>
    </row>
    <row r="27" customFormat="false" ht="15" hidden="false" customHeight="false" outlineLevel="0" collapsed="false">
      <c r="A27" s="54" t="s">
        <v>943</v>
      </c>
      <c r="B27" s="13" t="s">
        <v>944</v>
      </c>
      <c r="C27" s="61"/>
      <c r="D27" s="61"/>
      <c r="E27" s="61"/>
      <c r="F27" s="61" t="n">
        <v>481631000000</v>
      </c>
      <c r="G27" s="61"/>
      <c r="H27" s="61" t="n">
        <v>407900000000</v>
      </c>
      <c r="I27" s="15" t="s">
        <v>945</v>
      </c>
    </row>
    <row r="28" customFormat="false" ht="15" hidden="false" customHeight="false" outlineLevel="0" collapsed="false">
      <c r="A28" s="54" t="s">
        <v>946</v>
      </c>
      <c r="B28" s="13" t="s">
        <v>947</v>
      </c>
      <c r="C28" s="61"/>
      <c r="D28" s="61"/>
      <c r="E28" s="61"/>
      <c r="F28" s="61" t="n">
        <v>-6021000000</v>
      </c>
      <c r="G28" s="61" t="n">
        <v>-24083000000</v>
      </c>
      <c r="H28" s="61" t="n">
        <v>-42998000000</v>
      </c>
      <c r="I28" s="15" t="s">
        <v>948</v>
      </c>
    </row>
    <row r="29" customFormat="false" ht="15" hidden="false" customHeight="false" outlineLevel="0" collapsed="false">
      <c r="A29" s="54" t="s">
        <v>949</v>
      </c>
      <c r="B29" s="13" t="s">
        <v>950</v>
      </c>
      <c r="C29" s="61"/>
      <c r="D29" s="61"/>
      <c r="E29" s="61" t="n">
        <v>950000000000</v>
      </c>
      <c r="F29" s="61"/>
      <c r="G29" s="61"/>
      <c r="H29" s="61" t="n">
        <v>1947031000000</v>
      </c>
      <c r="I29" s="15" t="s">
        <v>951</v>
      </c>
    </row>
    <row r="30" customFormat="false" ht="15" hidden="false" customHeight="false" outlineLevel="0" collapsed="false">
      <c r="A30" s="54" t="s">
        <v>952</v>
      </c>
      <c r="B30" s="13" t="s">
        <v>953</v>
      </c>
      <c r="C30" s="61"/>
      <c r="D30" s="61"/>
      <c r="E30" s="61"/>
      <c r="F30" s="61"/>
      <c r="G30" s="61"/>
      <c r="H30" s="61" t="n">
        <v>-407900000000</v>
      </c>
      <c r="I30" s="15" t="s">
        <v>954</v>
      </c>
    </row>
    <row r="31" customFormat="false" ht="15" hidden="false" customHeight="false" outlineLevel="0" collapsed="false">
      <c r="A31" s="54" t="s">
        <v>955</v>
      </c>
      <c r="B31" s="13" t="s">
        <v>956</v>
      </c>
      <c r="C31" s="61"/>
      <c r="D31" s="61" t="n">
        <v>-174990000</v>
      </c>
      <c r="E31" s="61" t="n">
        <v>-1596885161</v>
      </c>
      <c r="F31" s="61" t="n">
        <v>-1821000000</v>
      </c>
      <c r="G31" s="61" t="n">
        <v>-2284000000</v>
      </c>
      <c r="H31" s="61" t="n">
        <v>-431000000</v>
      </c>
      <c r="I31" s="15" t="s">
        <v>957</v>
      </c>
    </row>
    <row r="32" customFormat="false" ht="15" hidden="false" customHeight="false" outlineLevel="0" collapsed="false">
      <c r="A32" s="54" t="s">
        <v>958</v>
      </c>
      <c r="B32" s="13" t="s">
        <v>959</v>
      </c>
      <c r="C32" s="61" t="n">
        <v>342308233436</v>
      </c>
      <c r="D32" s="61" t="n">
        <v>428841753085</v>
      </c>
      <c r="E32" s="61"/>
      <c r="F32" s="61"/>
      <c r="G32" s="61"/>
      <c r="H32" s="61" t="n">
        <v>-435044000000</v>
      </c>
      <c r="I32" s="15" t="s">
        <v>960</v>
      </c>
    </row>
    <row r="33" customFormat="false" ht="15" hidden="false" customHeight="false" outlineLevel="0" collapsed="false">
      <c r="A33" s="54" t="s">
        <v>961</v>
      </c>
      <c r="B33" s="13" t="s">
        <v>962</v>
      </c>
      <c r="C33" s="61"/>
      <c r="D33" s="61"/>
      <c r="E33" s="61"/>
      <c r="F33" s="61"/>
      <c r="G33" s="61"/>
      <c r="H33" s="61" t="n">
        <v>521696000000</v>
      </c>
      <c r="I33" s="15" t="s">
        <v>963</v>
      </c>
    </row>
    <row r="34" customFormat="false" ht="15" hidden="false" customHeight="false" outlineLevel="0" collapsed="false">
      <c r="A34" s="54" t="s">
        <v>964</v>
      </c>
      <c r="B34" s="13" t="s">
        <v>965</v>
      </c>
      <c r="C34" s="61"/>
      <c r="D34" s="61"/>
      <c r="E34" s="61"/>
      <c r="F34" s="61"/>
      <c r="G34" s="61"/>
      <c r="H34" s="61" t="n">
        <v>-18310000000</v>
      </c>
      <c r="I34" s="15" t="s">
        <v>966</v>
      </c>
    </row>
    <row r="35" customFormat="false" ht="15" hidden="false" customHeight="false" outlineLevel="0" collapsed="false">
      <c r="A35" s="54" t="s">
        <v>967</v>
      </c>
      <c r="B35" s="13" t="s">
        <v>968</v>
      </c>
      <c r="C35" s="61" t="n">
        <v>-330000000000</v>
      </c>
      <c r="D35" s="61"/>
      <c r="E35" s="61"/>
      <c r="F35" s="61" t="n">
        <v>-707000000</v>
      </c>
      <c r="G35" s="61" t="n">
        <v>-708000000</v>
      </c>
      <c r="H35" s="61" t="n">
        <v>-1599000000</v>
      </c>
      <c r="I35" s="15" t="s">
        <v>969</v>
      </c>
    </row>
    <row r="36" customFormat="false" ht="15" hidden="false" customHeight="false" outlineLevel="0" collapsed="false">
      <c r="A36" s="54" t="s">
        <v>970</v>
      </c>
      <c r="B36" s="13" t="s">
        <v>971</v>
      </c>
      <c r="C36" s="61"/>
      <c r="D36" s="61"/>
      <c r="E36" s="61"/>
      <c r="F36" s="61"/>
      <c r="G36" s="61"/>
      <c r="H36" s="61"/>
      <c r="I36" s="15" t="s">
        <v>769</v>
      </c>
    </row>
    <row r="37" customFormat="false" ht="15" hidden="false" customHeight="false" outlineLevel="0" collapsed="false">
      <c r="A37" s="63" t="s">
        <v>972</v>
      </c>
      <c r="B37" s="64" t="s">
        <v>973</v>
      </c>
      <c r="C37" s="66" t="n">
        <f aca="false">C23+C24+C25+C26+C27+C28+C29+C30+C31+C32+C33+C34+C35+C36</f>
        <v>854320635527</v>
      </c>
      <c r="D37" s="66" t="n">
        <f aca="false">D23+D24+D25+D26+D27+D28+D29+D30+D31+D32+D33+D34+D35+D36</f>
        <v>179238263141</v>
      </c>
      <c r="E37" s="66" t="n">
        <f aca="false">E23+E24+E25+E26+E27+E28+E29+E30+E31+E32+E33+E34+E35+E36</f>
        <v>885079436935</v>
      </c>
      <c r="F37" s="66" t="n">
        <f aca="false">F23+F24+F25+F26+F27+F28+F29+F30+F31+F32+F33+F34+F35+F36</f>
        <v>-73596000000</v>
      </c>
      <c r="G37" s="66" t="n">
        <f aca="false">G23+G24+G25+G26+G27+G28+G29+G30+G31+G32+G33+G34+G35+G36</f>
        <v>9737000000</v>
      </c>
      <c r="H37" s="66" t="n">
        <f aca="false">H23+H24+H25+H26+H27+H28+H29+H30+H31+H32+H33+H34+H35+H36</f>
        <v>2023440000000</v>
      </c>
    </row>
    <row r="38" customFormat="false" ht="15" hidden="false" customHeight="false" outlineLevel="0" collapsed="false">
      <c r="A38" s="63" t="s">
        <v>974</v>
      </c>
      <c r="B38" s="64" t="s">
        <v>476</v>
      </c>
      <c r="C38" s="66" t="n">
        <f aca="false">C13+C21+C37</f>
        <v>397491499633</v>
      </c>
      <c r="D38" s="66" t="n">
        <f aca="false">D13+D21+D37</f>
        <v>47744636536</v>
      </c>
      <c r="E38" s="66" t="n">
        <f aca="false">E13+E21+E37</f>
        <v>417331891045</v>
      </c>
      <c r="F38" s="66" t="n">
        <f aca="false">F13+F21+F37</f>
        <v>-603069000000</v>
      </c>
      <c r="G38" s="66" t="n">
        <f aca="false">G13+G21+G37</f>
        <v>-249332000000</v>
      </c>
      <c r="H38" s="66" t="n">
        <f aca="false">H13+H21+H37</f>
        <v>1540960000000</v>
      </c>
    </row>
    <row r="39" customFormat="false" ht="15" hidden="false" customHeight="false" outlineLevel="0" collapsed="false">
      <c r="A39" s="54" t="s">
        <v>975</v>
      </c>
      <c r="B39" s="13" t="s">
        <v>976</v>
      </c>
      <c r="C39" s="61"/>
      <c r="D39" s="61"/>
      <c r="E39" s="61"/>
      <c r="F39" s="61"/>
      <c r="G39" s="61"/>
      <c r="H39" s="61" t="n">
        <v>37264000000</v>
      </c>
      <c r="I39" s="15" t="s">
        <v>977</v>
      </c>
    </row>
    <row r="40" customFormat="false" ht="15" hidden="false" customHeight="false" outlineLevel="0" collapsed="false">
      <c r="A40" s="54" t="s">
        <v>978</v>
      </c>
      <c r="B40" s="13" t="s">
        <v>979</v>
      </c>
      <c r="C40" s="61" t="n">
        <v>232117189241</v>
      </c>
      <c r="D40" s="61" t="n">
        <v>653177723083</v>
      </c>
      <c r="E40" s="61" t="n">
        <v>700922359619</v>
      </c>
      <c r="F40" s="61" t="n">
        <v>1118254000000</v>
      </c>
      <c r="G40" s="61" t="n">
        <v>497371000000</v>
      </c>
      <c r="H40" s="61" t="n">
        <v>248039000000</v>
      </c>
      <c r="I40" s="15" t="s">
        <v>980</v>
      </c>
    </row>
    <row r="41" customFormat="false" ht="15" hidden="false" customHeight="false" outlineLevel="0" collapsed="false">
      <c r="A41" s="63" t="s">
        <v>981</v>
      </c>
      <c r="B41" s="64" t="s">
        <v>982</v>
      </c>
      <c r="C41" s="66" t="n">
        <f aca="false">C38+C39+C40</f>
        <v>629608688874</v>
      </c>
      <c r="D41" s="66" t="n">
        <f aca="false">D38+D39+D40</f>
        <v>700922359619</v>
      </c>
      <c r="E41" s="66" t="n">
        <f aca="false">E38+E39+E40</f>
        <v>1118254250664</v>
      </c>
      <c r="F41" s="66" t="n">
        <f aca="false">F38+F39+F40</f>
        <v>515185000000</v>
      </c>
      <c r="G41" s="66" t="n">
        <f aca="false">G38+G39+G40</f>
        <v>248039000000</v>
      </c>
      <c r="H41" s="66" t="n">
        <f aca="false">H38+H39+H40</f>
        <v>1826263000000</v>
      </c>
    </row>
    <row r="42" customFormat="false" ht="15" hidden="false" customHeight="false" outlineLevel="0" collapsed="false">
      <c r="A42" s="16"/>
      <c r="B42" s="17" t="s">
        <v>983</v>
      </c>
      <c r="C42" s="16"/>
      <c r="D42" s="16"/>
      <c r="E42" s="16"/>
      <c r="F42" s="16"/>
      <c r="G42" s="16"/>
      <c r="H42" s="16"/>
      <c r="I42" s="16"/>
    </row>
    <row r="43" customFormat="false" ht="15" hidden="false" customHeight="false" outlineLevel="0" collapsed="false">
      <c r="A43" s="54" t="s">
        <v>984</v>
      </c>
      <c r="B43" s="13" t="s">
        <v>985</v>
      </c>
      <c r="C43" s="61"/>
      <c r="D43" s="61" t="n">
        <v>-23569034209</v>
      </c>
      <c r="E43" s="61"/>
      <c r="F43" s="61"/>
      <c r="G43" s="61" t="n">
        <v>17814000000</v>
      </c>
      <c r="H43" s="61" t="n">
        <v>29169000000</v>
      </c>
      <c r="I43" s="15" t="s">
        <v>986</v>
      </c>
    </row>
    <row r="44" customFormat="false" ht="15" hidden="false" customHeight="false" outlineLevel="0" collapsed="false">
      <c r="A44" s="54" t="s">
        <v>987</v>
      </c>
      <c r="B44" s="13" t="s">
        <v>988</v>
      </c>
      <c r="C44" s="61"/>
      <c r="D44" s="61"/>
      <c r="E44" s="61"/>
      <c r="F44" s="61"/>
      <c r="G44" s="61" t="n">
        <v>29169000000</v>
      </c>
      <c r="H44" s="61"/>
      <c r="I44" s="15" t="s">
        <v>989</v>
      </c>
    </row>
    <row r="45" customFormat="false" ht="15" hidden="false" customHeight="false" outlineLevel="0" collapsed="false">
      <c r="A45" s="16"/>
      <c r="B45" s="17" t="s">
        <v>859</v>
      </c>
      <c r="C45" s="16"/>
      <c r="D45" s="16"/>
      <c r="E45" s="16"/>
      <c r="F45" s="16"/>
      <c r="G45" s="16"/>
      <c r="H45" s="16"/>
      <c r="I45" s="16"/>
    </row>
    <row r="46" customFormat="false" ht="15" hidden="false" customHeight="false" outlineLevel="0" collapsed="false">
      <c r="A46" s="54" t="s">
        <v>990</v>
      </c>
      <c r="B46" s="13" t="s">
        <v>991</v>
      </c>
      <c r="C46" s="61" t="n">
        <v>93881891402</v>
      </c>
      <c r="D46" s="61" t="n">
        <v>336786662790</v>
      </c>
      <c r="E46" s="61" t="n">
        <v>210474822261</v>
      </c>
      <c r="F46" s="61" t="n">
        <v>55917000000</v>
      </c>
      <c r="G46" s="61" t="n">
        <v>273248000000</v>
      </c>
      <c r="H46" s="61" t="n">
        <v>129670000000</v>
      </c>
      <c r="I46" s="15" t="s">
        <v>992</v>
      </c>
    </row>
    <row r="47" customFormat="false" ht="15" hidden="false" customHeight="false" outlineLevel="0" collapsed="false">
      <c r="A47" s="54" t="s">
        <v>993</v>
      </c>
      <c r="B47" s="13" t="s">
        <v>994</v>
      </c>
      <c r="C47" s="61" t="n">
        <v>-550711027296</v>
      </c>
      <c r="D47" s="61" t="n">
        <v>-468280289395</v>
      </c>
      <c r="E47" s="61" t="n">
        <v>-678222368151</v>
      </c>
      <c r="F47" s="61" t="n">
        <v>-585390000000</v>
      </c>
      <c r="G47" s="61" t="n">
        <v>-532317000000</v>
      </c>
      <c r="H47" s="61" t="n">
        <v>-612150000000</v>
      </c>
      <c r="I47" s="15" t="s">
        <v>995</v>
      </c>
    </row>
    <row r="48" customFormat="false" ht="15" hidden="false" customHeight="false" outlineLevel="0" collapsed="false">
      <c r="A48" s="54" t="s">
        <v>996</v>
      </c>
      <c r="B48" s="13" t="s">
        <v>997</v>
      </c>
      <c r="C48" s="61" t="n">
        <v>854320635527</v>
      </c>
      <c r="D48" s="61" t="n">
        <v>179238263141</v>
      </c>
      <c r="E48" s="61" t="n">
        <v>885079436934</v>
      </c>
      <c r="F48" s="61" t="n">
        <v>-73596000000</v>
      </c>
      <c r="G48" s="61" t="n">
        <v>9737000000</v>
      </c>
      <c r="H48" s="61" t="n">
        <v>2023440000000</v>
      </c>
      <c r="I48" s="15" t="s">
        <v>998</v>
      </c>
    </row>
    <row r="49" customFormat="false" ht="15" hidden="false" customHeight="false" outlineLevel="0" collapsed="false">
      <c r="A49" s="54" t="s">
        <v>999</v>
      </c>
      <c r="B49" s="13" t="s">
        <v>1000</v>
      </c>
      <c r="C49" s="61" t="n">
        <v>397491499633</v>
      </c>
      <c r="D49" s="61" t="n">
        <v>47744636536</v>
      </c>
      <c r="E49" s="61" t="n">
        <v>417331891045</v>
      </c>
      <c r="F49" s="61" t="n">
        <v>-603069000000</v>
      </c>
      <c r="G49" s="61" t="n">
        <v>-249332000000</v>
      </c>
      <c r="H49" s="61" t="n">
        <v>1540960000000</v>
      </c>
      <c r="I49" s="15" t="s">
        <v>1001</v>
      </c>
    </row>
    <row r="50" customFormat="false" ht="15" hidden="false" customHeight="false" outlineLevel="0" collapsed="false">
      <c r="A50" s="54" t="s">
        <v>1002</v>
      </c>
      <c r="B50" s="13" t="s">
        <v>1003</v>
      </c>
      <c r="C50" s="61" t="n">
        <v>629608688874</v>
      </c>
      <c r="D50" s="61" t="n">
        <v>700922359619</v>
      </c>
      <c r="E50" s="61" t="n">
        <v>1118254250664</v>
      </c>
      <c r="F50" s="61" t="n">
        <v>515185000000</v>
      </c>
      <c r="G50" s="61" t="n">
        <v>248039000000</v>
      </c>
      <c r="H50" s="61" t="n">
        <v>1826263000000</v>
      </c>
      <c r="I50" s="15" t="s">
        <v>1004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1005</v>
      </c>
    </row>
    <row r="2" customFormat="false" ht="15" hidden="false" customHeight="false" outlineLevel="0" collapsed="false">
      <c r="A2" s="15" t="s">
        <v>1006</v>
      </c>
    </row>
    <row r="3" customFormat="false" ht="32.8" hidden="false" customHeight="false" outlineLevel="0" collapsed="false">
      <c r="B3" s="15" t="s">
        <v>618</v>
      </c>
      <c r="C3" s="94" t="s">
        <v>619</v>
      </c>
      <c r="D3" s="95" t="s">
        <v>620</v>
      </c>
      <c r="E3" s="95" t="s">
        <v>621</v>
      </c>
      <c r="F3" s="95" t="s">
        <v>622</v>
      </c>
      <c r="G3" s="95" t="s">
        <v>623</v>
      </c>
      <c r="H3" s="95" t="s">
        <v>624</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1007</v>
      </c>
      <c r="C5" s="16"/>
      <c r="D5" s="16"/>
      <c r="E5" s="16"/>
      <c r="F5" s="16"/>
      <c r="G5" s="16"/>
      <c r="H5" s="16"/>
      <c r="I5" s="16"/>
    </row>
    <row r="6" customFormat="false" ht="15" hidden="false" customHeight="false" outlineLevel="0" collapsed="false">
      <c r="A6" s="54" t="s">
        <v>1008</v>
      </c>
      <c r="B6" s="13" t="s">
        <v>1009</v>
      </c>
      <c r="C6" s="72" t="n">
        <f aca="false">N(C60)+N(C48)+N(C53)</f>
        <v>253936863405</v>
      </c>
      <c r="D6" s="72" t="n">
        <f aca="false">N(D60)+N(D48)+N(D53)</f>
        <v>417781280603</v>
      </c>
      <c r="E6" s="72" t="n">
        <f aca="false">N(E60)+N(E48)+N(E53)</f>
        <v>431771186720</v>
      </c>
      <c r="F6" s="72" t="n">
        <f aca="false">N(F60)+N(F48)+N(F53)</f>
        <v>754584000000</v>
      </c>
      <c r="G6" s="72" t="n">
        <f aca="false">N(G60)+N(G48)+N(G53)</f>
        <v>1164022000000</v>
      </c>
      <c r="H6" s="72" t="n">
        <f aca="false">N(H60)+N(H48)+N(H53)</f>
        <v>1291720000000</v>
      </c>
      <c r="I6" s="15" t="s">
        <v>1010</v>
      </c>
    </row>
    <row r="7" customFormat="false" ht="15" hidden="false" customHeight="false" outlineLevel="0" collapsed="false">
      <c r="A7" s="54" t="s">
        <v>1011</v>
      </c>
      <c r="B7" s="13" t="s">
        <v>1012</v>
      </c>
      <c r="C7" s="72" t="n">
        <f aca="false">N(C59)+N(C49)+N(C50)+N(C51)+N(C52)</f>
        <v>467640506965</v>
      </c>
      <c r="D7" s="72" t="n">
        <f aca="false">N(D59)+N(D49)+N(D50)+N(D51)+N(D52)</f>
        <v>753471843387</v>
      </c>
      <c r="E7" s="72" t="n">
        <f aca="false">N(E59)+N(E49)+N(E50)+N(E51)+N(E52)</f>
        <v>817003131432</v>
      </c>
      <c r="F7" s="72" t="n">
        <f aca="false">N(F59)+N(F49)+N(F50)+N(F51)+N(F52)</f>
        <v>1065433000000</v>
      </c>
      <c r="G7" s="72" t="n">
        <f aca="false">N(G59)+N(G49)+N(G50)+N(G51)+N(G52)</f>
        <v>1332597000000</v>
      </c>
      <c r="H7" s="72" t="n">
        <f aca="false">N(H59)+N(H49)+N(H50)+N(H51)+N(H52)</f>
        <v>1400293000000</v>
      </c>
      <c r="I7" s="15" t="s">
        <v>1010</v>
      </c>
    </row>
    <row r="8" customFormat="false" ht="15" hidden="false" customHeight="false" outlineLevel="0" collapsed="false">
      <c r="A8" s="54" t="s">
        <v>1013</v>
      </c>
      <c r="B8" s="13" t="s">
        <v>1014</v>
      </c>
      <c r="C8" s="72" t="n">
        <f aca="false">N(C61)+N(C62)+N(C63)+N(C64)+N(C65)+N(C54)+N(C55)+N(C56)</f>
        <v>596525411320</v>
      </c>
      <c r="D8" s="72" t="n">
        <f aca="false">N(D61)+N(D62)+N(D63)+N(D64)+N(D65)+N(D54)+N(D55)+N(D56)</f>
        <v>788732235692</v>
      </c>
      <c r="E8" s="72" t="n">
        <f aca="false">N(E61)+N(E62)+N(E63)+N(E64)+N(E65)+N(E54)+N(E55)+N(E56)</f>
        <v>704457503479</v>
      </c>
      <c r="F8" s="72" t="n">
        <f aca="false">N(F61)+N(F62)+N(F63)+N(F64)+N(F65)+N(F54)+N(F55)+N(F56)</f>
        <v>683157000000</v>
      </c>
      <c r="G8" s="72" t="n">
        <f aca="false">N(G61)+N(G62)+N(G63)+N(G64)+N(G65)+N(G54)+N(G55)+N(G56)</f>
        <v>651726000000</v>
      </c>
      <c r="H8" s="72" t="n">
        <f aca="false">N(H61)+N(H62)+N(H63)+N(H64)+N(H65)+N(H54)+N(H55)+N(H56)</f>
        <v>809565000000</v>
      </c>
      <c r="I8" s="15" t="s">
        <v>1010</v>
      </c>
    </row>
    <row r="9" customFormat="false" ht="15" hidden="false" customHeight="false" outlineLevel="0" collapsed="false">
      <c r="A9" s="54" t="s">
        <v>1015</v>
      </c>
      <c r="B9" s="13" t="s">
        <v>1016</v>
      </c>
      <c r="C9" s="72" t="n">
        <f aca="false">N(C58)-C6-C7-C8</f>
        <v>-34304172516</v>
      </c>
      <c r="D9" s="72" t="n">
        <f aca="false">N(D58)-D6-D7-D8</f>
        <v>-35532218704</v>
      </c>
      <c r="E9" s="72" t="n">
        <f aca="false">N(E58)-E6-E7-E8</f>
        <v>-19068140667</v>
      </c>
      <c r="F9" s="72" t="n">
        <f aca="false">N(F58)-F6-F7-F8</f>
        <v>0</v>
      </c>
      <c r="G9" s="72" t="n">
        <f aca="false">N(G58)-G6-G7-G8</f>
        <v>-807914000000</v>
      </c>
      <c r="H9" s="72" t="n">
        <f aca="false">N(H58)-H6-H7-H8</f>
        <v>-912138000000</v>
      </c>
      <c r="I9" s="15" t="s">
        <v>1017</v>
      </c>
    </row>
    <row r="10" customFormat="false" ht="15" hidden="false" customHeight="false" outlineLevel="0" collapsed="false">
      <c r="A10" s="63" t="s">
        <v>1018</v>
      </c>
      <c r="B10" s="64" t="s">
        <v>1019</v>
      </c>
      <c r="C10" s="66" t="n">
        <f aca="false">C6+C7+C8+C9</f>
        <v>1283798609174</v>
      </c>
      <c r="D10" s="66" t="n">
        <f aca="false">D6+D7+D8+D9</f>
        <v>1924453140978</v>
      </c>
      <c r="E10" s="66" t="n">
        <f aca="false">E6+E7+E8+E9</f>
        <v>1934163680964</v>
      </c>
      <c r="F10" s="66" t="n">
        <f aca="false">F6+F7+F8+F9</f>
        <v>2503174000000</v>
      </c>
      <c r="G10" s="66" t="n">
        <f aca="false">G6+G7+G8+G9</f>
        <v>2340431000000</v>
      </c>
      <c r="H10" s="66" t="n">
        <f aca="false">H6+H7+H8+H9</f>
        <v>2589440000000</v>
      </c>
    </row>
    <row r="11" customFormat="false" ht="15" hidden="false" customHeight="false" outlineLevel="0" collapsed="false">
      <c r="A11" s="54" t="s">
        <v>1020</v>
      </c>
      <c r="B11" s="13" t="s">
        <v>1021</v>
      </c>
      <c r="C11" s="67" t="n">
        <f aca="false">IFERROR(C6/C10,0)</f>
        <v>0.19780116724724</v>
      </c>
      <c r="D11" s="67" t="n">
        <f aca="false">IFERROR(D6/D10,0)</f>
        <v>0.217090908428503</v>
      </c>
      <c r="E11" s="67" t="n">
        <f aca="false">IFERROR(E6/E10,0)</f>
        <v>0.223234047340193</v>
      </c>
      <c r="F11" s="67" t="n">
        <f aca="false">IFERROR(F6/F10,0)</f>
        <v>0.301450877965335</v>
      </c>
      <c r="G11" s="67" t="n">
        <f aca="false">IFERROR(G6/G10,0)</f>
        <v>0.497353692546373</v>
      </c>
      <c r="H11" s="67" t="n">
        <f aca="false">IFERROR(H6/H10,0)</f>
        <v>0.498841448344044</v>
      </c>
    </row>
    <row r="12" customFormat="false" ht="15" hidden="false" customHeight="false" outlineLevel="0" collapsed="false">
      <c r="A12" s="54" t="s">
        <v>1022</v>
      </c>
      <c r="B12" s="13" t="s">
        <v>1023</v>
      </c>
      <c r="C12" s="72" t="n">
        <f aca="false">N(C71)</f>
        <v>84019999072</v>
      </c>
      <c r="D12" s="72" t="n">
        <f aca="false">N(D71)</f>
        <v>111052598370</v>
      </c>
      <c r="E12" s="72" t="n">
        <f aca="false">N(E71)</f>
        <v>149028787879</v>
      </c>
      <c r="F12" s="72" t="n">
        <f aca="false">N(F71)</f>
        <v>193944000000</v>
      </c>
      <c r="G12" s="72" t="n">
        <f aca="false">N(G71)</f>
        <v>225642000000</v>
      </c>
      <c r="H12" s="72" t="n">
        <f aca="false">N(H71)</f>
        <v>261685000000</v>
      </c>
      <c r="I12" s="15" t="s">
        <v>1024</v>
      </c>
    </row>
    <row r="13" customFormat="false" ht="15" hidden="false" customHeight="false" outlineLevel="0" collapsed="false">
      <c r="A13" s="54" t="s">
        <v>1025</v>
      </c>
      <c r="B13" s="13" t="s">
        <v>1026</v>
      </c>
      <c r="C13" s="72" t="n">
        <f aca="false">N(C89)</f>
        <v>18983030015</v>
      </c>
      <c r="D13" s="72" t="n">
        <f aca="false">N(D89)</f>
        <v>38462510464</v>
      </c>
      <c r="E13" s="72" t="n">
        <f aca="false">N(E89)</f>
        <v>51029747812</v>
      </c>
      <c r="F13" s="72" t="n">
        <f aca="false">N(F89)</f>
        <v>61901000000</v>
      </c>
      <c r="G13" s="72" t="n">
        <f aca="false">N(G89)</f>
        <v>65940000000</v>
      </c>
      <c r="H13" s="72" t="n">
        <f aca="false">N(H89)</f>
        <v>76121000000</v>
      </c>
      <c r="I13" s="15" t="s">
        <v>1027</v>
      </c>
    </row>
    <row r="14" customFormat="false" ht="15" hidden="false" customHeight="false" outlineLevel="0" collapsed="false">
      <c r="A14" s="63" t="s">
        <v>1028</v>
      </c>
      <c r="B14" s="64" t="s">
        <v>1029</v>
      </c>
      <c r="C14" s="66" t="n">
        <f aca="false">C12+C13</f>
        <v>103003029087</v>
      </c>
      <c r="D14" s="66" t="n">
        <f aca="false">D12+D13</f>
        <v>149515108834</v>
      </c>
      <c r="E14" s="66" t="n">
        <f aca="false">E12+E13</f>
        <v>200058535691</v>
      </c>
      <c r="F14" s="66" t="n">
        <f aca="false">F12+F13</f>
        <v>255845000000</v>
      </c>
      <c r="G14" s="66" t="n">
        <f aca="false">G12+G13</f>
        <v>291582000000</v>
      </c>
      <c r="H14" s="66" t="n">
        <f aca="false">H12+H13</f>
        <v>337806000000</v>
      </c>
    </row>
    <row r="15" customFormat="false" ht="15" hidden="false" customHeight="false" outlineLevel="0" collapsed="false">
      <c r="A15" s="54" t="s">
        <v>1030</v>
      </c>
      <c r="B15" s="13" t="s">
        <v>1031</v>
      </c>
      <c r="C15" s="72" t="n">
        <f aca="false">-C39</f>
        <v>103003029087</v>
      </c>
      <c r="D15" s="72" t="n">
        <f aca="false">-D39</f>
        <v>149515108834</v>
      </c>
      <c r="E15" s="72" t="n">
        <f aca="false">-E39</f>
        <v>200058535691</v>
      </c>
      <c r="F15" s="72" t="n">
        <f aca="false">-F39</f>
        <v>255845000000</v>
      </c>
      <c r="G15" s="72" t="n">
        <f aca="false">-G39</f>
        <v>291582000000</v>
      </c>
      <c r="H15" s="72" t="n">
        <f aca="false">-H39</f>
        <v>337806000000</v>
      </c>
    </row>
    <row r="16" customFormat="false" ht="15" hidden="false" customHeight="false" outlineLevel="0" collapsed="false">
      <c r="A16" s="54" t="s">
        <v>1032</v>
      </c>
      <c r="B16" s="13" t="s">
        <v>1033</v>
      </c>
      <c r="C16" s="72" t="n">
        <f aca="false">N(C75)+N(C103)</f>
        <v>27179061135</v>
      </c>
      <c r="D16" s="72" t="n">
        <f aca="false">N(D75)+N(D103)</f>
        <v>27179061135</v>
      </c>
      <c r="E16" s="72" t="n">
        <f aca="false">N(E75)+N(E103)</f>
        <v>27179061135</v>
      </c>
      <c r="F16" s="72" t="n">
        <f aca="false">N(F75)+N(F103)</f>
        <v>27450000000</v>
      </c>
      <c r="G16" s="72" t="n">
        <f aca="false">N(G75)+N(G103)</f>
        <v>27395000000</v>
      </c>
      <c r="H16" s="72" t="n">
        <f aca="false">N(H75)+N(H103)</f>
        <v>28058000000</v>
      </c>
      <c r="I16" s="15" t="s">
        <v>1034</v>
      </c>
    </row>
    <row r="17" customFormat="false" ht="15" hidden="false" customHeight="false" outlineLevel="0" collapsed="false">
      <c r="A17" s="54" t="s">
        <v>1035</v>
      </c>
      <c r="B17" s="13" t="s">
        <v>1036</v>
      </c>
      <c r="C17" s="72" t="n">
        <f aca="false">0</f>
        <v>0</v>
      </c>
      <c r="D17" s="72" t="n">
        <f aca="false">0</f>
        <v>0</v>
      </c>
      <c r="E17" s="72" t="n">
        <f aca="false">0</f>
        <v>0</v>
      </c>
      <c r="F17" s="72" t="n">
        <f aca="false">0</f>
        <v>0</v>
      </c>
      <c r="G17" s="72" t="n">
        <f aca="false">0</f>
        <v>0</v>
      </c>
      <c r="H17" s="72" t="n">
        <f aca="false">0</f>
        <v>0</v>
      </c>
      <c r="I17" s="15" t="s">
        <v>1037</v>
      </c>
    </row>
    <row r="18" customFormat="false" ht="15" hidden="false" customHeight="false" outlineLevel="0" collapsed="false">
      <c r="A18" s="54" t="s">
        <v>1038</v>
      </c>
      <c r="B18" s="13" t="s">
        <v>1039</v>
      </c>
      <c r="C18" s="72" t="n">
        <f aca="false">N(C98)</f>
        <v>2375476567</v>
      </c>
      <c r="D18" s="72" t="n">
        <f aca="false">N(D98)</f>
        <v>4496436472</v>
      </c>
      <c r="E18" s="72" t="n">
        <f aca="false">N(E98)</f>
        <v>6296293019</v>
      </c>
      <c r="F18" s="72" t="n">
        <f aca="false">N(F98)</f>
        <v>5982000000</v>
      </c>
      <c r="G18" s="72" t="n">
        <f aca="false">N(G98)</f>
        <v>7725000000</v>
      </c>
      <c r="H18" s="72" t="n">
        <f aca="false">N(H98)</f>
        <v>15387000000</v>
      </c>
      <c r="I18" s="15" t="s">
        <v>1027</v>
      </c>
    </row>
    <row r="19" customFormat="false" ht="15" hidden="false" customHeight="false" outlineLevel="0" collapsed="false">
      <c r="A19" s="63" t="s">
        <v>1040</v>
      </c>
      <c r="B19" s="64" t="s">
        <v>1041</v>
      </c>
      <c r="C19" s="66" t="n">
        <f aca="false">C17+C18</f>
        <v>2375476567</v>
      </c>
      <c r="D19" s="66" t="n">
        <f aca="false">D17+D18</f>
        <v>4496436472</v>
      </c>
      <c r="E19" s="66" t="n">
        <f aca="false">E17+E18</f>
        <v>6296293019</v>
      </c>
      <c r="F19" s="66" t="n">
        <f aca="false">F17+F18</f>
        <v>5982000000</v>
      </c>
      <c r="G19" s="66" t="n">
        <f aca="false">G17+G18</f>
        <v>7725000000</v>
      </c>
      <c r="H19" s="66" t="n">
        <f aca="false">H17+H18</f>
        <v>15387000000</v>
      </c>
      <c r="I19" s="15" t="s">
        <v>1027</v>
      </c>
    </row>
    <row r="20" customFormat="false" ht="15" hidden="false" customHeight="false" outlineLevel="0" collapsed="false">
      <c r="A20" s="63" t="s">
        <v>1042</v>
      </c>
      <c r="B20" s="64" t="s">
        <v>1043</v>
      </c>
      <c r="C20" s="66" t="n">
        <f aca="false">C14+C16+C19</f>
        <v>132557566789</v>
      </c>
      <c r="D20" s="66" t="n">
        <f aca="false">D14+D16+D19</f>
        <v>181190606441</v>
      </c>
      <c r="E20" s="66" t="n">
        <f aca="false">E14+E16+E19</f>
        <v>233533889845</v>
      </c>
      <c r="F20" s="66" t="n">
        <f aca="false">F14+F16+F19</f>
        <v>289277000000</v>
      </c>
      <c r="G20" s="66" t="n">
        <f aca="false">G14+G16+G19</f>
        <v>326702000000</v>
      </c>
      <c r="H20" s="66" t="n">
        <f aca="false">H14+H16+H19</f>
        <v>381251000000</v>
      </c>
    </row>
    <row r="21" customFormat="false" ht="15" hidden="false" customHeight="false" outlineLevel="0" collapsed="false">
      <c r="A21" s="54" t="s">
        <v>1044</v>
      </c>
      <c r="B21" s="13" t="s">
        <v>1045</v>
      </c>
      <c r="C21" s="72" t="n">
        <f aca="false">C31</f>
        <v>694049164865</v>
      </c>
      <c r="D21" s="72" t="n">
        <f aca="false">D31</f>
        <v>601679274728</v>
      </c>
      <c r="E21" s="72" t="n">
        <f aca="false">E31</f>
        <v>640084702166</v>
      </c>
      <c r="F21" s="72" t="n">
        <f aca="false">F31</f>
        <v>601110000000</v>
      </c>
      <c r="G21" s="72" t="n">
        <f aca="false">G31</f>
        <v>510170000000</v>
      </c>
      <c r="H21" s="72" t="n">
        <f aca="false">H31</f>
        <v>509834000000</v>
      </c>
    </row>
    <row r="22" customFormat="false" ht="15" hidden="false" customHeight="false" outlineLevel="0" collapsed="false">
      <c r="A22" s="54" t="s">
        <v>1046</v>
      </c>
      <c r="B22" s="13" t="s">
        <v>1047</v>
      </c>
      <c r="C22" s="97" t="n">
        <f aca="false">C150</f>
        <v>12000705445</v>
      </c>
      <c r="D22" s="97" t="n">
        <f aca="false">D150</f>
        <v>12000705445</v>
      </c>
      <c r="E22" s="97" t="n">
        <f aca="false">E150</f>
        <v>12000705445</v>
      </c>
      <c r="F22" s="97" t="n">
        <f aca="false">F150</f>
        <v>12000705445</v>
      </c>
      <c r="G22" s="97" t="n">
        <f aca="false">G150</f>
        <v>12000705445</v>
      </c>
      <c r="H22" s="97" t="n">
        <f aca="false">H150</f>
        <v>12202405868</v>
      </c>
      <c r="I22" s="15" t="s">
        <v>1048</v>
      </c>
    </row>
    <row r="27" customFormat="false" ht="15" hidden="false" customHeight="false" outlineLevel="0" collapsed="false">
      <c r="A27" s="16"/>
      <c r="B27" s="17" t="s">
        <v>1049</v>
      </c>
      <c r="C27" s="16"/>
      <c r="D27" s="16"/>
      <c r="E27" s="16"/>
      <c r="F27" s="16"/>
      <c r="G27" s="16"/>
      <c r="H27" s="16"/>
      <c r="I27" s="16"/>
    </row>
    <row r="28" customFormat="false" ht="15" hidden="false" customHeight="false" outlineLevel="0" collapsed="false">
      <c r="B28" s="4" t="s">
        <v>1050</v>
      </c>
    </row>
    <row r="29" customFormat="false" ht="15" hidden="false" customHeight="false" outlineLevel="0" collapsed="false">
      <c r="A29" s="54" t="s">
        <v>1051</v>
      </c>
      <c r="B29" s="13" t="s">
        <v>1052</v>
      </c>
      <c r="C29" s="61" t="n">
        <v>2685348464215</v>
      </c>
      <c r="D29" s="61" t="n">
        <v>3448224531705</v>
      </c>
      <c r="E29" s="61" t="n">
        <v>4045883925132</v>
      </c>
      <c r="F29" s="61" t="n">
        <v>4679439000000</v>
      </c>
      <c r="G29" s="61" t="n">
        <v>5275928000000</v>
      </c>
      <c r="H29" s="61" t="n">
        <v>5763879000000</v>
      </c>
      <c r="I29" s="15" t="s">
        <v>1053</v>
      </c>
    </row>
    <row r="30" customFormat="false" ht="15" hidden="false" customHeight="false" outlineLevel="0" collapsed="false">
      <c r="A30" s="54" t="s">
        <v>1054</v>
      </c>
      <c r="B30" s="13" t="s">
        <v>1055</v>
      </c>
      <c r="C30" s="61" t="n">
        <v>0</v>
      </c>
      <c r="D30" s="61" t="n">
        <v>0</v>
      </c>
      <c r="E30" s="61" t="n">
        <v>0</v>
      </c>
      <c r="F30" s="61" t="n">
        <v>0</v>
      </c>
      <c r="G30" s="61" t="n">
        <v>0</v>
      </c>
      <c r="H30" s="61" t="n">
        <v>0</v>
      </c>
    </row>
    <row r="31" customFormat="false" ht="15" hidden="false" customHeight="false" outlineLevel="0" collapsed="false">
      <c r="A31" s="54" t="s">
        <v>1056</v>
      </c>
      <c r="B31" s="13" t="s">
        <v>1057</v>
      </c>
      <c r="C31" s="61" t="n">
        <v>694049164865</v>
      </c>
      <c r="D31" s="61" t="n">
        <v>601679274728</v>
      </c>
      <c r="E31" s="61" t="n">
        <v>640084702166</v>
      </c>
      <c r="F31" s="61" t="n">
        <v>601110000000</v>
      </c>
      <c r="G31" s="61" t="n">
        <v>510170000000</v>
      </c>
      <c r="H31" s="61" t="n">
        <v>509834000000</v>
      </c>
    </row>
    <row r="32" customFormat="false" ht="15" hidden="false" customHeight="false" outlineLevel="0" collapsed="false">
      <c r="A32" s="54" t="s">
        <v>1058</v>
      </c>
      <c r="B32" s="13" t="s">
        <v>1059</v>
      </c>
      <c r="C32" s="61" t="n">
        <v>-7574885290</v>
      </c>
      <c r="D32" s="61" t="n">
        <v>-4019881301</v>
      </c>
      <c r="E32" s="61" t="n">
        <v>-6528886382</v>
      </c>
      <c r="F32" s="61" t="n">
        <v>-9829000000</v>
      </c>
      <c r="G32" s="61" t="n">
        <v>-22219000000</v>
      </c>
      <c r="H32" s="61" t="n">
        <v>-67349000000</v>
      </c>
    </row>
    <row r="33" customFormat="false" ht="15" hidden="false" customHeight="false" outlineLevel="0" collapsed="false">
      <c r="A33" s="54" t="s">
        <v>1060</v>
      </c>
      <c r="B33" s="13" t="s">
        <v>1061</v>
      </c>
      <c r="C33" s="61" t="n">
        <v>0</v>
      </c>
      <c r="D33" s="61" t="n">
        <v>0</v>
      </c>
      <c r="E33" s="61" t="n">
        <v>0</v>
      </c>
      <c r="F33" s="61" t="n">
        <v>5208000000</v>
      </c>
      <c r="G33" s="61" t="n">
        <v>0</v>
      </c>
      <c r="H33" s="61" t="n">
        <v>0</v>
      </c>
    </row>
    <row r="34" customFormat="false" ht="15" hidden="false" customHeight="false" outlineLevel="0" collapsed="false">
      <c r="A34" s="54" t="s">
        <v>1062</v>
      </c>
      <c r="B34" s="13" t="s">
        <v>1063</v>
      </c>
      <c r="C34" s="61" t="n">
        <v>3371822743790</v>
      </c>
      <c r="D34" s="61" t="n">
        <v>4045883925132</v>
      </c>
      <c r="E34" s="61" t="n">
        <v>4679439740916</v>
      </c>
      <c r="F34" s="61" t="n">
        <v>5275928000000</v>
      </c>
      <c r="G34" s="61" t="n">
        <v>5763879000000</v>
      </c>
      <c r="H34" s="61" t="n">
        <v>6206364000000</v>
      </c>
    </row>
    <row r="35" customFormat="false" ht="15" hidden="false" customHeight="false" outlineLevel="0" collapsed="false">
      <c r="A35" s="63" t="s">
        <v>1064</v>
      </c>
      <c r="B35" s="64" t="s">
        <v>1065</v>
      </c>
      <c r="C35" s="66" t="n">
        <f aca="false">C29+N(C30)+C31+C32+C33</f>
        <v>3371822743790</v>
      </c>
      <c r="D35" s="66" t="n">
        <f aca="false">D29+N(D30)+D31+D32+D33</f>
        <v>4045883925132</v>
      </c>
      <c r="E35" s="66" t="n">
        <f aca="false">E29+N(E30)+E31+E32+E33</f>
        <v>4679439740916</v>
      </c>
      <c r="F35" s="66" t="n">
        <f aca="false">F29+N(F30)+F31+F32+F33</f>
        <v>5275928000000</v>
      </c>
      <c r="G35" s="66" t="n">
        <f aca="false">G29+N(G30)+G31+G32+G33</f>
        <v>5763879000000</v>
      </c>
      <c r="H35" s="66" t="n">
        <f aca="false">H29+N(H30)+H31+H32+H33</f>
        <v>6206364000000</v>
      </c>
    </row>
    <row r="36" customFormat="false" ht="15" hidden="false" customHeight="false" outlineLevel="0" collapsed="false">
      <c r="B36" s="4" t="s">
        <v>1066</v>
      </c>
    </row>
    <row r="37" customFormat="false" ht="15" hidden="false" customHeight="false" outlineLevel="0" collapsed="false">
      <c r="A37" s="54" t="s">
        <v>1067</v>
      </c>
      <c r="B37" s="13" t="s">
        <v>1052</v>
      </c>
      <c r="C37" s="61" t="n">
        <v>-629006272888</v>
      </c>
      <c r="D37" s="61" t="n">
        <v>-730207203768</v>
      </c>
      <c r="E37" s="61" t="n">
        <v>-876108331302</v>
      </c>
      <c r="F37" s="61" t="n">
        <v>-1072297000000</v>
      </c>
      <c r="G37" s="61" t="n">
        <v>-1323616000000</v>
      </c>
      <c r="H37" s="61" t="n">
        <v>-1599739000000</v>
      </c>
      <c r="I37" s="15" t="s">
        <v>1068</v>
      </c>
    </row>
    <row r="38" customFormat="false" ht="15" hidden="false" customHeight="false" outlineLevel="0" collapsed="false">
      <c r="A38" s="54" t="s">
        <v>1069</v>
      </c>
      <c r="B38" s="13" t="s">
        <v>1055</v>
      </c>
      <c r="C38" s="61" t="n">
        <v>0</v>
      </c>
      <c r="D38" s="61" t="n">
        <v>0</v>
      </c>
      <c r="E38" s="61" t="n">
        <v>0</v>
      </c>
      <c r="F38" s="61" t="n">
        <v>0</v>
      </c>
      <c r="G38" s="61" t="n">
        <v>0</v>
      </c>
      <c r="H38" s="61" t="n">
        <v>0</v>
      </c>
    </row>
    <row r="39" customFormat="false" ht="15" hidden="false" customHeight="false" outlineLevel="0" collapsed="false">
      <c r="A39" s="54" t="s">
        <v>1070</v>
      </c>
      <c r="B39" s="13" t="s">
        <v>1057</v>
      </c>
      <c r="C39" s="61" t="n">
        <v>-103003029087</v>
      </c>
      <c r="D39" s="61" t="n">
        <v>-149515108834</v>
      </c>
      <c r="E39" s="61" t="n">
        <v>-200058535691</v>
      </c>
      <c r="F39" s="61" t="n">
        <v>-255845000000</v>
      </c>
      <c r="G39" s="61" t="n">
        <v>-291582000000</v>
      </c>
      <c r="H39" s="61" t="n">
        <v>-337806000000</v>
      </c>
    </row>
    <row r="40" customFormat="false" ht="15" hidden="false" customHeight="false" outlineLevel="0" collapsed="false">
      <c r="A40" s="54" t="s">
        <v>1071</v>
      </c>
      <c r="B40" s="13" t="s">
        <v>1059</v>
      </c>
      <c r="C40" s="61" t="n">
        <v>1800014874</v>
      </c>
      <c r="D40" s="61" t="n">
        <v>3613981300</v>
      </c>
      <c r="E40" s="61" t="n">
        <v>3869290067</v>
      </c>
      <c r="F40" s="61" t="n">
        <v>6215000000</v>
      </c>
      <c r="G40" s="61" t="n">
        <v>15459000000</v>
      </c>
      <c r="H40" s="61" t="n">
        <v>17508000000</v>
      </c>
    </row>
    <row r="41" customFormat="false" ht="15" hidden="false" customHeight="false" outlineLevel="0" collapsed="false">
      <c r="A41" s="54" t="s">
        <v>1072</v>
      </c>
      <c r="B41" s="13" t="s">
        <v>1061</v>
      </c>
      <c r="C41" s="61" t="n">
        <v>0</v>
      </c>
      <c r="D41" s="61" t="n">
        <v>0</v>
      </c>
      <c r="E41" s="61" t="n">
        <v>0</v>
      </c>
      <c r="F41" s="61" t="n">
        <v>-1689000000</v>
      </c>
      <c r="G41" s="61" t="n">
        <v>0</v>
      </c>
      <c r="H41" s="61" t="n">
        <v>0</v>
      </c>
    </row>
    <row r="42" customFormat="false" ht="15" hidden="false" customHeight="false" outlineLevel="0" collapsed="false">
      <c r="A42" s="54" t="s">
        <v>1073</v>
      </c>
      <c r="B42" s="13" t="s">
        <v>1063</v>
      </c>
      <c r="C42" s="61" t="n">
        <v>-730209287101</v>
      </c>
      <c r="D42" s="61" t="n">
        <v>-876108331302</v>
      </c>
      <c r="E42" s="61" t="n">
        <v>-1072297576926</v>
      </c>
      <c r="F42" s="61" t="n">
        <v>-1323616000000</v>
      </c>
      <c r="G42" s="61" t="n">
        <v>-1599739000000</v>
      </c>
      <c r="H42" s="61" t="n">
        <v>-1920037000000</v>
      </c>
    </row>
    <row r="43" customFormat="false" ht="15" hidden="false" customHeight="false" outlineLevel="0" collapsed="false">
      <c r="A43" s="63" t="s">
        <v>1074</v>
      </c>
      <c r="B43" s="64" t="s">
        <v>1065</v>
      </c>
      <c r="C43" s="66" t="n">
        <f aca="false">C37+N(C38)+C39+C40+C41</f>
        <v>-730209287101</v>
      </c>
      <c r="D43" s="66" t="n">
        <f aca="false">D37+N(D38)+D39+D40+D41</f>
        <v>-876108331302</v>
      </c>
      <c r="E43" s="66" t="n">
        <f aca="false">E37+N(E38)+E39+E40+E41</f>
        <v>-1072297576926</v>
      </c>
      <c r="F43" s="66" t="n">
        <f aca="false">F37+N(F38)+F39+F40+F41</f>
        <v>-1323616000000</v>
      </c>
      <c r="G43" s="66" t="n">
        <f aca="false">G37+N(G38)+G39+G40+G41</f>
        <v>-1599739000000</v>
      </c>
      <c r="H43" s="66" t="n">
        <f aca="false">H37+N(H38)+H39+H40+H41</f>
        <v>-1920037000000</v>
      </c>
    </row>
    <row r="44" customFormat="false" ht="15" hidden="false" customHeight="false" outlineLevel="0" collapsed="false">
      <c r="A44" s="63" t="s">
        <v>1075</v>
      </c>
      <c r="B44" s="64" t="s">
        <v>1076</v>
      </c>
      <c r="C44" s="66" t="n">
        <f aca="false">C34+C42</f>
        <v>2641613456689</v>
      </c>
      <c r="D44" s="66" t="n">
        <f aca="false">D34+D42</f>
        <v>3169775593830</v>
      </c>
      <c r="E44" s="66" t="n">
        <f aca="false">E34+E42</f>
        <v>3607142163990</v>
      </c>
      <c r="F44" s="66" t="n">
        <f aca="false">F34+F42</f>
        <v>3952312000000</v>
      </c>
      <c r="G44" s="66" t="n">
        <f aca="false">G34+G42</f>
        <v>4164140000000</v>
      </c>
      <c r="H44" s="66" t="n">
        <f aca="false">H34+H42</f>
        <v>4286327000000</v>
      </c>
    </row>
    <row r="46" customFormat="false" ht="15" hidden="false" customHeight="false" outlineLevel="0" collapsed="false">
      <c r="A46" s="16"/>
      <c r="B46" s="17" t="s">
        <v>1077</v>
      </c>
      <c r="C46" s="16"/>
      <c r="D46" s="16"/>
      <c r="E46" s="16"/>
      <c r="F46" s="16"/>
      <c r="G46" s="16"/>
      <c r="H46" s="16"/>
      <c r="I46" s="16"/>
    </row>
    <row r="47" customFormat="false" ht="15" hidden="false" customHeight="false" outlineLevel="0" collapsed="false">
      <c r="B47" s="4" t="s">
        <v>1078</v>
      </c>
    </row>
    <row r="48" customFormat="false" ht="15" hidden="false" customHeight="false" outlineLevel="0" collapsed="false">
      <c r="A48" s="54" t="s">
        <v>1079</v>
      </c>
      <c r="B48" s="13" t="s">
        <v>1080</v>
      </c>
      <c r="C48" s="61"/>
      <c r="D48" s="61"/>
      <c r="E48" s="61"/>
      <c r="F48" s="61" t="n">
        <v>494344000000</v>
      </c>
      <c r="G48" s="61" t="n">
        <v>627524000000</v>
      </c>
      <c r="H48" s="61" t="n">
        <v>682662000000</v>
      </c>
      <c r="I48" s="15" t="s">
        <v>1081</v>
      </c>
    </row>
    <row r="49" customFormat="false" ht="15" hidden="false" customHeight="false" outlineLevel="0" collapsed="false">
      <c r="A49" s="54" t="s">
        <v>1082</v>
      </c>
      <c r="B49" s="13" t="s">
        <v>1083</v>
      </c>
      <c r="C49" s="61"/>
      <c r="D49" s="61"/>
      <c r="E49" s="61"/>
      <c r="F49" s="61" t="n">
        <v>480804000000</v>
      </c>
      <c r="G49" s="61" t="n">
        <v>591952000000</v>
      </c>
      <c r="H49" s="61" t="n">
        <v>646735000000</v>
      </c>
      <c r="I49" s="15" t="s">
        <v>1081</v>
      </c>
    </row>
    <row r="50" customFormat="false" ht="15" hidden="false" customHeight="false" outlineLevel="0" collapsed="false">
      <c r="A50" s="54" t="s">
        <v>1084</v>
      </c>
      <c r="B50" s="13" t="s">
        <v>1085</v>
      </c>
      <c r="C50" s="61"/>
      <c r="D50" s="61"/>
      <c r="E50" s="61"/>
      <c r="F50" s="61" t="n">
        <v>312261000000</v>
      </c>
      <c r="G50" s="61" t="n">
        <v>365347000000</v>
      </c>
      <c r="H50" s="61" t="n">
        <v>381421000000</v>
      </c>
      <c r="I50" s="15" t="s">
        <v>1081</v>
      </c>
    </row>
    <row r="51" customFormat="false" ht="15" hidden="false" customHeight="false" outlineLevel="0" collapsed="false">
      <c r="A51" s="54" t="s">
        <v>1086</v>
      </c>
      <c r="B51" s="13" t="s">
        <v>1087</v>
      </c>
      <c r="C51" s="61"/>
      <c r="D51" s="61"/>
      <c r="E51" s="61"/>
      <c r="F51" s="61" t="n">
        <v>226561000000</v>
      </c>
      <c r="G51" s="61" t="n">
        <v>320854000000</v>
      </c>
      <c r="H51" s="61" t="n">
        <v>289631000000</v>
      </c>
      <c r="I51" s="15" t="s">
        <v>1081</v>
      </c>
    </row>
    <row r="52" customFormat="false" ht="15" hidden="false" customHeight="false" outlineLevel="0" collapsed="false">
      <c r="A52" s="54" t="s">
        <v>1088</v>
      </c>
      <c r="B52" s="13" t="s">
        <v>1089</v>
      </c>
      <c r="C52" s="61"/>
      <c r="D52" s="61"/>
      <c r="E52" s="61"/>
      <c r="F52" s="61" t="n">
        <v>45807000000</v>
      </c>
      <c r="G52" s="61" t="n">
        <v>54444000000</v>
      </c>
      <c r="H52" s="61" t="n">
        <v>82506000000</v>
      </c>
      <c r="I52" s="15" t="s">
        <v>1081</v>
      </c>
    </row>
    <row r="53" customFormat="false" ht="15" hidden="false" customHeight="false" outlineLevel="0" collapsed="false">
      <c r="A53" s="54" t="s">
        <v>1090</v>
      </c>
      <c r="B53" s="13" t="s">
        <v>1091</v>
      </c>
      <c r="C53" s="61"/>
      <c r="D53" s="61"/>
      <c r="E53" s="61"/>
      <c r="F53" s="61" t="n">
        <v>260240000000</v>
      </c>
      <c r="G53" s="61" t="n">
        <v>536498000000</v>
      </c>
      <c r="H53" s="61" t="n">
        <v>609058000000</v>
      </c>
      <c r="I53" s="15" t="s">
        <v>1081</v>
      </c>
    </row>
    <row r="54" customFormat="false" ht="15" hidden="false" customHeight="false" outlineLevel="0" collapsed="false">
      <c r="A54" s="54" t="s">
        <v>1092</v>
      </c>
      <c r="B54" s="13" t="s">
        <v>1093</v>
      </c>
      <c r="C54" s="61"/>
      <c r="D54" s="61"/>
      <c r="E54" s="61"/>
      <c r="F54" s="61" t="n">
        <v>389546000000</v>
      </c>
      <c r="G54" s="61" t="n">
        <v>338776000000</v>
      </c>
      <c r="H54" s="61" t="n">
        <v>431289000000</v>
      </c>
      <c r="I54" s="15" t="s">
        <v>1081</v>
      </c>
    </row>
    <row r="55" customFormat="false" ht="15" hidden="false" customHeight="false" outlineLevel="0" collapsed="false">
      <c r="A55" s="54" t="s">
        <v>1094</v>
      </c>
      <c r="B55" s="13" t="s">
        <v>1095</v>
      </c>
      <c r="C55" s="61"/>
      <c r="D55" s="61"/>
      <c r="E55" s="61"/>
      <c r="F55" s="61" t="n">
        <v>264539000000</v>
      </c>
      <c r="G55" s="61" t="n">
        <v>275330000000</v>
      </c>
      <c r="H55" s="61" t="n">
        <v>333142000000</v>
      </c>
      <c r="I55" s="15" t="s">
        <v>1081</v>
      </c>
    </row>
    <row r="56" customFormat="false" ht="15" hidden="false" customHeight="false" outlineLevel="0" collapsed="false">
      <c r="A56" s="54" t="s">
        <v>1096</v>
      </c>
      <c r="B56" s="13" t="s">
        <v>1097</v>
      </c>
      <c r="C56" s="61"/>
      <c r="D56" s="61"/>
      <c r="E56" s="61"/>
      <c r="F56" s="61" t="n">
        <v>29072000000</v>
      </c>
      <c r="G56" s="61" t="n">
        <v>37620000000</v>
      </c>
      <c r="H56" s="61" t="n">
        <v>45134000000</v>
      </c>
      <c r="I56" s="15" t="s">
        <v>1081</v>
      </c>
    </row>
    <row r="57" customFormat="false" ht="15" hidden="false" customHeight="false" outlineLevel="0" collapsed="false">
      <c r="A57" s="54" t="s">
        <v>1098</v>
      </c>
      <c r="B57" s="13" t="s">
        <v>1099</v>
      </c>
      <c r="C57" s="61"/>
      <c r="D57" s="61"/>
      <c r="E57" s="61"/>
      <c r="F57" s="61"/>
      <c r="G57" s="61" t="n">
        <v>-807914000000</v>
      </c>
      <c r="H57" s="61" t="n">
        <v>-912138000000</v>
      </c>
      <c r="I57" s="15" t="s">
        <v>1081</v>
      </c>
    </row>
    <row r="58" customFormat="false" ht="15" hidden="false" customHeight="false" outlineLevel="0" collapsed="false">
      <c r="A58" s="54" t="s">
        <v>1100</v>
      </c>
      <c r="B58" s="13" t="s">
        <v>1101</v>
      </c>
      <c r="C58" s="61" t="n">
        <v>1283798609174</v>
      </c>
      <c r="D58" s="61" t="n">
        <v>1924453140978</v>
      </c>
      <c r="E58" s="61" t="n">
        <v>1934163680964</v>
      </c>
      <c r="F58" s="61" t="n">
        <v>2503174000000</v>
      </c>
      <c r="G58" s="61" t="n">
        <v>2340431000000</v>
      </c>
      <c r="H58" s="61" t="n">
        <v>2589440000000</v>
      </c>
      <c r="I58" s="15" t="s">
        <v>1081</v>
      </c>
    </row>
    <row r="59" customFormat="false" ht="15" hidden="false" customHeight="false" outlineLevel="0" collapsed="false">
      <c r="A59" s="54" t="s">
        <v>1102</v>
      </c>
      <c r="B59" s="13" t="s">
        <v>1103</v>
      </c>
      <c r="C59" s="61" t="n">
        <v>467640506965</v>
      </c>
      <c r="D59" s="61" t="n">
        <v>753471843387</v>
      </c>
      <c r="E59" s="61" t="n">
        <v>817003131432</v>
      </c>
      <c r="F59" s="61"/>
      <c r="G59" s="61"/>
      <c r="H59" s="61"/>
      <c r="I59" s="15" t="s">
        <v>1081</v>
      </c>
    </row>
    <row r="60" customFormat="false" ht="15" hidden="false" customHeight="false" outlineLevel="0" collapsed="false">
      <c r="A60" s="54" t="s">
        <v>1104</v>
      </c>
      <c r="B60" s="13" t="s">
        <v>1105</v>
      </c>
      <c r="C60" s="61" t="n">
        <v>253936863405</v>
      </c>
      <c r="D60" s="61" t="n">
        <v>417781280603</v>
      </c>
      <c r="E60" s="61" t="n">
        <v>431771186720</v>
      </c>
      <c r="F60" s="61"/>
      <c r="G60" s="61"/>
      <c r="H60" s="61"/>
      <c r="I60" s="15" t="s">
        <v>1081</v>
      </c>
    </row>
    <row r="61" customFormat="false" ht="15" hidden="false" customHeight="false" outlineLevel="0" collapsed="false">
      <c r="A61" s="54" t="s">
        <v>1106</v>
      </c>
      <c r="B61" s="13" t="s">
        <v>1107</v>
      </c>
      <c r="C61" s="61" t="n">
        <v>202306035034</v>
      </c>
      <c r="D61" s="61" t="n">
        <v>264925183181</v>
      </c>
      <c r="E61" s="61" t="n">
        <v>274869160543</v>
      </c>
      <c r="F61" s="61"/>
      <c r="G61" s="61"/>
      <c r="H61" s="61"/>
      <c r="I61" s="15" t="s">
        <v>1081</v>
      </c>
    </row>
    <row r="62" customFormat="false" ht="15" hidden="false" customHeight="false" outlineLevel="0" collapsed="false">
      <c r="A62" s="54" t="s">
        <v>1108</v>
      </c>
      <c r="B62" s="13" t="s">
        <v>1109</v>
      </c>
      <c r="C62" s="61" t="n">
        <v>277355030730</v>
      </c>
      <c r="D62" s="61" t="n">
        <v>375603580623</v>
      </c>
      <c r="E62" s="61" t="n">
        <v>255930627005</v>
      </c>
      <c r="F62" s="61"/>
      <c r="G62" s="61"/>
      <c r="H62" s="61"/>
      <c r="I62" s="15" t="s">
        <v>1081</v>
      </c>
    </row>
    <row r="63" customFormat="false" ht="15" hidden="false" customHeight="false" outlineLevel="0" collapsed="false">
      <c r="A63" s="54" t="s">
        <v>1110</v>
      </c>
      <c r="B63" s="13" t="s">
        <v>1111</v>
      </c>
      <c r="C63" s="61" t="n">
        <v>65311157335</v>
      </c>
      <c r="D63" s="61" t="n">
        <v>99318704278</v>
      </c>
      <c r="E63" s="61" t="n">
        <v>116524563580</v>
      </c>
      <c r="F63" s="61"/>
      <c r="G63" s="61"/>
      <c r="H63" s="61"/>
      <c r="I63" s="15" t="s">
        <v>1081</v>
      </c>
    </row>
    <row r="64" customFormat="false" ht="15" hidden="false" customHeight="false" outlineLevel="0" collapsed="false">
      <c r="A64" s="54" t="s">
        <v>1112</v>
      </c>
      <c r="B64" s="13" t="s">
        <v>1113</v>
      </c>
      <c r="C64" s="61" t="n">
        <v>31961173808</v>
      </c>
      <c r="D64" s="61" t="n">
        <v>24610350166</v>
      </c>
      <c r="E64" s="61" t="n">
        <v>29019651480</v>
      </c>
      <c r="F64" s="61"/>
      <c r="G64" s="61"/>
      <c r="H64" s="61"/>
      <c r="I64" s="15" t="s">
        <v>1081</v>
      </c>
    </row>
    <row r="65" customFormat="false" ht="15" hidden="false" customHeight="false" outlineLevel="0" collapsed="false">
      <c r="A65" s="54" t="s">
        <v>1114</v>
      </c>
      <c r="B65" s="13" t="s">
        <v>1115</v>
      </c>
      <c r="C65" s="61" t="n">
        <v>19592014413</v>
      </c>
      <c r="D65" s="61" t="n">
        <v>24274417444</v>
      </c>
      <c r="E65" s="61" t="n">
        <v>28113500871</v>
      </c>
      <c r="F65" s="61"/>
      <c r="G65" s="61"/>
      <c r="H65" s="61"/>
      <c r="I65" s="15" t="s">
        <v>1081</v>
      </c>
    </row>
    <row r="66" customFormat="false" ht="15" hidden="false" customHeight="false" outlineLevel="0" collapsed="false">
      <c r="A66" s="54" t="s">
        <v>1116</v>
      </c>
      <c r="B66" s="13" t="s">
        <v>1117</v>
      </c>
      <c r="C66" s="61" t="n">
        <v>-34304172516</v>
      </c>
      <c r="D66" s="61" t="n">
        <v>-35532218704</v>
      </c>
      <c r="E66" s="61" t="n">
        <v>-19068140667</v>
      </c>
      <c r="F66" s="61"/>
      <c r="G66" s="61"/>
      <c r="H66" s="61"/>
      <c r="I66" s="15" t="s">
        <v>1081</v>
      </c>
    </row>
    <row r="67" customFormat="false" ht="15" hidden="false" customHeight="false" outlineLevel="0" collapsed="false">
      <c r="A67" s="63" t="s">
        <v>1118</v>
      </c>
      <c r="B67" s="64" t="s">
        <v>1119</v>
      </c>
      <c r="C67" s="66" t="n">
        <f aca="false">N(C48)+N(C49)+N(C50)+N(C51)+N(C52)+N(C53)+N(C54)+N(C55)+N(C56)+N(C57)+N(C59)+N(C60)+N(C61)+N(C62)+N(C63)+N(C64)+N(C65)+N(C66)</f>
        <v>1283798609174</v>
      </c>
      <c r="D67" s="66" t="n">
        <f aca="false">N(D48)+N(D49)+N(D50)+N(D51)+N(D52)+N(D53)+N(D54)+N(D55)+N(D56)+N(D57)+N(D59)+N(D60)+N(D61)+N(D62)+N(D63)+N(D64)+N(D65)+N(D66)</f>
        <v>1924453140978</v>
      </c>
      <c r="E67" s="66" t="n">
        <f aca="false">N(E48)+N(E49)+N(E50)+N(E51)+N(E52)+N(E53)+N(E54)+N(E55)+N(E56)+N(E57)+N(E59)+N(E60)+N(E61)+N(E62)+N(E63)+N(E64)+N(E65)+N(E66)</f>
        <v>1934163680964</v>
      </c>
      <c r="F67" s="66" t="n">
        <f aca="false">N(F48)+N(F49)+N(F50)+N(F51)+N(F52)+N(F53)+N(F54)+N(F55)+N(F56)+N(F57)+N(F59)+N(F60)+N(F61)+N(F62)+N(F63)+N(F64)+N(F65)+N(F66)</f>
        <v>2503174000000</v>
      </c>
      <c r="G67" s="66" t="n">
        <f aca="false">N(G48)+N(G49)+N(G50)+N(G51)+N(G52)+N(G53)+N(G54)+N(G55)+N(G56)+N(G57)+N(G59)+N(G60)+N(G61)+N(G62)+N(G63)+N(G64)+N(G65)+N(G66)</f>
        <v>2340431000000</v>
      </c>
      <c r="H67" s="66" t="n">
        <f aca="false">N(H48)+N(H49)+N(H50)+N(H51)+N(H52)+N(H53)+N(H54)+N(H55)+N(H56)+N(H57)+N(H59)+N(H60)+N(H61)+N(H62)+N(H63)+N(H64)+N(H65)+N(H66)</f>
        <v>2589440000000</v>
      </c>
    </row>
    <row r="68" customFormat="false" ht="15" hidden="false" customHeight="false" outlineLevel="0" collapsed="false">
      <c r="B68" s="4" t="s">
        <v>1120</v>
      </c>
    </row>
    <row r="69" customFormat="false" ht="15" hidden="false" customHeight="false" outlineLevel="0" collapsed="false">
      <c r="A69" s="54" t="s">
        <v>1121</v>
      </c>
      <c r="B69" s="13" t="s">
        <v>1122</v>
      </c>
      <c r="C69" s="61"/>
      <c r="D69" s="61"/>
      <c r="E69" s="61"/>
      <c r="F69" s="61"/>
      <c r="G69" s="61" t="n">
        <v>632856000000</v>
      </c>
      <c r="H69" s="61" t="n">
        <v>730391000000</v>
      </c>
      <c r="I69" s="15" t="s">
        <v>1081</v>
      </c>
    </row>
    <row r="70" customFormat="false" ht="15" hidden="false" customHeight="false" outlineLevel="0" collapsed="false">
      <c r="A70" s="54" t="s">
        <v>1123</v>
      </c>
      <c r="B70" s="13" t="s">
        <v>1124</v>
      </c>
      <c r="C70" s="61" t="n">
        <v>94151640132</v>
      </c>
      <c r="D70" s="61" t="n">
        <v>139434588806</v>
      </c>
      <c r="E70" s="61" t="n">
        <v>178767908884</v>
      </c>
      <c r="F70" s="61" t="n">
        <v>228430000000</v>
      </c>
      <c r="G70" s="61" t="n">
        <v>278152000000</v>
      </c>
      <c r="H70" s="61" t="n">
        <v>277365000000</v>
      </c>
      <c r="I70" s="15" t="s">
        <v>1081</v>
      </c>
    </row>
    <row r="71" customFormat="false" ht="15" hidden="false" customHeight="false" outlineLevel="0" collapsed="false">
      <c r="A71" s="54" t="s">
        <v>1125</v>
      </c>
      <c r="B71" s="13" t="s">
        <v>1126</v>
      </c>
      <c r="C71" s="61" t="n">
        <v>84019999072</v>
      </c>
      <c r="D71" s="61" t="n">
        <v>111052598370</v>
      </c>
      <c r="E71" s="61" t="n">
        <v>149028787879</v>
      </c>
      <c r="F71" s="61" t="n">
        <v>193944000000</v>
      </c>
      <c r="G71" s="61" t="n">
        <v>225642000000</v>
      </c>
      <c r="H71" s="61" t="n">
        <v>261685000000</v>
      </c>
      <c r="I71" s="15" t="s">
        <v>1081</v>
      </c>
    </row>
    <row r="72" customFormat="false" ht="15" hidden="false" customHeight="false" outlineLevel="0" collapsed="false">
      <c r="A72" s="54" t="s">
        <v>1127</v>
      </c>
      <c r="B72" s="13" t="s">
        <v>1128</v>
      </c>
      <c r="C72" s="61"/>
      <c r="D72" s="61"/>
      <c r="E72" s="61"/>
      <c r="F72" s="61" t="n">
        <v>96494000000</v>
      </c>
      <c r="G72" s="61" t="n">
        <v>118922000000</v>
      </c>
      <c r="H72" s="61" t="n">
        <v>85142000000</v>
      </c>
      <c r="I72" s="15" t="s">
        <v>1081</v>
      </c>
    </row>
    <row r="73" customFormat="false" ht="15" hidden="false" customHeight="false" outlineLevel="0" collapsed="false">
      <c r="A73" s="54" t="s">
        <v>1129</v>
      </c>
      <c r="B73" s="13" t="s">
        <v>1130</v>
      </c>
      <c r="C73" s="61"/>
      <c r="D73" s="61"/>
      <c r="E73" s="61"/>
      <c r="F73" s="61" t="n">
        <v>49998000000</v>
      </c>
      <c r="G73" s="61" t="n">
        <v>63386000000</v>
      </c>
      <c r="H73" s="61" t="n">
        <v>69869000000</v>
      </c>
      <c r="I73" s="15" t="s">
        <v>1081</v>
      </c>
    </row>
    <row r="74" customFormat="false" ht="15" hidden="false" customHeight="false" outlineLevel="0" collapsed="false">
      <c r="A74" s="54" t="s">
        <v>1131</v>
      </c>
      <c r="B74" s="13" t="s">
        <v>1132</v>
      </c>
      <c r="C74" s="61"/>
      <c r="D74" s="61"/>
      <c r="E74" s="61"/>
      <c r="F74" s="61" t="n">
        <v>34788000000</v>
      </c>
      <c r="G74" s="61" t="n">
        <v>69964000000</v>
      </c>
      <c r="H74" s="61" t="n">
        <v>80306000000</v>
      </c>
      <c r="I74" s="15" t="s">
        <v>1081</v>
      </c>
    </row>
    <row r="75" customFormat="false" ht="15" hidden="false" customHeight="false" outlineLevel="0" collapsed="false">
      <c r="A75" s="54" t="s">
        <v>1133</v>
      </c>
      <c r="B75" s="13" t="s">
        <v>1134</v>
      </c>
      <c r="C75" s="61" t="n">
        <v>18378409513</v>
      </c>
      <c r="D75" s="61" t="n">
        <v>18378409513</v>
      </c>
      <c r="E75" s="61" t="n">
        <v>18378409513</v>
      </c>
      <c r="F75" s="61" t="n">
        <v>18378000000</v>
      </c>
      <c r="G75" s="61" t="n">
        <v>18525000000</v>
      </c>
      <c r="H75" s="61" t="n">
        <v>18973000000</v>
      </c>
      <c r="I75" s="15" t="s">
        <v>1081</v>
      </c>
    </row>
    <row r="76" customFormat="false" ht="15" hidden="false" customHeight="false" outlineLevel="0" collapsed="false">
      <c r="A76" s="54" t="s">
        <v>1135</v>
      </c>
      <c r="B76" s="13" t="s">
        <v>1136</v>
      </c>
      <c r="C76" s="61"/>
      <c r="D76" s="61"/>
      <c r="E76" s="61"/>
      <c r="F76" s="61"/>
      <c r="G76" s="61" t="n">
        <v>16541000000</v>
      </c>
      <c r="H76" s="61" t="n">
        <v>6833000000</v>
      </c>
      <c r="I76" s="15" t="s">
        <v>1081</v>
      </c>
    </row>
    <row r="77" customFormat="false" ht="15" hidden="false" customHeight="false" outlineLevel="0" collapsed="false">
      <c r="A77" s="54" t="s">
        <v>1137</v>
      </c>
      <c r="B77" s="13" t="s">
        <v>1101</v>
      </c>
      <c r="C77" s="61" t="n">
        <v>864698280519</v>
      </c>
      <c r="D77" s="61" t="n">
        <v>1219420404326</v>
      </c>
      <c r="E77" s="61" t="n">
        <v>1377109387379</v>
      </c>
      <c r="F77" s="61" t="n">
        <v>1785154000000</v>
      </c>
      <c r="G77" s="61" t="n">
        <v>1423988000000</v>
      </c>
      <c r="H77" s="61" t="n">
        <v>1530564000000</v>
      </c>
      <c r="I77" s="15" t="s">
        <v>1081</v>
      </c>
    </row>
    <row r="78" customFormat="false" ht="15" hidden="false" customHeight="false" outlineLevel="0" collapsed="false">
      <c r="A78" s="54" t="s">
        <v>1138</v>
      </c>
      <c r="B78" s="13" t="s">
        <v>1139</v>
      </c>
      <c r="C78" s="61" t="n">
        <v>255673214045</v>
      </c>
      <c r="D78" s="61" t="n">
        <v>365894592513</v>
      </c>
      <c r="E78" s="61" t="n">
        <v>481880938211</v>
      </c>
      <c r="F78" s="61" t="n">
        <v>672126000000</v>
      </c>
      <c r="G78" s="61"/>
      <c r="H78" s="61"/>
      <c r="I78" s="15" t="s">
        <v>1081</v>
      </c>
    </row>
    <row r="79" customFormat="false" ht="15" hidden="false" customHeight="false" outlineLevel="0" collapsed="false">
      <c r="A79" s="54" t="s">
        <v>1140</v>
      </c>
      <c r="B79" s="13" t="s">
        <v>1105</v>
      </c>
      <c r="C79" s="61" t="n">
        <v>107522125465</v>
      </c>
      <c r="D79" s="61" t="n">
        <v>189986508260</v>
      </c>
      <c r="E79" s="61" t="n">
        <v>183278794685</v>
      </c>
      <c r="F79" s="61" t="n">
        <v>490996000000</v>
      </c>
      <c r="G79" s="61"/>
      <c r="H79" s="61"/>
      <c r="I79" s="15" t="s">
        <v>1081</v>
      </c>
    </row>
    <row r="80" customFormat="false" ht="15" hidden="false" customHeight="false" outlineLevel="0" collapsed="false">
      <c r="A80" s="54" t="s">
        <v>1141</v>
      </c>
      <c r="B80" s="13" t="s">
        <v>1142</v>
      </c>
      <c r="C80" s="61" t="n">
        <v>115642159760</v>
      </c>
      <c r="D80" s="61" t="n">
        <v>132129711402</v>
      </c>
      <c r="E80" s="61" t="n">
        <v>160368000858</v>
      </c>
      <c r="F80" s="61"/>
      <c r="G80" s="61"/>
      <c r="H80" s="61"/>
      <c r="I80" s="15" t="s">
        <v>1081</v>
      </c>
    </row>
    <row r="81" customFormat="false" ht="15" hidden="false" customHeight="false" outlineLevel="0" collapsed="false">
      <c r="A81" s="54" t="s">
        <v>1143</v>
      </c>
      <c r="B81" s="13" t="s">
        <v>1107</v>
      </c>
      <c r="C81" s="61" t="n">
        <v>75567244808</v>
      </c>
      <c r="D81" s="61" t="n">
        <v>118194588834</v>
      </c>
      <c r="E81" s="61" t="n">
        <v>104817649529</v>
      </c>
      <c r="F81" s="61"/>
      <c r="G81" s="61"/>
      <c r="H81" s="61"/>
      <c r="I81" s="15" t="s">
        <v>1081</v>
      </c>
    </row>
    <row r="82" customFormat="false" ht="15" hidden="false" customHeight="false" outlineLevel="0" collapsed="false">
      <c r="A82" s="54" t="s">
        <v>1144</v>
      </c>
      <c r="B82" s="13" t="s">
        <v>1109</v>
      </c>
      <c r="C82" s="61" t="n">
        <v>107641067638</v>
      </c>
      <c r="D82" s="61" t="n">
        <v>124437522136</v>
      </c>
      <c r="E82" s="61" t="n">
        <v>79199047177</v>
      </c>
      <c r="F82" s="61"/>
      <c r="G82" s="61"/>
      <c r="H82" s="61"/>
      <c r="I82" s="15" t="s">
        <v>1081</v>
      </c>
    </row>
    <row r="83" customFormat="false" ht="15" hidden="false" customHeight="false" outlineLevel="0" collapsed="false">
      <c r="A83" s="54" t="s">
        <v>1145</v>
      </c>
      <c r="B83" s="13" t="s">
        <v>1115</v>
      </c>
      <c r="C83" s="61" t="n">
        <v>1782870474</v>
      </c>
      <c r="D83" s="61" t="n">
        <v>11915524107</v>
      </c>
      <c r="E83" s="61" t="n">
        <v>15919398340</v>
      </c>
      <c r="F83" s="61"/>
      <c r="G83" s="61"/>
      <c r="H83" s="61"/>
      <c r="I83" s="15" t="s">
        <v>1081</v>
      </c>
    </row>
    <row r="84" customFormat="false" ht="15" hidden="false" customHeight="false" outlineLevel="0" collapsed="false">
      <c r="A84" s="54" t="s">
        <v>1146</v>
      </c>
      <c r="B84" s="13" t="s">
        <v>1111</v>
      </c>
      <c r="C84" s="61" t="n">
        <v>4319549612</v>
      </c>
      <c r="D84" s="61" t="n">
        <v>7996360385</v>
      </c>
      <c r="E84" s="61" t="n">
        <v>5470452303</v>
      </c>
      <c r="F84" s="61"/>
      <c r="G84" s="61"/>
      <c r="H84" s="61"/>
      <c r="I84" s="15" t="s">
        <v>1081</v>
      </c>
    </row>
    <row r="85" customFormat="false" ht="15" hidden="false" customHeight="false" outlineLevel="0" collapsed="false">
      <c r="A85" s="63" t="s">
        <v>1147</v>
      </c>
      <c r="B85" s="64" t="s">
        <v>1119</v>
      </c>
      <c r="C85" s="66" t="n">
        <f aca="false">N(C69)+N(C70)+N(C71)+N(C72)+N(C73)+N(C74)+N(C75)+N(C76)+N(C78)+N(C79)+N(C80)+N(C81)+N(C82)+N(C83)+N(C84)</f>
        <v>864698280519</v>
      </c>
      <c r="D85" s="66" t="n">
        <f aca="false">N(D69)+N(D70)+N(D71)+N(D72)+N(D73)+N(D74)+N(D75)+N(D76)+N(D78)+N(D79)+N(D80)+N(D81)+N(D82)+N(D83)+N(D84)</f>
        <v>1219420404326</v>
      </c>
      <c r="E85" s="66" t="n">
        <f aca="false">N(E69)+N(E70)+N(E71)+N(E72)+N(E73)+N(E74)+N(E75)+N(E76)+N(E78)+N(E79)+N(E80)+N(E81)+N(E82)+N(E83)+N(E84)</f>
        <v>1377109387379</v>
      </c>
      <c r="F85" s="66" t="n">
        <f aca="false">N(F69)+N(F70)+N(F71)+N(F72)+N(F73)+N(F74)+N(F75)+N(F76)+N(F78)+N(F79)+N(F80)+N(F81)+N(F82)+N(F83)+N(F84)</f>
        <v>1785154000000</v>
      </c>
      <c r="G85" s="66" t="n">
        <f aca="false">N(G69)+N(G70)+N(G71)+N(G72)+N(G73)+N(G74)+N(G75)+N(G76)+N(G78)+N(G79)+N(G80)+N(G81)+N(G82)+N(G83)+N(G84)</f>
        <v>1423988000000</v>
      </c>
      <c r="H85" s="66" t="n">
        <f aca="false">N(H69)+N(H70)+N(H71)+N(H72)+N(H73)+N(H74)+N(H75)+N(H76)+N(H78)+N(H79)+N(H80)+N(H81)+N(H82)+N(H83)+N(H84)</f>
        <v>1530564000000</v>
      </c>
    </row>
    <row r="86" customFormat="false" ht="15" hidden="false" customHeight="false" outlineLevel="0" collapsed="false">
      <c r="B86" s="4" t="s">
        <v>1148</v>
      </c>
    </row>
    <row r="87" customFormat="false" ht="15" hidden="false" customHeight="false" outlineLevel="0" collapsed="false">
      <c r="A87" s="54" t="s">
        <v>1149</v>
      </c>
      <c r="B87" s="13" t="s">
        <v>1124</v>
      </c>
      <c r="C87" s="61" t="n">
        <v>164719380302</v>
      </c>
      <c r="D87" s="61" t="n">
        <v>192508348302</v>
      </c>
      <c r="E87" s="61" t="n">
        <v>198219273763</v>
      </c>
      <c r="F87" s="61" t="n">
        <v>219840000000</v>
      </c>
      <c r="G87" s="61" t="n">
        <v>257565000000</v>
      </c>
      <c r="H87" s="61" t="n">
        <v>380930000000</v>
      </c>
      <c r="I87" s="15" t="s">
        <v>1081</v>
      </c>
    </row>
    <row r="88" customFormat="false" ht="15" hidden="false" customHeight="false" outlineLevel="0" collapsed="false">
      <c r="A88" s="54" t="s">
        <v>1150</v>
      </c>
      <c r="B88" s="13" t="s">
        <v>1151</v>
      </c>
      <c r="C88" s="61" t="n">
        <v>17520329209</v>
      </c>
      <c r="D88" s="61" t="n">
        <v>29331860054</v>
      </c>
      <c r="E88" s="61" t="n">
        <v>33119976143</v>
      </c>
      <c r="F88" s="61" t="n">
        <v>34372000000</v>
      </c>
      <c r="G88" s="61" t="n">
        <v>40273000000</v>
      </c>
      <c r="H88" s="61" t="n">
        <v>89043000000</v>
      </c>
      <c r="I88" s="15" t="s">
        <v>1081</v>
      </c>
    </row>
    <row r="89" customFormat="false" ht="15" hidden="false" customHeight="false" outlineLevel="0" collapsed="false">
      <c r="A89" s="54" t="s">
        <v>1152</v>
      </c>
      <c r="B89" s="13" t="s">
        <v>1126</v>
      </c>
      <c r="C89" s="61" t="n">
        <v>18983030015</v>
      </c>
      <c r="D89" s="61" t="n">
        <v>38462510464</v>
      </c>
      <c r="E89" s="61" t="n">
        <v>51029747812</v>
      </c>
      <c r="F89" s="61" t="n">
        <v>61901000000</v>
      </c>
      <c r="G89" s="61" t="n">
        <v>65940000000</v>
      </c>
      <c r="H89" s="61" t="n">
        <v>76121000000</v>
      </c>
      <c r="I89" s="15" t="s">
        <v>1081</v>
      </c>
    </row>
    <row r="90" customFormat="false" ht="15" hidden="false" customHeight="false" outlineLevel="0" collapsed="false">
      <c r="A90" s="54" t="s">
        <v>1153</v>
      </c>
      <c r="B90" s="13" t="s">
        <v>1154</v>
      </c>
      <c r="C90" s="61" t="n">
        <v>30690974480</v>
      </c>
      <c r="D90" s="61" t="n">
        <v>30618359408</v>
      </c>
      <c r="E90" s="61" t="n">
        <v>38144930006</v>
      </c>
      <c r="F90" s="61" t="n">
        <v>53224000000</v>
      </c>
      <c r="G90" s="61" t="n">
        <v>60698000000</v>
      </c>
      <c r="H90" s="61" t="n">
        <v>68667000000</v>
      </c>
      <c r="I90" s="15" t="s">
        <v>1081</v>
      </c>
    </row>
    <row r="91" customFormat="false" ht="15" hidden="false" customHeight="false" outlineLevel="0" collapsed="false">
      <c r="A91" s="54" t="s">
        <v>1155</v>
      </c>
      <c r="B91" s="13" t="s">
        <v>1156</v>
      </c>
      <c r="C91" s="61"/>
      <c r="D91" s="61" t="n">
        <v>32653358800</v>
      </c>
      <c r="E91" s="61" t="n">
        <v>38556418849</v>
      </c>
      <c r="F91" s="61" t="n">
        <v>45760000000</v>
      </c>
      <c r="G91" s="61" t="n">
        <v>49664000000</v>
      </c>
      <c r="H91" s="61" t="n">
        <v>52139000000</v>
      </c>
      <c r="I91" s="15" t="s">
        <v>1081</v>
      </c>
    </row>
    <row r="92" customFormat="false" ht="15" hidden="false" customHeight="false" outlineLevel="0" collapsed="false">
      <c r="A92" s="54" t="s">
        <v>1157</v>
      </c>
      <c r="B92" s="13" t="s">
        <v>1158</v>
      </c>
      <c r="C92" s="61" t="n">
        <v>20905888279</v>
      </c>
      <c r="D92" s="61" t="n">
        <v>23689258082</v>
      </c>
      <c r="E92" s="61" t="n">
        <v>25042880282</v>
      </c>
      <c r="F92" s="61" t="n">
        <v>27572000000</v>
      </c>
      <c r="G92" s="61" t="n">
        <v>37415000000</v>
      </c>
      <c r="H92" s="61" t="n">
        <v>50290000000</v>
      </c>
      <c r="I92" s="15" t="s">
        <v>1081</v>
      </c>
    </row>
    <row r="93" customFormat="false" ht="15" hidden="false" customHeight="false" outlineLevel="0" collapsed="false">
      <c r="A93" s="54" t="s">
        <v>1159</v>
      </c>
      <c r="B93" s="13" t="s">
        <v>1160</v>
      </c>
      <c r="C93" s="61" t="n">
        <v>28565266736</v>
      </c>
      <c r="D93" s="61" t="n">
        <v>21831554389</v>
      </c>
      <c r="E93" s="61" t="n">
        <v>10903101831</v>
      </c>
      <c r="F93" s="61"/>
      <c r="G93" s="61" t="n">
        <v>25951000000</v>
      </c>
      <c r="H93" s="61" t="n">
        <v>41051000000</v>
      </c>
      <c r="I93" s="15" t="s">
        <v>1081</v>
      </c>
    </row>
    <row r="94" customFormat="false" ht="15" hidden="false" customHeight="false" outlineLevel="0" collapsed="false">
      <c r="A94" s="54" t="s">
        <v>1161</v>
      </c>
      <c r="B94" s="13" t="s">
        <v>1162</v>
      </c>
      <c r="C94" s="61" t="n">
        <v>9283706794</v>
      </c>
      <c r="D94" s="61" t="n">
        <v>14500539037</v>
      </c>
      <c r="E94" s="61" t="n">
        <v>18229759864</v>
      </c>
      <c r="F94" s="61" t="n">
        <v>21196000000</v>
      </c>
      <c r="G94" s="61" t="n">
        <v>24203000000</v>
      </c>
      <c r="H94" s="61" t="n">
        <v>24748000000</v>
      </c>
      <c r="I94" s="15" t="s">
        <v>1081</v>
      </c>
    </row>
    <row r="95" customFormat="false" ht="15" hidden="false" customHeight="false" outlineLevel="0" collapsed="false">
      <c r="A95" s="54" t="s">
        <v>1163</v>
      </c>
      <c r="B95" s="13" t="s">
        <v>1164</v>
      </c>
      <c r="C95" s="61" t="n">
        <v>2454488872</v>
      </c>
      <c r="D95" s="61" t="n">
        <v>3087370579</v>
      </c>
      <c r="E95" s="61" t="n">
        <v>3409417356</v>
      </c>
      <c r="F95" s="61" t="n">
        <v>6601000000</v>
      </c>
      <c r="G95" s="61" t="n">
        <v>18627000000</v>
      </c>
      <c r="H95" s="61" t="n">
        <v>19408000000</v>
      </c>
      <c r="I95" s="15" t="s">
        <v>1081</v>
      </c>
    </row>
    <row r="96" customFormat="false" ht="15" hidden="false" customHeight="false" outlineLevel="0" collapsed="false">
      <c r="A96" s="54" t="s">
        <v>1165</v>
      </c>
      <c r="B96" s="13" t="s">
        <v>1166</v>
      </c>
      <c r="C96" s="61" t="n">
        <v>9928330977</v>
      </c>
      <c r="D96" s="61" t="n">
        <v>11066788766</v>
      </c>
      <c r="E96" s="61" t="n">
        <v>10588480914</v>
      </c>
      <c r="F96" s="61" t="n">
        <v>12119000000</v>
      </c>
      <c r="G96" s="61" t="n">
        <v>16247000000</v>
      </c>
      <c r="H96" s="61" t="n">
        <v>17081000000</v>
      </c>
      <c r="I96" s="15" t="s">
        <v>1081</v>
      </c>
    </row>
    <row r="97" customFormat="false" ht="15" hidden="false" customHeight="false" outlineLevel="0" collapsed="false">
      <c r="A97" s="54" t="s">
        <v>1167</v>
      </c>
      <c r="B97" s="13" t="s">
        <v>1168</v>
      </c>
      <c r="C97" s="61" t="n">
        <v>20456817125</v>
      </c>
      <c r="D97" s="61" t="n">
        <v>21471023128</v>
      </c>
      <c r="E97" s="61" t="n">
        <v>19272568449</v>
      </c>
      <c r="F97" s="61" t="n">
        <v>15434000000</v>
      </c>
      <c r="G97" s="61" t="n">
        <v>21901000000</v>
      </c>
      <c r="H97" s="61" t="n">
        <v>16555000000</v>
      </c>
      <c r="I97" s="15" t="s">
        <v>1081</v>
      </c>
    </row>
    <row r="98" customFormat="false" ht="15" hidden="false" customHeight="false" outlineLevel="0" collapsed="false">
      <c r="A98" s="54" t="s">
        <v>1169</v>
      </c>
      <c r="B98" s="13" t="s">
        <v>1170</v>
      </c>
      <c r="C98" s="61" t="n">
        <v>2375476567</v>
      </c>
      <c r="D98" s="61" t="n">
        <v>4496436472</v>
      </c>
      <c r="E98" s="61" t="n">
        <v>6296293019</v>
      </c>
      <c r="F98" s="61" t="n">
        <v>5982000000</v>
      </c>
      <c r="G98" s="61" t="n">
        <v>7725000000</v>
      </c>
      <c r="H98" s="61" t="n">
        <v>15387000000</v>
      </c>
      <c r="I98" s="15" t="s">
        <v>1081</v>
      </c>
    </row>
    <row r="99" customFormat="false" ht="15" hidden="false" customHeight="false" outlineLevel="0" collapsed="false">
      <c r="A99" s="54" t="s">
        <v>1171</v>
      </c>
      <c r="B99" s="13" t="s">
        <v>1172</v>
      </c>
      <c r="C99" s="61" t="n">
        <v>5348628251</v>
      </c>
      <c r="D99" s="61" t="n">
        <v>5805588885</v>
      </c>
      <c r="E99" s="61" t="n">
        <v>7272991554</v>
      </c>
      <c r="F99" s="61" t="n">
        <v>8296000000</v>
      </c>
      <c r="G99" s="61" t="n">
        <v>9661000000</v>
      </c>
      <c r="H99" s="61" t="n">
        <v>13067000000</v>
      </c>
      <c r="I99" s="15" t="s">
        <v>1081</v>
      </c>
    </row>
    <row r="100" customFormat="false" ht="15" hidden="false" customHeight="false" outlineLevel="0" collapsed="false">
      <c r="A100" s="54" t="s">
        <v>1173</v>
      </c>
      <c r="B100" s="13" t="s">
        <v>1174</v>
      </c>
      <c r="C100" s="61" t="n">
        <v>2061009985</v>
      </c>
      <c r="D100" s="61" t="n">
        <v>2623400230</v>
      </c>
      <c r="E100" s="61" t="n">
        <v>3904332786</v>
      </c>
      <c r="F100" s="61" t="n">
        <v>6389000000</v>
      </c>
      <c r="G100" s="61" t="n">
        <v>10141000000</v>
      </c>
      <c r="H100" s="61" t="n">
        <v>11206000000</v>
      </c>
      <c r="I100" s="15" t="s">
        <v>1081</v>
      </c>
    </row>
    <row r="101" customFormat="false" ht="15" hidden="false" customHeight="false" outlineLevel="0" collapsed="false">
      <c r="A101" s="54" t="s">
        <v>1175</v>
      </c>
      <c r="B101" s="13" t="s">
        <v>1176</v>
      </c>
      <c r="C101" s="61"/>
      <c r="D101" s="61"/>
      <c r="E101" s="61"/>
      <c r="F101" s="61"/>
      <c r="G101" s="61" t="n">
        <v>11607000000</v>
      </c>
      <c r="H101" s="61" t="n">
        <v>11192000000</v>
      </c>
      <c r="I101" s="15" t="s">
        <v>1081</v>
      </c>
    </row>
    <row r="102" customFormat="false" ht="15" hidden="false" customHeight="false" outlineLevel="0" collapsed="false">
      <c r="A102" s="54" t="s">
        <v>1177</v>
      </c>
      <c r="B102" s="13" t="s">
        <v>1178</v>
      </c>
      <c r="C102" s="61"/>
      <c r="D102" s="61"/>
      <c r="E102" s="61"/>
      <c r="F102" s="61"/>
      <c r="G102" s="61" t="n">
        <v>6908000000</v>
      </c>
      <c r="H102" s="61" t="n">
        <v>9826000000</v>
      </c>
      <c r="I102" s="15" t="s">
        <v>1081</v>
      </c>
    </row>
    <row r="103" customFormat="false" ht="15" hidden="false" customHeight="false" outlineLevel="0" collapsed="false">
      <c r="A103" s="54" t="s">
        <v>1179</v>
      </c>
      <c r="B103" s="13" t="s">
        <v>1134</v>
      </c>
      <c r="C103" s="61" t="n">
        <v>8800651622</v>
      </c>
      <c r="D103" s="61" t="n">
        <v>8800651622</v>
      </c>
      <c r="E103" s="61" t="n">
        <v>8800651622</v>
      </c>
      <c r="F103" s="61" t="n">
        <v>9072000000</v>
      </c>
      <c r="G103" s="61" t="n">
        <v>8870000000</v>
      </c>
      <c r="H103" s="61" t="n">
        <v>9085000000</v>
      </c>
      <c r="I103" s="15" t="s">
        <v>1081</v>
      </c>
    </row>
    <row r="104" customFormat="false" ht="15" hidden="false" customHeight="false" outlineLevel="0" collapsed="false">
      <c r="A104" s="54" t="s">
        <v>1180</v>
      </c>
      <c r="B104" s="13" t="s">
        <v>1181</v>
      </c>
      <c r="C104" s="61" t="n">
        <v>3609618368</v>
      </c>
      <c r="D104" s="61" t="n">
        <v>4410794478</v>
      </c>
      <c r="E104" s="61" t="n">
        <v>4531517063</v>
      </c>
      <c r="F104" s="61" t="n">
        <v>5557000000</v>
      </c>
      <c r="G104" s="61" t="n">
        <v>7318000000</v>
      </c>
      <c r="H104" s="61" t="n">
        <v>7375000000</v>
      </c>
      <c r="I104" s="15" t="s">
        <v>1081</v>
      </c>
    </row>
    <row r="105" customFormat="false" ht="15" hidden="false" customHeight="false" outlineLevel="0" collapsed="false">
      <c r="A105" s="54" t="s">
        <v>1182</v>
      </c>
      <c r="B105" s="13" t="s">
        <v>1183</v>
      </c>
      <c r="C105" s="61"/>
      <c r="D105" s="61"/>
      <c r="E105" s="61"/>
      <c r="F105" s="61"/>
      <c r="G105" s="61" t="n">
        <v>8433000000</v>
      </c>
      <c r="H105" s="61" t="n">
        <v>9161000000</v>
      </c>
      <c r="I105" s="15" t="s">
        <v>1081</v>
      </c>
    </row>
    <row r="106" customFormat="false" ht="15" hidden="false" customHeight="false" outlineLevel="0" collapsed="false">
      <c r="A106" s="54" t="s">
        <v>1184</v>
      </c>
      <c r="B106" s="13" t="s">
        <v>1101</v>
      </c>
      <c r="C106" s="61" t="n">
        <v>392704802139</v>
      </c>
      <c r="D106" s="61" t="n">
        <v>462409623024</v>
      </c>
      <c r="E106" s="61" t="n">
        <v>502013236172</v>
      </c>
      <c r="F106" s="61" t="n">
        <v>576920000000</v>
      </c>
      <c r="G106" s="61" t="n">
        <v>689147000000</v>
      </c>
      <c r="H106" s="61" t="n">
        <v>922332000000</v>
      </c>
      <c r="I106" s="15" t="s">
        <v>1081</v>
      </c>
    </row>
    <row r="107" customFormat="false" ht="15" hidden="false" customHeight="false" outlineLevel="0" collapsed="false">
      <c r="A107" s="54" t="s">
        <v>1185</v>
      </c>
      <c r="B107" s="13" t="s">
        <v>1186</v>
      </c>
      <c r="C107" s="61"/>
      <c r="D107" s="61"/>
      <c r="E107" s="61"/>
      <c r="F107" s="61" t="n">
        <v>16221000000</v>
      </c>
      <c r="G107" s="61"/>
      <c r="H107" s="61"/>
      <c r="I107" s="15" t="s">
        <v>1081</v>
      </c>
    </row>
    <row r="108" customFormat="false" ht="15" hidden="false" customHeight="false" outlineLevel="0" collapsed="false">
      <c r="A108" s="54" t="s">
        <v>1187</v>
      </c>
      <c r="B108" s="13" t="s">
        <v>1188</v>
      </c>
      <c r="C108" s="61" t="n">
        <v>9386707702</v>
      </c>
      <c r="D108" s="61" t="n">
        <v>6228304907</v>
      </c>
      <c r="E108" s="61" t="n">
        <v>6522092246</v>
      </c>
      <c r="F108" s="61" t="n">
        <v>8710000000</v>
      </c>
      <c r="G108" s="61"/>
      <c r="H108" s="61"/>
      <c r="I108" s="15" t="s">
        <v>1081</v>
      </c>
    </row>
    <row r="109" customFormat="false" ht="15" hidden="false" customHeight="false" outlineLevel="0" collapsed="false">
      <c r="A109" s="54" t="s">
        <v>1189</v>
      </c>
      <c r="B109" s="13" t="s">
        <v>1190</v>
      </c>
      <c r="C109" s="61" t="n">
        <v>1934818851</v>
      </c>
      <c r="D109" s="61" t="n">
        <v>3906003284</v>
      </c>
      <c r="E109" s="61" t="n">
        <v>4175232178</v>
      </c>
      <c r="F109" s="61" t="n">
        <v>6798000000</v>
      </c>
      <c r="G109" s="61"/>
      <c r="H109" s="61"/>
      <c r="I109" s="15" t="s">
        <v>1081</v>
      </c>
    </row>
    <row r="110" customFormat="false" ht="15" hidden="false" customHeight="false" outlineLevel="0" collapsed="false">
      <c r="A110" s="54" t="s">
        <v>1191</v>
      </c>
      <c r="B110" s="13" t="s">
        <v>1192</v>
      </c>
      <c r="C110" s="61"/>
      <c r="D110" s="61"/>
      <c r="E110" s="61"/>
      <c r="F110" s="61" t="n">
        <v>11876000000</v>
      </c>
      <c r="G110" s="61"/>
      <c r="H110" s="61"/>
      <c r="I110" s="15" t="s">
        <v>1081</v>
      </c>
    </row>
    <row r="111" customFormat="false" ht="15" hidden="false" customHeight="false" outlineLevel="0" collapsed="false">
      <c r="A111" s="54" t="s">
        <v>1193</v>
      </c>
      <c r="B111" s="13" t="s">
        <v>1194</v>
      </c>
      <c r="C111" s="61"/>
      <c r="D111" s="61" t="n">
        <v>2152821401</v>
      </c>
      <c r="E111" s="61" t="n">
        <v>2801789879</v>
      </c>
      <c r="F111" s="61"/>
      <c r="G111" s="61"/>
      <c r="H111" s="61"/>
      <c r="I111" s="15" t="s">
        <v>1081</v>
      </c>
    </row>
    <row r="112" customFormat="false" ht="15" hidden="false" customHeight="false" outlineLevel="0" collapsed="false">
      <c r="A112" s="54" t="s">
        <v>1195</v>
      </c>
      <c r="B112" s="13" t="s">
        <v>1196</v>
      </c>
      <c r="C112" s="61"/>
      <c r="D112" s="61"/>
      <c r="E112" s="61" t="n">
        <v>2502241856</v>
      </c>
      <c r="F112" s="61"/>
      <c r="G112" s="61"/>
      <c r="H112" s="61"/>
      <c r="I112" s="15" t="s">
        <v>1081</v>
      </c>
    </row>
    <row r="113" customFormat="false" ht="15" hidden="false" customHeight="false" outlineLevel="0" collapsed="false">
      <c r="A113" s="54" t="s">
        <v>1197</v>
      </c>
      <c r="B113" s="13" t="s">
        <v>1198</v>
      </c>
      <c r="C113" s="61"/>
      <c r="D113" s="61"/>
      <c r="E113" s="61" t="n">
        <v>1868653063</v>
      </c>
      <c r="F113" s="61"/>
      <c r="G113" s="61"/>
      <c r="H113" s="61"/>
      <c r="I113" s="15" t="s">
        <v>1081</v>
      </c>
    </row>
    <row r="114" customFormat="false" ht="15" hidden="false" customHeight="false" outlineLevel="0" collapsed="false">
      <c r="A114" s="54" t="s">
        <v>1199</v>
      </c>
      <c r="B114" s="13" t="s">
        <v>1200</v>
      </c>
      <c r="C114" s="61" t="n">
        <v>938392549</v>
      </c>
      <c r="D114" s="61" t="n">
        <v>1024613276</v>
      </c>
      <c r="E114" s="61" t="n">
        <v>665268349</v>
      </c>
      <c r="F114" s="61"/>
      <c r="G114" s="61"/>
      <c r="H114" s="61"/>
      <c r="I114" s="15" t="s">
        <v>1081</v>
      </c>
    </row>
    <row r="115" customFormat="false" ht="15" hidden="false" customHeight="false" outlineLevel="0" collapsed="false">
      <c r="A115" s="54" t="s">
        <v>1201</v>
      </c>
      <c r="B115" s="13" t="s">
        <v>1202</v>
      </c>
      <c r="C115" s="61" t="n">
        <v>175000000</v>
      </c>
      <c r="D115" s="61" t="n">
        <v>339819910</v>
      </c>
      <c r="E115" s="61" t="n">
        <v>447084725</v>
      </c>
      <c r="F115" s="61"/>
      <c r="G115" s="61"/>
      <c r="H115" s="61"/>
      <c r="I115" s="15" t="s">
        <v>1081</v>
      </c>
    </row>
    <row r="116" customFormat="false" ht="15" hidden="false" customHeight="false" outlineLevel="0" collapsed="false">
      <c r="A116" s="54" t="s">
        <v>1203</v>
      </c>
      <c r="B116" s="13" t="s">
        <v>1204</v>
      </c>
      <c r="C116" s="61"/>
      <c r="D116" s="61"/>
      <c r="E116" s="61" t="n">
        <v>5708532563</v>
      </c>
      <c r="F116" s="61"/>
      <c r="G116" s="61"/>
      <c r="H116" s="61"/>
      <c r="I116" s="15" t="s">
        <v>1081</v>
      </c>
    </row>
    <row r="117" customFormat="false" ht="15" hidden="false" customHeight="false" outlineLevel="0" collapsed="false">
      <c r="A117" s="54" t="s">
        <v>1205</v>
      </c>
      <c r="B117" s="13" t="s">
        <v>1206</v>
      </c>
      <c r="C117" s="61" t="n">
        <v>6679307854</v>
      </c>
      <c r="D117" s="61" t="n">
        <v>3400217550</v>
      </c>
      <c r="E117" s="61"/>
      <c r="F117" s="61"/>
      <c r="G117" s="61"/>
      <c r="H117" s="61"/>
      <c r="I117" s="15" t="s">
        <v>1081</v>
      </c>
    </row>
    <row r="118" customFormat="false" ht="15" hidden="false" customHeight="false" outlineLevel="0" collapsed="false">
      <c r="A118" s="54" t="s">
        <v>1207</v>
      </c>
      <c r="B118" s="13" t="s">
        <v>1208</v>
      </c>
      <c r="C118" s="61" t="n">
        <v>27886977601</v>
      </c>
      <c r="D118" s="61"/>
      <c r="E118" s="61"/>
      <c r="F118" s="61"/>
      <c r="G118" s="61"/>
      <c r="H118" s="61"/>
      <c r="I118" s="15" t="s">
        <v>1081</v>
      </c>
    </row>
    <row r="119" customFormat="false" ht="15" hidden="false" customHeight="false" outlineLevel="0" collapsed="false">
      <c r="A119" s="54" t="s">
        <v>1209</v>
      </c>
      <c r="B119" s="13" t="s">
        <v>1210</v>
      </c>
      <c r="C119" s="61" t="n">
        <v>0</v>
      </c>
      <c r="D119" s="61"/>
      <c r="E119" s="61"/>
      <c r="F119" s="61"/>
      <c r="G119" s="61"/>
      <c r="H119" s="61"/>
      <c r="I119" s="15" t="s">
        <v>1081</v>
      </c>
    </row>
    <row r="120" customFormat="false" ht="15" hidden="false" customHeight="false" outlineLevel="0" collapsed="false">
      <c r="A120" s="63" t="s">
        <v>1211</v>
      </c>
      <c r="B120" s="64" t="s">
        <v>1119</v>
      </c>
      <c r="C120" s="66" t="n">
        <f aca="false">N(C87)+N(C88)+N(C89)+N(C90)+N(C91)+N(C92)+N(C93)+N(C94)+N(C95)+N(C96)+N(C97)+N(C98)+N(C99)+N(C100)+N(C101)+N(C102)+N(C103)+N(C104)+N(C105)+N(C107)+N(C108)+N(C109)+N(C110)+N(C111)+N(C112)+N(C113)+N(C114)+N(C115)+N(C116)+N(C117)+N(C118)+N(C119)</f>
        <v>392704802139</v>
      </c>
      <c r="D120" s="66" t="n">
        <f aca="false">N(D87)+N(D88)+N(D89)+N(D90)+N(D91)+N(D92)+N(D93)+N(D94)+N(D95)+N(D96)+N(D97)+N(D98)+N(D99)+N(D100)+N(D101)+N(D102)+N(D103)+N(D104)+N(D105)+N(D107)+N(D108)+N(D109)+N(D110)+N(D111)+N(D112)+N(D113)+N(D114)+N(D115)+N(D116)+N(D117)+N(D118)+N(D119)</f>
        <v>462409623024</v>
      </c>
      <c r="E120" s="66" t="n">
        <f aca="false">N(E87)+N(E88)+N(E89)+N(E90)+N(E91)+N(E92)+N(E93)+N(E94)+N(E95)+N(E96)+N(E97)+N(E98)+N(E99)+N(E100)+N(E101)+N(E102)+N(E103)+N(E104)+N(E105)+N(E107)+N(E108)+N(E109)+N(E110)+N(E111)+N(E112)+N(E113)+N(E114)+N(E115)+N(E116)+N(E117)+N(E118)+N(E119)</f>
        <v>502013236172</v>
      </c>
      <c r="F120" s="66" t="n">
        <f aca="false">N(F87)+N(F88)+N(F89)+N(F90)+N(F91)+N(F92)+N(F93)+N(F94)+N(F95)+N(F96)+N(F97)+N(F98)+N(F99)+N(F100)+N(F101)+N(F102)+N(F103)+N(F104)+N(F105)+N(F107)+N(F108)+N(F109)+N(F110)+N(F111)+N(F112)+N(F113)+N(F114)+N(F115)+N(F116)+N(F117)+N(F118)+N(F119)</f>
        <v>576920000000</v>
      </c>
      <c r="G120" s="66" t="n">
        <f aca="false">N(G87)+N(G88)+N(G89)+N(G90)+N(G91)+N(G92)+N(G93)+N(G94)+N(G95)+N(G96)+N(G97)+N(G98)+N(G99)+N(G100)+N(G101)+N(G102)+N(G103)+N(G104)+N(G105)+N(G107)+N(G108)+N(G109)+N(G110)+N(G111)+N(G112)+N(G113)+N(G114)+N(G115)+N(G116)+N(G117)+N(G118)+N(G119)</f>
        <v>689147000000</v>
      </c>
      <c r="H120" s="66" t="n">
        <f aca="false">N(H87)+N(H88)+N(H89)+N(H90)+N(H91)+N(H92)+N(H93)+N(H94)+N(H95)+N(H96)+N(H97)+N(H98)+N(H99)+N(H100)+N(H101)+N(H102)+N(H103)+N(H104)+N(H105)+N(H107)+N(H108)+N(H109)+N(H110)+N(H111)+N(H112)+N(H113)+N(H114)+N(H115)+N(H116)+N(H117)+N(H118)+N(H119)</f>
        <v>922332000000</v>
      </c>
    </row>
    <row r="121" customFormat="false" ht="15" hidden="false" customHeight="false" outlineLevel="0" collapsed="false">
      <c r="B121" s="4" t="s">
        <v>1212</v>
      </c>
    </row>
    <row r="122" customFormat="false" ht="15" hidden="false" customHeight="false" outlineLevel="0" collapsed="false">
      <c r="A122" s="54" t="s">
        <v>1213</v>
      </c>
      <c r="B122" s="13" t="s">
        <v>1214</v>
      </c>
      <c r="C122" s="61"/>
      <c r="D122" s="61"/>
      <c r="E122" s="61"/>
      <c r="F122" s="61"/>
      <c r="G122" s="61" t="n">
        <v>10545000000</v>
      </c>
      <c r="H122" s="61" t="n">
        <v>11983000000</v>
      </c>
      <c r="I122" s="15" t="s">
        <v>1081</v>
      </c>
    </row>
    <row r="123" customFormat="false" ht="15" hidden="false" customHeight="false" outlineLevel="0" collapsed="false">
      <c r="A123" s="54" t="s">
        <v>1215</v>
      </c>
      <c r="B123" s="13" t="s">
        <v>1216</v>
      </c>
      <c r="C123" s="61"/>
      <c r="D123" s="61"/>
      <c r="E123" s="61"/>
      <c r="F123" s="61"/>
      <c r="G123" s="61" t="n">
        <v>0</v>
      </c>
      <c r="H123" s="61" t="n">
        <v>5368000000</v>
      </c>
      <c r="I123" s="15" t="s">
        <v>1081</v>
      </c>
    </row>
    <row r="124" customFormat="false" ht="15" hidden="false" customHeight="false" outlineLevel="0" collapsed="false">
      <c r="A124" s="54" t="s">
        <v>1217</v>
      </c>
      <c r="B124" s="13" t="s">
        <v>1218</v>
      </c>
      <c r="C124" s="61"/>
      <c r="D124" s="61"/>
      <c r="E124" s="61"/>
      <c r="F124" s="61"/>
      <c r="G124" s="61" t="n">
        <v>0</v>
      </c>
      <c r="H124" s="61" t="n">
        <v>357000000</v>
      </c>
      <c r="I124" s="15" t="s">
        <v>1081</v>
      </c>
    </row>
    <row r="125" customFormat="false" ht="15" hidden="false" customHeight="false" outlineLevel="0" collapsed="false">
      <c r="A125" s="54" t="s">
        <v>1219</v>
      </c>
      <c r="B125" s="13" t="s">
        <v>1220</v>
      </c>
      <c r="C125" s="61" t="n">
        <v>47937556</v>
      </c>
      <c r="D125" s="61" t="n">
        <v>23478263</v>
      </c>
      <c r="E125" s="61" t="n">
        <v>335543952</v>
      </c>
      <c r="F125" s="61"/>
      <c r="G125" s="61" t="n">
        <v>207000000</v>
      </c>
      <c r="H125" s="61" t="n">
        <v>0</v>
      </c>
      <c r="I125" s="15" t="s">
        <v>1081</v>
      </c>
    </row>
    <row r="126" customFormat="false" ht="15" hidden="false" customHeight="false" outlineLevel="0" collapsed="false">
      <c r="A126" s="54" t="s">
        <v>1221</v>
      </c>
      <c r="B126" s="13" t="s">
        <v>1222</v>
      </c>
      <c r="C126" s="61"/>
      <c r="D126" s="61"/>
      <c r="E126" s="61"/>
      <c r="F126" s="61"/>
      <c r="G126" s="61" t="n">
        <v>0</v>
      </c>
      <c r="H126" s="61" t="n">
        <v>-10348000000</v>
      </c>
      <c r="I126" s="15" t="s">
        <v>1081</v>
      </c>
    </row>
    <row r="127" customFormat="false" ht="15" hidden="false" customHeight="false" outlineLevel="0" collapsed="false">
      <c r="A127" s="54" t="s">
        <v>1223</v>
      </c>
      <c r="B127" s="13" t="s">
        <v>1224</v>
      </c>
      <c r="C127" s="61"/>
      <c r="D127" s="61"/>
      <c r="E127" s="61"/>
      <c r="F127" s="61"/>
      <c r="G127" s="61" t="n">
        <v>-14307000000</v>
      </c>
      <c r="H127" s="61" t="n">
        <v>-4477000000</v>
      </c>
      <c r="I127" s="15" t="s">
        <v>1081</v>
      </c>
    </row>
    <row r="128" customFormat="false" ht="15" hidden="false" customHeight="false" outlineLevel="0" collapsed="false">
      <c r="A128" s="54" t="s">
        <v>1225</v>
      </c>
      <c r="B128" s="13" t="s">
        <v>1226</v>
      </c>
      <c r="C128" s="61"/>
      <c r="D128" s="61"/>
      <c r="E128" s="61"/>
      <c r="F128" s="61"/>
      <c r="G128" s="61" t="n">
        <v>-14742000000</v>
      </c>
      <c r="H128" s="61" t="n">
        <v>0</v>
      </c>
      <c r="I128" s="15" t="s">
        <v>1081</v>
      </c>
    </row>
    <row r="129" customFormat="false" ht="15" hidden="false" customHeight="false" outlineLevel="0" collapsed="false">
      <c r="A129" s="54" t="s">
        <v>1227</v>
      </c>
      <c r="B129" s="13" t="s">
        <v>1228</v>
      </c>
      <c r="C129" s="61"/>
      <c r="D129" s="61"/>
      <c r="E129" s="61"/>
      <c r="F129" s="61"/>
      <c r="G129" s="61" t="n">
        <v>-6480000000</v>
      </c>
      <c r="H129" s="61" t="n">
        <v>0</v>
      </c>
      <c r="I129" s="15" t="s">
        <v>1081</v>
      </c>
    </row>
    <row r="130" customFormat="false" ht="15" hidden="false" customHeight="false" outlineLevel="0" collapsed="false">
      <c r="A130" s="54" t="s">
        <v>1229</v>
      </c>
      <c r="B130" s="13" t="s">
        <v>1101</v>
      </c>
      <c r="C130" s="61" t="n">
        <v>28429533228</v>
      </c>
      <c r="D130" s="61" t="n">
        <v>24028154926</v>
      </c>
      <c r="E130" s="61" t="n">
        <v>4159861446</v>
      </c>
      <c r="F130" s="61" t="n">
        <v>7014000000</v>
      </c>
      <c r="G130" s="61" t="n">
        <v>-24777000000</v>
      </c>
      <c r="H130" s="61" t="n">
        <v>2883000000</v>
      </c>
      <c r="I130" s="15" t="s">
        <v>1081</v>
      </c>
    </row>
    <row r="131" customFormat="false" ht="15" hidden="false" customHeight="false" outlineLevel="0" collapsed="false">
      <c r="A131" s="54" t="s">
        <v>1230</v>
      </c>
      <c r="B131" s="13" t="s">
        <v>1231</v>
      </c>
      <c r="C131" s="61" t="n">
        <v>3527379071</v>
      </c>
      <c r="D131" s="61" t="n">
        <v>3879358096</v>
      </c>
      <c r="E131" s="61" t="n">
        <v>5872537731</v>
      </c>
      <c r="F131" s="61" t="n">
        <v>7404000000</v>
      </c>
      <c r="G131" s="61"/>
      <c r="H131" s="61"/>
      <c r="I131" s="15" t="s">
        <v>1081</v>
      </c>
    </row>
    <row r="132" customFormat="false" ht="15" hidden="false" customHeight="false" outlineLevel="0" collapsed="false">
      <c r="A132" s="54" t="s">
        <v>1232</v>
      </c>
      <c r="B132" s="13" t="s">
        <v>1233</v>
      </c>
      <c r="C132" s="61"/>
      <c r="D132" s="61"/>
      <c r="E132" s="61"/>
      <c r="F132" s="61" t="n">
        <v>3410000000</v>
      </c>
      <c r="G132" s="61"/>
      <c r="H132" s="61"/>
      <c r="I132" s="15" t="s">
        <v>1081</v>
      </c>
    </row>
    <row r="133" customFormat="false" ht="15" hidden="false" customHeight="false" outlineLevel="0" collapsed="false">
      <c r="A133" s="54" t="s">
        <v>1234</v>
      </c>
      <c r="B133" s="13" t="s">
        <v>1235</v>
      </c>
      <c r="C133" s="61"/>
      <c r="D133" s="61"/>
      <c r="E133" s="61" t="n">
        <v>1361415645</v>
      </c>
      <c r="F133" s="61" t="n">
        <v>1423000000</v>
      </c>
      <c r="G133" s="61"/>
      <c r="H133" s="61"/>
      <c r="I133" s="15" t="s">
        <v>1081</v>
      </c>
    </row>
    <row r="134" customFormat="false" ht="15" hidden="false" customHeight="false" outlineLevel="0" collapsed="false">
      <c r="A134" s="54" t="s">
        <v>1236</v>
      </c>
      <c r="B134" s="13" t="s">
        <v>1237</v>
      </c>
      <c r="C134" s="61"/>
      <c r="D134" s="61"/>
      <c r="E134" s="61"/>
      <c r="F134" s="61" t="n">
        <v>0</v>
      </c>
      <c r="G134" s="61"/>
      <c r="H134" s="61"/>
      <c r="I134" s="15" t="s">
        <v>1081</v>
      </c>
    </row>
    <row r="135" customFormat="false" ht="15" hidden="false" customHeight="false" outlineLevel="0" collapsed="false">
      <c r="A135" s="54" t="s">
        <v>1238</v>
      </c>
      <c r="B135" s="13" t="s">
        <v>1239</v>
      </c>
      <c r="C135" s="61"/>
      <c r="D135" s="61" t="n">
        <v>3094587853</v>
      </c>
      <c r="E135" s="61" t="n">
        <v>630057010</v>
      </c>
      <c r="F135" s="61" t="n">
        <v>0</v>
      </c>
      <c r="G135" s="61"/>
      <c r="H135" s="61"/>
      <c r="I135" s="15" t="s">
        <v>1081</v>
      </c>
    </row>
    <row r="136" customFormat="false" ht="15" hidden="false" customHeight="false" outlineLevel="0" collapsed="false">
      <c r="A136" s="54" t="s">
        <v>1240</v>
      </c>
      <c r="B136" s="13" t="s">
        <v>1241</v>
      </c>
      <c r="C136" s="61"/>
      <c r="D136" s="61"/>
      <c r="E136" s="61"/>
      <c r="F136" s="61" t="n">
        <v>-2717000000</v>
      </c>
      <c r="G136" s="61"/>
      <c r="H136" s="61"/>
      <c r="I136" s="15" t="s">
        <v>1081</v>
      </c>
    </row>
    <row r="137" customFormat="false" ht="15" hidden="false" customHeight="false" outlineLevel="0" collapsed="false">
      <c r="A137" s="54" t="s">
        <v>1242</v>
      </c>
      <c r="B137" s="13" t="s">
        <v>1243</v>
      </c>
      <c r="C137" s="61" t="n">
        <v>-6285305582</v>
      </c>
      <c r="D137" s="61" t="n">
        <v>-3780227687</v>
      </c>
      <c r="E137" s="61" t="n">
        <v>-4650070919</v>
      </c>
      <c r="F137" s="61" t="n">
        <v>-1116000000</v>
      </c>
      <c r="G137" s="61"/>
      <c r="H137" s="61"/>
      <c r="I137" s="15" t="s">
        <v>1081</v>
      </c>
    </row>
    <row r="138" customFormat="false" ht="15" hidden="false" customHeight="false" outlineLevel="0" collapsed="false">
      <c r="A138" s="54" t="s">
        <v>1244</v>
      </c>
      <c r="B138" s="13" t="s">
        <v>1245</v>
      </c>
      <c r="C138" s="61"/>
      <c r="D138" s="61"/>
      <c r="E138" s="61"/>
      <c r="F138" s="61" t="n">
        <v>-1390000000</v>
      </c>
      <c r="G138" s="61"/>
      <c r="H138" s="61"/>
      <c r="I138" s="15" t="s">
        <v>1081</v>
      </c>
    </row>
    <row r="139" customFormat="false" ht="15" hidden="false" customHeight="false" outlineLevel="0" collapsed="false">
      <c r="A139" s="54" t="s">
        <v>1246</v>
      </c>
      <c r="B139" s="13" t="s">
        <v>1247</v>
      </c>
      <c r="C139" s="61"/>
      <c r="D139" s="61"/>
      <c r="E139" s="61" t="n">
        <v>181162115</v>
      </c>
      <c r="F139" s="61"/>
      <c r="G139" s="61"/>
      <c r="H139" s="61"/>
      <c r="I139" s="15" t="s">
        <v>1081</v>
      </c>
    </row>
    <row r="140" customFormat="false" ht="15" hidden="false" customHeight="false" outlineLevel="0" collapsed="false">
      <c r="A140" s="54" t="s">
        <v>1248</v>
      </c>
      <c r="B140" s="13" t="s">
        <v>1249</v>
      </c>
      <c r="C140" s="61"/>
      <c r="D140" s="61" t="n">
        <v>19094307244</v>
      </c>
      <c r="E140" s="61" t="n">
        <v>0</v>
      </c>
      <c r="F140" s="61"/>
      <c r="G140" s="61"/>
      <c r="H140" s="61"/>
      <c r="I140" s="15" t="s">
        <v>1081</v>
      </c>
    </row>
    <row r="141" customFormat="false" ht="15" hidden="false" customHeight="false" outlineLevel="0" collapsed="false">
      <c r="A141" s="54" t="s">
        <v>1250</v>
      </c>
      <c r="B141" s="13" t="s">
        <v>1251</v>
      </c>
      <c r="C141" s="61"/>
      <c r="D141" s="61"/>
      <c r="E141" s="61" t="n">
        <v>-166370135</v>
      </c>
      <c r="F141" s="61"/>
      <c r="G141" s="61"/>
      <c r="H141" s="61"/>
      <c r="I141" s="15" t="s">
        <v>1081</v>
      </c>
    </row>
    <row r="142" customFormat="false" ht="15" hidden="false" customHeight="false" outlineLevel="0" collapsed="false">
      <c r="A142" s="54" t="s">
        <v>1252</v>
      </c>
      <c r="B142" s="13" t="s">
        <v>1253</v>
      </c>
      <c r="C142" s="61"/>
      <c r="D142" s="61"/>
      <c r="E142" s="61" t="n">
        <v>-349349093</v>
      </c>
      <c r="F142" s="61"/>
      <c r="G142" s="61"/>
      <c r="H142" s="61"/>
      <c r="I142" s="15" t="s">
        <v>1081</v>
      </c>
    </row>
    <row r="143" customFormat="false" ht="15" hidden="false" customHeight="false" outlineLevel="0" collapsed="false">
      <c r="A143" s="54" t="s">
        <v>1254</v>
      </c>
      <c r="B143" s="13" t="s">
        <v>1255</v>
      </c>
      <c r="C143" s="61" t="n">
        <v>1259564549</v>
      </c>
      <c r="D143" s="61" t="n">
        <v>2519117690</v>
      </c>
      <c r="E143" s="61" t="n">
        <v>944935140</v>
      </c>
      <c r="F143" s="61"/>
      <c r="G143" s="61"/>
      <c r="H143" s="61"/>
      <c r="I143" s="15" t="s">
        <v>1081</v>
      </c>
    </row>
    <row r="144" customFormat="false" ht="15" hidden="false" customHeight="false" outlineLevel="0" collapsed="false">
      <c r="A144" s="54" t="s">
        <v>1256</v>
      </c>
      <c r="B144" s="13" t="s">
        <v>1257</v>
      </c>
      <c r="C144" s="61" t="n">
        <v>108657000</v>
      </c>
      <c r="D144" s="61" t="n">
        <v>313000000</v>
      </c>
      <c r="E144" s="61"/>
      <c r="F144" s="61"/>
      <c r="G144" s="61"/>
      <c r="H144" s="61"/>
      <c r="I144" s="15" t="s">
        <v>1081</v>
      </c>
    </row>
    <row r="145" customFormat="false" ht="15" hidden="false" customHeight="false" outlineLevel="0" collapsed="false">
      <c r="A145" s="54" t="s">
        <v>1258</v>
      </c>
      <c r="B145" s="13" t="s">
        <v>1259</v>
      </c>
      <c r="C145" s="61" t="n">
        <v>14463026219</v>
      </c>
      <c r="D145" s="61" t="n">
        <v>0</v>
      </c>
      <c r="E145" s="61"/>
      <c r="F145" s="61"/>
      <c r="G145" s="61"/>
      <c r="H145" s="61"/>
      <c r="I145" s="15" t="s">
        <v>1081</v>
      </c>
    </row>
    <row r="146" customFormat="false" ht="15" hidden="false" customHeight="false" outlineLevel="0" collapsed="false">
      <c r="A146" s="54" t="s">
        <v>1260</v>
      </c>
      <c r="B146" s="13" t="s">
        <v>1261</v>
      </c>
      <c r="C146" s="61" t="n">
        <v>15308274415</v>
      </c>
      <c r="D146" s="61" t="n">
        <v>-1115466533</v>
      </c>
      <c r="E146" s="61"/>
      <c r="F146" s="61"/>
      <c r="G146" s="61"/>
      <c r="H146" s="61"/>
      <c r="I146" s="15" t="s">
        <v>1081</v>
      </c>
    </row>
    <row r="147" customFormat="false" ht="15" hidden="false" customHeight="false" outlineLevel="0" collapsed="false">
      <c r="A147" s="54" t="s">
        <v>1262</v>
      </c>
      <c r="B147" s="13" t="s">
        <v>1263</v>
      </c>
      <c r="C147" s="61" t="n">
        <v>0</v>
      </c>
      <c r="D147" s="61"/>
      <c r="E147" s="61"/>
      <c r="F147" s="61"/>
      <c r="G147" s="61"/>
      <c r="H147" s="61"/>
      <c r="I147" s="15" t="s">
        <v>1081</v>
      </c>
    </row>
    <row r="148" customFormat="false" ht="15" hidden="false" customHeight="false" outlineLevel="0" collapsed="false">
      <c r="A148" s="63" t="s">
        <v>1264</v>
      </c>
      <c r="B148" s="64" t="s">
        <v>1119</v>
      </c>
      <c r="C148" s="66" t="n">
        <f aca="false">N(C122)+N(C123)+N(C124)+N(C125)+N(C126)+N(C127)+N(C128)+N(C129)+N(C131)+N(C132)+N(C133)+N(C134)+N(C135)+N(C136)+N(C137)+N(C138)+N(C139)+N(C140)+N(C141)+N(C142)+N(C143)+N(C144)+N(C145)+N(C146)+N(C147)</f>
        <v>28429533228</v>
      </c>
      <c r="D148" s="66" t="n">
        <f aca="false">N(D122)+N(D123)+N(D124)+N(D125)+N(D126)+N(D127)+N(D128)+N(D129)+N(D131)+N(D132)+N(D133)+N(D134)+N(D135)+N(D136)+N(D137)+N(D138)+N(D139)+N(D140)+N(D141)+N(D142)+N(D143)+N(D144)+N(D145)+N(D146)+N(D147)</f>
        <v>24028154926</v>
      </c>
      <c r="E148" s="66" t="n">
        <f aca="false">N(E122)+N(E123)+N(E124)+N(E125)+N(E126)+N(E127)+N(E128)+N(E129)+N(E131)+N(E132)+N(E133)+N(E134)+N(E135)+N(E136)+N(E137)+N(E138)+N(E139)+N(E140)+N(E141)+N(E142)+N(E143)+N(E144)+N(E145)+N(E146)+N(E147)</f>
        <v>4159861446</v>
      </c>
      <c r="F148" s="66" t="n">
        <f aca="false">N(F122)+N(F123)+N(F124)+N(F125)+N(F126)+N(F127)+N(F128)+N(F129)+N(F131)+N(F132)+N(F133)+N(F134)+N(F135)+N(F136)+N(F137)+N(F138)+N(F139)+N(F140)+N(F141)+N(F142)+N(F143)+N(F144)+N(F145)+N(F146)+N(F147)</f>
        <v>7014000000</v>
      </c>
      <c r="G148" s="66" t="n">
        <f aca="false">N(G122)+N(G123)+N(G124)+N(G125)+N(G126)+N(G127)+N(G128)+N(G129)+N(G131)+N(G132)+N(G133)+N(G134)+N(G135)+N(G136)+N(G137)+N(G138)+N(G139)+N(G140)+N(G141)+N(G142)+N(G143)+N(G144)+N(G145)+N(G146)+N(G147)</f>
        <v>-24777000000</v>
      </c>
      <c r="H148" s="66" t="n">
        <f aca="false">N(H122)+N(H123)+N(H124)+N(H125)+N(H126)+N(H127)+N(H128)+N(H129)+N(H131)+N(H132)+N(H133)+N(H134)+N(H135)+N(H136)+N(H137)+N(H138)+N(H139)+N(H140)+N(H141)+N(H142)+N(H143)+N(H144)+N(H145)+N(H146)+N(H147)</f>
        <v>2883000000</v>
      </c>
    </row>
    <row r="149" customFormat="false" ht="15" hidden="false" customHeight="false" outlineLevel="0" collapsed="false">
      <c r="B149" s="4" t="s">
        <v>1265</v>
      </c>
    </row>
    <row r="150" customFormat="false" ht="15" hidden="false" customHeight="false" outlineLevel="0" collapsed="false">
      <c r="A150" s="54" t="s">
        <v>1266</v>
      </c>
      <c r="B150" s="13" t="s">
        <v>1267</v>
      </c>
      <c r="C150" s="98" t="n">
        <v>12000705445</v>
      </c>
      <c r="D150" s="98" t="n">
        <v>12000705445</v>
      </c>
      <c r="E150" s="98" t="n">
        <v>12000705445</v>
      </c>
      <c r="F150" s="98" t="n">
        <v>12000705445</v>
      </c>
      <c r="G150" s="98" t="n">
        <v>12000705445</v>
      </c>
      <c r="H150" s="98" t="n">
        <v>12202405868</v>
      </c>
      <c r="I150" s="15" t="s">
        <v>1081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1268</v>
      </c>
    </row>
    <row r="2" customFormat="false" ht="15" hidden="false" customHeight="false" outlineLevel="0" collapsed="false">
      <c r="A2" s="15" t="s">
        <v>1269</v>
      </c>
    </row>
    <row r="4" customFormat="false" ht="23.85" hidden="false" customHeight="false" outlineLevel="0" collapsed="false">
      <c r="A4" s="25" t="s">
        <v>330</v>
      </c>
      <c r="B4" s="25" t="s">
        <v>331</v>
      </c>
      <c r="C4" s="25" t="s">
        <v>130</v>
      </c>
      <c r="D4" s="25" t="s">
        <v>131</v>
      </c>
      <c r="E4" s="25" t="s">
        <v>132</v>
      </c>
      <c r="F4" s="25" t="s">
        <v>133</v>
      </c>
      <c r="G4" s="25" t="s">
        <v>134</v>
      </c>
      <c r="H4" s="25" t="s">
        <v>135</v>
      </c>
      <c r="I4" s="25" t="s">
        <v>1270</v>
      </c>
      <c r="J4" s="25" t="s">
        <v>1271</v>
      </c>
    </row>
    <row r="5" customFormat="false" ht="15" hidden="false" customHeight="false" outlineLevel="0" collapsed="false">
      <c r="A5" s="16"/>
      <c r="B5" s="17" t="s">
        <v>1272</v>
      </c>
      <c r="C5" s="16"/>
      <c r="D5" s="16"/>
      <c r="E5" s="16"/>
      <c r="F5" s="16"/>
      <c r="G5" s="16"/>
      <c r="H5" s="16"/>
      <c r="I5" s="16"/>
      <c r="J5" s="16"/>
    </row>
    <row r="6" customFormat="false" ht="15" hidden="false" customHeight="false" outlineLevel="0" collapsed="false">
      <c r="A6" s="54" t="s">
        <v>1273</v>
      </c>
      <c r="B6" s="13" t="s">
        <v>136</v>
      </c>
      <c r="C6" s="59"/>
      <c r="D6" s="46" t="n">
        <f aca="false">IFERROR(IS!D6/IS!C6-1,0)</f>
        <v>0.499030398713548</v>
      </c>
      <c r="E6" s="46" t="n">
        <f aca="false">IFERROR(IS!E6/IS!D6-1,0)</f>
        <v>0.00504586980022026</v>
      </c>
      <c r="F6" s="46" t="n">
        <f aca="false">IFERROR(IS!F6/IS!E6-1,0)</f>
        <v>0.294189330839054</v>
      </c>
      <c r="G6" s="46" t="n">
        <f aca="false">IFERROR(IS!G6/IS!F6-1,0)</f>
        <v>-0.0650146573909765</v>
      </c>
      <c r="H6" s="46" t="n">
        <f aca="false">IFERROR(IS!H6/IS!G6-1,0)</f>
        <v>0.1063945059692</v>
      </c>
      <c r="I6" s="83" t="n">
        <f aca="false">AVERAGE(E6:H6)</f>
        <v>0.0851537623043743</v>
      </c>
      <c r="J6" s="15"/>
    </row>
    <row r="7" customFormat="false" ht="15" hidden="false" customHeight="false" outlineLevel="0" collapsed="false">
      <c r="A7" s="54" t="s">
        <v>1274</v>
      </c>
      <c r="B7" s="13" t="s">
        <v>335</v>
      </c>
      <c r="C7" s="59"/>
      <c r="D7" s="46" t="n">
        <f aca="false">IFERROR(Schedules!D6/Schedules!C6-1,0)</f>
        <v>0.645217141777037</v>
      </c>
      <c r="E7" s="46" t="n">
        <f aca="false">IFERROR(Schedules!E6/Schedules!D6-1,0)</f>
        <v>0.0334861966453064</v>
      </c>
      <c r="F7" s="46" t="n">
        <f aca="false">IFERROR(Schedules!F6/Schedules!E6-1,0)</f>
        <v>0.747647882046704</v>
      </c>
      <c r="G7" s="46" t="n">
        <f aca="false">IFERROR(Schedules!G6/Schedules!F6-1,0)</f>
        <v>0.542600956288498</v>
      </c>
      <c r="H7" s="46" t="n">
        <f aca="false">IFERROR(Schedules!H6/Schedules!G6-1,0)</f>
        <v>0.109704112121592</v>
      </c>
      <c r="I7" s="83" t="n">
        <f aca="false">AVERAGE(E7:H7)</f>
        <v>0.358359786775525</v>
      </c>
      <c r="J7" s="15"/>
    </row>
    <row r="8" customFormat="false" ht="15" hidden="false" customHeight="false" outlineLevel="0" collapsed="false">
      <c r="A8" s="54" t="s">
        <v>1275</v>
      </c>
      <c r="B8" s="13" t="s">
        <v>1276</v>
      </c>
      <c r="C8" s="59"/>
      <c r="D8" s="46" t="n">
        <f aca="false">IFERROR(Schedules!D7/Schedules!C7-1,0)</f>
        <v>0.611220226145621</v>
      </c>
      <c r="E8" s="46" t="n">
        <f aca="false">IFERROR(Schedules!E7/Schedules!D7-1,0)</f>
        <v>0.0843180652370694</v>
      </c>
      <c r="F8" s="46" t="n">
        <f aca="false">IFERROR(Schedules!F7/Schedules!E7-1,0)</f>
        <v>0.304074561051639</v>
      </c>
      <c r="G8" s="46" t="n">
        <f aca="false">IFERROR(Schedules!G7/Schedules!F7-1,0)</f>
        <v>0.250756265293078</v>
      </c>
      <c r="H8" s="46" t="n">
        <f aca="false">IFERROR(Schedules!H7/Schedules!G7-1,0)</f>
        <v>0.0508000543300038</v>
      </c>
      <c r="I8" s="83" t="n">
        <f aca="false">AVERAGE(E8:H8)</f>
        <v>0.172487236477948</v>
      </c>
      <c r="J8" s="15"/>
    </row>
    <row r="9" customFormat="false" ht="15" hidden="false" customHeight="false" outlineLevel="0" collapsed="false">
      <c r="A9" s="54" t="s">
        <v>1277</v>
      </c>
      <c r="B9" s="13" t="s">
        <v>1278</v>
      </c>
      <c r="C9" s="59"/>
      <c r="D9" s="46" t="n">
        <f aca="false">IFERROR(Schedules!D8/Schedules!C8-1,0)</f>
        <v>0.322210622924985</v>
      </c>
      <c r="E9" s="46" t="n">
        <f aca="false">IFERROR(Schedules!E8/Schedules!D8-1,0)</f>
        <v>-0.10684834269397</v>
      </c>
      <c r="F9" s="46" t="n">
        <f aca="false">IFERROR(Schedules!F8/Schedules!E8-1,0)</f>
        <v>-0.030236747247075</v>
      </c>
      <c r="G9" s="46" t="n">
        <f aca="false">IFERROR(Schedules!G8/Schedules!F8-1,0)</f>
        <v>-0.0460084577922791</v>
      </c>
      <c r="H9" s="46" t="n">
        <f aca="false">IFERROR(Schedules!H8/Schedules!G8-1,0)</f>
        <v>0.242186133436444</v>
      </c>
      <c r="I9" s="83" t="n">
        <f aca="false">AVERAGE(E9:H9)</f>
        <v>0.01477314642578</v>
      </c>
      <c r="J9" s="15"/>
    </row>
    <row r="10" customFormat="false" ht="15" hidden="false" customHeight="false" outlineLevel="0" collapsed="false">
      <c r="A10" s="54" t="s">
        <v>1279</v>
      </c>
      <c r="B10" s="13" t="s">
        <v>106</v>
      </c>
      <c r="C10" s="59"/>
      <c r="D10" s="46" t="n">
        <f aca="false">IFERROR((IS!D14+Schedules!D20)/(IS!C14+Schedules!C20)-1,0)</f>
        <v>1.44120243102222</v>
      </c>
      <c r="E10" s="46" t="n">
        <f aca="false">IFERROR((IS!E14+Schedules!E20)/(IS!D14+Schedules!D20)-1,0)</f>
        <v>-0.377564211414324</v>
      </c>
      <c r="F10" s="46" t="n">
        <f aca="false">IFERROR((IS!F14+Schedules!F20)/(IS!E14+Schedules!E20)-1,0)</f>
        <v>0.498104587907819</v>
      </c>
      <c r="G10" s="46" t="n">
        <f aca="false">IFERROR((IS!G14+Schedules!G20)/(IS!F14+Schedules!F20)-1,0)</f>
        <v>0.203427134879469</v>
      </c>
      <c r="H10" s="46" t="n">
        <f aca="false">IFERROR((IS!H14+Schedules!H20)/(IS!G14+Schedules!G20)-1,0)</f>
        <v>-0.0365451385305156</v>
      </c>
      <c r="I10" s="83" t="n">
        <f aca="false">AVERAGE(E10:H10)</f>
        <v>0.0718555932106121</v>
      </c>
      <c r="J10" s="15"/>
    </row>
    <row r="11" customFormat="false" ht="15" hidden="false" customHeight="false" outlineLevel="0" collapsed="false">
      <c r="A11" s="54" t="s">
        <v>1280</v>
      </c>
      <c r="B11" s="13" t="s">
        <v>140</v>
      </c>
      <c r="C11" s="59"/>
      <c r="D11" s="46" t="n">
        <f aca="false">IFERROR(IS!D19/IS!C19-1,0)</f>
        <v>-12.4224985657438</v>
      </c>
      <c r="E11" s="46" t="n">
        <f aca="false">IFERROR(IS!E19/IS!D19-1,0)</f>
        <v>-1.26682458331871</v>
      </c>
      <c r="F11" s="46" t="n">
        <f aca="false">IFERROR(IS!F19/IS!E19-1,0)</f>
        <v>-0.132939553506402</v>
      </c>
      <c r="G11" s="46" t="n">
        <f aca="false">IFERROR(IS!G19/IS!F19-1,0)</f>
        <v>-0.390702894578864</v>
      </c>
      <c r="H11" s="46" t="n">
        <f aca="false">IFERROR(IS!H19/IS!G19-1,0)</f>
        <v>7.51567854694997</v>
      </c>
      <c r="I11" s="83" t="n">
        <f aca="false">AVERAGE(E11:H11)</f>
        <v>1.4313028788865</v>
      </c>
      <c r="J11" s="15"/>
    </row>
    <row r="12" customFormat="false" ht="15" hidden="false" customHeight="false" outlineLevel="0" collapsed="false">
      <c r="A12" s="54" t="s">
        <v>1281</v>
      </c>
      <c r="B12" s="13" t="s">
        <v>141</v>
      </c>
      <c r="C12" s="59"/>
      <c r="D12" s="46" t="n">
        <f aca="false">IFERROR(IS!D26/IS!C26-1,0)</f>
        <v>-12.4952037887686</v>
      </c>
      <c r="E12" s="46" t="n">
        <f aca="false">IFERROR(IS!E26/IS!D26-1,0)</f>
        <v>-1.26807465493076</v>
      </c>
      <c r="F12" s="46" t="n">
        <f aca="false">IFERROR(IS!F26/IS!E26-1,0)</f>
        <v>-0.13144433544793</v>
      </c>
      <c r="G12" s="46" t="n">
        <f aca="false">IFERROR(IS!G26/IS!F26-1,0)</f>
        <v>-0.389114055598857</v>
      </c>
      <c r="H12" s="46" t="n">
        <f aca="false">IFERROR(IS!H26/IS!G26-1,0)</f>
        <v>7.46340322374856</v>
      </c>
      <c r="I12" s="83" t="n">
        <f aca="false">AVERAGE(E12:H12)</f>
        <v>1.41869254444275</v>
      </c>
      <c r="J12" s="15"/>
    </row>
    <row r="13" customFormat="false" ht="15" hidden="false" customHeight="false" outlineLevel="0" collapsed="false">
      <c r="A13" s="16"/>
      <c r="B13" s="17" t="s">
        <v>1282</v>
      </c>
      <c r="C13" s="16"/>
      <c r="D13" s="16"/>
      <c r="E13" s="16"/>
      <c r="F13" s="16"/>
      <c r="G13" s="16"/>
      <c r="H13" s="16"/>
      <c r="I13" s="16"/>
      <c r="J13" s="16"/>
    </row>
    <row r="14" customFormat="false" ht="15" hidden="false" customHeight="false" outlineLevel="0" collapsed="false">
      <c r="A14" s="54" t="s">
        <v>1283</v>
      </c>
      <c r="B14" s="13" t="s">
        <v>1284</v>
      </c>
      <c r="C14" s="46" t="n">
        <f aca="false">IFERROR(IS!C8/IS!C6,0)</f>
        <v>0.326453328162312</v>
      </c>
      <c r="D14" s="46" t="n">
        <f aca="false">IFERROR(IS!D8/IS!D6,0)</f>
        <v>0.36635484732754</v>
      </c>
      <c r="E14" s="46" t="n">
        <f aca="false">IFERROR(IS!E8/IS!E6,0)</f>
        <v>0.288007834635464</v>
      </c>
      <c r="F14" s="46" t="n">
        <f aca="false">IFERROR(IS!F8/IS!F6,0)</f>
        <v>0.286843823082215</v>
      </c>
      <c r="G14" s="46" t="n">
        <f aca="false">IFERROR(IS!G8/IS!G6,0)</f>
        <v>0.391570185149658</v>
      </c>
      <c r="H14" s="46" t="n">
        <f aca="false">IFERROR(IS!H8/IS!H6,0)</f>
        <v>0.408920847750865</v>
      </c>
      <c r="I14" s="83" t="n">
        <f aca="false">AVERAGE(E14:H14)</f>
        <v>0.343835672654551</v>
      </c>
      <c r="J14" s="15"/>
    </row>
    <row r="15" customFormat="false" ht="15" hidden="false" customHeight="false" outlineLevel="0" collapsed="false">
      <c r="A15" s="54" t="s">
        <v>1285</v>
      </c>
      <c r="B15" s="13" t="s">
        <v>1286</v>
      </c>
      <c r="C15" s="46" t="n">
        <f aca="false">IFERROR(IS!C14/IS!C6,0)</f>
        <v>0.0344936033553516</v>
      </c>
      <c r="D15" s="46" t="n">
        <f aca="false">IFERROR(IS!D14/IS!D6,0)</f>
        <v>0.130173408337545</v>
      </c>
      <c r="E15" s="46" t="n">
        <f aca="false">IFERROR(IS!E14/IS!E6,0)</f>
        <v>0.0181854573716684</v>
      </c>
      <c r="F15" s="46" t="n">
        <f aca="false">IFERROR(IS!F14/IS!F6,0)</f>
        <v>0.0452525473658643</v>
      </c>
      <c r="G15" s="46" t="n">
        <f aca="false">IFERROR(IS!G14/IS!G6,0)</f>
        <v>0.0673978425341315</v>
      </c>
      <c r="H15" s="46" t="n">
        <f aca="false">IFERROR(IS!H14/IS!H6,0)</f>
        <v>0.0330137018042511</v>
      </c>
      <c r="I15" s="83" t="n">
        <f aca="false">AVERAGE(E15:H15)</f>
        <v>0.0409623872689788</v>
      </c>
      <c r="J15" s="15"/>
    </row>
    <row r="16" customFormat="false" ht="15" hidden="false" customHeight="false" outlineLevel="0" collapsed="false">
      <c r="A16" s="54" t="s">
        <v>1287</v>
      </c>
      <c r="B16" s="13" t="s">
        <v>1288</v>
      </c>
      <c r="C16" s="50" t="n">
        <f aca="false">(IS!C14+Schedules!C20)</f>
        <v>176840406802</v>
      </c>
      <c r="D16" s="50" t="n">
        <f aca="false">(IS!D14+Schedules!D20)</f>
        <v>431703230988</v>
      </c>
      <c r="E16" s="50" t="n">
        <f aca="false">(IS!E14+Schedules!E20)</f>
        <v>268707541015</v>
      </c>
      <c r="F16" s="50" t="n">
        <f aca="false">(IS!F14+Schedules!F20)</f>
        <v>402552000000</v>
      </c>
      <c r="G16" s="50" t="n">
        <f aca="false">(IS!G14+Schedules!G20)</f>
        <v>484442000000</v>
      </c>
      <c r="H16" s="50" t="n">
        <f aca="false">(IS!H14+Schedules!H20)</f>
        <v>466738000000</v>
      </c>
      <c r="I16" s="82" t="n">
        <f aca="false">AVERAGE(E16:H16)</f>
        <v>405609885253.75</v>
      </c>
      <c r="J16" s="15" t="s">
        <v>1289</v>
      </c>
    </row>
    <row r="17" customFormat="false" ht="15" hidden="false" customHeight="false" outlineLevel="0" collapsed="false">
      <c r="A17" s="54" t="s">
        <v>1290</v>
      </c>
      <c r="B17" s="13" t="s">
        <v>179</v>
      </c>
      <c r="C17" s="46" t="n">
        <f aca="false">IFERROR((IS!C14+Schedules!C20)/IS!C6,0)</f>
        <v>0.137747778770207</v>
      </c>
      <c r="D17" s="46" t="n">
        <f aca="false">IFERROR((IS!D14+Schedules!D20)/IS!D6,0)</f>
        <v>0.224325145567644</v>
      </c>
      <c r="E17" s="46" t="n">
        <f aca="false">IFERROR((IS!E14+Schedules!E20)/IS!E6,0)</f>
        <v>0.1389269913708</v>
      </c>
      <c r="F17" s="46" t="n">
        <f aca="false">IFERROR((IS!F14+Schedules!F20)/IS!F6,0)</f>
        <v>0.160816627210094</v>
      </c>
      <c r="G17" s="46" t="n">
        <f aca="false">IFERROR((IS!G14+Schedules!G20)/IS!G6,0)</f>
        <v>0.206988370945352</v>
      </c>
      <c r="H17" s="46" t="n">
        <f aca="false">IFERROR((IS!H14+Schedules!H20)/IS!H6,0)</f>
        <v>0.180246694265942</v>
      </c>
      <c r="I17" s="83" t="n">
        <f aca="false">AVERAGE(E17:H17)</f>
        <v>0.171744670948047</v>
      </c>
      <c r="J17" s="15"/>
    </row>
    <row r="18" customFormat="false" ht="15" hidden="false" customHeight="false" outlineLevel="0" collapsed="false">
      <c r="A18" s="54" t="s">
        <v>1291</v>
      </c>
      <c r="B18" s="13" t="s">
        <v>386</v>
      </c>
      <c r="C18" s="46" t="n">
        <f aca="false">IFERROR(IS!C19/IS!C6,0)</f>
        <v>-0.0112930937020785</v>
      </c>
      <c r="D18" s="46" t="n">
        <f aca="false">IFERROR(IS!D19/IS!D6,0)</f>
        <v>0.0860525221673315</v>
      </c>
      <c r="E18" s="46" t="n">
        <f aca="false">IFERROR(IS!E19/IS!E6,0)</f>
        <v>-0.0228456521843988</v>
      </c>
      <c r="F18" s="46" t="n">
        <f aca="false">IFERROR(IS!F19/IS!F6,0)</f>
        <v>-0.0153057677972047</v>
      </c>
      <c r="G18" s="46" t="n">
        <f aca="false">IFERROR(IS!G19/IS!G6,0)</f>
        <v>-0.00997423124202337</v>
      </c>
      <c r="H18" s="46" t="n">
        <f aca="false">IFERROR(IS!H19/IS!H6,0)</f>
        <v>-0.0767694945625309</v>
      </c>
      <c r="I18" s="83" t="n">
        <f aca="false">AVERAGE(E18:H18)</f>
        <v>-0.0312237864465394</v>
      </c>
      <c r="J18" s="15"/>
    </row>
    <row r="19" customFormat="false" ht="15" hidden="false" customHeight="false" outlineLevel="0" collapsed="false">
      <c r="A19" s="54" t="s">
        <v>1292</v>
      </c>
      <c r="B19" s="13" t="s">
        <v>1293</v>
      </c>
      <c r="C19" s="46" t="n">
        <f aca="false">IFERROR(IS!C26/IS!C6,0)</f>
        <v>-0.0112016222429564</v>
      </c>
      <c r="D19" s="46" t="n">
        <f aca="false">IFERROR(IS!D26/IS!D6,0)</f>
        <v>0.085898812030825</v>
      </c>
      <c r="E19" s="46" t="n">
        <f aca="false">IFERROR(IS!E26/IS!E6,0)</f>
        <v>-0.022911685014638</v>
      </c>
      <c r="F19" s="46" t="n">
        <f aca="false">IFERROR(IS!F26/IS!F6,0)</f>
        <v>-0.0153764780235014</v>
      </c>
      <c r="G19" s="46" t="n">
        <f aca="false">IFERROR(IS!G26/IS!G6,0)</f>
        <v>-0.0100464401642262</v>
      </c>
      <c r="H19" s="46" t="n">
        <f aca="false">IFERROR(IS!H26/IS!H6,0)</f>
        <v>-0.0768505931784479</v>
      </c>
      <c r="I19" s="83" t="n">
        <f aca="false">AVERAGE(E19:H19)</f>
        <v>-0.0312962990952034</v>
      </c>
      <c r="J19" s="15"/>
    </row>
    <row r="20" customFormat="false" ht="15" hidden="false" customHeight="false" outlineLevel="0" collapsed="false">
      <c r="A20" s="54" t="s">
        <v>1294</v>
      </c>
      <c r="B20" s="13" t="s">
        <v>1295</v>
      </c>
      <c r="C20" s="59"/>
      <c r="D20" s="46" t="n">
        <f aca="false">IFERROR(IS!D26/((BS!D60+BS!C60)/2),0)</f>
        <v>0.089835081843228</v>
      </c>
      <c r="E20" s="46" t="n">
        <f aca="false">IFERROR(IS!E26/((BS!E60+BS!D60)/2),0)</f>
        <v>-0.0232001748289036</v>
      </c>
      <c r="F20" s="46" t="n">
        <f aca="false">IFERROR(IS!F26/((BS!F60+BS!E60)/2),0)</f>
        <v>-0.0205281766310993</v>
      </c>
      <c r="G20" s="46" t="n">
        <f aca="false">IFERROR(IS!G26/((BS!G60+BS!F60)/2),0)</f>
        <v>-0.012756940753985</v>
      </c>
      <c r="H20" s="46" t="n">
        <f aca="false">IFERROR(IS!H26/((BS!H60+BS!G60)/2),0)</f>
        <v>-0.125836194157027</v>
      </c>
      <c r="I20" s="83" t="n">
        <f aca="false">AVERAGE(E20:H20)</f>
        <v>-0.0455803715927537</v>
      </c>
      <c r="J20" s="15"/>
    </row>
    <row r="21" customFormat="false" ht="15" hidden="false" customHeight="false" outlineLevel="0" collapsed="false">
      <c r="A21" s="54" t="s">
        <v>1296</v>
      </c>
      <c r="B21" s="13" t="s">
        <v>1297</v>
      </c>
      <c r="C21" s="59"/>
      <c r="D21" s="46" t="n">
        <f aca="false">IFERROR(IS!D19/((BS!D27+BS!C27)/2),0)</f>
        <v>0.0359300518084729</v>
      </c>
      <c r="E21" s="46" t="n">
        <f aca="false">IFERROR(IS!E19/((BS!E27+BS!D27)/2),0)</f>
        <v>-0.00832041093648044</v>
      </c>
      <c r="F21" s="46" t="n">
        <f aca="false">IFERROR(IS!F19/((BS!F27+BS!E27)/2),0)</f>
        <v>-0.0067476876165802</v>
      </c>
      <c r="G21" s="46" t="n">
        <f aca="false">IFERROR(IS!G19/((BS!G27+BS!F27)/2),0)</f>
        <v>-0.00413559266183868</v>
      </c>
      <c r="H21" s="46" t="n">
        <f aca="false">IFERROR(IS!H19/((BS!H27+BS!G27)/2),0)</f>
        <v>-0.0298776607560631</v>
      </c>
      <c r="I21" s="83" t="n">
        <f aca="false">AVERAGE(E21:H21)</f>
        <v>-0.0122703379927406</v>
      </c>
      <c r="J21" s="15"/>
    </row>
    <row r="22" customFormat="false" ht="15" hidden="false" customHeight="false" outlineLevel="0" collapsed="false">
      <c r="A22" s="54" t="s">
        <v>1298</v>
      </c>
      <c r="B22" s="13" t="s">
        <v>149</v>
      </c>
      <c r="C22" s="46" t="n">
        <f aca="false">IFERROR(-IS!C18/IS!C17,0)</f>
        <v>76.7512422960725</v>
      </c>
      <c r="D22" s="46" t="n">
        <f aca="false">IFERROR(-IS!D18/IS!D17,0)</f>
        <v>-0.0587173348688304</v>
      </c>
      <c r="E22" s="46" t="n">
        <f aca="false">IFERROR(-IS!E18/IS!E17,0)</f>
        <v>-0.0499049626817824</v>
      </c>
      <c r="F22" s="46" t="n">
        <f aca="false">IFERROR(-IS!F18/IS!F17,0)</f>
        <v>-0.224409574638075</v>
      </c>
      <c r="G22" s="46" t="n">
        <f aca="false">IFERROR(-IS!G18/IS!G17,0)</f>
        <v>-7.84242424242424</v>
      </c>
      <c r="H22" s="46" t="n">
        <f aca="false">IFERROR(-IS!H18/IS!H17,0)</f>
        <v>0.154696602457796</v>
      </c>
      <c r="I22" s="83" t="n">
        <f aca="false">AVERAGE(E22:H22)</f>
        <v>-1.99051054432158</v>
      </c>
      <c r="J22" s="15"/>
    </row>
    <row r="23" customFormat="false" ht="15" hidden="false" customHeight="false" outlineLevel="0" collapsed="false">
      <c r="A23" s="54" t="s">
        <v>1299</v>
      </c>
      <c r="B23" s="13" t="s">
        <v>1300</v>
      </c>
      <c r="C23" s="46" t="n">
        <f aca="false">IFERROR(IS!C27/IS!C19,0)</f>
        <v>0.00809976978276658</v>
      </c>
      <c r="D23" s="46" t="n">
        <f aca="false">IFERROR(IS!D27/IS!D19,0)</f>
        <v>0.00178623627332572</v>
      </c>
      <c r="E23" s="46" t="n">
        <f aca="false">IFERROR(IS!E27/IS!E19,0)</f>
        <v>-0.00289038937064506</v>
      </c>
      <c r="F23" s="46" t="n">
        <f aca="false">IFERROR(IS!F27/IS!F19,0)</f>
        <v>-0.00461984182914416</v>
      </c>
      <c r="G23" s="46" t="n">
        <f aca="false">IFERROR(IS!G27/IS!G19,0)</f>
        <v>-0.00723954763536669</v>
      </c>
      <c r="H23" s="46" t="n">
        <f aca="false">IFERROR(IS!H27/IS!H19,0)</f>
        <v>-0.00105639116655767</v>
      </c>
      <c r="I23" s="83" t="n">
        <f aca="false">AVERAGE(E23:H23)</f>
        <v>-0.0039515425004284</v>
      </c>
      <c r="J23" s="15"/>
    </row>
    <row r="24" customFormat="false" ht="15" hidden="false" customHeight="false" outlineLevel="0" collapsed="false">
      <c r="A24" s="54" t="s">
        <v>1301</v>
      </c>
      <c r="B24" s="13" t="s">
        <v>1302</v>
      </c>
      <c r="C24" s="46" t="n">
        <f aca="false">IFERROR(IS!C13/IS!C6,0)</f>
        <v>0.0221448543602113</v>
      </c>
      <c r="D24" s="46" t="n">
        <f aca="false">IFERROR(IS!D13/IS!D6,0)</f>
        <v>0.0124857053748729</v>
      </c>
      <c r="E24" s="46" t="n">
        <f aca="false">IFERROR(IS!E13/IS!E6,0)</f>
        <v>0.00215072875524511</v>
      </c>
      <c r="F24" s="46" t="n">
        <f aca="false">IFERROR(IS!F13/IS!F6,0)</f>
        <v>0.00280204252680796</v>
      </c>
      <c r="G24" s="46" t="n">
        <f aca="false">IFERROR(IS!G13/IS!G6,0)</f>
        <v>-0.0105865116296956</v>
      </c>
      <c r="H24" s="46" t="n">
        <f aca="false">IFERROR(IS!H13/IS!H6,0)</f>
        <v>0.0011133681413742</v>
      </c>
      <c r="I24" s="83" t="n">
        <f aca="false">AVERAGE(E24:H24)</f>
        <v>-0.00113009305156707</v>
      </c>
      <c r="J24" s="15" t="s">
        <v>1303</v>
      </c>
    </row>
    <row r="25" customFormat="false" ht="15" hidden="false" customHeight="false" outlineLevel="0" collapsed="false">
      <c r="A25" s="16"/>
      <c r="B25" s="17" t="s">
        <v>1304</v>
      </c>
      <c r="C25" s="16"/>
      <c r="D25" s="16"/>
      <c r="E25" s="16"/>
      <c r="F25" s="16"/>
      <c r="G25" s="16"/>
      <c r="H25" s="16"/>
      <c r="I25" s="16"/>
      <c r="J25" s="16"/>
    </row>
    <row r="26" customFormat="false" ht="15" hidden="false" customHeight="false" outlineLevel="0" collapsed="false">
      <c r="A26" s="54" t="s">
        <v>1305</v>
      </c>
      <c r="B26" s="13" t="s">
        <v>1306</v>
      </c>
      <c r="C26" s="46" t="n">
        <f aca="false">Schedules!C11</f>
        <v>0.19780116724724</v>
      </c>
      <c r="D26" s="46" t="n">
        <f aca="false">Schedules!D11</f>
        <v>0.217090908428503</v>
      </c>
      <c r="E26" s="46" t="n">
        <f aca="false">Schedules!E11</f>
        <v>0.223234047340193</v>
      </c>
      <c r="F26" s="46" t="n">
        <f aca="false">Schedules!F11</f>
        <v>0.301450877965335</v>
      </c>
      <c r="G26" s="46" t="n">
        <f aca="false">Schedules!G11</f>
        <v>0.497353692546373</v>
      </c>
      <c r="H26" s="46" t="n">
        <f aca="false">Schedules!H11</f>
        <v>0.498841448344044</v>
      </c>
      <c r="I26" s="83" t="n">
        <f aca="false">AVERAGE(E26:H26)</f>
        <v>0.380220016548986</v>
      </c>
      <c r="J26" s="15"/>
    </row>
    <row r="27" customFormat="false" ht="15" hidden="false" customHeight="false" outlineLevel="0" collapsed="false">
      <c r="A27" s="16"/>
      <c r="B27" s="17" t="s">
        <v>1307</v>
      </c>
      <c r="C27" s="16"/>
      <c r="D27" s="16"/>
      <c r="E27" s="16"/>
      <c r="F27" s="16"/>
      <c r="G27" s="16"/>
      <c r="H27" s="16"/>
      <c r="I27" s="16"/>
      <c r="J27" s="16"/>
    </row>
    <row r="28" customFormat="false" ht="15" hidden="false" customHeight="false" outlineLevel="0" collapsed="false">
      <c r="A28" s="54" t="s">
        <v>1308</v>
      </c>
      <c r="B28" s="13" t="s">
        <v>1309</v>
      </c>
      <c r="C28" s="44" t="n">
        <f aca="false">IFERROR((BS!C8+BS!C9)/IS!C6*365,0)</f>
        <v>64.0905273811901</v>
      </c>
      <c r="D28" s="44" t="n">
        <f aca="false">IFERROR((BS!D8+BS!D9)/IS!D6*365,0)</f>
        <v>44.3627309226575</v>
      </c>
      <c r="E28" s="44" t="n">
        <f aca="false">IFERROR((BS!E8+BS!E9)/IS!E6*365,0)</f>
        <v>45.8535110854047</v>
      </c>
      <c r="F28" s="44" t="n">
        <f aca="false">IFERROR((BS!F8+BS!F9)/IS!F6*365,0)</f>
        <v>57.6436815818637</v>
      </c>
      <c r="G28" s="44" t="n">
        <f aca="false">IFERROR((BS!G8+BS!G9)/IS!G6*365,0)</f>
        <v>66.1710471276444</v>
      </c>
      <c r="H28" s="44" t="n">
        <f aca="false">IFERROR((BS!H8+BS!H9)/IS!H6*365,0)</f>
        <v>78.6446277959713</v>
      </c>
      <c r="I28" s="91" t="n">
        <f aca="false">AVERAGE(E28:H28)</f>
        <v>62.0782168977211</v>
      </c>
      <c r="J28" s="15"/>
    </row>
    <row r="29" customFormat="false" ht="15" hidden="false" customHeight="false" outlineLevel="0" collapsed="false">
      <c r="A29" s="54" t="s">
        <v>1310</v>
      </c>
      <c r="B29" s="13" t="s">
        <v>1311</v>
      </c>
      <c r="C29" s="44" t="n">
        <f aca="false">IFERROR(BS!C12/-IS!C7*365,0)</f>
        <v>31.5281019537901</v>
      </c>
      <c r="D29" s="44" t="n">
        <f aca="false">IFERROR(BS!D12/-IS!D7*365,0)</f>
        <v>21.0750246108967</v>
      </c>
      <c r="E29" s="44" t="n">
        <f aca="false">IFERROR(BS!E12/-IS!E7*365,0)</f>
        <v>13.15217382246</v>
      </c>
      <c r="F29" s="44" t="n">
        <f aca="false">IFERROR(BS!F12/-IS!F7*365,0)</f>
        <v>10.0064756317942</v>
      </c>
      <c r="G29" s="44" t="n">
        <f aca="false">IFERROR(BS!G12/-IS!G7*365,0)</f>
        <v>15.7166633426686</v>
      </c>
      <c r="H29" s="44" t="n">
        <f aca="false">IFERROR(BS!H12/-IS!H7*365,0)</f>
        <v>17.4856425474531</v>
      </c>
      <c r="I29" s="91" t="n">
        <f aca="false">AVERAGE(E29:H29)</f>
        <v>14.090238836094</v>
      </c>
      <c r="J29" s="15"/>
    </row>
    <row r="30" customFormat="false" ht="15" hidden="false" customHeight="false" outlineLevel="0" collapsed="false">
      <c r="A30" s="54" t="s">
        <v>1312</v>
      </c>
      <c r="B30" s="13" t="s">
        <v>1313</v>
      </c>
      <c r="C30" s="44" t="n">
        <f aca="false">IFERROR((BS!C30+BS!C31)/-IS!C7*365,0)</f>
        <v>73.956904340334</v>
      </c>
      <c r="D30" s="44" t="n">
        <f aca="false">IFERROR((BS!D30+BS!D31)/-IS!D7*365,0)</f>
        <v>57.5600313949523</v>
      </c>
      <c r="E30" s="44" t="n">
        <f aca="false">IFERROR((BS!E30+BS!E31)/-IS!E7*365,0)</f>
        <v>42.9354436667837</v>
      </c>
      <c r="F30" s="44" t="n">
        <f aca="false">IFERROR((BS!F30+BS!F31)/-IS!F7*365,0)</f>
        <v>28.7685152093321</v>
      </c>
      <c r="G30" s="44" t="n">
        <f aca="false">IFERROR((BS!G30+BS!G31)/-IS!G7*365,0)</f>
        <v>40.0360185619542</v>
      </c>
      <c r="H30" s="44" t="n">
        <f aca="false">IFERROR((BS!H30+BS!H31)/-IS!H7*365,0)</f>
        <v>27.147901035174</v>
      </c>
      <c r="I30" s="91" t="n">
        <f aca="false">AVERAGE(E30:H30)</f>
        <v>34.721969618311</v>
      </c>
      <c r="J30" s="15"/>
    </row>
    <row r="31" customFormat="false" ht="15" hidden="false" customHeight="false" outlineLevel="0" collapsed="false">
      <c r="A31" s="16"/>
      <c r="B31" s="17" t="s">
        <v>1314</v>
      </c>
      <c r="C31" s="16"/>
      <c r="D31" s="16"/>
      <c r="E31" s="16"/>
      <c r="F31" s="16"/>
      <c r="G31" s="16"/>
      <c r="H31" s="16"/>
      <c r="I31" s="16"/>
      <c r="J31" s="16"/>
    </row>
    <row r="32" customFormat="false" ht="15" hidden="false" customHeight="false" outlineLevel="0" collapsed="false">
      <c r="A32" s="54" t="s">
        <v>1315</v>
      </c>
      <c r="B32" s="13" t="s">
        <v>1316</v>
      </c>
      <c r="C32" s="48" t="n">
        <f aca="false">IFERROR(BS!C16/BS!C43,0)</f>
        <v>0.53982866666175</v>
      </c>
      <c r="D32" s="48" t="n">
        <f aca="false">IFERROR(BS!D16/BS!D43,0)</f>
        <v>0.384123749475556</v>
      </c>
      <c r="E32" s="48" t="n">
        <f aca="false">IFERROR(BS!E16/BS!E43,0)</f>
        <v>0.555414477280847</v>
      </c>
      <c r="F32" s="48" t="n">
        <f aca="false">IFERROR(BS!F16/BS!F43,0)</f>
        <v>0.474109082481052</v>
      </c>
      <c r="G32" s="48" t="n">
        <f aca="false">IFERROR(BS!G16/BS!G43,0)</f>
        <v>0.320672795168049</v>
      </c>
      <c r="H32" s="48" t="n">
        <f aca="false">IFERROR(BS!H16/BS!H43,0)</f>
        <v>1.57010552598399</v>
      </c>
      <c r="I32" s="92" t="n">
        <f aca="false">AVERAGE(E32:H32)</f>
        <v>0.730075470228484</v>
      </c>
      <c r="J32" s="15"/>
    </row>
    <row r="33" customFormat="false" ht="15" hidden="false" customHeight="false" outlineLevel="0" collapsed="false">
      <c r="A33" s="54" t="s">
        <v>1317</v>
      </c>
      <c r="B33" s="13" t="s">
        <v>1318</v>
      </c>
      <c r="C33" s="50" t="n">
        <f aca="false">(BS!C29+BS!C38+BS!C45+BS!C39+BS!C46+BS!C40+BS!C47+BS!C41+BS!C48)</f>
        <v>1072251221694</v>
      </c>
      <c r="D33" s="50" t="n">
        <f aca="false">(BS!D29+BS!D38+BS!D45+BS!D39+BS!D46+BS!D40+BS!D47+BS!D41+BS!D48)</f>
        <v>846194719314</v>
      </c>
      <c r="E33" s="50" t="n">
        <f aca="false">(BS!E29+BS!E38+BS!E45+BS!E39+BS!E46+BS!E40+BS!E47+BS!E41+BS!E48)</f>
        <v>1725310890922</v>
      </c>
      <c r="F33" s="50" t="n">
        <f aca="false">(BS!F29+BS!F38+BS!F45+BS!F39+BS!F46+BS!F40+BS!F47+BS!F41+BS!F48)</f>
        <v>1646343000000</v>
      </c>
      <c r="G33" s="50" t="n">
        <f aca="false">(BS!G29+BS!G38+BS!G45+BS!G39+BS!G46+BS!G40+BS!G47+BS!G41+BS!G48)</f>
        <v>1665866000000</v>
      </c>
      <c r="H33" s="50" t="n">
        <f aca="false">(BS!H29+BS!H38+BS!H45+BS!H39+BS!H46+BS!H40+BS!H47+BS!H41+BS!H48)</f>
        <v>4684415000000</v>
      </c>
      <c r="I33" s="82" t="n">
        <f aca="false">AVERAGE(E33:H33)</f>
        <v>2430483722730.5</v>
      </c>
      <c r="J33" s="15" t="s">
        <v>1319</v>
      </c>
    </row>
    <row r="34" customFormat="false" ht="15" hidden="false" customHeight="false" outlineLevel="0" collapsed="false">
      <c r="A34" s="54" t="s">
        <v>1320</v>
      </c>
      <c r="B34" s="13" t="s">
        <v>1321</v>
      </c>
      <c r="C34" s="50" t="n">
        <f aca="false">(BS!C42+BS!C49)</f>
        <v>0</v>
      </c>
      <c r="D34" s="50" t="n">
        <f aca="false">(BS!D42+BS!D49)</f>
        <v>0</v>
      </c>
      <c r="E34" s="50" t="n">
        <f aca="false">(BS!E42+BS!E49)</f>
        <v>0</v>
      </c>
      <c r="F34" s="50" t="n">
        <f aca="false">(BS!F42+BS!F49)</f>
        <v>3891000000</v>
      </c>
      <c r="G34" s="50" t="n">
        <f aca="false">(BS!G42+BS!G49)</f>
        <v>3276000000</v>
      </c>
      <c r="H34" s="50" t="n">
        <f aca="false">(BS!H42+BS!H49)</f>
        <v>7677000000</v>
      </c>
      <c r="I34" s="82" t="n">
        <f aca="false">AVERAGE(E34:H34)</f>
        <v>3711000000</v>
      </c>
      <c r="J34" s="15"/>
    </row>
    <row r="35" customFormat="false" ht="15" hidden="false" customHeight="false" outlineLevel="0" collapsed="false">
      <c r="A35" s="54" t="s">
        <v>1322</v>
      </c>
      <c r="B35" s="13" t="s">
        <v>1323</v>
      </c>
      <c r="C35" s="50" t="n">
        <f aca="false">(BS!C6)</f>
        <v>629608688874</v>
      </c>
      <c r="D35" s="50" t="n">
        <f aca="false">(BS!D6)</f>
        <v>700922359619</v>
      </c>
      <c r="E35" s="50" t="n">
        <f aca="false">(BS!E6)</f>
        <v>1118254250664</v>
      </c>
      <c r="F35" s="50" t="n">
        <f aca="false">(BS!F6)</f>
        <v>515185000000</v>
      </c>
      <c r="G35" s="50" t="n">
        <f aca="false">(BS!G6)</f>
        <v>277208000000</v>
      </c>
      <c r="H35" s="50" t="n">
        <f aca="false">(BS!H6)</f>
        <v>1826263000000</v>
      </c>
      <c r="I35" s="82" t="n">
        <f aca="false">AVERAGE(E35:H35)</f>
        <v>934227562666</v>
      </c>
      <c r="J35" s="15"/>
    </row>
    <row r="36" customFormat="false" ht="15" hidden="false" customHeight="false" outlineLevel="0" collapsed="false">
      <c r="A36" s="54" t="s">
        <v>1324</v>
      </c>
      <c r="B36" s="13" t="s">
        <v>1325</v>
      </c>
      <c r="C36" s="50" t="n">
        <f aca="false">(BS!C29+BS!C38+BS!C45+BS!C39+BS!C46+BS!C40+BS!C47+BS!C41+BS!C48)+(BS!C42+BS!C49)-BS!C6</f>
        <v>442642532820</v>
      </c>
      <c r="D36" s="50" t="n">
        <f aca="false">(BS!D29+BS!D38+BS!D45+BS!D39+BS!D46+BS!D40+BS!D47+BS!D41+BS!D48)+(BS!D42+BS!D49)-BS!D6</f>
        <v>145272359695</v>
      </c>
      <c r="E36" s="50" t="n">
        <f aca="false">(BS!E29+BS!E38+BS!E45+BS!E39+BS!E46+BS!E40+BS!E47+BS!E41+BS!E48)+(BS!E42+BS!E49)-BS!E6</f>
        <v>607056640258</v>
      </c>
      <c r="F36" s="50" t="n">
        <f aca="false">(BS!F29+BS!F38+BS!F45+BS!F39+BS!F46+BS!F40+BS!F47+BS!F41+BS!F48)+(BS!F42+BS!F49)-BS!F6</f>
        <v>1135049000000</v>
      </c>
      <c r="G36" s="50" t="n">
        <f aca="false">(BS!G29+BS!G38+BS!G45+BS!G39+BS!G46+BS!G40+BS!G47+BS!G41+BS!G48)+(BS!G42+BS!G49)-BS!G6</f>
        <v>1391934000000</v>
      </c>
      <c r="H36" s="50" t="n">
        <f aca="false">(BS!H29+BS!H38+BS!H45+BS!H39+BS!H46+BS!H40+BS!H47+BS!H41+BS!H48)+(BS!H42+BS!H49)-BS!H6</f>
        <v>2865829000000</v>
      </c>
      <c r="I36" s="82" t="n">
        <f aca="false">AVERAGE(E36:H36)</f>
        <v>1499967160064.5</v>
      </c>
      <c r="J36" s="15" t="s">
        <v>1326</v>
      </c>
    </row>
    <row r="37" customFormat="false" ht="15" hidden="false" customHeight="false" outlineLevel="0" collapsed="false">
      <c r="A37" s="54" t="s">
        <v>1327</v>
      </c>
      <c r="B37" s="13" t="s">
        <v>603</v>
      </c>
      <c r="C37" s="48" t="n">
        <f aca="false">IFERROR((BS!C29+BS!C38+BS!C45+BS!C39+BS!C46+BS!C40+BS!C47+BS!C41+BS!C48)/BS!C62,0)</f>
        <v>0.61106118243343</v>
      </c>
      <c r="D37" s="48" t="n">
        <f aca="false">IFERROR((BS!D29+BS!D38+BS!D45+BS!D39+BS!D46+BS!D40+BS!D47+BS!D41+BS!D48)/BS!D62,0)</f>
        <v>0.439033725056195</v>
      </c>
      <c r="E37" s="48" t="n">
        <f aca="false">IFERROR((BS!E29+BS!E38+BS!E45+BS!E39+BS!E46+BS!E40+BS!E47+BS!E41+BS!E48)/BS!E62,0)</f>
        <v>0.910387940434657</v>
      </c>
      <c r="F37" s="48" t="n">
        <f aca="false">IFERROR((BS!F29+BS!F38+BS!F45+BS!F39+BS!F46+BS!F40+BS!F47+BS!F41+BS!F48)/BS!F62,0)</f>
        <v>0.886342456379879</v>
      </c>
      <c r="G37" s="48" t="n">
        <f aca="false">IFERROR((BS!G29+BS!G38+BS!G45+BS!G39+BS!G46+BS!G40+BS!G47+BS!G41+BS!G48)/BS!G62,0)</f>
        <v>0.90866872051771</v>
      </c>
      <c r="H37" s="48" t="n">
        <f aca="false">IFERROR((BS!H29+BS!H38+BS!H45+BS!H39+BS!H46+BS!H40+BS!H47+BS!H41+BS!H48)/BS!H62,0)</f>
        <v>3.50702053192087</v>
      </c>
      <c r="I37" s="92" t="n">
        <f aca="false">AVERAGE(E37:H37)</f>
        <v>1.55310491231328</v>
      </c>
      <c r="J37" s="15"/>
    </row>
    <row r="38" customFormat="false" ht="15" hidden="false" customHeight="false" outlineLevel="0" collapsed="false">
      <c r="A38" s="54" t="s">
        <v>1328</v>
      </c>
      <c r="B38" s="13" t="s">
        <v>182</v>
      </c>
      <c r="C38" s="48" t="n">
        <f aca="false">IFERROR(((BS!C29+BS!C38+BS!C45+BS!C39+BS!C46+BS!C40+BS!C47+BS!C41+BS!C48)+(BS!C42+BS!C49)-BS!C6)/(IS!C14+Schedules!C20),0)</f>
        <v>2.5030621724118</v>
      </c>
      <c r="D38" s="48" t="n">
        <f aca="false">IFERROR(((BS!D29+BS!D38+BS!D45+BS!D39+BS!D46+BS!D40+BS!D47+BS!D41+BS!D48)+(BS!D42+BS!D49)-BS!D6)/(IS!D14+Schedules!D20),0)</f>
        <v>0.336509780949585</v>
      </c>
      <c r="E38" s="48" t="n">
        <f aca="false">IFERROR(((BS!E29+BS!E38+BS!E45+BS!E39+BS!E46+BS!E40+BS!E47+BS!E41+BS!E48)+(BS!E42+BS!E49)-BS!E6)/(IS!E14+Schedules!E20),0)</f>
        <v>2.25917232529069</v>
      </c>
      <c r="F38" s="48" t="n">
        <f aca="false">IFERROR(((BS!F29+BS!F38+BS!F45+BS!F39+BS!F46+BS!F40+BS!F47+BS!F41+BS!F48)+(BS!F42+BS!F49)-BS!F6)/(IS!F14+Schedules!F20),0)</f>
        <v>2.81963323992925</v>
      </c>
      <c r="G38" s="48" t="n">
        <f aca="false">IFERROR(((BS!G29+BS!G38+BS!G45+BS!G39+BS!G46+BS!G40+BS!G47+BS!G41+BS!G48)+(BS!G42+BS!G49)-BS!G6)/(IS!G14+Schedules!G20),0)</f>
        <v>2.87327275504601</v>
      </c>
      <c r="H38" s="48" t="n">
        <f aca="false">IFERROR(((BS!H29+BS!H38+BS!H45+BS!H39+BS!H46+BS!H40+BS!H47+BS!H41+BS!H48)+(BS!H42+BS!H49)-BS!H6)/(IS!H14+Schedules!H20),0)</f>
        <v>6.14012358110974</v>
      </c>
      <c r="I38" s="92" t="n">
        <f aca="false">AVERAGE(E38:H38)</f>
        <v>3.52305047534392</v>
      </c>
      <c r="J38" s="15"/>
    </row>
    <row r="39" customFormat="false" ht="15" hidden="false" customHeight="false" outlineLevel="0" collapsed="false">
      <c r="A39" s="54" t="s">
        <v>1329</v>
      </c>
      <c r="B39" s="13" t="s">
        <v>1330</v>
      </c>
      <c r="C39" s="48" t="n">
        <f aca="false">IFERROR((IS!C14+Schedules!C20)/-IS!C15,0)</f>
        <v>2.50618655798029</v>
      </c>
      <c r="D39" s="48" t="n">
        <f aca="false">IFERROR((IS!D14+Schedules!D20)/-IS!D15,0)</f>
        <v>3.65744653205408</v>
      </c>
      <c r="E39" s="48" t="n">
        <f aca="false">IFERROR((IS!E14+Schedules!E20)/-IS!E15,0)</f>
        <v>2.77977763548822</v>
      </c>
      <c r="F39" s="48" t="n">
        <f aca="false">IFERROR((IS!F14+Schedules!F20)/-IS!F15,0)</f>
        <v>2.31771310130409</v>
      </c>
      <c r="G39" s="48" t="n">
        <f aca="false">IFERROR((IS!G14+Schedules!G20)/-IS!G15,0)</f>
        <v>2.78634327027602</v>
      </c>
      <c r="H39" s="48" t="n">
        <f aca="false">IFERROR((IS!H14+Schedules!H20)/-IS!H15,0)</f>
        <v>1.20431733384251</v>
      </c>
      <c r="I39" s="92" t="n">
        <f aca="false">AVERAGE(E39:H39)</f>
        <v>2.27203783522771</v>
      </c>
      <c r="J39" s="15"/>
    </row>
    <row r="40" customFormat="false" ht="15" hidden="false" customHeight="false" outlineLevel="0" collapsed="false">
      <c r="A40" s="16"/>
      <c r="B40" s="17" t="s">
        <v>1331</v>
      </c>
      <c r="C40" s="16"/>
      <c r="D40" s="16"/>
      <c r="E40" s="16"/>
      <c r="F40" s="16"/>
      <c r="G40" s="16"/>
      <c r="H40" s="16"/>
      <c r="I40" s="16"/>
      <c r="J40" s="16"/>
    </row>
    <row r="41" customFormat="false" ht="15" hidden="false" customHeight="false" outlineLevel="0" collapsed="false">
      <c r="A41" s="54" t="s">
        <v>1332</v>
      </c>
      <c r="B41" s="13" t="s">
        <v>1333</v>
      </c>
      <c r="C41" s="50" t="n">
        <f aca="false">-(CF!C15+CF!C16)</f>
        <v>544122343656</v>
      </c>
      <c r="D41" s="50" t="n">
        <f aca="false">-(CF!D15+CF!D16)</f>
        <v>464023277324</v>
      </c>
      <c r="E41" s="50" t="n">
        <f aca="false">-(CF!E15+CF!E16)</f>
        <v>655546517280</v>
      </c>
      <c r="F41" s="50" t="n">
        <f aca="false">-(CF!F15+CF!F16)</f>
        <v>583532000000</v>
      </c>
      <c r="G41" s="50" t="n">
        <f aca="false">-(CF!G15+CF!G16)</f>
        <v>525029000000</v>
      </c>
      <c r="H41" s="50" t="n">
        <f aca="false">-(CF!H15+CF!H16)</f>
        <v>579605000000</v>
      </c>
      <c r="I41" s="82" t="n">
        <f aca="false">AVERAGE(E41:H41)</f>
        <v>585928129320</v>
      </c>
      <c r="J41" s="15"/>
    </row>
    <row r="42" customFormat="false" ht="15" hidden="false" customHeight="false" outlineLevel="0" collapsed="false">
      <c r="A42" s="54" t="s">
        <v>1334</v>
      </c>
      <c r="B42" s="13" t="s">
        <v>1335</v>
      </c>
      <c r="C42" s="46" t="n">
        <f aca="false">IFERROR(-(CF!C15+CF!C16)/IS!C6,0)</f>
        <v>0.423837773127118</v>
      </c>
      <c r="D42" s="46" t="n">
        <f aca="false">IFERROR(-(CF!D15+CF!D16)/IS!D6,0)</f>
        <v>0.24111955102642</v>
      </c>
      <c r="E42" s="46" t="n">
        <f aca="false">IFERROR(-(CF!E15+CF!E16)/IS!E6,0)</f>
        <v>0.338930217608714</v>
      </c>
      <c r="F42" s="46" t="n">
        <f aca="false">IFERROR(-(CF!F15+CF!F16)/IS!F6,0)</f>
        <v>0.233116834866454</v>
      </c>
      <c r="G42" s="46" t="n">
        <f aca="false">IFERROR(-(CF!G15+CF!G16)/IS!G6,0)</f>
        <v>0.224330048610705</v>
      </c>
      <c r="H42" s="46" t="n">
        <f aca="false">IFERROR(-(CF!H15+CF!H16)/IS!H6,0)</f>
        <v>0.223834110850222</v>
      </c>
      <c r="I42" s="83" t="n">
        <f aca="false">AVERAGE(E42:H42)</f>
        <v>0.255052802984024</v>
      </c>
      <c r="J42" s="15"/>
    </row>
    <row r="43" customFormat="false" ht="15" hidden="false" customHeight="false" outlineLevel="0" collapsed="false">
      <c r="A43" s="54" t="s">
        <v>1336</v>
      </c>
      <c r="B43" s="13" t="s">
        <v>1337</v>
      </c>
      <c r="C43" s="46" t="n">
        <f aca="false">IFERROR(-CF!C35/IS!C6,0)</f>
        <v>0.257049663118363</v>
      </c>
      <c r="D43" s="46" t="n">
        <f aca="false">IFERROR(-CF!D35/IS!D6,0)</f>
        <v>-0</v>
      </c>
      <c r="E43" s="46" t="n">
        <f aca="false">IFERROR(-CF!E35/IS!E6,0)</f>
        <v>-0</v>
      </c>
      <c r="F43" s="46" t="n">
        <f aca="false">IFERROR(-CF!F35/IS!F6,0)</f>
        <v>0.000282441412382839</v>
      </c>
      <c r="G43" s="46" t="n">
        <f aca="false">IFERROR(-CF!G35/IS!G6,0)</f>
        <v>0.000302508384139503</v>
      </c>
      <c r="H43" s="46" t="n">
        <f aca="false">IFERROR(-CF!H35/IS!H6,0)</f>
        <v>0.000617508032624815</v>
      </c>
      <c r="I43" s="83" t="n">
        <f aca="false">AVERAGE(E43:H43)</f>
        <v>0.000300614457286789</v>
      </c>
      <c r="J43" s="15"/>
    </row>
    <row r="44" customFormat="false" ht="15" hidden="false" customHeight="false" outlineLevel="0" collapsed="false">
      <c r="A44" s="54" t="s">
        <v>1338</v>
      </c>
      <c r="B44" s="13" t="s">
        <v>1339</v>
      </c>
      <c r="C44" s="50" t="n">
        <f aca="false">CF!C13--(CF!C15+CF!C16)+CF!C35</f>
        <v>-780240452254</v>
      </c>
      <c r="D44" s="50" t="n">
        <f aca="false">CF!D13--(CF!D15+CF!D16)+CF!D35</f>
        <v>-127236614534</v>
      </c>
      <c r="E44" s="50" t="n">
        <f aca="false">CF!E13--(CF!E15+CF!E16)+CF!E35</f>
        <v>-445071695019</v>
      </c>
      <c r="F44" s="50" t="n">
        <f aca="false">CF!F13--(CF!F15+CF!F16)+CF!F35</f>
        <v>-528322000000</v>
      </c>
      <c r="G44" s="50" t="n">
        <f aca="false">CF!G13--(CF!G15+CF!G16)+CF!G35</f>
        <v>-252489000000</v>
      </c>
      <c r="H44" s="50" t="n">
        <f aca="false">CF!H13--(CF!H15+CF!H16)+CF!H35</f>
        <v>-451534000000</v>
      </c>
      <c r="I44" s="82" t="n">
        <f aca="false">AVERAGE(E44:H44)</f>
        <v>-419354173754.75</v>
      </c>
      <c r="J44" s="15"/>
    </row>
    <row r="45" customFormat="false" ht="15" hidden="false" customHeight="false" outlineLevel="0" collapsed="false">
      <c r="A45" s="54" t="s">
        <v>1340</v>
      </c>
      <c r="B45" s="13" t="s">
        <v>1341</v>
      </c>
      <c r="C45" s="48" t="n">
        <f aca="false">IFERROR(CF!C13/IS!C19,0)</f>
        <v>-6.47548047329551</v>
      </c>
      <c r="D45" s="48" t="n">
        <f aca="false">IFERROR(CF!D13/IS!D19,0)</f>
        <v>2.03368619159621</v>
      </c>
      <c r="E45" s="48" t="n">
        <f aca="false">IFERROR(CF!E13/IS!E19,0)</f>
        <v>-4.76324989860578</v>
      </c>
      <c r="F45" s="48" t="n">
        <f aca="false">IFERROR(CF!F13/IS!F19,0)</f>
        <v>-1.45947850599013</v>
      </c>
      <c r="G45" s="48" t="n">
        <f aca="false">IFERROR(CF!G13/IS!G19,0)</f>
        <v>-11.7052775873886</v>
      </c>
      <c r="H45" s="48" t="n">
        <f aca="false">IFERROR(CF!H13/IS!H19,0)</f>
        <v>-0.652296393178731</v>
      </c>
      <c r="I45" s="92" t="n">
        <f aca="false">AVERAGE(E45:H45)</f>
        <v>-4.64507559629082</v>
      </c>
      <c r="J45" s="15"/>
    </row>
    <row r="46" customFormat="false" ht="15" hidden="false" customHeight="false" outlineLevel="0" collapsed="false">
      <c r="A46" s="16"/>
      <c r="B46" s="17" t="s">
        <v>1342</v>
      </c>
      <c r="C46" s="16"/>
      <c r="D46" s="16"/>
      <c r="E46" s="16"/>
      <c r="F46" s="16"/>
      <c r="G46" s="16"/>
      <c r="H46" s="16"/>
      <c r="I46" s="16"/>
      <c r="J46" s="16"/>
    </row>
    <row r="47" customFormat="false" ht="15" hidden="false" customHeight="false" outlineLevel="0" collapsed="false">
      <c r="A47" s="54" t="s">
        <v>1343</v>
      </c>
      <c r="B47" s="13" t="s">
        <v>1344</v>
      </c>
      <c r="C47" s="69" t="n">
        <f aca="false">IFERROR(IS!C26/12238959990,0)</f>
        <v>-1.17498766788599</v>
      </c>
      <c r="D47" s="69" t="n">
        <f aca="false">IFERROR(IS!D26/12238959990,0)</f>
        <v>13.5067226916394</v>
      </c>
      <c r="E47" s="69" t="n">
        <f aca="false">IFERROR(IS!E26/12238959990,0)</f>
        <v>-3.62081002480669</v>
      </c>
      <c r="F47" s="69" t="n">
        <f aca="false">IFERROR(IS!F26/12238959990,0)</f>
        <v>-3.14487505731277</v>
      </c>
      <c r="G47" s="69" t="n">
        <f aca="false">IFERROR(IS!G26/12238959990,0)</f>
        <v>-1.92115996941011</v>
      </c>
      <c r="H47" s="69" t="n">
        <f aca="false">IFERROR(IS!H26/12238959990,0)</f>
        <v>-16.2595514784422</v>
      </c>
      <c r="I47" s="99" t="n">
        <f aca="false">AVERAGE(E47:H47)</f>
        <v>-6.23659913249296</v>
      </c>
      <c r="J47" s="15" t="s">
        <v>1345</v>
      </c>
    </row>
    <row r="48" customFormat="false" ht="15" hidden="false" customHeight="false" outlineLevel="0" collapsed="false">
      <c r="A48" s="54" t="s">
        <v>1346</v>
      </c>
      <c r="B48" s="13" t="s">
        <v>1347</v>
      </c>
      <c r="C48" s="69" t="n">
        <f aca="false">IFERROR(IS!C26/Schedules!C22,0)</f>
        <v>-1.19831514254786</v>
      </c>
      <c r="D48" s="69" t="n">
        <f aca="false">IFERROR(IS!D26/Schedules!D22,0)</f>
        <v>13.7748767667549</v>
      </c>
      <c r="E48" s="69" t="n">
        <f aca="false">IFERROR(IS!E26/Schedules!E22,0)</f>
        <v>-3.69269533596156</v>
      </c>
      <c r="F48" s="69" t="n">
        <f aca="false">IFERROR(IS!F26/Schedules!F22,0)</f>
        <v>-3.20731145151442</v>
      </c>
      <c r="G48" s="69" t="n">
        <f aca="false">IFERROR(IS!G26/Schedules!G22,0)</f>
        <v>-1.95930148504699</v>
      </c>
      <c r="H48" s="69" t="n">
        <f aca="false">IFERROR(IS!H26/Schedules!H22,0)</f>
        <v>-16.3082593836568</v>
      </c>
      <c r="I48" s="99" t="n">
        <f aca="false">AVERAGE(E48:H48)</f>
        <v>-6.29189191404495</v>
      </c>
      <c r="J48" s="15"/>
    </row>
    <row r="49" customFormat="false" ht="15" hidden="false" customHeight="false" outlineLevel="0" collapsed="false">
      <c r="A49" s="54" t="s">
        <v>1348</v>
      </c>
      <c r="B49" s="13" t="s">
        <v>1349</v>
      </c>
      <c r="C49" s="69" t="n">
        <f aca="false">IS!C30</f>
        <v>-1.2</v>
      </c>
      <c r="D49" s="69" t="n">
        <f aca="false">IS!D30</f>
        <v>13.77</v>
      </c>
      <c r="E49" s="69" t="n">
        <f aca="false">IS!E30</f>
        <v>-3.69</v>
      </c>
      <c r="F49" s="69" t="n">
        <f aca="false">IS!F30</f>
        <v>-3.21</v>
      </c>
      <c r="G49" s="69" t="n">
        <f aca="false">IS!G30</f>
        <v>-1.96</v>
      </c>
      <c r="H49" s="69" t="n">
        <f aca="false">IS!H30</f>
        <v>-16.31</v>
      </c>
      <c r="I49" s="99" t="n">
        <f aca="false">AVERAGE(E49:H49)</f>
        <v>-6.2925</v>
      </c>
      <c r="J49" s="15" t="s">
        <v>1350</v>
      </c>
    </row>
    <row r="50" customFormat="false" ht="15" hidden="false" customHeight="false" outlineLevel="0" collapsed="false">
      <c r="A50" s="54" t="s">
        <v>1351</v>
      </c>
      <c r="B50" s="13" t="s">
        <v>1352</v>
      </c>
      <c r="C50" s="69" t="n">
        <f aca="false">IFERROR(BS!C60/12238959990,0)</f>
        <v>143.308541564323</v>
      </c>
      <c r="D50" s="69" t="n">
        <f aca="false">IFERROR(BS!D60/12238959990,0)</f>
        <v>157.391862209119</v>
      </c>
      <c r="E50" s="69" t="n">
        <f aca="false">IFERROR(BS!E60/12238959990,0)</f>
        <v>154.744580857315</v>
      </c>
      <c r="F50" s="69" t="n">
        <f aca="false">IFERROR(BS!F60/12238959990,0)</f>
        <v>151.651365926232</v>
      </c>
      <c r="G50" s="69" t="n">
        <f aca="false">IFERROR(BS!G60/12238959990,0)</f>
        <v>149.543098555386</v>
      </c>
      <c r="H50" s="69" t="n">
        <f aca="false">IFERROR(BS!H60/12238959990,0)</f>
        <v>108.880983440489</v>
      </c>
      <c r="I50" s="99" t="n">
        <f aca="false">AVERAGE(E50:H50)</f>
        <v>141.205007194856</v>
      </c>
      <c r="J50" s="15"/>
    </row>
    <row r="51" customFormat="false" ht="15" hidden="false" customHeight="false" outlineLevel="0" collapsed="false">
      <c r="A51" s="54" t="s">
        <v>1353</v>
      </c>
      <c r="B51" s="13" t="s">
        <v>1354</v>
      </c>
      <c r="C51" s="50" t="n">
        <f aca="false">-CF!C36</f>
        <v>-0</v>
      </c>
      <c r="D51" s="50" t="n">
        <f aca="false">-CF!D36</f>
        <v>-0</v>
      </c>
      <c r="E51" s="50" t="n">
        <f aca="false">-CF!E36</f>
        <v>-0</v>
      </c>
      <c r="F51" s="50" t="n">
        <f aca="false">-CF!F36</f>
        <v>-0</v>
      </c>
      <c r="G51" s="50" t="n">
        <f aca="false">-CF!G36</f>
        <v>-0</v>
      </c>
      <c r="H51" s="50" t="n">
        <f aca="false">-CF!H36</f>
        <v>-0</v>
      </c>
      <c r="J51" s="15" t="s">
        <v>1355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1356</v>
      </c>
    </row>
    <row r="2" customFormat="false" ht="15" hidden="false" customHeight="false" outlineLevel="0" collapsed="false">
      <c r="A2" s="15" t="s">
        <v>1357</v>
      </c>
    </row>
    <row r="3" customFormat="false" ht="15" hidden="false" customHeight="false" outlineLevel="0" collapsed="false">
      <c r="B3" s="4" t="s">
        <v>39</v>
      </c>
      <c r="C3" s="4" t="str">
        <f aca="false">IF(COUNTIF(K7:K336,"✖*")=0,"SEMUA 330 CEK SESUAI EKSPEKTASI","ADA "&amp;COUNTIF(K7:K336,"✖*")&amp;" CEK TIDAK SESUAI EKSPEKTASI")</f>
        <v>SEMUA 330 CEK SESUAI EKSPEKTASI</v>
      </c>
    </row>
    <row r="4" customFormat="false" ht="15" hidden="false" customHeight="false" outlineLevel="0" collapsed="false">
      <c r="C4" s="13" t="str">
        <f aca="false">"OK: "&amp;COUNTIF(I7:I336,"OK")&amp;" | ❌ (diharapkan, dijelaskan di Temuan): "&amp;COUNTIF(I7:I336,"❌")&amp;" | N/A/INFO: "&amp;(COUNTIF(I7:I336,"N/A")+COUNTIF(I7:I336,"INFO"))</f>
        <v>OK: 325 | ❌ (diharapkan, dijelaskan di Temuan): 5 | N/A/INFO: 0</v>
      </c>
    </row>
    <row r="6" customFormat="false" ht="23.85" hidden="false" customHeight="false" outlineLevel="0" collapsed="false">
      <c r="A6" s="25" t="s">
        <v>1358</v>
      </c>
      <c r="B6" s="25" t="s">
        <v>1359</v>
      </c>
      <c r="C6" s="25" t="s">
        <v>1360</v>
      </c>
      <c r="D6" s="25" t="s">
        <v>1361</v>
      </c>
      <c r="E6" s="25" t="s">
        <v>1362</v>
      </c>
      <c r="F6" s="25" t="s">
        <v>1363</v>
      </c>
      <c r="G6" s="25" t="s">
        <v>1364</v>
      </c>
      <c r="H6" s="25" t="s">
        <v>1365</v>
      </c>
      <c r="I6" s="25" t="s">
        <v>1366</v>
      </c>
      <c r="J6" s="25" t="s">
        <v>1367</v>
      </c>
      <c r="K6" s="25" t="s">
        <v>1368</v>
      </c>
      <c r="L6" s="25" t="s">
        <v>1369</v>
      </c>
    </row>
    <row r="7" customFormat="false" ht="15" hidden="false" customHeight="false" outlineLevel="0" collapsed="false">
      <c r="A7" s="13" t="n">
        <v>1</v>
      </c>
      <c r="B7" s="13" t="s">
        <v>1370</v>
      </c>
      <c r="C7" s="13" t="s">
        <v>1371</v>
      </c>
      <c r="D7" s="13" t="n">
        <v>2020</v>
      </c>
      <c r="E7" s="50" t="n">
        <f aca="false">IS!C8</f>
        <v>419100328655</v>
      </c>
      <c r="F7" s="50" t="n">
        <f aca="false">IS!C32</f>
        <v>419100328655</v>
      </c>
      <c r="G7" s="100" t="n">
        <f aca="false">IF(COUNT(E7:F7)=2,E7-F7,"")</f>
        <v>0</v>
      </c>
      <c r="H7" s="101" t="n">
        <v>1</v>
      </c>
      <c r="I7" s="4" t="str">
        <f aca="false">IF(COUNT(E7:F7)&lt;2,"N/A",IF(ABS(G7)&lt;=H7,"OK","❌"))</f>
        <v>OK</v>
      </c>
      <c r="J7" s="101" t="s">
        <v>1372</v>
      </c>
      <c r="K7" s="4" t="str">
        <f aca="false">IF(I7=J7,"✔ sesuai","✖ TIDAK sesuai")</f>
        <v>✔ sesuai</v>
      </c>
      <c r="L7" s="102"/>
    </row>
    <row r="8" customFormat="false" ht="15" hidden="false" customHeight="false" outlineLevel="0" collapsed="false">
      <c r="A8" s="13" t="n">
        <v>2</v>
      </c>
      <c r="B8" s="13" t="s">
        <v>1370</v>
      </c>
      <c r="C8" s="13" t="s">
        <v>1373</v>
      </c>
      <c r="D8" s="13" t="n">
        <v>2020</v>
      </c>
      <c r="E8" s="50" t="n">
        <f aca="false">IS!C17</f>
        <v>191390366</v>
      </c>
      <c r="F8" s="50" t="n">
        <f aca="false">IS!C33</f>
        <v>191390366</v>
      </c>
      <c r="G8" s="100" t="n">
        <f aca="false">IF(COUNT(E8:F8)=2,E8-F8,"")</f>
        <v>0</v>
      </c>
      <c r="H8" s="101" t="n">
        <v>1</v>
      </c>
      <c r="I8" s="4" t="str">
        <f aca="false">IF(COUNT(E8:F8)&lt;2,"N/A",IF(ABS(G8)&lt;=H8,"OK","❌"))</f>
        <v>OK</v>
      </c>
      <c r="J8" s="101" t="s">
        <v>1372</v>
      </c>
      <c r="K8" s="4" t="str">
        <f aca="false">IF(I8=J8,"✔ sesuai","✖ TIDAK sesuai")</f>
        <v>✔ sesuai</v>
      </c>
      <c r="L8" s="102"/>
    </row>
    <row r="9" customFormat="false" ht="15" hidden="false" customHeight="false" outlineLevel="0" collapsed="false">
      <c r="A9" s="13" t="n">
        <v>3</v>
      </c>
      <c r="B9" s="13" t="s">
        <v>1370</v>
      </c>
      <c r="C9" s="13" t="s">
        <v>1374</v>
      </c>
      <c r="D9" s="13" t="n">
        <v>2020</v>
      </c>
      <c r="E9" s="50" t="n">
        <f aca="false">IS!C19</f>
        <v>-14498057988</v>
      </c>
      <c r="F9" s="50" t="n">
        <f aca="false">IS!C34</f>
        <v>-14498057988</v>
      </c>
      <c r="G9" s="100" t="n">
        <f aca="false">IF(COUNT(E9:F9)=2,E9-F9,"")</f>
        <v>0</v>
      </c>
      <c r="H9" s="101" t="n">
        <v>1</v>
      </c>
      <c r="I9" s="4" t="str">
        <f aca="false">IF(COUNT(E9:F9)&lt;2,"N/A",IF(ABS(G9)&lt;=H9,"OK","❌"))</f>
        <v>OK</v>
      </c>
      <c r="J9" s="101" t="s">
        <v>1372</v>
      </c>
      <c r="K9" s="4" t="str">
        <f aca="false">IF(I9=J9,"✔ sesuai","✖ TIDAK sesuai")</f>
        <v>✔ sesuai</v>
      </c>
      <c r="L9" s="102"/>
    </row>
    <row r="10" customFormat="false" ht="15" hidden="false" customHeight="false" outlineLevel="0" collapsed="false">
      <c r="A10" s="13" t="n">
        <v>4</v>
      </c>
      <c r="B10" s="13" t="s">
        <v>1370</v>
      </c>
      <c r="C10" s="13" t="s">
        <v>1375</v>
      </c>
      <c r="D10" s="13" t="n">
        <v>2020</v>
      </c>
      <c r="E10" s="50" t="n">
        <f aca="false">IS!C23</f>
        <v>4996817740</v>
      </c>
      <c r="F10" s="50" t="n">
        <f aca="false">IS!C35</f>
        <v>4996817740</v>
      </c>
      <c r="G10" s="100" t="n">
        <f aca="false">IF(COUNT(E10:F10)=2,E10-F10,"")</f>
        <v>0</v>
      </c>
      <c r="H10" s="101" t="n">
        <v>1</v>
      </c>
      <c r="I10" s="4" t="str">
        <f aca="false">IF(COUNT(E10:F10)&lt;2,"N/A",IF(ABS(G10)&lt;=H10,"OK","❌"))</f>
        <v>OK</v>
      </c>
      <c r="J10" s="101" t="s">
        <v>1372</v>
      </c>
      <c r="K10" s="4" t="str">
        <f aca="false">IF(I10=J10,"✔ sesuai","✖ TIDAK sesuai")</f>
        <v>✔ sesuai</v>
      </c>
      <c r="L10" s="102"/>
    </row>
    <row r="11" customFormat="false" ht="15" hidden="false" customHeight="false" outlineLevel="0" collapsed="false">
      <c r="A11" s="13" t="n">
        <v>5</v>
      </c>
      <c r="B11" s="13" t="s">
        <v>1370</v>
      </c>
      <c r="C11" s="13" t="s">
        <v>1376</v>
      </c>
      <c r="D11" s="13" t="n">
        <v>2020</v>
      </c>
      <c r="E11" s="50" t="n">
        <f aca="false">IS!C24</f>
        <v>-9501240248</v>
      </c>
      <c r="F11" s="50" t="n">
        <f aca="false">IS!C36</f>
        <v>-9501240248</v>
      </c>
      <c r="G11" s="100" t="n">
        <f aca="false">IF(COUNT(E11:F11)=2,E11-F11,"")</f>
        <v>0</v>
      </c>
      <c r="H11" s="101" t="n">
        <v>1</v>
      </c>
      <c r="I11" s="4" t="str">
        <f aca="false">IF(COUNT(E11:F11)&lt;2,"N/A",IF(ABS(G11)&lt;=H11,"OK","❌"))</f>
        <v>OK</v>
      </c>
      <c r="J11" s="101" t="s">
        <v>1372</v>
      </c>
      <c r="K11" s="4" t="str">
        <f aca="false">IF(I11=J11,"✔ sesuai","✖ TIDAK sesuai")</f>
        <v>✔ sesuai</v>
      </c>
      <c r="L11" s="102"/>
    </row>
    <row r="12" customFormat="false" ht="15" hidden="false" customHeight="false" outlineLevel="0" collapsed="false">
      <c r="A12" s="13" t="n">
        <v>6</v>
      </c>
      <c r="B12" s="13" t="s">
        <v>1370</v>
      </c>
      <c r="C12" s="13" t="s">
        <v>1377</v>
      </c>
      <c r="D12" s="13" t="n">
        <v>2020</v>
      </c>
      <c r="E12" s="50" t="n">
        <f aca="false">BS!C16</f>
        <v>939835506742</v>
      </c>
      <c r="F12" s="50" t="n">
        <f aca="false">BS!C68</f>
        <v>939835506742</v>
      </c>
      <c r="G12" s="100" t="n">
        <f aca="false">IF(COUNT(E12:F12)=2,E12-F12,"")</f>
        <v>0</v>
      </c>
      <c r="H12" s="101" t="n">
        <v>1</v>
      </c>
      <c r="I12" s="4" t="str">
        <f aca="false">IF(COUNT(E12:F12)&lt;2,"N/A",IF(ABS(G12)&lt;=H12,"OK","❌"))</f>
        <v>OK</v>
      </c>
      <c r="J12" s="101" t="s">
        <v>1372</v>
      </c>
      <c r="K12" s="4" t="str">
        <f aca="false">IF(I12=J12,"✔ sesuai","✖ TIDAK sesuai")</f>
        <v>✔ sesuai</v>
      </c>
      <c r="L12" s="102"/>
    </row>
    <row r="13" customFormat="false" ht="15" hidden="false" customHeight="false" outlineLevel="0" collapsed="false">
      <c r="A13" s="13" t="n">
        <v>7</v>
      </c>
      <c r="B13" s="13" t="s">
        <v>1370</v>
      </c>
      <c r="C13" s="13" t="s">
        <v>1378</v>
      </c>
      <c r="D13" s="13" t="n">
        <v>2020</v>
      </c>
      <c r="E13" s="50" t="n">
        <f aca="false">BS!C26</f>
        <v>3406493581264</v>
      </c>
      <c r="F13" s="50" t="n">
        <f aca="false">BS!C69</f>
        <v>3406493581264</v>
      </c>
      <c r="G13" s="100" t="n">
        <f aca="false">IF(COUNT(E13:F13)=2,E13-F13,"")</f>
        <v>0</v>
      </c>
      <c r="H13" s="101" t="n">
        <v>1</v>
      </c>
      <c r="I13" s="4" t="str">
        <f aca="false">IF(COUNT(E13:F13)&lt;2,"N/A",IF(ABS(G13)&lt;=H13,"OK","❌"))</f>
        <v>OK</v>
      </c>
      <c r="J13" s="101" t="s">
        <v>1372</v>
      </c>
      <c r="K13" s="4" t="str">
        <f aca="false">IF(I13=J13,"✔ sesuai","✖ TIDAK sesuai")</f>
        <v>✔ sesuai</v>
      </c>
      <c r="L13" s="102"/>
    </row>
    <row r="14" customFormat="false" ht="15" hidden="false" customHeight="false" outlineLevel="0" collapsed="false">
      <c r="A14" s="13" t="n">
        <v>8</v>
      </c>
      <c r="B14" s="13" t="s">
        <v>1370</v>
      </c>
      <c r="C14" s="13" t="s">
        <v>1379</v>
      </c>
      <c r="D14" s="13" t="n">
        <v>2020</v>
      </c>
      <c r="E14" s="50" t="n">
        <f aca="false">BS!C27</f>
        <v>4346329088006</v>
      </c>
      <c r="F14" s="50" t="n">
        <f aca="false">BS!C70</f>
        <v>4346329088006</v>
      </c>
      <c r="G14" s="100" t="n">
        <f aca="false">IF(COUNT(E14:F14)=2,E14-F14,"")</f>
        <v>0</v>
      </c>
      <c r="H14" s="101" t="n">
        <v>1</v>
      </c>
      <c r="I14" s="4" t="str">
        <f aca="false">IF(COUNT(E14:F14)&lt;2,"N/A",IF(ABS(G14)&lt;=H14,"OK","❌"))</f>
        <v>OK</v>
      </c>
      <c r="J14" s="101" t="s">
        <v>1372</v>
      </c>
      <c r="K14" s="4" t="str">
        <f aca="false">IF(I14=J14,"✔ sesuai","✖ TIDAK sesuai")</f>
        <v>✔ sesuai</v>
      </c>
      <c r="L14" s="102"/>
    </row>
    <row r="15" customFormat="false" ht="15" hidden="false" customHeight="false" outlineLevel="0" collapsed="false">
      <c r="A15" s="13" t="n">
        <v>9</v>
      </c>
      <c r="B15" s="13" t="s">
        <v>1370</v>
      </c>
      <c r="C15" s="13" t="s">
        <v>1380</v>
      </c>
      <c r="D15" s="13" t="n">
        <v>2020</v>
      </c>
      <c r="E15" s="50" t="n">
        <f aca="false">BS!C43</f>
        <v>1740988511325</v>
      </c>
      <c r="F15" s="50" t="n">
        <f aca="false">BS!C71</f>
        <v>1740988511325</v>
      </c>
      <c r="G15" s="100" t="n">
        <f aca="false">IF(COUNT(E15:F15)=2,E15-F15,"")</f>
        <v>0</v>
      </c>
      <c r="H15" s="101" t="n">
        <v>1</v>
      </c>
      <c r="I15" s="4" t="str">
        <f aca="false">IF(COUNT(E15:F15)&lt;2,"N/A",IF(ABS(G15)&lt;=H15,"OK","❌"))</f>
        <v>OK</v>
      </c>
      <c r="J15" s="101" t="s">
        <v>1372</v>
      </c>
      <c r="K15" s="4" t="str">
        <f aca="false">IF(I15=J15,"✔ sesuai","✖ TIDAK sesuai")</f>
        <v>✔ sesuai</v>
      </c>
      <c r="L15" s="102"/>
    </row>
    <row r="16" customFormat="false" ht="15" hidden="false" customHeight="false" outlineLevel="0" collapsed="false">
      <c r="A16" s="13" t="n">
        <v>10</v>
      </c>
      <c r="B16" s="13" t="s">
        <v>1370</v>
      </c>
      <c r="C16" s="13" t="s">
        <v>1381</v>
      </c>
      <c r="D16" s="13" t="n">
        <v>2020</v>
      </c>
      <c r="E16" s="50" t="n">
        <f aca="false">BS!C52</f>
        <v>850604303917</v>
      </c>
      <c r="F16" s="50" t="n">
        <f aca="false">BS!C72</f>
        <v>850604303917</v>
      </c>
      <c r="G16" s="100" t="n">
        <f aca="false">IF(COUNT(E16:F16)=2,E16-F16,"")</f>
        <v>0</v>
      </c>
      <c r="H16" s="101" t="n">
        <v>1</v>
      </c>
      <c r="I16" s="4" t="str">
        <f aca="false">IF(COUNT(E16:F16)&lt;2,"N/A",IF(ABS(G16)&lt;=H16,"OK","❌"))</f>
        <v>OK</v>
      </c>
      <c r="J16" s="101" t="s">
        <v>1372</v>
      </c>
      <c r="K16" s="4" t="str">
        <f aca="false">IF(I16=J16,"✔ sesuai","✖ TIDAK sesuai")</f>
        <v>✔ sesuai</v>
      </c>
      <c r="L16" s="102"/>
    </row>
    <row r="17" customFormat="false" ht="15" hidden="false" customHeight="false" outlineLevel="0" collapsed="false">
      <c r="A17" s="13" t="n">
        <v>11</v>
      </c>
      <c r="B17" s="13" t="s">
        <v>1370</v>
      </c>
      <c r="C17" s="13" t="s">
        <v>1382</v>
      </c>
      <c r="D17" s="13" t="n">
        <v>2020</v>
      </c>
      <c r="E17" s="50" t="n">
        <f aca="false">BS!C53</f>
        <v>2591592815242</v>
      </c>
      <c r="F17" s="50" t="n">
        <f aca="false">BS!C73</f>
        <v>2591592815242</v>
      </c>
      <c r="G17" s="100" t="n">
        <f aca="false">IF(COUNT(E17:F17)=2,E17-F17,"")</f>
        <v>0</v>
      </c>
      <c r="H17" s="101" t="n">
        <v>1</v>
      </c>
      <c r="I17" s="4" t="str">
        <f aca="false">IF(COUNT(E17:F17)&lt;2,"N/A",IF(ABS(G17)&lt;=H17,"OK","❌"))</f>
        <v>OK</v>
      </c>
      <c r="J17" s="101" t="s">
        <v>1372</v>
      </c>
      <c r="K17" s="4" t="str">
        <f aca="false">IF(I17=J17,"✔ sesuai","✖ TIDAK sesuai")</f>
        <v>✔ sesuai</v>
      </c>
      <c r="L17" s="102"/>
    </row>
    <row r="18" customFormat="false" ht="15" hidden="false" customHeight="false" outlineLevel="0" collapsed="false">
      <c r="A18" s="13" t="n">
        <v>12</v>
      </c>
      <c r="B18" s="13" t="s">
        <v>1370</v>
      </c>
      <c r="C18" s="13" t="s">
        <v>1383</v>
      </c>
      <c r="D18" s="13" t="n">
        <v>2020</v>
      </c>
      <c r="E18" s="50" t="n">
        <f aca="false">BS!C60</f>
        <v>1753947506431</v>
      </c>
      <c r="F18" s="50" t="n">
        <f aca="false">BS!C74</f>
        <v>1753947506431</v>
      </c>
      <c r="G18" s="100" t="n">
        <f aca="false">IF(COUNT(E18:F18)=2,E18-F18,"")</f>
        <v>0</v>
      </c>
      <c r="H18" s="101" t="n">
        <v>1</v>
      </c>
      <c r="I18" s="4" t="str">
        <f aca="false">IF(COUNT(E18:F18)&lt;2,"N/A",IF(ABS(G18)&lt;=H18,"OK","❌"))</f>
        <v>OK</v>
      </c>
      <c r="J18" s="101" t="s">
        <v>1372</v>
      </c>
      <c r="K18" s="4" t="str">
        <f aca="false">IF(I18=J18,"✔ sesuai","✖ TIDAK sesuai")</f>
        <v>✔ sesuai</v>
      </c>
      <c r="L18" s="102"/>
    </row>
    <row r="19" customFormat="false" ht="15" hidden="false" customHeight="false" outlineLevel="0" collapsed="false">
      <c r="A19" s="13" t="n">
        <v>13</v>
      </c>
      <c r="B19" s="13" t="s">
        <v>1370</v>
      </c>
      <c r="C19" s="13" t="s">
        <v>1384</v>
      </c>
      <c r="D19" s="13" t="n">
        <v>2020</v>
      </c>
      <c r="E19" s="50" t="n">
        <f aca="false">BS!C62</f>
        <v>1754736272764</v>
      </c>
      <c r="F19" s="50" t="n">
        <f aca="false">BS!C75</f>
        <v>1754736272764</v>
      </c>
      <c r="G19" s="100" t="n">
        <f aca="false">IF(COUNT(E19:F19)=2,E19-F19,"")</f>
        <v>0</v>
      </c>
      <c r="H19" s="101" t="n">
        <v>1</v>
      </c>
      <c r="I19" s="4" t="str">
        <f aca="false">IF(COUNT(E19:F19)&lt;2,"N/A",IF(ABS(G19)&lt;=H19,"OK","❌"))</f>
        <v>OK</v>
      </c>
      <c r="J19" s="101" t="s">
        <v>1372</v>
      </c>
      <c r="K19" s="4" t="str">
        <f aca="false">IF(I19=J19,"✔ sesuai","✖ TIDAK sesuai")</f>
        <v>✔ sesuai</v>
      </c>
      <c r="L19" s="102"/>
    </row>
    <row r="20" customFormat="false" ht="15" hidden="false" customHeight="false" outlineLevel="0" collapsed="false">
      <c r="A20" s="13" t="n">
        <v>14</v>
      </c>
      <c r="B20" s="13" t="s">
        <v>1370</v>
      </c>
      <c r="C20" s="13" t="s">
        <v>1385</v>
      </c>
      <c r="D20" s="13" t="n">
        <v>2020</v>
      </c>
      <c r="E20" s="50" t="n">
        <f aca="false">BS!C63</f>
        <v>4346329088006</v>
      </c>
      <c r="F20" s="50" t="n">
        <f aca="false">BS!C76</f>
        <v>4346329088006</v>
      </c>
      <c r="G20" s="100" t="n">
        <f aca="false">IF(COUNT(E20:F20)=2,E20-F20,"")</f>
        <v>0</v>
      </c>
      <c r="H20" s="101" t="n">
        <v>1</v>
      </c>
      <c r="I20" s="4" t="str">
        <f aca="false">IF(COUNT(E20:F20)&lt;2,"N/A",IF(ABS(G20)&lt;=H20,"OK","❌"))</f>
        <v>OK</v>
      </c>
      <c r="J20" s="101" t="s">
        <v>1372</v>
      </c>
      <c r="K20" s="4" t="str">
        <f aca="false">IF(I20=J20,"✔ sesuai","✖ TIDAK sesuai")</f>
        <v>✔ sesuai</v>
      </c>
      <c r="L20" s="102"/>
    </row>
    <row r="21" customFormat="false" ht="15" hidden="false" customHeight="false" outlineLevel="0" collapsed="false">
      <c r="A21" s="13" t="n">
        <v>15</v>
      </c>
      <c r="B21" s="13" t="s">
        <v>1370</v>
      </c>
      <c r="C21" s="13" t="s">
        <v>1386</v>
      </c>
      <c r="D21" s="13" t="n">
        <v>2020</v>
      </c>
      <c r="E21" s="50" t="n">
        <f aca="false">CF!C13</f>
        <v>93881891402</v>
      </c>
      <c r="F21" s="50" t="n">
        <f aca="false">CF!C46</f>
        <v>93881891402</v>
      </c>
      <c r="G21" s="100" t="n">
        <f aca="false">IF(COUNT(E21:F21)=2,E21-F21,"")</f>
        <v>0</v>
      </c>
      <c r="H21" s="101" t="n">
        <v>1</v>
      </c>
      <c r="I21" s="4" t="str">
        <f aca="false">IF(COUNT(E21:F21)&lt;2,"N/A",IF(ABS(G21)&lt;=H21,"OK","❌"))</f>
        <v>OK</v>
      </c>
      <c r="J21" s="101" t="s">
        <v>1372</v>
      </c>
      <c r="K21" s="4" t="str">
        <f aca="false">IF(I21=J21,"✔ sesuai","✖ TIDAK sesuai")</f>
        <v>✔ sesuai</v>
      </c>
      <c r="L21" s="102"/>
    </row>
    <row r="22" customFormat="false" ht="15" hidden="false" customHeight="false" outlineLevel="0" collapsed="false">
      <c r="A22" s="13" t="n">
        <v>16</v>
      </c>
      <c r="B22" s="13" t="s">
        <v>1370</v>
      </c>
      <c r="C22" s="13" t="s">
        <v>1387</v>
      </c>
      <c r="D22" s="13" t="n">
        <v>2020</v>
      </c>
      <c r="E22" s="50" t="n">
        <f aca="false">CF!C21</f>
        <v>-550711027296</v>
      </c>
      <c r="F22" s="50" t="n">
        <f aca="false">CF!C47</f>
        <v>-550711027296</v>
      </c>
      <c r="G22" s="100" t="n">
        <f aca="false">IF(COUNT(E22:F22)=2,E22-F22,"")</f>
        <v>0</v>
      </c>
      <c r="H22" s="101" t="n">
        <v>1</v>
      </c>
      <c r="I22" s="4" t="str">
        <f aca="false">IF(COUNT(E22:F22)&lt;2,"N/A",IF(ABS(G22)&lt;=H22,"OK","❌"))</f>
        <v>OK</v>
      </c>
      <c r="J22" s="101" t="s">
        <v>1372</v>
      </c>
      <c r="K22" s="4" t="str">
        <f aca="false">IF(I22=J22,"✔ sesuai","✖ TIDAK sesuai")</f>
        <v>✔ sesuai</v>
      </c>
      <c r="L22" s="102"/>
    </row>
    <row r="23" customFormat="false" ht="15" hidden="false" customHeight="false" outlineLevel="0" collapsed="false">
      <c r="A23" s="13" t="n">
        <v>17</v>
      </c>
      <c r="B23" s="13" t="s">
        <v>1370</v>
      </c>
      <c r="C23" s="13" t="s">
        <v>1388</v>
      </c>
      <c r="D23" s="13" t="n">
        <v>2020</v>
      </c>
      <c r="E23" s="50" t="n">
        <f aca="false">CF!C37</f>
        <v>854320635527</v>
      </c>
      <c r="F23" s="50" t="n">
        <f aca="false">CF!C48</f>
        <v>854320635527</v>
      </c>
      <c r="G23" s="100" t="n">
        <f aca="false">IF(COUNT(E23:F23)=2,E23-F23,"")</f>
        <v>0</v>
      </c>
      <c r="H23" s="101" t="n">
        <v>1</v>
      </c>
      <c r="I23" s="4" t="str">
        <f aca="false">IF(COUNT(E23:F23)&lt;2,"N/A",IF(ABS(G23)&lt;=H23,"OK","❌"))</f>
        <v>OK</v>
      </c>
      <c r="J23" s="101" t="s">
        <v>1372</v>
      </c>
      <c r="K23" s="4" t="str">
        <f aca="false">IF(I23=J23,"✔ sesuai","✖ TIDAK sesuai")</f>
        <v>✔ sesuai</v>
      </c>
      <c r="L23" s="102"/>
    </row>
    <row r="24" customFormat="false" ht="15" hidden="false" customHeight="false" outlineLevel="0" collapsed="false">
      <c r="A24" s="13" t="n">
        <v>18</v>
      </c>
      <c r="B24" s="13" t="s">
        <v>1370</v>
      </c>
      <c r="C24" s="13" t="s">
        <v>1389</v>
      </c>
      <c r="D24" s="13" t="n">
        <v>2020</v>
      </c>
      <c r="E24" s="50" t="n">
        <f aca="false">CF!C38</f>
        <v>397491499633</v>
      </c>
      <c r="F24" s="50" t="n">
        <f aca="false">CF!C49</f>
        <v>397491499633</v>
      </c>
      <c r="G24" s="100" t="n">
        <f aca="false">IF(COUNT(E24:F24)=2,E24-F24,"")</f>
        <v>0</v>
      </c>
      <c r="H24" s="101" t="n">
        <v>1</v>
      </c>
      <c r="I24" s="4" t="str">
        <f aca="false">IF(COUNT(E24:F24)&lt;2,"N/A",IF(ABS(G24)&lt;=H24,"OK","❌"))</f>
        <v>OK</v>
      </c>
      <c r="J24" s="101" t="s">
        <v>1372</v>
      </c>
      <c r="K24" s="4" t="str">
        <f aca="false">IF(I24=J24,"✔ sesuai","✖ TIDAK sesuai")</f>
        <v>✔ sesuai</v>
      </c>
      <c r="L24" s="102"/>
    </row>
    <row r="25" customFormat="false" ht="15" hidden="false" customHeight="false" outlineLevel="0" collapsed="false">
      <c r="A25" s="13" t="n">
        <v>19</v>
      </c>
      <c r="B25" s="13" t="s">
        <v>1370</v>
      </c>
      <c r="C25" s="13" t="s">
        <v>1390</v>
      </c>
      <c r="D25" s="13" t="n">
        <v>2020</v>
      </c>
      <c r="E25" s="50" t="n">
        <f aca="false">CF!C41</f>
        <v>629608688874</v>
      </c>
      <c r="F25" s="50" t="n">
        <f aca="false">CF!C50</f>
        <v>629608688874</v>
      </c>
      <c r="G25" s="100" t="n">
        <f aca="false">IF(COUNT(E25:F25)=2,E25-F25,"")</f>
        <v>0</v>
      </c>
      <c r="H25" s="101" t="n">
        <v>1</v>
      </c>
      <c r="I25" s="4" t="str">
        <f aca="false">IF(COUNT(E25:F25)&lt;2,"N/A",IF(ABS(G25)&lt;=H25,"OK","❌"))</f>
        <v>OK</v>
      </c>
      <c r="J25" s="101" t="s">
        <v>1372</v>
      </c>
      <c r="K25" s="4" t="str">
        <f aca="false">IF(I25=J25,"✔ sesuai","✖ TIDAK sesuai")</f>
        <v>✔ sesuai</v>
      </c>
      <c r="L25" s="102"/>
    </row>
    <row r="26" customFormat="false" ht="15" hidden="false" customHeight="false" outlineLevel="0" collapsed="false">
      <c r="A26" s="13" t="n">
        <v>20</v>
      </c>
      <c r="B26" s="13" t="s">
        <v>1391</v>
      </c>
      <c r="C26" s="13" t="s">
        <v>1392</v>
      </c>
      <c r="D26" s="13" t="n">
        <v>2020</v>
      </c>
      <c r="E26" s="50" t="n">
        <f aca="false">BS!C27</f>
        <v>4346329088006</v>
      </c>
      <c r="F26" s="50" t="n">
        <f aca="false">BS!C63</f>
        <v>4346329088006</v>
      </c>
      <c r="G26" s="100" t="n">
        <f aca="false">IF(COUNT(E26:F26)=2,E26-F26,"")</f>
        <v>0</v>
      </c>
      <c r="H26" s="101" t="n">
        <v>1</v>
      </c>
      <c r="I26" s="4" t="str">
        <f aca="false">IF(COUNT(E26:F26)&lt;2,"N/A",IF(ABS(G26)&lt;=H26,"OK","❌"))</f>
        <v>OK</v>
      </c>
      <c r="J26" s="101" t="s">
        <v>1372</v>
      </c>
      <c r="K26" s="4" t="str">
        <f aca="false">IF(I26=J26,"✔ sesuai","✖ TIDAK sesuai")</f>
        <v>✔ sesuai</v>
      </c>
      <c r="L26" s="102"/>
    </row>
    <row r="27" customFormat="false" ht="15" hidden="false" customHeight="false" outlineLevel="0" collapsed="false">
      <c r="A27" s="13" t="n">
        <v>21</v>
      </c>
      <c r="B27" s="13" t="s">
        <v>1391</v>
      </c>
      <c r="C27" s="13" t="s">
        <v>1393</v>
      </c>
      <c r="D27" s="13" t="n">
        <v>2020</v>
      </c>
      <c r="E27" s="50" t="n">
        <f aca="false">IS!C19</f>
        <v>-14498057988</v>
      </c>
      <c r="F27" s="50" t="n">
        <f aca="false">IS!C26+IS!C27</f>
        <v>-14498057988</v>
      </c>
      <c r="G27" s="100" t="n">
        <f aca="false">IF(COUNT(E27:F27)=2,E27-F27,"")</f>
        <v>0</v>
      </c>
      <c r="H27" s="101" t="n">
        <v>1</v>
      </c>
      <c r="I27" s="4" t="str">
        <f aca="false">IF(COUNT(E27:F27)&lt;2,"N/A",IF(ABS(G27)&lt;=H27,"OK","❌"))</f>
        <v>OK</v>
      </c>
      <c r="J27" s="101" t="s">
        <v>1372</v>
      </c>
      <c r="K27" s="4" t="str">
        <f aca="false">IF(I27=J27,"✔ sesuai","✖ TIDAK sesuai")</f>
        <v>✔ sesuai</v>
      </c>
      <c r="L27" s="102"/>
    </row>
    <row r="28" customFormat="false" ht="15" hidden="false" customHeight="false" outlineLevel="0" collapsed="false">
      <c r="A28" s="13" t="n">
        <v>22</v>
      </c>
      <c r="B28" s="13" t="s">
        <v>1391</v>
      </c>
      <c r="C28" s="13" t="s">
        <v>1394</v>
      </c>
      <c r="D28" s="13" t="n">
        <v>2020</v>
      </c>
      <c r="E28" s="50" t="n">
        <f aca="false">IS!C24</f>
        <v>-9501240248</v>
      </c>
      <c r="F28" s="50" t="n">
        <f aca="false">IS!C28+IS!C29</f>
        <v>-9501240248</v>
      </c>
      <c r="G28" s="100" t="n">
        <f aca="false">IF(COUNT(E28:F28)=2,E28-F28,"")</f>
        <v>0</v>
      </c>
      <c r="H28" s="101" t="n">
        <v>1</v>
      </c>
      <c r="I28" s="4" t="str">
        <f aca="false">IF(COUNT(E28:F28)&lt;2,"N/A",IF(ABS(G28)&lt;=H28,"OK","❌"))</f>
        <v>OK</v>
      </c>
      <c r="J28" s="101" t="s">
        <v>1372</v>
      </c>
      <c r="K28" s="4" t="str">
        <f aca="false">IF(I28=J28,"✔ sesuai","✖ TIDAK sesuai")</f>
        <v>✔ sesuai</v>
      </c>
      <c r="L28" s="102"/>
    </row>
    <row r="29" customFormat="false" ht="15" hidden="false" customHeight="false" outlineLevel="0" collapsed="false">
      <c r="A29" s="13" t="n">
        <v>23</v>
      </c>
      <c r="B29" s="13" t="s">
        <v>1391</v>
      </c>
      <c r="C29" s="13" t="s">
        <v>1395</v>
      </c>
      <c r="D29" s="13" t="n">
        <v>2020</v>
      </c>
      <c r="E29" s="50" t="n">
        <f aca="false">CF!C41+N(CF!C44)</f>
        <v>629608688874</v>
      </c>
      <c r="F29" s="50" t="n">
        <f aca="false">BS!C6</f>
        <v>629608688874</v>
      </c>
      <c r="G29" s="100" t="n">
        <f aca="false">IF(COUNT(E29:F29)=2,E29-F29,"")</f>
        <v>0</v>
      </c>
      <c r="H29" s="101" t="n">
        <v>1</v>
      </c>
      <c r="I29" s="4" t="str">
        <f aca="false">IF(COUNT(E29:F29)&lt;2,"N/A",IF(ABS(G29)&lt;=H29,"OK","❌"))</f>
        <v>OK</v>
      </c>
      <c r="J29" s="101" t="s">
        <v>1372</v>
      </c>
      <c r="K29" s="4" t="str">
        <f aca="false">IF(I29=J29,"✔ sesuai","✖ TIDAK sesuai")</f>
        <v>✔ sesuai</v>
      </c>
      <c r="L29" s="102"/>
    </row>
    <row r="30" customFormat="false" ht="15" hidden="false" customHeight="false" outlineLevel="0" collapsed="false">
      <c r="A30" s="13" t="n">
        <v>24</v>
      </c>
      <c r="B30" s="13" t="s">
        <v>1391</v>
      </c>
      <c r="C30" s="13" t="s">
        <v>1396</v>
      </c>
      <c r="D30" s="13" t="n">
        <v>2020</v>
      </c>
      <c r="E30" s="61" t="n">
        <v>0</v>
      </c>
      <c r="F30" s="50" t="n">
        <f aca="false">CF!C36</f>
        <v>0</v>
      </c>
      <c r="G30" s="100" t="n">
        <f aca="false">IF(COUNT(E30:F30)=2,E30-F30,"")</f>
        <v>0</v>
      </c>
      <c r="H30" s="101" t="n">
        <v>1</v>
      </c>
      <c r="I30" s="4" t="str">
        <f aca="false">IF(COUNT(E30:F30)&lt;2,"N/A",IF(ABS(G30)&lt;=H30,"OK","❌"))</f>
        <v>OK</v>
      </c>
      <c r="J30" s="101" t="s">
        <v>1372</v>
      </c>
      <c r="K30" s="4" t="str">
        <f aca="false">IF(I30=J30,"✔ sesuai","✖ TIDAK sesuai")</f>
        <v>✔ sesuai</v>
      </c>
      <c r="L30" s="102" t="s">
        <v>1397</v>
      </c>
    </row>
    <row r="31" customFormat="false" ht="15" hidden="false" customHeight="false" outlineLevel="0" collapsed="false">
      <c r="A31" s="13" t="n">
        <v>25</v>
      </c>
      <c r="B31" s="13" t="s">
        <v>1398</v>
      </c>
      <c r="C31" s="13" t="s">
        <v>1399</v>
      </c>
      <c r="D31" s="13" t="n">
        <v>2020</v>
      </c>
      <c r="E31" s="50" t="n">
        <f aca="false">Schedules!C10</f>
        <v>1283798609174</v>
      </c>
      <c r="F31" s="50" t="n">
        <f aca="false">IS!C6</f>
        <v>1283798609174</v>
      </c>
      <c r="G31" s="100" t="n">
        <f aca="false">IF(COUNT(E31:F31)=2,E31-F31,"")</f>
        <v>0</v>
      </c>
      <c r="H31" s="101" t="n">
        <v>1</v>
      </c>
      <c r="I31" s="4" t="str">
        <f aca="false">IF(COUNT(E31:F31)&lt;2,"N/A",IF(ABS(G31)&lt;=H31,"OK","❌"))</f>
        <v>OK</v>
      </c>
      <c r="J31" s="101" t="s">
        <v>1372</v>
      </c>
      <c r="K31" s="4" t="str">
        <f aca="false">IF(I31=J31,"✔ sesuai","✖ TIDAK sesuai")</f>
        <v>✔ sesuai</v>
      </c>
      <c r="L31" s="102"/>
    </row>
    <row r="32" customFormat="false" ht="15" hidden="false" customHeight="false" outlineLevel="0" collapsed="false">
      <c r="A32" s="13" t="n">
        <v>26</v>
      </c>
      <c r="B32" s="13" t="s">
        <v>1398</v>
      </c>
      <c r="C32" s="13" t="s">
        <v>1400</v>
      </c>
      <c r="D32" s="13" t="n">
        <v>2020</v>
      </c>
      <c r="E32" s="50" t="n">
        <f aca="false">Schedules!C58</f>
        <v>1283798609174</v>
      </c>
      <c r="F32" s="50" t="n">
        <f aca="false">IS!C6</f>
        <v>1283798609174</v>
      </c>
      <c r="G32" s="100" t="n">
        <f aca="false">IF(COUNT(E32:F32)=2,E32-F32,"")</f>
        <v>0</v>
      </c>
      <c r="H32" s="101" t="n">
        <v>1</v>
      </c>
      <c r="I32" s="4" t="str">
        <f aca="false">IF(COUNT(E32:F32)&lt;2,"N/A",IF(ABS(G32)&lt;=H32,"OK","❌"))</f>
        <v>OK</v>
      </c>
      <c r="J32" s="101" t="s">
        <v>1372</v>
      </c>
      <c r="K32" s="4" t="str">
        <f aca="false">IF(I32=J32,"✔ sesuai","✖ TIDAK sesuai")</f>
        <v>✔ sesuai</v>
      </c>
      <c r="L32" s="102"/>
    </row>
    <row r="33" customFormat="false" ht="15" hidden="false" customHeight="false" outlineLevel="0" collapsed="false">
      <c r="A33" s="13" t="n">
        <v>27</v>
      </c>
      <c r="B33" s="13" t="s">
        <v>1398</v>
      </c>
      <c r="C33" s="13" t="s">
        <v>1401</v>
      </c>
      <c r="D33" s="13" t="n">
        <v>2020</v>
      </c>
      <c r="E33" s="50" t="n">
        <f aca="false">Schedules!C77</f>
        <v>864698280519</v>
      </c>
      <c r="F33" s="50" t="n">
        <f aca="false">-IS!C7</f>
        <v>864698280519</v>
      </c>
      <c r="G33" s="100" t="n">
        <f aca="false">IF(COUNT(E33:F33)=2,E33-F33,"")</f>
        <v>0</v>
      </c>
      <c r="H33" s="101" t="n">
        <v>1</v>
      </c>
      <c r="I33" s="4" t="str">
        <f aca="false">IF(COUNT(E33:F33)&lt;2,"N/A",IF(ABS(G33)&lt;=H33,"OK","❌"))</f>
        <v>OK</v>
      </c>
      <c r="J33" s="101" t="s">
        <v>1372</v>
      </c>
      <c r="K33" s="4" t="str">
        <f aca="false">IF(I33=J33,"✔ sesuai","✖ TIDAK sesuai")</f>
        <v>✔ sesuai</v>
      </c>
      <c r="L33" s="102"/>
    </row>
    <row r="34" customFormat="false" ht="15" hidden="false" customHeight="false" outlineLevel="0" collapsed="false">
      <c r="A34" s="13" t="n">
        <v>28</v>
      </c>
      <c r="B34" s="13" t="s">
        <v>1398</v>
      </c>
      <c r="C34" s="13" t="s">
        <v>1402</v>
      </c>
      <c r="D34" s="13" t="n">
        <v>2020</v>
      </c>
      <c r="E34" s="50" t="n">
        <f aca="false">Schedules!C106</f>
        <v>392704802139</v>
      </c>
      <c r="F34" s="50" t="n">
        <f aca="false">-IS!C10</f>
        <v>392704802139</v>
      </c>
      <c r="G34" s="100" t="n">
        <f aca="false">IF(COUNT(E34:F34)=2,E34-F34,"")</f>
        <v>0</v>
      </c>
      <c r="H34" s="101" t="n">
        <v>1</v>
      </c>
      <c r="I34" s="4" t="str">
        <f aca="false">IF(COUNT(E34:F34)&lt;2,"N/A",IF(ABS(G34)&lt;=H34,"OK","❌"))</f>
        <v>OK</v>
      </c>
      <c r="J34" s="101" t="s">
        <v>1372</v>
      </c>
      <c r="K34" s="4" t="str">
        <f aca="false">IF(I34=J34,"✔ sesuai","✖ TIDAK sesuai")</f>
        <v>✔ sesuai</v>
      </c>
      <c r="L34" s="102"/>
    </row>
    <row r="35" customFormat="false" ht="15" hidden="false" customHeight="false" outlineLevel="0" collapsed="false">
      <c r="A35" s="13" t="n">
        <v>29</v>
      </c>
      <c r="B35" s="13" t="s">
        <v>1398</v>
      </c>
      <c r="C35" s="13" t="s">
        <v>1403</v>
      </c>
      <c r="D35" s="13" t="n">
        <v>2020</v>
      </c>
      <c r="E35" s="50" t="n">
        <f aca="false">Schedules!C130</f>
        <v>28429533228</v>
      </c>
      <c r="F35" s="50" t="n">
        <f aca="false">IS!C12</f>
        <v>28429533228</v>
      </c>
      <c r="G35" s="100" t="n">
        <f aca="false">IF(COUNT(E35:F35)=2,E35-F35,"")</f>
        <v>0</v>
      </c>
      <c r="H35" s="101" t="n">
        <v>1</v>
      </c>
      <c r="I35" s="4" t="str">
        <f aca="false">IF(COUNT(E35:F35)&lt;2,"N/A",IF(ABS(G35)&lt;=H35,"OK","❌"))</f>
        <v>OK</v>
      </c>
      <c r="J35" s="101" t="s">
        <v>1372</v>
      </c>
      <c r="K35" s="4" t="str">
        <f aca="false">IF(I35=J35,"✔ sesuai","✖ TIDAK sesuai")</f>
        <v>✔ sesuai</v>
      </c>
      <c r="L35" s="102"/>
    </row>
    <row r="36" customFormat="false" ht="15" hidden="false" customHeight="false" outlineLevel="0" collapsed="false">
      <c r="A36" s="13" t="n">
        <v>30</v>
      </c>
      <c r="B36" s="13" t="s">
        <v>1398</v>
      </c>
      <c r="C36" s="13" t="s">
        <v>1404</v>
      </c>
      <c r="D36" s="13" t="n">
        <v>2020</v>
      </c>
      <c r="E36" s="50" t="n">
        <f aca="false">Schedules!C44</f>
        <v>2641613456689</v>
      </c>
      <c r="F36" s="50" t="n">
        <f aca="false">BS!C19</f>
        <v>2641613456689</v>
      </c>
      <c r="G36" s="100" t="n">
        <f aca="false">IF(COUNT(E36:F36)=2,E36-F36,"")</f>
        <v>0</v>
      </c>
      <c r="H36" s="101" t="n">
        <v>1</v>
      </c>
      <c r="I36" s="4" t="str">
        <f aca="false">IF(COUNT(E36:F36)&lt;2,"N/A",IF(ABS(G36)&lt;=H36,"OK","❌"))</f>
        <v>OK</v>
      </c>
      <c r="J36" s="101" t="s">
        <v>1372</v>
      </c>
      <c r="K36" s="4" t="str">
        <f aca="false">IF(I36=J36,"✔ sesuai","✖ TIDAK sesuai")</f>
        <v>✔ sesuai</v>
      </c>
      <c r="L36" s="102"/>
    </row>
    <row r="37" customFormat="false" ht="15" hidden="false" customHeight="false" outlineLevel="0" collapsed="false">
      <c r="A37" s="13" t="n">
        <v>31</v>
      </c>
      <c r="B37" s="13" t="s">
        <v>1405</v>
      </c>
      <c r="C37" s="13" t="s">
        <v>1406</v>
      </c>
      <c r="D37" s="13" t="n">
        <v>2020</v>
      </c>
      <c r="E37" s="50" t="n">
        <f aca="false">Schedules!C14</f>
        <v>103003029087</v>
      </c>
      <c r="F37" s="50" t="n">
        <f aca="false">Schedules!C15</f>
        <v>103003029087</v>
      </c>
      <c r="G37" s="100" t="n">
        <f aca="false">IF(COUNT(E37:F37)=2,E37-F37,"")</f>
        <v>0</v>
      </c>
      <c r="H37" s="101" t="n">
        <v>1</v>
      </c>
      <c r="I37" s="4" t="str">
        <f aca="false">IF(COUNT(E37:F37)&lt;2,"N/A",IF(ABS(G37)&lt;=H37,"OK","❌"))</f>
        <v>OK</v>
      </c>
      <c r="J37" s="101" t="s">
        <v>1372</v>
      </c>
      <c r="K37" s="4" t="str">
        <f aca="false">IF(I37=J37,"✔ sesuai","✖ TIDAK sesuai")</f>
        <v>✔ sesuai</v>
      </c>
      <c r="L37" s="102"/>
    </row>
    <row r="38" customFormat="false" ht="15" hidden="false" customHeight="false" outlineLevel="0" collapsed="false">
      <c r="A38" s="13" t="n">
        <v>32</v>
      </c>
      <c r="B38" s="13" t="s">
        <v>1405</v>
      </c>
      <c r="C38" s="13" t="s">
        <v>1407</v>
      </c>
      <c r="D38" s="13" t="n">
        <v>2020</v>
      </c>
      <c r="E38" s="50" t="n">
        <f aca="false">Schedules!C35</f>
        <v>3371822743790</v>
      </c>
      <c r="F38" s="50" t="n">
        <f aca="false">Schedules!C34</f>
        <v>3371822743790</v>
      </c>
      <c r="G38" s="100" t="n">
        <f aca="false">IF(COUNT(E38:F38)=2,E38-F38,"")</f>
        <v>0</v>
      </c>
      <c r="H38" s="101" t="n">
        <v>1</v>
      </c>
      <c r="I38" s="4" t="str">
        <f aca="false">IF(COUNT(E38:F38)&lt;2,"N/A",IF(ABS(G38)&lt;=H38,"OK","❌"))</f>
        <v>OK</v>
      </c>
      <c r="J38" s="101" t="s">
        <v>1372</v>
      </c>
      <c r="K38" s="4" t="str">
        <f aca="false">IF(I38=J38,"✔ sesuai","✖ TIDAK sesuai")</f>
        <v>✔ sesuai</v>
      </c>
      <c r="L38" s="102"/>
    </row>
    <row r="39" customFormat="false" ht="15" hidden="false" customHeight="false" outlineLevel="0" collapsed="false">
      <c r="A39" s="13" t="n">
        <v>33</v>
      </c>
      <c r="B39" s="13" t="s">
        <v>1405</v>
      </c>
      <c r="C39" s="13" t="s">
        <v>1408</v>
      </c>
      <c r="D39" s="13" t="n">
        <v>2020</v>
      </c>
      <c r="E39" s="50" t="n">
        <f aca="false">Schedules!C43</f>
        <v>-730209287101</v>
      </c>
      <c r="F39" s="50" t="n">
        <f aca="false">Schedules!C42</f>
        <v>-730209287101</v>
      </c>
      <c r="G39" s="100" t="n">
        <f aca="false">IF(COUNT(E39:F39)=2,E39-F39,"")</f>
        <v>0</v>
      </c>
      <c r="H39" s="101" t="n">
        <v>1</v>
      </c>
      <c r="I39" s="4" t="str">
        <f aca="false">IF(COUNT(E39:F39)&lt;2,"N/A",IF(ABS(G39)&lt;=H39,"OK","❌"))</f>
        <v>OK</v>
      </c>
      <c r="J39" s="101" t="s">
        <v>1372</v>
      </c>
      <c r="K39" s="4" t="str">
        <f aca="false">IF(I39=J39,"✔ sesuai","✖ TIDAK sesuai")</f>
        <v>✔ sesuai</v>
      </c>
      <c r="L39" s="102"/>
    </row>
    <row r="40" customFormat="false" ht="15" hidden="false" customHeight="false" outlineLevel="0" collapsed="false">
      <c r="A40" s="13" t="n">
        <v>34</v>
      </c>
      <c r="B40" s="13" t="s">
        <v>1405</v>
      </c>
      <c r="C40" s="13" t="s">
        <v>1409</v>
      </c>
      <c r="D40" s="13" t="n">
        <v>2020</v>
      </c>
      <c r="E40" s="50" t="n">
        <f aca="false">Schedules!C67</f>
        <v>1283798609174</v>
      </c>
      <c r="F40" s="50" t="n">
        <f aca="false">Schedules!C58</f>
        <v>1283798609174</v>
      </c>
      <c r="G40" s="100" t="n">
        <f aca="false">IF(COUNT(E40:F40)=2,E40-F40,"")</f>
        <v>0</v>
      </c>
      <c r="H40" s="101" t="n">
        <v>1</v>
      </c>
      <c r="I40" s="4" t="str">
        <f aca="false">IF(COUNT(E40:F40)&lt;2,"N/A",IF(ABS(G40)&lt;=H40,"OK","❌"))</f>
        <v>OK</v>
      </c>
      <c r="J40" s="101" t="s">
        <v>1372</v>
      </c>
      <c r="K40" s="4" t="str">
        <f aca="false">IF(I40=J40,"✔ sesuai","✖ TIDAK sesuai")</f>
        <v>✔ sesuai</v>
      </c>
      <c r="L40" s="102"/>
    </row>
    <row r="41" customFormat="false" ht="15" hidden="false" customHeight="false" outlineLevel="0" collapsed="false">
      <c r="A41" s="13" t="n">
        <v>35</v>
      </c>
      <c r="B41" s="13" t="s">
        <v>1405</v>
      </c>
      <c r="C41" s="13" t="s">
        <v>1410</v>
      </c>
      <c r="D41" s="13" t="n">
        <v>2020</v>
      </c>
      <c r="E41" s="50" t="n">
        <f aca="false">Schedules!C85</f>
        <v>864698280519</v>
      </c>
      <c r="F41" s="50" t="n">
        <f aca="false">Schedules!C77</f>
        <v>864698280519</v>
      </c>
      <c r="G41" s="100" t="n">
        <f aca="false">IF(COUNT(E41:F41)=2,E41-F41,"")</f>
        <v>0</v>
      </c>
      <c r="H41" s="101" t="n">
        <v>1</v>
      </c>
      <c r="I41" s="4" t="str">
        <f aca="false">IF(COUNT(E41:F41)&lt;2,"N/A",IF(ABS(G41)&lt;=H41,"OK","❌"))</f>
        <v>OK</v>
      </c>
      <c r="J41" s="101" t="s">
        <v>1372</v>
      </c>
      <c r="K41" s="4" t="str">
        <f aca="false">IF(I41=J41,"✔ sesuai","✖ TIDAK sesuai")</f>
        <v>✔ sesuai</v>
      </c>
      <c r="L41" s="102"/>
    </row>
    <row r="42" customFormat="false" ht="15" hidden="false" customHeight="false" outlineLevel="0" collapsed="false">
      <c r="A42" s="13" t="n">
        <v>36</v>
      </c>
      <c r="B42" s="13" t="s">
        <v>1405</v>
      </c>
      <c r="C42" s="13" t="s">
        <v>1411</v>
      </c>
      <c r="D42" s="13" t="n">
        <v>2020</v>
      </c>
      <c r="E42" s="50" t="n">
        <f aca="false">Schedules!C120</f>
        <v>392704802139</v>
      </c>
      <c r="F42" s="50" t="n">
        <f aca="false">Schedules!C106</f>
        <v>392704802139</v>
      </c>
      <c r="G42" s="100" t="n">
        <f aca="false">IF(COUNT(E42:F42)=2,E42-F42,"")</f>
        <v>0</v>
      </c>
      <c r="H42" s="101" t="n">
        <v>1</v>
      </c>
      <c r="I42" s="4" t="str">
        <f aca="false">IF(COUNT(E42:F42)&lt;2,"N/A",IF(ABS(G42)&lt;=H42,"OK","❌"))</f>
        <v>OK</v>
      </c>
      <c r="J42" s="101" t="s">
        <v>1372</v>
      </c>
      <c r="K42" s="4" t="str">
        <f aca="false">IF(I42=J42,"✔ sesuai","✖ TIDAK sesuai")</f>
        <v>✔ sesuai</v>
      </c>
      <c r="L42" s="102"/>
    </row>
    <row r="43" customFormat="false" ht="15" hidden="false" customHeight="false" outlineLevel="0" collapsed="false">
      <c r="A43" s="13" t="n">
        <v>37</v>
      </c>
      <c r="B43" s="13" t="s">
        <v>1405</v>
      </c>
      <c r="C43" s="13" t="s">
        <v>1412</v>
      </c>
      <c r="D43" s="13" t="n">
        <v>2020</v>
      </c>
      <c r="E43" s="50" t="n">
        <f aca="false">Schedules!C148</f>
        <v>28429533228</v>
      </c>
      <c r="F43" s="50" t="n">
        <f aca="false">Schedules!C130</f>
        <v>28429533228</v>
      </c>
      <c r="G43" s="100" t="n">
        <f aca="false">IF(COUNT(E43:F43)=2,E43-F43,"")</f>
        <v>0</v>
      </c>
      <c r="H43" s="101" t="n">
        <v>1</v>
      </c>
      <c r="I43" s="4" t="str">
        <f aca="false">IF(COUNT(E43:F43)&lt;2,"N/A",IF(ABS(G43)&lt;=H43,"OK","❌"))</f>
        <v>OK</v>
      </c>
      <c r="J43" s="101" t="s">
        <v>1372</v>
      </c>
      <c r="K43" s="4" t="str">
        <f aca="false">IF(I43=J43,"✔ sesuai","✖ TIDAK sesuai")</f>
        <v>✔ sesuai</v>
      </c>
      <c r="L43" s="102"/>
    </row>
    <row r="44" customFormat="false" ht="15" hidden="false" customHeight="false" outlineLevel="0" collapsed="false">
      <c r="A44" s="13" t="n">
        <v>38</v>
      </c>
      <c r="B44" s="13" t="s">
        <v>1413</v>
      </c>
      <c r="C44" s="13" t="s">
        <v>1414</v>
      </c>
      <c r="D44" s="13" t="n">
        <v>2020</v>
      </c>
      <c r="E44" s="50" t="n">
        <f aca="false">IS!C30</f>
        <v>-1.2</v>
      </c>
      <c r="F44" s="50" t="n">
        <f aca="false">ROUND(IS!C26/Schedules!C22,2)</f>
        <v>-1.2</v>
      </c>
      <c r="G44" s="100" t="n">
        <f aca="false">IF(COUNT(E44:F44)=2,E44-F44,"")</f>
        <v>0</v>
      </c>
      <c r="H44" s="101" t="n">
        <v>1</v>
      </c>
      <c r="I44" s="4" t="str">
        <f aca="false">IF(COUNT(E44:F44)&lt;2,"N/A",IF(ABS(G44)&lt;=H44,"OK","❌"))</f>
        <v>OK</v>
      </c>
      <c r="J44" s="101" t="s">
        <v>1372</v>
      </c>
      <c r="K44" s="4" t="str">
        <f aca="false">IF(I44=J44,"✔ sesuai","✖ TIDAK sesuai")</f>
        <v>✔ sesuai</v>
      </c>
      <c r="L44" s="102"/>
    </row>
    <row r="45" customFormat="false" ht="15" hidden="false" customHeight="false" outlineLevel="0" collapsed="false">
      <c r="A45" s="13" t="n">
        <v>39</v>
      </c>
      <c r="B45" s="13" t="s">
        <v>1370</v>
      </c>
      <c r="C45" s="13" t="s">
        <v>1371</v>
      </c>
      <c r="D45" s="13" t="n">
        <v>2021</v>
      </c>
      <c r="E45" s="50" t="n">
        <f aca="false">IS!D8</f>
        <v>705032736652</v>
      </c>
      <c r="F45" s="50" t="n">
        <f aca="false">IS!D32</f>
        <v>705032736652</v>
      </c>
      <c r="G45" s="100" t="n">
        <f aca="false">IF(COUNT(E45:F45)=2,E45-F45,"")</f>
        <v>0</v>
      </c>
      <c r="H45" s="101" t="n">
        <v>1</v>
      </c>
      <c r="I45" s="4" t="str">
        <f aca="false">IF(COUNT(E45:F45)&lt;2,"N/A",IF(ABS(G45)&lt;=H45,"OK","❌"))</f>
        <v>OK</v>
      </c>
      <c r="J45" s="101" t="s">
        <v>1372</v>
      </c>
      <c r="K45" s="4" t="str">
        <f aca="false">IF(I45=J45,"✔ sesuai","✖ TIDAK sesuai")</f>
        <v>✔ sesuai</v>
      </c>
      <c r="L45" s="102"/>
    </row>
    <row r="46" customFormat="false" ht="15" hidden="false" customHeight="false" outlineLevel="0" collapsed="false">
      <c r="A46" s="13" t="n">
        <v>40</v>
      </c>
      <c r="B46" s="13" t="s">
        <v>1370</v>
      </c>
      <c r="C46" s="13" t="s">
        <v>1373</v>
      </c>
      <c r="D46" s="13" t="n">
        <v>2021</v>
      </c>
      <c r="E46" s="50" t="n">
        <f aca="false">IS!D17</f>
        <v>156419509835</v>
      </c>
      <c r="F46" s="50" t="n">
        <f aca="false">IS!D33</f>
        <v>156419509835</v>
      </c>
      <c r="G46" s="100" t="n">
        <f aca="false">IF(COUNT(E46:F46)=2,E46-F46,"")</f>
        <v>0</v>
      </c>
      <c r="H46" s="101" t="n">
        <v>1</v>
      </c>
      <c r="I46" s="4" t="str">
        <f aca="false">IF(COUNT(E46:F46)&lt;2,"N/A",IF(ABS(G46)&lt;=H46,"OK","❌"))</f>
        <v>OK</v>
      </c>
      <c r="J46" s="101" t="s">
        <v>1372</v>
      </c>
      <c r="K46" s="4" t="str">
        <f aca="false">IF(I46=J46,"✔ sesuai","✖ TIDAK sesuai")</f>
        <v>✔ sesuai</v>
      </c>
      <c r="L46" s="102"/>
    </row>
    <row r="47" customFormat="false" ht="15" hidden="false" customHeight="false" outlineLevel="0" collapsed="false">
      <c r="A47" s="13" t="n">
        <v>41</v>
      </c>
      <c r="B47" s="13" t="s">
        <v>1370</v>
      </c>
      <c r="C47" s="13" t="s">
        <v>1374</v>
      </c>
      <c r="D47" s="13" t="n">
        <v>2021</v>
      </c>
      <c r="E47" s="50" t="n">
        <f aca="false">IS!D19</f>
        <v>165604046574</v>
      </c>
      <c r="F47" s="50" t="n">
        <f aca="false">IS!D34</f>
        <v>165604046574</v>
      </c>
      <c r="G47" s="100" t="n">
        <f aca="false">IF(COUNT(E47:F47)=2,E47-F47,"")</f>
        <v>0</v>
      </c>
      <c r="H47" s="101" t="n">
        <v>1</v>
      </c>
      <c r="I47" s="4" t="str">
        <f aca="false">IF(COUNT(E47:F47)&lt;2,"N/A",IF(ABS(G47)&lt;=H47,"OK","❌"))</f>
        <v>OK</v>
      </c>
      <c r="J47" s="101" t="s">
        <v>1372</v>
      </c>
      <c r="K47" s="4" t="str">
        <f aca="false">IF(I47=J47,"✔ sesuai","✖ TIDAK sesuai")</f>
        <v>✔ sesuai</v>
      </c>
      <c r="L47" s="102"/>
    </row>
    <row r="48" customFormat="false" ht="15" hidden="false" customHeight="false" outlineLevel="0" collapsed="false">
      <c r="A48" s="13" t="n">
        <v>42</v>
      </c>
      <c r="B48" s="13" t="s">
        <v>1370</v>
      </c>
      <c r="C48" s="13" t="s">
        <v>1375</v>
      </c>
      <c r="D48" s="13" t="n">
        <v>2021</v>
      </c>
      <c r="E48" s="50" t="n">
        <f aca="false">IS!D23</f>
        <v>7062226345</v>
      </c>
      <c r="F48" s="50" t="n">
        <f aca="false">IS!D35</f>
        <v>7062226345</v>
      </c>
      <c r="G48" s="100" t="n">
        <f aca="false">IF(COUNT(E48:F48)=2,E48-F48,"")</f>
        <v>0</v>
      </c>
      <c r="H48" s="101" t="n">
        <v>1</v>
      </c>
      <c r="I48" s="4" t="str">
        <f aca="false">IF(COUNT(E48:F48)&lt;2,"N/A",IF(ABS(G48)&lt;=H48,"OK","❌"))</f>
        <v>OK</v>
      </c>
      <c r="J48" s="101" t="s">
        <v>1372</v>
      </c>
      <c r="K48" s="4" t="str">
        <f aca="false">IF(I48=J48,"✔ sesuai","✖ TIDAK sesuai")</f>
        <v>✔ sesuai</v>
      </c>
      <c r="L48" s="102"/>
    </row>
    <row r="49" customFormat="false" ht="15" hidden="false" customHeight="false" outlineLevel="0" collapsed="false">
      <c r="A49" s="13" t="n">
        <v>43</v>
      </c>
      <c r="B49" s="13" t="s">
        <v>1370</v>
      </c>
      <c r="C49" s="13" t="s">
        <v>1376</v>
      </c>
      <c r="D49" s="13" t="n">
        <v>2021</v>
      </c>
      <c r="E49" s="50" t="n">
        <f aca="false">IS!D24</f>
        <v>172666272919</v>
      </c>
      <c r="F49" s="50" t="n">
        <f aca="false">IS!D36</f>
        <v>172666272919</v>
      </c>
      <c r="G49" s="100" t="n">
        <f aca="false">IF(COUNT(E49:F49)=2,E49-F49,"")</f>
        <v>0</v>
      </c>
      <c r="H49" s="101" t="n">
        <v>1</v>
      </c>
      <c r="I49" s="4" t="str">
        <f aca="false">IF(COUNT(E49:F49)&lt;2,"N/A",IF(ABS(G49)&lt;=H49,"OK","❌"))</f>
        <v>OK</v>
      </c>
      <c r="J49" s="101" t="s">
        <v>1372</v>
      </c>
      <c r="K49" s="4" t="str">
        <f aca="false">IF(I49=J49,"✔ sesuai","✖ TIDAK sesuai")</f>
        <v>✔ sesuai</v>
      </c>
      <c r="L49" s="102"/>
    </row>
    <row r="50" customFormat="false" ht="15" hidden="false" customHeight="false" outlineLevel="0" collapsed="false">
      <c r="A50" s="13" t="n">
        <v>44</v>
      </c>
      <c r="B50" s="13" t="s">
        <v>1370</v>
      </c>
      <c r="C50" s="13" t="s">
        <v>1377</v>
      </c>
      <c r="D50" s="13" t="n">
        <v>2021</v>
      </c>
      <c r="E50" s="50" t="n">
        <f aca="false">BS!D16</f>
        <v>1021454537372</v>
      </c>
      <c r="F50" s="50" t="n">
        <f aca="false">BS!D68</f>
        <v>1021454537372</v>
      </c>
      <c r="G50" s="100" t="n">
        <f aca="false">IF(COUNT(E50:F50)=2,E50-F50,"")</f>
        <v>0</v>
      </c>
      <c r="H50" s="101" t="n">
        <v>1</v>
      </c>
      <c r="I50" s="4" t="str">
        <f aca="false">IF(COUNT(E50:F50)&lt;2,"N/A",IF(ABS(G50)&lt;=H50,"OK","❌"))</f>
        <v>OK</v>
      </c>
      <c r="J50" s="101" t="s">
        <v>1372</v>
      </c>
      <c r="K50" s="4" t="str">
        <f aca="false">IF(I50=J50,"✔ sesuai","✖ TIDAK sesuai")</f>
        <v>✔ sesuai</v>
      </c>
      <c r="L50" s="102"/>
    </row>
    <row r="51" customFormat="false" ht="15" hidden="false" customHeight="false" outlineLevel="0" collapsed="false">
      <c r="A51" s="13" t="n">
        <v>45</v>
      </c>
      <c r="B51" s="13" t="s">
        <v>1370</v>
      </c>
      <c r="C51" s="13" t="s">
        <v>1378</v>
      </c>
      <c r="D51" s="13" t="n">
        <v>2021</v>
      </c>
      <c r="E51" s="50" t="n">
        <f aca="false">BS!D26</f>
        <v>3850352070989</v>
      </c>
      <c r="F51" s="50" t="n">
        <f aca="false">BS!D69</f>
        <v>3850352070989</v>
      </c>
      <c r="G51" s="100" t="n">
        <f aca="false">IF(COUNT(E51:F51)=2,E51-F51,"")</f>
        <v>0</v>
      </c>
      <c r="H51" s="101" t="n">
        <v>1</v>
      </c>
      <c r="I51" s="4" t="str">
        <f aca="false">IF(COUNT(E51:F51)&lt;2,"N/A",IF(ABS(G51)&lt;=H51,"OK","❌"))</f>
        <v>OK</v>
      </c>
      <c r="J51" s="101" t="s">
        <v>1372</v>
      </c>
      <c r="K51" s="4" t="str">
        <f aca="false">IF(I51=J51,"✔ sesuai","✖ TIDAK sesuai")</f>
        <v>✔ sesuai</v>
      </c>
      <c r="L51" s="102"/>
    </row>
    <row r="52" customFormat="false" ht="15" hidden="false" customHeight="false" outlineLevel="0" collapsed="false">
      <c r="A52" s="13" t="n">
        <v>46</v>
      </c>
      <c r="B52" s="13" t="s">
        <v>1370</v>
      </c>
      <c r="C52" s="13" t="s">
        <v>1379</v>
      </c>
      <c r="D52" s="13" t="n">
        <v>2021</v>
      </c>
      <c r="E52" s="50" t="n">
        <f aca="false">BS!D27</f>
        <v>4871806608361</v>
      </c>
      <c r="F52" s="50" t="n">
        <f aca="false">BS!D70</f>
        <v>4871806608361</v>
      </c>
      <c r="G52" s="100" t="n">
        <f aca="false">IF(COUNT(E52:F52)=2,E52-F52,"")</f>
        <v>0</v>
      </c>
      <c r="H52" s="101" t="n">
        <v>1</v>
      </c>
      <c r="I52" s="4" t="str">
        <f aca="false">IF(COUNT(E52:F52)&lt;2,"N/A",IF(ABS(G52)&lt;=H52,"OK","❌"))</f>
        <v>OK</v>
      </c>
      <c r="J52" s="101" t="s">
        <v>1372</v>
      </c>
      <c r="K52" s="4" t="str">
        <f aca="false">IF(I52=J52,"✔ sesuai","✖ TIDAK sesuai")</f>
        <v>✔ sesuai</v>
      </c>
      <c r="L52" s="102"/>
    </row>
    <row r="53" customFormat="false" ht="15" hidden="false" customHeight="false" outlineLevel="0" collapsed="false">
      <c r="A53" s="13" t="n">
        <v>47</v>
      </c>
      <c r="B53" s="13" t="s">
        <v>1370</v>
      </c>
      <c r="C53" s="13" t="s">
        <v>1380</v>
      </c>
      <c r="D53" s="13" t="n">
        <v>2021</v>
      </c>
      <c r="E53" s="50" t="n">
        <f aca="false">BS!D43</f>
        <v>2659180898777</v>
      </c>
      <c r="F53" s="50" t="n">
        <f aca="false">BS!D71</f>
        <v>2659180898777</v>
      </c>
      <c r="G53" s="100" t="n">
        <f aca="false">IF(COUNT(E53:F53)=2,E53-F53,"")</f>
        <v>0</v>
      </c>
      <c r="H53" s="101" t="n">
        <v>1</v>
      </c>
      <c r="I53" s="4" t="str">
        <f aca="false">IF(COUNT(E53:F53)&lt;2,"N/A",IF(ABS(G53)&lt;=H53,"OK","❌"))</f>
        <v>OK</v>
      </c>
      <c r="J53" s="101" t="s">
        <v>1372</v>
      </c>
      <c r="K53" s="4" t="str">
        <f aca="false">IF(I53=J53,"✔ sesuai","✖ TIDAK sesuai")</f>
        <v>✔ sesuai</v>
      </c>
      <c r="L53" s="102"/>
    </row>
    <row r="54" customFormat="false" ht="15" hidden="false" customHeight="false" outlineLevel="0" collapsed="false">
      <c r="A54" s="13" t="n">
        <v>48</v>
      </c>
      <c r="B54" s="13" t="s">
        <v>1370</v>
      </c>
      <c r="C54" s="13" t="s">
        <v>1381</v>
      </c>
      <c r="D54" s="13" t="n">
        <v>2021</v>
      </c>
      <c r="E54" s="50" t="n">
        <f aca="false">BS!D52</f>
        <v>285223163901</v>
      </c>
      <c r="F54" s="50" t="n">
        <f aca="false">BS!D72</f>
        <v>285223163901</v>
      </c>
      <c r="G54" s="100" t="n">
        <f aca="false">IF(COUNT(E54:F54)=2,E54-F54,"")</f>
        <v>0</v>
      </c>
      <c r="H54" s="101" t="n">
        <v>1</v>
      </c>
      <c r="I54" s="4" t="str">
        <f aca="false">IF(COUNT(E54:F54)&lt;2,"N/A",IF(ABS(G54)&lt;=H54,"OK","❌"))</f>
        <v>OK</v>
      </c>
      <c r="J54" s="101" t="s">
        <v>1372</v>
      </c>
      <c r="K54" s="4" t="str">
        <f aca="false">IF(I54=J54,"✔ sesuai","✖ TIDAK sesuai")</f>
        <v>✔ sesuai</v>
      </c>
      <c r="L54" s="102"/>
    </row>
    <row r="55" customFormat="false" ht="15" hidden="false" customHeight="false" outlineLevel="0" collapsed="false">
      <c r="A55" s="13" t="n">
        <v>49</v>
      </c>
      <c r="B55" s="13" t="s">
        <v>1370</v>
      </c>
      <c r="C55" s="13" t="s">
        <v>1382</v>
      </c>
      <c r="D55" s="13" t="n">
        <v>2021</v>
      </c>
      <c r="E55" s="50" t="n">
        <f aca="false">BS!D53</f>
        <v>2944404062678</v>
      </c>
      <c r="F55" s="50" t="n">
        <f aca="false">BS!D73</f>
        <v>2944404062678</v>
      </c>
      <c r="G55" s="100" t="n">
        <f aca="false">IF(COUNT(E55:F55)=2,E55-F55,"")</f>
        <v>0</v>
      </c>
      <c r="H55" s="101" t="n">
        <v>1</v>
      </c>
      <c r="I55" s="4" t="str">
        <f aca="false">IF(COUNT(E55:F55)&lt;2,"N/A",IF(ABS(G55)&lt;=H55,"OK","❌"))</f>
        <v>OK</v>
      </c>
      <c r="J55" s="101" t="s">
        <v>1372</v>
      </c>
      <c r="K55" s="4" t="str">
        <f aca="false">IF(I55=J55,"✔ sesuai","✖ TIDAK sesuai")</f>
        <v>✔ sesuai</v>
      </c>
      <c r="L55" s="102"/>
    </row>
    <row r="56" customFormat="false" ht="15" hidden="false" customHeight="false" outlineLevel="0" collapsed="false">
      <c r="A56" s="13" t="n">
        <v>50</v>
      </c>
      <c r="B56" s="13" t="s">
        <v>1370</v>
      </c>
      <c r="C56" s="13" t="s">
        <v>1383</v>
      </c>
      <c r="D56" s="13" t="n">
        <v>2021</v>
      </c>
      <c r="E56" s="50" t="n">
        <f aca="false">BS!D60</f>
        <v>1926312704329</v>
      </c>
      <c r="F56" s="50" t="n">
        <f aca="false">BS!D74</f>
        <v>1926312704329</v>
      </c>
      <c r="G56" s="100" t="n">
        <f aca="false">IF(COUNT(E56:F56)=2,E56-F56,"")</f>
        <v>0</v>
      </c>
      <c r="H56" s="101" t="n">
        <v>1</v>
      </c>
      <c r="I56" s="4" t="str">
        <f aca="false">IF(COUNT(E56:F56)&lt;2,"N/A",IF(ABS(G56)&lt;=H56,"OK","❌"))</f>
        <v>OK</v>
      </c>
      <c r="J56" s="101" t="s">
        <v>1372</v>
      </c>
      <c r="K56" s="4" t="str">
        <f aca="false">IF(I56=J56,"✔ sesuai","✖ TIDAK sesuai")</f>
        <v>✔ sesuai</v>
      </c>
      <c r="L56" s="102"/>
    </row>
    <row r="57" customFormat="false" ht="15" hidden="false" customHeight="false" outlineLevel="0" collapsed="false">
      <c r="A57" s="13" t="n">
        <v>51</v>
      </c>
      <c r="B57" s="13" t="s">
        <v>1370</v>
      </c>
      <c r="C57" s="13" t="s">
        <v>1384</v>
      </c>
      <c r="D57" s="13" t="n">
        <v>2021</v>
      </c>
      <c r="E57" s="50" t="n">
        <f aca="false">BS!D62</f>
        <v>1927402545683</v>
      </c>
      <c r="F57" s="50" t="n">
        <f aca="false">BS!D75</f>
        <v>1927402545683</v>
      </c>
      <c r="G57" s="100" t="n">
        <f aca="false">IF(COUNT(E57:F57)=2,E57-F57,"")</f>
        <v>0</v>
      </c>
      <c r="H57" s="101" t="n">
        <v>1</v>
      </c>
      <c r="I57" s="4" t="str">
        <f aca="false">IF(COUNT(E57:F57)&lt;2,"N/A",IF(ABS(G57)&lt;=H57,"OK","❌"))</f>
        <v>OK</v>
      </c>
      <c r="J57" s="101" t="s">
        <v>1372</v>
      </c>
      <c r="K57" s="4" t="str">
        <f aca="false">IF(I57=J57,"✔ sesuai","✖ TIDAK sesuai")</f>
        <v>✔ sesuai</v>
      </c>
      <c r="L57" s="102"/>
    </row>
    <row r="58" customFormat="false" ht="15" hidden="false" customHeight="false" outlineLevel="0" collapsed="false">
      <c r="A58" s="13" t="n">
        <v>52</v>
      </c>
      <c r="B58" s="13" t="s">
        <v>1370</v>
      </c>
      <c r="C58" s="13" t="s">
        <v>1385</v>
      </c>
      <c r="D58" s="13" t="n">
        <v>2021</v>
      </c>
      <c r="E58" s="50" t="n">
        <f aca="false">BS!D63</f>
        <v>4871806608361</v>
      </c>
      <c r="F58" s="50" t="n">
        <f aca="false">BS!D76</f>
        <v>4871806608361</v>
      </c>
      <c r="G58" s="100" t="n">
        <f aca="false">IF(COUNT(E58:F58)=2,E58-F58,"")</f>
        <v>0</v>
      </c>
      <c r="H58" s="101" t="n">
        <v>1</v>
      </c>
      <c r="I58" s="4" t="str">
        <f aca="false">IF(COUNT(E58:F58)&lt;2,"N/A",IF(ABS(G58)&lt;=H58,"OK","❌"))</f>
        <v>OK</v>
      </c>
      <c r="J58" s="101" t="s">
        <v>1372</v>
      </c>
      <c r="K58" s="4" t="str">
        <f aca="false">IF(I58=J58,"✔ sesuai","✖ TIDAK sesuai")</f>
        <v>✔ sesuai</v>
      </c>
      <c r="L58" s="102"/>
    </row>
    <row r="59" customFormat="false" ht="15" hidden="false" customHeight="false" outlineLevel="0" collapsed="false">
      <c r="A59" s="13" t="n">
        <v>53</v>
      </c>
      <c r="B59" s="13" t="s">
        <v>1370</v>
      </c>
      <c r="C59" s="13" t="s">
        <v>1386</v>
      </c>
      <c r="D59" s="13" t="n">
        <v>2021</v>
      </c>
      <c r="E59" s="50" t="n">
        <f aca="false">CF!D13</f>
        <v>336786662790</v>
      </c>
      <c r="F59" s="50" t="n">
        <f aca="false">CF!D46</f>
        <v>336786662790</v>
      </c>
      <c r="G59" s="100" t="n">
        <f aca="false">IF(COUNT(E59:F59)=2,E59-F59,"")</f>
        <v>0</v>
      </c>
      <c r="H59" s="101" t="n">
        <v>1</v>
      </c>
      <c r="I59" s="4" t="str">
        <f aca="false">IF(COUNT(E59:F59)&lt;2,"N/A",IF(ABS(G59)&lt;=H59,"OK","❌"))</f>
        <v>OK</v>
      </c>
      <c r="J59" s="101" t="s">
        <v>1372</v>
      </c>
      <c r="K59" s="4" t="str">
        <f aca="false">IF(I59=J59,"✔ sesuai","✖ TIDAK sesuai")</f>
        <v>✔ sesuai</v>
      </c>
      <c r="L59" s="102"/>
    </row>
    <row r="60" customFormat="false" ht="15" hidden="false" customHeight="false" outlineLevel="0" collapsed="false">
      <c r="A60" s="13" t="n">
        <v>54</v>
      </c>
      <c r="B60" s="13" t="s">
        <v>1370</v>
      </c>
      <c r="C60" s="13" t="s">
        <v>1387</v>
      </c>
      <c r="D60" s="13" t="n">
        <v>2021</v>
      </c>
      <c r="E60" s="50" t="n">
        <f aca="false">CF!D21</f>
        <v>-468280289395</v>
      </c>
      <c r="F60" s="50" t="n">
        <f aca="false">CF!D47</f>
        <v>-468280289395</v>
      </c>
      <c r="G60" s="100" t="n">
        <f aca="false">IF(COUNT(E60:F60)=2,E60-F60,"")</f>
        <v>0</v>
      </c>
      <c r="H60" s="101" t="n">
        <v>1</v>
      </c>
      <c r="I60" s="4" t="str">
        <f aca="false">IF(COUNT(E60:F60)&lt;2,"N/A",IF(ABS(G60)&lt;=H60,"OK","❌"))</f>
        <v>OK</v>
      </c>
      <c r="J60" s="101" t="s">
        <v>1372</v>
      </c>
      <c r="K60" s="4" t="str">
        <f aca="false">IF(I60=J60,"✔ sesuai","✖ TIDAK sesuai")</f>
        <v>✔ sesuai</v>
      </c>
      <c r="L60" s="102"/>
    </row>
    <row r="61" customFormat="false" ht="15" hidden="false" customHeight="false" outlineLevel="0" collapsed="false">
      <c r="A61" s="13" t="n">
        <v>55</v>
      </c>
      <c r="B61" s="13" t="s">
        <v>1370</v>
      </c>
      <c r="C61" s="13" t="s">
        <v>1388</v>
      </c>
      <c r="D61" s="13" t="n">
        <v>2021</v>
      </c>
      <c r="E61" s="50" t="n">
        <f aca="false">CF!D37</f>
        <v>179238263141</v>
      </c>
      <c r="F61" s="50" t="n">
        <f aca="false">CF!D48</f>
        <v>179238263141</v>
      </c>
      <c r="G61" s="100" t="n">
        <f aca="false">IF(COUNT(E61:F61)=2,E61-F61,"")</f>
        <v>0</v>
      </c>
      <c r="H61" s="101" t="n">
        <v>1</v>
      </c>
      <c r="I61" s="4" t="str">
        <f aca="false">IF(COUNT(E61:F61)&lt;2,"N/A",IF(ABS(G61)&lt;=H61,"OK","❌"))</f>
        <v>OK</v>
      </c>
      <c r="J61" s="101" t="s">
        <v>1372</v>
      </c>
      <c r="K61" s="4" t="str">
        <f aca="false">IF(I61=J61,"✔ sesuai","✖ TIDAK sesuai")</f>
        <v>✔ sesuai</v>
      </c>
      <c r="L61" s="102"/>
    </row>
    <row r="62" customFormat="false" ht="15" hidden="false" customHeight="false" outlineLevel="0" collapsed="false">
      <c r="A62" s="13" t="n">
        <v>56</v>
      </c>
      <c r="B62" s="13" t="s">
        <v>1370</v>
      </c>
      <c r="C62" s="13" t="s">
        <v>1389</v>
      </c>
      <c r="D62" s="13" t="n">
        <v>2021</v>
      </c>
      <c r="E62" s="50" t="n">
        <f aca="false">CF!D38</f>
        <v>47744636536</v>
      </c>
      <c r="F62" s="50" t="n">
        <f aca="false">CF!D49</f>
        <v>47744636536</v>
      </c>
      <c r="G62" s="100" t="n">
        <f aca="false">IF(COUNT(E62:F62)=2,E62-F62,"")</f>
        <v>0</v>
      </c>
      <c r="H62" s="101" t="n">
        <v>1</v>
      </c>
      <c r="I62" s="4" t="str">
        <f aca="false">IF(COUNT(E62:F62)&lt;2,"N/A",IF(ABS(G62)&lt;=H62,"OK","❌"))</f>
        <v>OK</v>
      </c>
      <c r="J62" s="101" t="s">
        <v>1372</v>
      </c>
      <c r="K62" s="4" t="str">
        <f aca="false">IF(I62=J62,"✔ sesuai","✖ TIDAK sesuai")</f>
        <v>✔ sesuai</v>
      </c>
      <c r="L62" s="102"/>
    </row>
    <row r="63" customFormat="false" ht="15" hidden="false" customHeight="false" outlineLevel="0" collapsed="false">
      <c r="A63" s="13" t="n">
        <v>57</v>
      </c>
      <c r="B63" s="13" t="s">
        <v>1370</v>
      </c>
      <c r="C63" s="13" t="s">
        <v>1390</v>
      </c>
      <c r="D63" s="13" t="n">
        <v>2021</v>
      </c>
      <c r="E63" s="50" t="n">
        <f aca="false">CF!D41</f>
        <v>700922359619</v>
      </c>
      <c r="F63" s="50" t="n">
        <f aca="false">CF!D50</f>
        <v>700922359619</v>
      </c>
      <c r="G63" s="100" t="n">
        <f aca="false">IF(COUNT(E63:F63)=2,E63-F63,"")</f>
        <v>0</v>
      </c>
      <c r="H63" s="101" t="n">
        <v>1</v>
      </c>
      <c r="I63" s="4" t="str">
        <f aca="false">IF(COUNT(E63:F63)&lt;2,"N/A",IF(ABS(G63)&lt;=H63,"OK","❌"))</f>
        <v>OK</v>
      </c>
      <c r="J63" s="101" t="s">
        <v>1372</v>
      </c>
      <c r="K63" s="4" t="str">
        <f aca="false">IF(I63=J63,"✔ sesuai","✖ TIDAK sesuai")</f>
        <v>✔ sesuai</v>
      </c>
      <c r="L63" s="102"/>
    </row>
    <row r="64" customFormat="false" ht="15" hidden="false" customHeight="false" outlineLevel="0" collapsed="false">
      <c r="A64" s="13" t="n">
        <v>58</v>
      </c>
      <c r="B64" s="13" t="s">
        <v>1391</v>
      </c>
      <c r="C64" s="13" t="s">
        <v>1392</v>
      </c>
      <c r="D64" s="13" t="n">
        <v>2021</v>
      </c>
      <c r="E64" s="50" t="n">
        <f aca="false">BS!D27</f>
        <v>4871806608361</v>
      </c>
      <c r="F64" s="50" t="n">
        <f aca="false">BS!D63</f>
        <v>4871806608361</v>
      </c>
      <c r="G64" s="100" t="n">
        <f aca="false">IF(COUNT(E64:F64)=2,E64-F64,"")</f>
        <v>0</v>
      </c>
      <c r="H64" s="101" t="n">
        <v>1</v>
      </c>
      <c r="I64" s="4" t="str">
        <f aca="false">IF(COUNT(E64:F64)&lt;2,"N/A",IF(ABS(G64)&lt;=H64,"OK","❌"))</f>
        <v>OK</v>
      </c>
      <c r="J64" s="101" t="s">
        <v>1372</v>
      </c>
      <c r="K64" s="4" t="str">
        <f aca="false">IF(I64=J64,"✔ sesuai","✖ TIDAK sesuai")</f>
        <v>✔ sesuai</v>
      </c>
      <c r="L64" s="102"/>
    </row>
    <row r="65" customFormat="false" ht="15" hidden="false" customHeight="false" outlineLevel="0" collapsed="false">
      <c r="A65" s="13" t="n">
        <v>59</v>
      </c>
      <c r="B65" s="13" t="s">
        <v>1391</v>
      </c>
      <c r="C65" s="13" t="s">
        <v>1393</v>
      </c>
      <c r="D65" s="13" t="n">
        <v>2021</v>
      </c>
      <c r="E65" s="50" t="n">
        <f aca="false">IS!D19</f>
        <v>165604046574</v>
      </c>
      <c r="F65" s="50" t="n">
        <f aca="false">IS!D26+IS!D27</f>
        <v>165604046574</v>
      </c>
      <c r="G65" s="100" t="n">
        <f aca="false">IF(COUNT(E65:F65)=2,E65-F65,"")</f>
        <v>0</v>
      </c>
      <c r="H65" s="101" t="n">
        <v>1</v>
      </c>
      <c r="I65" s="4" t="str">
        <f aca="false">IF(COUNT(E65:F65)&lt;2,"N/A",IF(ABS(G65)&lt;=H65,"OK","❌"))</f>
        <v>OK</v>
      </c>
      <c r="J65" s="101" t="s">
        <v>1372</v>
      </c>
      <c r="K65" s="4" t="str">
        <f aca="false">IF(I65=J65,"✔ sesuai","✖ TIDAK sesuai")</f>
        <v>✔ sesuai</v>
      </c>
      <c r="L65" s="102"/>
    </row>
    <row r="66" customFormat="false" ht="15" hidden="false" customHeight="false" outlineLevel="0" collapsed="false">
      <c r="A66" s="13" t="n">
        <v>60</v>
      </c>
      <c r="B66" s="13" t="s">
        <v>1391</v>
      </c>
      <c r="C66" s="13" t="s">
        <v>1394</v>
      </c>
      <c r="D66" s="13" t="n">
        <v>2021</v>
      </c>
      <c r="E66" s="50" t="n">
        <f aca="false">IS!D24</f>
        <v>172666272919</v>
      </c>
      <c r="F66" s="50" t="n">
        <f aca="false">IS!D28+IS!D29</f>
        <v>172666272919</v>
      </c>
      <c r="G66" s="100" t="n">
        <f aca="false">IF(COUNT(E66:F66)=2,E66-F66,"")</f>
        <v>0</v>
      </c>
      <c r="H66" s="101" t="n">
        <v>1</v>
      </c>
      <c r="I66" s="4" t="str">
        <f aca="false">IF(COUNT(E66:F66)&lt;2,"N/A",IF(ABS(G66)&lt;=H66,"OK","❌"))</f>
        <v>OK</v>
      </c>
      <c r="J66" s="101" t="s">
        <v>1372</v>
      </c>
      <c r="K66" s="4" t="str">
        <f aca="false">IF(I66=J66,"✔ sesuai","✖ TIDAK sesuai")</f>
        <v>✔ sesuai</v>
      </c>
      <c r="L66" s="102"/>
    </row>
    <row r="67" customFormat="false" ht="15" hidden="false" customHeight="false" outlineLevel="0" collapsed="false">
      <c r="A67" s="13" t="n">
        <v>61</v>
      </c>
      <c r="B67" s="13" t="s">
        <v>1391</v>
      </c>
      <c r="C67" s="13" t="s">
        <v>1395</v>
      </c>
      <c r="D67" s="13" t="n">
        <v>2021</v>
      </c>
      <c r="E67" s="50" t="n">
        <f aca="false">CF!D41+N(CF!D44)</f>
        <v>700922359619</v>
      </c>
      <c r="F67" s="50" t="n">
        <f aca="false">BS!D6</f>
        <v>700922359619</v>
      </c>
      <c r="G67" s="100" t="n">
        <f aca="false">IF(COUNT(E67:F67)=2,E67-F67,"")</f>
        <v>0</v>
      </c>
      <c r="H67" s="101" t="n">
        <v>1</v>
      </c>
      <c r="I67" s="4" t="str">
        <f aca="false">IF(COUNT(E67:F67)&lt;2,"N/A",IF(ABS(G67)&lt;=H67,"OK","❌"))</f>
        <v>OK</v>
      </c>
      <c r="J67" s="101" t="s">
        <v>1372</v>
      </c>
      <c r="K67" s="4" t="str">
        <f aca="false">IF(I67=J67,"✔ sesuai","✖ TIDAK sesuai")</f>
        <v>✔ sesuai</v>
      </c>
      <c r="L67" s="102"/>
    </row>
    <row r="68" customFormat="false" ht="15" hidden="false" customHeight="false" outlineLevel="0" collapsed="false">
      <c r="A68" s="13" t="n">
        <v>62</v>
      </c>
      <c r="B68" s="13" t="s">
        <v>1391</v>
      </c>
      <c r="C68" s="13" t="s">
        <v>1396</v>
      </c>
      <c r="D68" s="13" t="n">
        <v>2021</v>
      </c>
      <c r="E68" s="61" t="n">
        <v>0</v>
      </c>
      <c r="F68" s="50" t="n">
        <f aca="false">CF!D36</f>
        <v>0</v>
      </c>
      <c r="G68" s="100" t="n">
        <f aca="false">IF(COUNT(E68:F68)=2,E68-F68,"")</f>
        <v>0</v>
      </c>
      <c r="H68" s="101" t="n">
        <v>1</v>
      </c>
      <c r="I68" s="4" t="str">
        <f aca="false">IF(COUNT(E68:F68)&lt;2,"N/A",IF(ABS(G68)&lt;=H68,"OK","❌"))</f>
        <v>OK</v>
      </c>
      <c r="J68" s="101" t="s">
        <v>1372</v>
      </c>
      <c r="K68" s="4" t="str">
        <f aca="false">IF(I68=J68,"✔ sesuai","✖ TIDAK sesuai")</f>
        <v>✔ sesuai</v>
      </c>
      <c r="L68" s="102" t="s">
        <v>1415</v>
      </c>
    </row>
    <row r="69" customFormat="false" ht="15" hidden="false" customHeight="false" outlineLevel="0" collapsed="false">
      <c r="A69" s="13" t="n">
        <v>63</v>
      </c>
      <c r="B69" s="13" t="s">
        <v>1416</v>
      </c>
      <c r="C69" s="13" t="s">
        <v>1417</v>
      </c>
      <c r="D69" s="13" t="n">
        <v>2021</v>
      </c>
      <c r="E69" s="50" t="n">
        <f aca="false">CF!D40+N(CF!D43)</f>
        <v>629608688874</v>
      </c>
      <c r="F69" s="50" t="n">
        <f aca="false">BS!C6</f>
        <v>629608688874</v>
      </c>
      <c r="G69" s="100" t="n">
        <f aca="false">IF(COUNT(E69:F69)=2,E69-F69,"")</f>
        <v>0</v>
      </c>
      <c r="H69" s="101" t="n">
        <v>1</v>
      </c>
      <c r="I69" s="4" t="str">
        <f aca="false">IF(COUNT(E69:F69)&lt;2,"N/A",IF(ABS(G69)&lt;=H69,"OK","❌"))</f>
        <v>OK</v>
      </c>
      <c r="J69" s="101" t="s">
        <v>1372</v>
      </c>
      <c r="K69" s="4" t="str">
        <f aca="false">IF(I69=J69,"✔ sesuai","✖ TIDAK sesuai")</f>
        <v>✔ sesuai</v>
      </c>
      <c r="L69" s="102" t="s">
        <v>1418</v>
      </c>
    </row>
    <row r="70" customFormat="false" ht="15" hidden="false" customHeight="false" outlineLevel="0" collapsed="false">
      <c r="A70" s="13" t="n">
        <v>64</v>
      </c>
      <c r="B70" s="13" t="s">
        <v>1416</v>
      </c>
      <c r="C70" s="13" t="s">
        <v>1419</v>
      </c>
      <c r="D70" s="13" t="n">
        <v>2021</v>
      </c>
      <c r="E70" s="50" t="n">
        <f aca="false">BS!C59+165308238619+CF!D36+0</f>
        <v>-435380567809</v>
      </c>
      <c r="F70" s="50" t="n">
        <f aca="false">BS!D59</f>
        <v>-435380567809</v>
      </c>
      <c r="G70" s="100" t="n">
        <f aca="false">IF(COUNT(E70:F70)=2,E70-F70,"")</f>
        <v>0</v>
      </c>
      <c r="H70" s="101" t="n">
        <v>1</v>
      </c>
      <c r="I70" s="4" t="str">
        <f aca="false">IF(COUNT(E70:F70)&lt;2,"N/A",IF(ABS(G70)&lt;=H70,"OK","❌"))</f>
        <v>OK</v>
      </c>
      <c r="J70" s="101" t="s">
        <v>1372</v>
      </c>
      <c r="K70" s="4" t="str">
        <f aca="false">IF(I70=J70,"✔ sesuai","✖ TIDAK sesuai")</f>
        <v>✔ sesuai</v>
      </c>
      <c r="L70" s="102" t="s">
        <v>1420</v>
      </c>
    </row>
    <row r="71" customFormat="false" ht="15" hidden="false" customHeight="false" outlineLevel="0" collapsed="false">
      <c r="A71" s="13" t="n">
        <v>65</v>
      </c>
      <c r="B71" s="13" t="s">
        <v>1416</v>
      </c>
      <c r="C71" s="13" t="s">
        <v>1421</v>
      </c>
      <c r="D71" s="13" t="n">
        <v>2021</v>
      </c>
      <c r="E71" s="50" t="n">
        <f aca="false">Schedules!D29</f>
        <v>3448224531705</v>
      </c>
      <c r="F71" s="50" t="n">
        <f aca="false">Schedules!C34</f>
        <v>3371822743790</v>
      </c>
      <c r="G71" s="100" t="n">
        <f aca="false">IF(COUNT(E71:F71)=2,E71-F71,"")</f>
        <v>76401787915</v>
      </c>
      <c r="H71" s="101" t="n">
        <v>1</v>
      </c>
      <c r="I71" s="4" t="str">
        <f aca="false">IF(COUNT(E71:F71)&lt;2,"N/A",IF(ABS(G71)&lt;=H71,"OK","❌"))</f>
        <v>❌</v>
      </c>
      <c r="J71" s="101" t="s">
        <v>1422</v>
      </c>
      <c r="K71" s="4" t="str">
        <f aca="false">IF(I71=J71,"✔ sesuai","✖ TIDAK sesuai")</f>
        <v>✔ sesuai</v>
      </c>
      <c r="L71" s="102" t="s">
        <v>1423</v>
      </c>
    </row>
    <row r="72" customFormat="false" ht="15" hidden="false" customHeight="false" outlineLevel="0" collapsed="false">
      <c r="A72" s="13" t="n">
        <v>66</v>
      </c>
      <c r="B72" s="13" t="s">
        <v>1416</v>
      </c>
      <c r="C72" s="13" t="s">
        <v>1424</v>
      </c>
      <c r="D72" s="13" t="n">
        <v>2021</v>
      </c>
      <c r="E72" s="50" t="n">
        <f aca="false">Schedules!D37</f>
        <v>-730207203768</v>
      </c>
      <c r="F72" s="50" t="n">
        <f aca="false">Schedules!C42</f>
        <v>-730209287101</v>
      </c>
      <c r="G72" s="100" t="n">
        <f aca="false">IF(COUNT(E72:F72)=2,E72-F72,"")</f>
        <v>2083333</v>
      </c>
      <c r="H72" s="101" t="n">
        <v>1</v>
      </c>
      <c r="I72" s="4" t="str">
        <f aca="false">IF(COUNT(E72:F72)&lt;2,"N/A",IF(ABS(G72)&lt;=H72,"OK","❌"))</f>
        <v>❌</v>
      </c>
      <c r="J72" s="101" t="s">
        <v>1422</v>
      </c>
      <c r="K72" s="4" t="str">
        <f aca="false">IF(I72=J72,"✔ sesuai","✖ TIDAK sesuai")</f>
        <v>✔ sesuai</v>
      </c>
      <c r="L72" s="102" t="s">
        <v>1425</v>
      </c>
    </row>
    <row r="73" customFormat="false" ht="15" hidden="false" customHeight="false" outlineLevel="0" collapsed="false">
      <c r="A73" s="13" t="n">
        <v>67</v>
      </c>
      <c r="B73" s="13" t="s">
        <v>1398</v>
      </c>
      <c r="C73" s="13" t="s">
        <v>1399</v>
      </c>
      <c r="D73" s="13" t="n">
        <v>2021</v>
      </c>
      <c r="E73" s="50" t="n">
        <f aca="false">Schedules!D10</f>
        <v>1924453140978</v>
      </c>
      <c r="F73" s="50" t="n">
        <f aca="false">IS!D6</f>
        <v>1924453140978</v>
      </c>
      <c r="G73" s="100" t="n">
        <f aca="false">IF(COUNT(E73:F73)=2,E73-F73,"")</f>
        <v>0</v>
      </c>
      <c r="H73" s="101" t="n">
        <v>1</v>
      </c>
      <c r="I73" s="4" t="str">
        <f aca="false">IF(COUNT(E73:F73)&lt;2,"N/A",IF(ABS(G73)&lt;=H73,"OK","❌"))</f>
        <v>OK</v>
      </c>
      <c r="J73" s="101" t="s">
        <v>1372</v>
      </c>
      <c r="K73" s="4" t="str">
        <f aca="false">IF(I73=J73,"✔ sesuai","✖ TIDAK sesuai")</f>
        <v>✔ sesuai</v>
      </c>
      <c r="L73" s="102"/>
    </row>
    <row r="74" customFormat="false" ht="15" hidden="false" customHeight="false" outlineLevel="0" collapsed="false">
      <c r="A74" s="13" t="n">
        <v>68</v>
      </c>
      <c r="B74" s="13" t="s">
        <v>1398</v>
      </c>
      <c r="C74" s="13" t="s">
        <v>1400</v>
      </c>
      <c r="D74" s="13" t="n">
        <v>2021</v>
      </c>
      <c r="E74" s="50" t="n">
        <f aca="false">Schedules!D58</f>
        <v>1924453140978</v>
      </c>
      <c r="F74" s="50" t="n">
        <f aca="false">IS!D6</f>
        <v>1924453140978</v>
      </c>
      <c r="G74" s="100" t="n">
        <f aca="false">IF(COUNT(E74:F74)=2,E74-F74,"")</f>
        <v>0</v>
      </c>
      <c r="H74" s="101" t="n">
        <v>1</v>
      </c>
      <c r="I74" s="4" t="str">
        <f aca="false">IF(COUNT(E74:F74)&lt;2,"N/A",IF(ABS(G74)&lt;=H74,"OK","❌"))</f>
        <v>OK</v>
      </c>
      <c r="J74" s="101" t="s">
        <v>1372</v>
      </c>
      <c r="K74" s="4" t="str">
        <f aca="false">IF(I74=J74,"✔ sesuai","✖ TIDAK sesuai")</f>
        <v>✔ sesuai</v>
      </c>
      <c r="L74" s="102"/>
    </row>
    <row r="75" customFormat="false" ht="15" hidden="false" customHeight="false" outlineLevel="0" collapsed="false">
      <c r="A75" s="13" t="n">
        <v>69</v>
      </c>
      <c r="B75" s="13" t="s">
        <v>1398</v>
      </c>
      <c r="C75" s="13" t="s">
        <v>1401</v>
      </c>
      <c r="D75" s="13" t="n">
        <v>2021</v>
      </c>
      <c r="E75" s="50" t="n">
        <f aca="false">Schedules!D77</f>
        <v>1219420404326</v>
      </c>
      <c r="F75" s="50" t="n">
        <f aca="false">-IS!D7</f>
        <v>1219420404326</v>
      </c>
      <c r="G75" s="100" t="n">
        <f aca="false">IF(COUNT(E75:F75)=2,E75-F75,"")</f>
        <v>0</v>
      </c>
      <c r="H75" s="101" t="n">
        <v>1</v>
      </c>
      <c r="I75" s="4" t="str">
        <f aca="false">IF(COUNT(E75:F75)&lt;2,"N/A",IF(ABS(G75)&lt;=H75,"OK","❌"))</f>
        <v>OK</v>
      </c>
      <c r="J75" s="101" t="s">
        <v>1372</v>
      </c>
      <c r="K75" s="4" t="str">
        <f aca="false">IF(I75=J75,"✔ sesuai","✖ TIDAK sesuai")</f>
        <v>✔ sesuai</v>
      </c>
      <c r="L75" s="102"/>
    </row>
    <row r="76" customFormat="false" ht="15" hidden="false" customHeight="false" outlineLevel="0" collapsed="false">
      <c r="A76" s="13" t="n">
        <v>70</v>
      </c>
      <c r="B76" s="13" t="s">
        <v>1398</v>
      </c>
      <c r="C76" s="13" t="s">
        <v>1402</v>
      </c>
      <c r="D76" s="13" t="n">
        <v>2021</v>
      </c>
      <c r="E76" s="50" t="n">
        <f aca="false">Schedules!D106</f>
        <v>462409623024</v>
      </c>
      <c r="F76" s="50" t="n">
        <f aca="false">-IS!D10</f>
        <v>462409623024</v>
      </c>
      <c r="G76" s="100" t="n">
        <f aca="false">IF(COUNT(E76:F76)=2,E76-F76,"")</f>
        <v>0</v>
      </c>
      <c r="H76" s="101" t="n">
        <v>1</v>
      </c>
      <c r="I76" s="4" t="str">
        <f aca="false">IF(COUNT(E76:F76)&lt;2,"N/A",IF(ABS(G76)&lt;=H76,"OK","❌"))</f>
        <v>OK</v>
      </c>
      <c r="J76" s="101" t="s">
        <v>1372</v>
      </c>
      <c r="K76" s="4" t="str">
        <f aca="false">IF(I76=J76,"✔ sesuai","✖ TIDAK sesuai")</f>
        <v>✔ sesuai</v>
      </c>
      <c r="L76" s="102"/>
    </row>
    <row r="77" customFormat="false" ht="15" hidden="false" customHeight="false" outlineLevel="0" collapsed="false">
      <c r="A77" s="13" t="n">
        <v>71</v>
      </c>
      <c r="B77" s="13" t="s">
        <v>1398</v>
      </c>
      <c r="C77" s="13" t="s">
        <v>1403</v>
      </c>
      <c r="D77" s="13" t="n">
        <v>2021</v>
      </c>
      <c r="E77" s="50" t="n">
        <f aca="false">Schedules!D130</f>
        <v>24028154926</v>
      </c>
      <c r="F77" s="50" t="n">
        <f aca="false">IS!D12</f>
        <v>24028154926</v>
      </c>
      <c r="G77" s="100" t="n">
        <f aca="false">IF(COUNT(E77:F77)=2,E77-F77,"")</f>
        <v>0</v>
      </c>
      <c r="H77" s="101" t="n">
        <v>1</v>
      </c>
      <c r="I77" s="4" t="str">
        <f aca="false">IF(COUNT(E77:F77)&lt;2,"N/A",IF(ABS(G77)&lt;=H77,"OK","❌"))</f>
        <v>OK</v>
      </c>
      <c r="J77" s="101" t="s">
        <v>1372</v>
      </c>
      <c r="K77" s="4" t="str">
        <f aca="false">IF(I77=J77,"✔ sesuai","✖ TIDAK sesuai")</f>
        <v>✔ sesuai</v>
      </c>
      <c r="L77" s="102"/>
    </row>
    <row r="78" customFormat="false" ht="15" hidden="false" customHeight="false" outlineLevel="0" collapsed="false">
      <c r="A78" s="13" t="n">
        <v>72</v>
      </c>
      <c r="B78" s="13" t="s">
        <v>1398</v>
      </c>
      <c r="C78" s="13" t="s">
        <v>1404</v>
      </c>
      <c r="D78" s="13" t="n">
        <v>2021</v>
      </c>
      <c r="E78" s="50" t="n">
        <f aca="false">Schedules!D44</f>
        <v>3169775593830</v>
      </c>
      <c r="F78" s="50" t="n">
        <f aca="false">BS!D19</f>
        <v>3169775593830</v>
      </c>
      <c r="G78" s="100" t="n">
        <f aca="false">IF(COUNT(E78:F78)=2,E78-F78,"")</f>
        <v>0</v>
      </c>
      <c r="H78" s="101" t="n">
        <v>1</v>
      </c>
      <c r="I78" s="4" t="str">
        <f aca="false">IF(COUNT(E78:F78)&lt;2,"N/A",IF(ABS(G78)&lt;=H78,"OK","❌"))</f>
        <v>OK</v>
      </c>
      <c r="J78" s="101" t="s">
        <v>1372</v>
      </c>
      <c r="K78" s="4" t="str">
        <f aca="false">IF(I78=J78,"✔ sesuai","✖ TIDAK sesuai")</f>
        <v>✔ sesuai</v>
      </c>
      <c r="L78" s="102"/>
    </row>
    <row r="79" customFormat="false" ht="15" hidden="false" customHeight="false" outlineLevel="0" collapsed="false">
      <c r="A79" s="13" t="n">
        <v>73</v>
      </c>
      <c r="B79" s="13" t="s">
        <v>1405</v>
      </c>
      <c r="C79" s="13" t="s">
        <v>1406</v>
      </c>
      <c r="D79" s="13" t="n">
        <v>2021</v>
      </c>
      <c r="E79" s="50" t="n">
        <f aca="false">Schedules!D14</f>
        <v>149515108834</v>
      </c>
      <c r="F79" s="50" t="n">
        <f aca="false">Schedules!D15</f>
        <v>149515108834</v>
      </c>
      <c r="G79" s="100" t="n">
        <f aca="false">IF(COUNT(E79:F79)=2,E79-F79,"")</f>
        <v>0</v>
      </c>
      <c r="H79" s="101" t="n">
        <v>1</v>
      </c>
      <c r="I79" s="4" t="str">
        <f aca="false">IF(COUNT(E79:F79)&lt;2,"N/A",IF(ABS(G79)&lt;=H79,"OK","❌"))</f>
        <v>OK</v>
      </c>
      <c r="J79" s="101" t="s">
        <v>1372</v>
      </c>
      <c r="K79" s="4" t="str">
        <f aca="false">IF(I79=J79,"✔ sesuai","✖ TIDAK sesuai")</f>
        <v>✔ sesuai</v>
      </c>
      <c r="L79" s="102"/>
    </row>
    <row r="80" customFormat="false" ht="15" hidden="false" customHeight="false" outlineLevel="0" collapsed="false">
      <c r="A80" s="13" t="n">
        <v>74</v>
      </c>
      <c r="B80" s="13" t="s">
        <v>1405</v>
      </c>
      <c r="C80" s="13" t="s">
        <v>1407</v>
      </c>
      <c r="D80" s="13" t="n">
        <v>2021</v>
      </c>
      <c r="E80" s="50" t="n">
        <f aca="false">Schedules!D35</f>
        <v>4045883925132</v>
      </c>
      <c r="F80" s="50" t="n">
        <f aca="false">Schedules!D34</f>
        <v>4045883925132</v>
      </c>
      <c r="G80" s="100" t="n">
        <f aca="false">IF(COUNT(E80:F80)=2,E80-F80,"")</f>
        <v>0</v>
      </c>
      <c r="H80" s="101" t="n">
        <v>1</v>
      </c>
      <c r="I80" s="4" t="str">
        <f aca="false">IF(COUNT(E80:F80)&lt;2,"N/A",IF(ABS(G80)&lt;=H80,"OK","❌"))</f>
        <v>OK</v>
      </c>
      <c r="J80" s="101" t="s">
        <v>1372</v>
      </c>
      <c r="K80" s="4" t="str">
        <f aca="false">IF(I80=J80,"✔ sesuai","✖ TIDAK sesuai")</f>
        <v>✔ sesuai</v>
      </c>
      <c r="L80" s="102"/>
    </row>
    <row r="81" customFormat="false" ht="15" hidden="false" customHeight="false" outlineLevel="0" collapsed="false">
      <c r="A81" s="13" t="n">
        <v>75</v>
      </c>
      <c r="B81" s="13" t="s">
        <v>1405</v>
      </c>
      <c r="C81" s="13" t="s">
        <v>1408</v>
      </c>
      <c r="D81" s="13" t="n">
        <v>2021</v>
      </c>
      <c r="E81" s="50" t="n">
        <f aca="false">Schedules!D43</f>
        <v>-876108331302</v>
      </c>
      <c r="F81" s="50" t="n">
        <f aca="false">Schedules!D42</f>
        <v>-876108331302</v>
      </c>
      <c r="G81" s="100" t="n">
        <f aca="false">IF(COUNT(E81:F81)=2,E81-F81,"")</f>
        <v>0</v>
      </c>
      <c r="H81" s="101" t="n">
        <v>1</v>
      </c>
      <c r="I81" s="4" t="str">
        <f aca="false">IF(COUNT(E81:F81)&lt;2,"N/A",IF(ABS(G81)&lt;=H81,"OK","❌"))</f>
        <v>OK</v>
      </c>
      <c r="J81" s="101" t="s">
        <v>1372</v>
      </c>
      <c r="K81" s="4" t="str">
        <f aca="false">IF(I81=J81,"✔ sesuai","✖ TIDAK sesuai")</f>
        <v>✔ sesuai</v>
      </c>
      <c r="L81" s="102"/>
    </row>
    <row r="82" customFormat="false" ht="15" hidden="false" customHeight="false" outlineLevel="0" collapsed="false">
      <c r="A82" s="13" t="n">
        <v>76</v>
      </c>
      <c r="B82" s="13" t="s">
        <v>1405</v>
      </c>
      <c r="C82" s="13" t="s">
        <v>1409</v>
      </c>
      <c r="D82" s="13" t="n">
        <v>2021</v>
      </c>
      <c r="E82" s="50" t="n">
        <f aca="false">Schedules!D67</f>
        <v>1924453140978</v>
      </c>
      <c r="F82" s="50" t="n">
        <f aca="false">Schedules!D58</f>
        <v>1924453140978</v>
      </c>
      <c r="G82" s="100" t="n">
        <f aca="false">IF(COUNT(E82:F82)=2,E82-F82,"")</f>
        <v>0</v>
      </c>
      <c r="H82" s="101" t="n">
        <v>1</v>
      </c>
      <c r="I82" s="4" t="str">
        <f aca="false">IF(COUNT(E82:F82)&lt;2,"N/A",IF(ABS(G82)&lt;=H82,"OK","❌"))</f>
        <v>OK</v>
      </c>
      <c r="J82" s="101" t="s">
        <v>1372</v>
      </c>
      <c r="K82" s="4" t="str">
        <f aca="false">IF(I82=J82,"✔ sesuai","✖ TIDAK sesuai")</f>
        <v>✔ sesuai</v>
      </c>
      <c r="L82" s="102"/>
    </row>
    <row r="83" customFormat="false" ht="15" hidden="false" customHeight="false" outlineLevel="0" collapsed="false">
      <c r="A83" s="13" t="n">
        <v>77</v>
      </c>
      <c r="B83" s="13" t="s">
        <v>1405</v>
      </c>
      <c r="C83" s="13" t="s">
        <v>1410</v>
      </c>
      <c r="D83" s="13" t="n">
        <v>2021</v>
      </c>
      <c r="E83" s="50" t="n">
        <f aca="false">Schedules!D85</f>
        <v>1219420404326</v>
      </c>
      <c r="F83" s="50" t="n">
        <f aca="false">Schedules!D77</f>
        <v>1219420404326</v>
      </c>
      <c r="G83" s="100" t="n">
        <f aca="false">IF(COUNT(E83:F83)=2,E83-F83,"")</f>
        <v>0</v>
      </c>
      <c r="H83" s="101" t="n">
        <v>1</v>
      </c>
      <c r="I83" s="4" t="str">
        <f aca="false">IF(COUNT(E83:F83)&lt;2,"N/A",IF(ABS(G83)&lt;=H83,"OK","❌"))</f>
        <v>OK</v>
      </c>
      <c r="J83" s="101" t="s">
        <v>1372</v>
      </c>
      <c r="K83" s="4" t="str">
        <f aca="false">IF(I83=J83,"✔ sesuai","✖ TIDAK sesuai")</f>
        <v>✔ sesuai</v>
      </c>
      <c r="L83" s="102"/>
    </row>
    <row r="84" customFormat="false" ht="15" hidden="false" customHeight="false" outlineLevel="0" collapsed="false">
      <c r="A84" s="13" t="n">
        <v>78</v>
      </c>
      <c r="B84" s="13" t="s">
        <v>1405</v>
      </c>
      <c r="C84" s="13" t="s">
        <v>1411</v>
      </c>
      <c r="D84" s="13" t="n">
        <v>2021</v>
      </c>
      <c r="E84" s="50" t="n">
        <f aca="false">Schedules!D120</f>
        <v>462409623024</v>
      </c>
      <c r="F84" s="50" t="n">
        <f aca="false">Schedules!D106</f>
        <v>462409623024</v>
      </c>
      <c r="G84" s="100" t="n">
        <f aca="false">IF(COUNT(E84:F84)=2,E84-F84,"")</f>
        <v>0</v>
      </c>
      <c r="H84" s="101" t="n">
        <v>1</v>
      </c>
      <c r="I84" s="4" t="str">
        <f aca="false">IF(COUNT(E84:F84)&lt;2,"N/A",IF(ABS(G84)&lt;=H84,"OK","❌"))</f>
        <v>OK</v>
      </c>
      <c r="J84" s="101" t="s">
        <v>1372</v>
      </c>
      <c r="K84" s="4" t="str">
        <f aca="false">IF(I84=J84,"✔ sesuai","✖ TIDAK sesuai")</f>
        <v>✔ sesuai</v>
      </c>
      <c r="L84" s="102"/>
    </row>
    <row r="85" customFormat="false" ht="15" hidden="false" customHeight="false" outlineLevel="0" collapsed="false">
      <c r="A85" s="13" t="n">
        <v>79</v>
      </c>
      <c r="B85" s="13" t="s">
        <v>1405</v>
      </c>
      <c r="C85" s="13" t="s">
        <v>1412</v>
      </c>
      <c r="D85" s="13" t="n">
        <v>2021</v>
      </c>
      <c r="E85" s="50" t="n">
        <f aca="false">Schedules!D148</f>
        <v>24028154926</v>
      </c>
      <c r="F85" s="50" t="n">
        <f aca="false">Schedules!D130</f>
        <v>24028154926</v>
      </c>
      <c r="G85" s="100" t="n">
        <f aca="false">IF(COUNT(E85:F85)=2,E85-F85,"")</f>
        <v>0</v>
      </c>
      <c r="H85" s="101" t="n">
        <v>1</v>
      </c>
      <c r="I85" s="4" t="str">
        <f aca="false">IF(COUNT(E85:F85)&lt;2,"N/A",IF(ABS(G85)&lt;=H85,"OK","❌"))</f>
        <v>OK</v>
      </c>
      <c r="J85" s="101" t="s">
        <v>1372</v>
      </c>
      <c r="K85" s="4" t="str">
        <f aca="false">IF(I85=J85,"✔ sesuai","✖ TIDAK sesuai")</f>
        <v>✔ sesuai</v>
      </c>
      <c r="L85" s="102"/>
    </row>
    <row r="86" customFormat="false" ht="15" hidden="false" customHeight="false" outlineLevel="0" collapsed="false">
      <c r="A86" s="13" t="n">
        <v>80</v>
      </c>
      <c r="B86" s="13" t="s">
        <v>1413</v>
      </c>
      <c r="C86" s="13" t="s">
        <v>1414</v>
      </c>
      <c r="D86" s="13" t="n">
        <v>2021</v>
      </c>
      <c r="E86" s="50" t="n">
        <f aca="false">IS!D30</f>
        <v>13.77</v>
      </c>
      <c r="F86" s="50" t="n">
        <f aca="false">ROUND(IS!D26/Schedules!D22,2)</f>
        <v>13.77</v>
      </c>
      <c r="G86" s="100" t="n">
        <f aca="false">IF(COUNT(E86:F86)=2,E86-F86,"")</f>
        <v>0</v>
      </c>
      <c r="H86" s="101" t="n">
        <v>1</v>
      </c>
      <c r="I86" s="4" t="str">
        <f aca="false">IF(COUNT(E86:F86)&lt;2,"N/A",IF(ABS(G86)&lt;=H86,"OK","❌"))</f>
        <v>OK</v>
      </c>
      <c r="J86" s="101" t="s">
        <v>1372</v>
      </c>
      <c r="K86" s="4" t="str">
        <f aca="false">IF(I86=J86,"✔ sesuai","✖ TIDAK sesuai")</f>
        <v>✔ sesuai</v>
      </c>
      <c r="L86" s="102"/>
    </row>
    <row r="87" customFormat="false" ht="15" hidden="false" customHeight="false" outlineLevel="0" collapsed="false">
      <c r="A87" s="13" t="n">
        <v>81</v>
      </c>
      <c r="B87" s="13" t="s">
        <v>1370</v>
      </c>
      <c r="C87" s="13" t="s">
        <v>1371</v>
      </c>
      <c r="D87" s="13" t="n">
        <v>2022</v>
      </c>
      <c r="E87" s="50" t="n">
        <f aca="false">IS!E8</f>
        <v>557054293585</v>
      </c>
      <c r="F87" s="50" t="n">
        <f aca="false">IS!E32</f>
        <v>557054293585</v>
      </c>
      <c r="G87" s="100" t="n">
        <f aca="false">IF(COUNT(E87:F87)=2,E87-F87,"")</f>
        <v>0</v>
      </c>
      <c r="H87" s="101" t="n">
        <v>1</v>
      </c>
      <c r="I87" s="4" t="str">
        <f aca="false">IF(COUNT(E87:F87)&lt;2,"N/A",IF(ABS(G87)&lt;=H87,"OK","❌"))</f>
        <v>OK</v>
      </c>
      <c r="J87" s="101" t="s">
        <v>1372</v>
      </c>
      <c r="K87" s="4" t="str">
        <f aca="false">IF(I87=J87,"✔ sesuai","✖ TIDAK sesuai")</f>
        <v>✔ sesuai</v>
      </c>
      <c r="L87" s="102"/>
    </row>
    <row r="88" customFormat="false" ht="15" hidden="false" customHeight="false" outlineLevel="0" collapsed="false">
      <c r="A88" s="13" t="n">
        <v>82</v>
      </c>
      <c r="B88" s="13" t="s">
        <v>1370</v>
      </c>
      <c r="C88" s="13" t="s">
        <v>1373</v>
      </c>
      <c r="D88" s="13" t="n">
        <v>2022</v>
      </c>
      <c r="E88" s="50" t="n">
        <f aca="false">IS!E17</f>
        <v>-42086886236</v>
      </c>
      <c r="F88" s="50" t="n">
        <f aca="false">IS!E33</f>
        <v>-42086886236</v>
      </c>
      <c r="G88" s="100" t="n">
        <f aca="false">IF(COUNT(E88:F88)=2,E88-F88,"")</f>
        <v>0</v>
      </c>
      <c r="H88" s="101" t="n">
        <v>1</v>
      </c>
      <c r="I88" s="4" t="str">
        <f aca="false">IF(COUNT(E88:F88)&lt;2,"N/A",IF(ABS(G88)&lt;=H88,"OK","❌"))</f>
        <v>OK</v>
      </c>
      <c r="J88" s="101" t="s">
        <v>1372</v>
      </c>
      <c r="K88" s="4" t="str">
        <f aca="false">IF(I88=J88,"✔ sesuai","✖ TIDAK sesuai")</f>
        <v>✔ sesuai</v>
      </c>
      <c r="L88" s="102"/>
    </row>
    <row r="89" customFormat="false" ht="15" hidden="false" customHeight="false" outlineLevel="0" collapsed="false">
      <c r="A89" s="13" t="n">
        <v>83</v>
      </c>
      <c r="B89" s="13" t="s">
        <v>1370</v>
      </c>
      <c r="C89" s="13" t="s">
        <v>1374</v>
      </c>
      <c r="D89" s="13" t="n">
        <v>2022</v>
      </c>
      <c r="E89" s="50" t="n">
        <f aca="false">IS!E19</f>
        <v>-44187230723</v>
      </c>
      <c r="F89" s="50" t="n">
        <f aca="false">IS!E34</f>
        <v>-44187230723</v>
      </c>
      <c r="G89" s="100" t="n">
        <f aca="false">IF(COUNT(E89:F89)=2,E89-F89,"")</f>
        <v>0</v>
      </c>
      <c r="H89" s="101" t="n">
        <v>1</v>
      </c>
      <c r="I89" s="4" t="str">
        <f aca="false">IF(COUNT(E89:F89)&lt;2,"N/A",IF(ABS(G89)&lt;=H89,"OK","❌"))</f>
        <v>OK</v>
      </c>
      <c r="J89" s="101" t="s">
        <v>1372</v>
      </c>
      <c r="K89" s="4" t="str">
        <f aca="false">IF(I89=J89,"✔ sesuai","✖ TIDAK sesuai")</f>
        <v>✔ sesuai</v>
      </c>
      <c r="L89" s="102"/>
    </row>
    <row r="90" customFormat="false" ht="15" hidden="false" customHeight="false" outlineLevel="0" collapsed="false">
      <c r="A90" s="13" t="n">
        <v>84</v>
      </c>
      <c r="B90" s="13" t="s">
        <v>1370</v>
      </c>
      <c r="C90" s="13" t="s">
        <v>1375</v>
      </c>
      <c r="D90" s="13" t="n">
        <v>2022</v>
      </c>
      <c r="E90" s="50" t="n">
        <f aca="false">IS!E23</f>
        <v>11922806156</v>
      </c>
      <c r="F90" s="50" t="n">
        <f aca="false">IS!E35</f>
        <v>11922806156</v>
      </c>
      <c r="G90" s="100" t="n">
        <f aca="false">IF(COUNT(E90:F90)=2,E90-F90,"")</f>
        <v>0</v>
      </c>
      <c r="H90" s="101" t="n">
        <v>1</v>
      </c>
      <c r="I90" s="4" t="str">
        <f aca="false">IF(COUNT(E90:F90)&lt;2,"N/A",IF(ABS(G90)&lt;=H90,"OK","❌"))</f>
        <v>OK</v>
      </c>
      <c r="J90" s="101" t="s">
        <v>1372</v>
      </c>
      <c r="K90" s="4" t="str">
        <f aca="false">IF(I90=J90,"✔ sesuai","✖ TIDAK sesuai")</f>
        <v>✔ sesuai</v>
      </c>
      <c r="L90" s="102"/>
    </row>
    <row r="91" customFormat="false" ht="15" hidden="false" customHeight="false" outlineLevel="0" collapsed="false">
      <c r="A91" s="13" t="n">
        <v>85</v>
      </c>
      <c r="B91" s="13" t="s">
        <v>1370</v>
      </c>
      <c r="C91" s="13" t="s">
        <v>1376</v>
      </c>
      <c r="D91" s="13" t="n">
        <v>2022</v>
      </c>
      <c r="E91" s="50" t="n">
        <f aca="false">IS!E24</f>
        <v>-32264424567</v>
      </c>
      <c r="F91" s="50" t="n">
        <f aca="false">IS!E36</f>
        <v>-32264424567</v>
      </c>
      <c r="G91" s="100" t="n">
        <f aca="false">IF(COUNT(E91:F91)=2,E91-F91,"")</f>
        <v>0</v>
      </c>
      <c r="H91" s="101" t="n">
        <v>1</v>
      </c>
      <c r="I91" s="4" t="str">
        <f aca="false">IF(COUNT(E91:F91)&lt;2,"N/A",IF(ABS(G91)&lt;=H91,"OK","❌"))</f>
        <v>OK</v>
      </c>
      <c r="J91" s="101" t="s">
        <v>1372</v>
      </c>
      <c r="K91" s="4" t="str">
        <f aca="false">IF(I91=J91,"✔ sesuai","✖ TIDAK sesuai")</f>
        <v>✔ sesuai</v>
      </c>
      <c r="L91" s="102"/>
    </row>
    <row r="92" customFormat="false" ht="15" hidden="false" customHeight="false" outlineLevel="0" collapsed="false">
      <c r="A92" s="13" t="n">
        <v>86</v>
      </c>
      <c r="B92" s="13" t="s">
        <v>1370</v>
      </c>
      <c r="C92" s="13" t="s">
        <v>1377</v>
      </c>
      <c r="D92" s="13" t="n">
        <v>2022</v>
      </c>
      <c r="E92" s="50" t="n">
        <f aca="false">BS!E16</f>
        <v>1445613598592</v>
      </c>
      <c r="F92" s="50" t="n">
        <f aca="false">BS!E68</f>
        <v>1445613598592</v>
      </c>
      <c r="G92" s="100" t="n">
        <f aca="false">IF(COUNT(E92:F92)=2,E92-F92,"")</f>
        <v>0</v>
      </c>
      <c r="H92" s="101" t="n">
        <v>1</v>
      </c>
      <c r="I92" s="4" t="str">
        <f aca="false">IF(COUNT(E92:F92)&lt;2,"N/A",IF(ABS(G92)&lt;=H92,"OK","❌"))</f>
        <v>OK</v>
      </c>
      <c r="J92" s="101" t="s">
        <v>1372</v>
      </c>
      <c r="K92" s="4" t="str">
        <f aca="false">IF(I92=J92,"✔ sesuai","✖ TIDAK sesuai")</f>
        <v>✔ sesuai</v>
      </c>
      <c r="L92" s="102"/>
    </row>
    <row r="93" customFormat="false" ht="15" hidden="false" customHeight="false" outlineLevel="0" collapsed="false">
      <c r="A93" s="13" t="n">
        <v>87</v>
      </c>
      <c r="B93" s="13" t="s">
        <v>1370</v>
      </c>
      <c r="C93" s="13" t="s">
        <v>1378</v>
      </c>
      <c r="D93" s="13" t="n">
        <v>2022</v>
      </c>
      <c r="E93" s="50" t="n">
        <f aca="false">BS!E26</f>
        <v>4303985649160</v>
      </c>
      <c r="F93" s="50" t="n">
        <f aca="false">BS!E69</f>
        <v>4303985649160</v>
      </c>
      <c r="G93" s="100" t="n">
        <f aca="false">IF(COUNT(E93:F93)=2,E93-F93,"")</f>
        <v>0</v>
      </c>
      <c r="H93" s="101" t="n">
        <v>1</v>
      </c>
      <c r="I93" s="4" t="str">
        <f aca="false">IF(COUNT(E93:F93)&lt;2,"N/A",IF(ABS(G93)&lt;=H93,"OK","❌"))</f>
        <v>OK</v>
      </c>
      <c r="J93" s="101" t="s">
        <v>1372</v>
      </c>
      <c r="K93" s="4" t="str">
        <f aca="false">IF(I93=J93,"✔ sesuai","✖ TIDAK sesuai")</f>
        <v>✔ sesuai</v>
      </c>
      <c r="L93" s="102"/>
    </row>
    <row r="94" customFormat="false" ht="15" hidden="false" customHeight="false" outlineLevel="0" collapsed="false">
      <c r="A94" s="13" t="n">
        <v>88</v>
      </c>
      <c r="B94" s="13" t="s">
        <v>1370</v>
      </c>
      <c r="C94" s="13" t="s">
        <v>1379</v>
      </c>
      <c r="D94" s="13" t="n">
        <v>2022</v>
      </c>
      <c r="E94" s="50" t="n">
        <f aca="false">BS!E27</f>
        <v>5749599247752</v>
      </c>
      <c r="F94" s="50" t="n">
        <f aca="false">BS!E70</f>
        <v>5749599247752</v>
      </c>
      <c r="G94" s="100" t="n">
        <f aca="false">IF(COUNT(E94:F94)=2,E94-F94,"")</f>
        <v>0</v>
      </c>
      <c r="H94" s="101" t="n">
        <v>1</v>
      </c>
      <c r="I94" s="4" t="str">
        <f aca="false">IF(COUNT(E94:F94)&lt;2,"N/A",IF(ABS(G94)&lt;=H94,"OK","❌"))</f>
        <v>OK</v>
      </c>
      <c r="J94" s="101" t="s">
        <v>1372</v>
      </c>
      <c r="K94" s="4" t="str">
        <f aca="false">IF(I94=J94,"✔ sesuai","✖ TIDAK sesuai")</f>
        <v>✔ sesuai</v>
      </c>
      <c r="L94" s="102"/>
    </row>
    <row r="95" customFormat="false" ht="15" hidden="false" customHeight="false" outlineLevel="0" collapsed="false">
      <c r="A95" s="13" t="n">
        <v>89</v>
      </c>
      <c r="B95" s="13" t="s">
        <v>1370</v>
      </c>
      <c r="C95" s="13" t="s">
        <v>1380</v>
      </c>
      <c r="D95" s="13" t="n">
        <v>2022</v>
      </c>
      <c r="E95" s="50" t="n">
        <f aca="false">BS!E43</f>
        <v>2602765426046</v>
      </c>
      <c r="F95" s="50" t="n">
        <f aca="false">BS!E71</f>
        <v>2602765426046</v>
      </c>
      <c r="G95" s="100" t="n">
        <f aca="false">IF(COUNT(E95:F95)=2,E95-F95,"")</f>
        <v>0</v>
      </c>
      <c r="H95" s="101" t="n">
        <v>1</v>
      </c>
      <c r="I95" s="4" t="str">
        <f aca="false">IF(COUNT(E95:F95)&lt;2,"N/A",IF(ABS(G95)&lt;=H95,"OK","❌"))</f>
        <v>OK</v>
      </c>
      <c r="J95" s="101" t="s">
        <v>1372</v>
      </c>
      <c r="K95" s="4" t="str">
        <f aca="false">IF(I95=J95,"✔ sesuai","✖ TIDAK sesuai")</f>
        <v>✔ sesuai</v>
      </c>
      <c r="L95" s="102"/>
    </row>
    <row r="96" customFormat="false" ht="15" hidden="false" customHeight="false" outlineLevel="0" collapsed="false">
      <c r="A96" s="13" t="n">
        <v>90</v>
      </c>
      <c r="B96" s="13" t="s">
        <v>1370</v>
      </c>
      <c r="C96" s="13" t="s">
        <v>1381</v>
      </c>
      <c r="D96" s="13" t="n">
        <v>2022</v>
      </c>
      <c r="E96" s="50" t="n">
        <f aca="false">BS!E52</f>
        <v>1251695700590</v>
      </c>
      <c r="F96" s="50" t="n">
        <f aca="false">BS!E72</f>
        <v>1251695700590</v>
      </c>
      <c r="G96" s="100" t="n">
        <f aca="false">IF(COUNT(E96:F96)=2,E96-F96,"")</f>
        <v>0</v>
      </c>
      <c r="H96" s="101" t="n">
        <v>1</v>
      </c>
      <c r="I96" s="4" t="str">
        <f aca="false">IF(COUNT(E96:F96)&lt;2,"N/A",IF(ABS(G96)&lt;=H96,"OK","❌"))</f>
        <v>OK</v>
      </c>
      <c r="J96" s="101" t="s">
        <v>1372</v>
      </c>
      <c r="K96" s="4" t="str">
        <f aca="false">IF(I96=J96,"✔ sesuai","✖ TIDAK sesuai")</f>
        <v>✔ sesuai</v>
      </c>
      <c r="L96" s="102"/>
    </row>
    <row r="97" customFormat="false" ht="15" hidden="false" customHeight="false" outlineLevel="0" collapsed="false">
      <c r="A97" s="13" t="n">
        <v>91</v>
      </c>
      <c r="B97" s="13" t="s">
        <v>1370</v>
      </c>
      <c r="C97" s="13" t="s">
        <v>1382</v>
      </c>
      <c r="D97" s="13" t="n">
        <v>2022</v>
      </c>
      <c r="E97" s="50" t="n">
        <f aca="false">BS!E53</f>
        <v>3854461126636</v>
      </c>
      <c r="F97" s="50" t="n">
        <f aca="false">BS!E73</f>
        <v>3854461126636</v>
      </c>
      <c r="G97" s="100" t="n">
        <f aca="false">IF(COUNT(E97:F97)=2,E97-F97,"")</f>
        <v>0</v>
      </c>
      <c r="H97" s="101" t="n">
        <v>1</v>
      </c>
      <c r="I97" s="4" t="str">
        <f aca="false">IF(COUNT(E97:F97)&lt;2,"N/A",IF(ABS(G97)&lt;=H97,"OK","❌"))</f>
        <v>OK</v>
      </c>
      <c r="J97" s="101" t="s">
        <v>1372</v>
      </c>
      <c r="K97" s="4" t="str">
        <f aca="false">IF(I97=J97,"✔ sesuai","✖ TIDAK sesuai")</f>
        <v>✔ sesuai</v>
      </c>
      <c r="L97" s="102"/>
    </row>
    <row r="98" customFormat="false" ht="15" hidden="false" customHeight="false" outlineLevel="0" collapsed="false">
      <c r="A98" s="13" t="n">
        <v>92</v>
      </c>
      <c r="B98" s="13" t="s">
        <v>1370</v>
      </c>
      <c r="C98" s="13" t="s">
        <v>1383</v>
      </c>
      <c r="D98" s="13" t="n">
        <v>2022</v>
      </c>
      <c r="E98" s="50" t="n">
        <f aca="false">BS!E60</f>
        <v>1893912733782</v>
      </c>
      <c r="F98" s="50" t="n">
        <f aca="false">BS!E74</f>
        <v>1893912733782</v>
      </c>
      <c r="G98" s="100" t="n">
        <f aca="false">IF(COUNT(E98:F98)=2,E98-F98,"")</f>
        <v>0</v>
      </c>
      <c r="H98" s="101" t="n">
        <v>1</v>
      </c>
      <c r="I98" s="4" t="str">
        <f aca="false">IF(COUNT(E98:F98)&lt;2,"N/A",IF(ABS(G98)&lt;=H98,"OK","❌"))</f>
        <v>OK</v>
      </c>
      <c r="J98" s="101" t="s">
        <v>1372</v>
      </c>
      <c r="K98" s="4" t="str">
        <f aca="false">IF(I98=J98,"✔ sesuai","✖ TIDAK sesuai")</f>
        <v>✔ sesuai</v>
      </c>
      <c r="L98" s="102"/>
    </row>
    <row r="99" customFormat="false" ht="15" hidden="false" customHeight="false" outlineLevel="0" collapsed="false">
      <c r="A99" s="13" t="n">
        <v>93</v>
      </c>
      <c r="B99" s="13" t="s">
        <v>1370</v>
      </c>
      <c r="C99" s="13" t="s">
        <v>1384</v>
      </c>
      <c r="D99" s="13" t="n">
        <v>2022</v>
      </c>
      <c r="E99" s="50" t="n">
        <f aca="false">BS!E62</f>
        <v>1895138121116</v>
      </c>
      <c r="F99" s="50" t="n">
        <f aca="false">BS!E75</f>
        <v>1895138121116</v>
      </c>
      <c r="G99" s="100" t="n">
        <f aca="false">IF(COUNT(E99:F99)=2,E99-F99,"")</f>
        <v>0</v>
      </c>
      <c r="H99" s="101" t="n">
        <v>1</v>
      </c>
      <c r="I99" s="4" t="str">
        <f aca="false">IF(COUNT(E99:F99)&lt;2,"N/A",IF(ABS(G99)&lt;=H99,"OK","❌"))</f>
        <v>OK</v>
      </c>
      <c r="J99" s="101" t="s">
        <v>1372</v>
      </c>
      <c r="K99" s="4" t="str">
        <f aca="false">IF(I99=J99,"✔ sesuai","✖ TIDAK sesuai")</f>
        <v>✔ sesuai</v>
      </c>
      <c r="L99" s="102"/>
    </row>
    <row r="100" customFormat="false" ht="15" hidden="false" customHeight="false" outlineLevel="0" collapsed="false">
      <c r="A100" s="13" t="n">
        <v>94</v>
      </c>
      <c r="B100" s="13" t="s">
        <v>1370</v>
      </c>
      <c r="C100" s="13" t="s">
        <v>1385</v>
      </c>
      <c r="D100" s="13" t="n">
        <v>2022</v>
      </c>
      <c r="E100" s="50" t="n">
        <f aca="false">BS!E63</f>
        <v>5749599247752</v>
      </c>
      <c r="F100" s="50" t="n">
        <f aca="false">BS!E76</f>
        <v>5749599247752</v>
      </c>
      <c r="G100" s="100" t="n">
        <f aca="false">IF(COUNT(E100:F100)=2,E100-F100,"")</f>
        <v>0</v>
      </c>
      <c r="H100" s="101" t="n">
        <v>1</v>
      </c>
      <c r="I100" s="4" t="str">
        <f aca="false">IF(COUNT(E100:F100)&lt;2,"N/A",IF(ABS(G100)&lt;=H100,"OK","❌"))</f>
        <v>OK</v>
      </c>
      <c r="J100" s="101" t="s">
        <v>1372</v>
      </c>
      <c r="K100" s="4" t="str">
        <f aca="false">IF(I100=J100,"✔ sesuai","✖ TIDAK sesuai")</f>
        <v>✔ sesuai</v>
      </c>
      <c r="L100" s="102"/>
    </row>
    <row r="101" customFormat="false" ht="15" hidden="false" customHeight="false" outlineLevel="0" collapsed="false">
      <c r="A101" s="13" t="n">
        <v>95</v>
      </c>
      <c r="B101" s="13" t="s">
        <v>1370</v>
      </c>
      <c r="C101" s="13" t="s">
        <v>1386</v>
      </c>
      <c r="D101" s="13" t="n">
        <v>2022</v>
      </c>
      <c r="E101" s="50" t="n">
        <f aca="false">CF!E13</f>
        <v>210474822261</v>
      </c>
      <c r="F101" s="50" t="n">
        <f aca="false">CF!E46</f>
        <v>210474822261</v>
      </c>
      <c r="G101" s="100" t="n">
        <f aca="false">IF(COUNT(E101:F101)=2,E101-F101,"")</f>
        <v>0</v>
      </c>
      <c r="H101" s="101" t="n">
        <v>1</v>
      </c>
      <c r="I101" s="4" t="str">
        <f aca="false">IF(COUNT(E101:F101)&lt;2,"N/A",IF(ABS(G101)&lt;=H101,"OK","❌"))</f>
        <v>OK</v>
      </c>
      <c r="J101" s="101" t="s">
        <v>1372</v>
      </c>
      <c r="K101" s="4" t="str">
        <f aca="false">IF(I101=J101,"✔ sesuai","✖ TIDAK sesuai")</f>
        <v>✔ sesuai</v>
      </c>
      <c r="L101" s="102"/>
    </row>
    <row r="102" customFormat="false" ht="15" hidden="false" customHeight="false" outlineLevel="0" collapsed="false">
      <c r="A102" s="13" t="n">
        <v>96</v>
      </c>
      <c r="B102" s="13" t="s">
        <v>1370</v>
      </c>
      <c r="C102" s="13" t="s">
        <v>1387</v>
      </c>
      <c r="D102" s="13" t="n">
        <v>2022</v>
      </c>
      <c r="E102" s="50" t="n">
        <f aca="false">CF!E21</f>
        <v>-678222368151</v>
      </c>
      <c r="F102" s="50" t="n">
        <f aca="false">CF!E47</f>
        <v>-678222368151</v>
      </c>
      <c r="G102" s="100" t="n">
        <f aca="false">IF(COUNT(E102:F102)=2,E102-F102,"")</f>
        <v>0</v>
      </c>
      <c r="H102" s="101" t="n">
        <v>1</v>
      </c>
      <c r="I102" s="4" t="str">
        <f aca="false">IF(COUNT(E102:F102)&lt;2,"N/A",IF(ABS(G102)&lt;=H102,"OK","❌"))</f>
        <v>OK</v>
      </c>
      <c r="J102" s="101" t="s">
        <v>1372</v>
      </c>
      <c r="K102" s="4" t="str">
        <f aca="false">IF(I102=J102,"✔ sesuai","✖ TIDAK sesuai")</f>
        <v>✔ sesuai</v>
      </c>
      <c r="L102" s="102"/>
    </row>
    <row r="103" customFormat="false" ht="15" hidden="false" customHeight="false" outlineLevel="0" collapsed="false">
      <c r="A103" s="13" t="n">
        <v>97</v>
      </c>
      <c r="B103" s="13" t="s">
        <v>1370</v>
      </c>
      <c r="C103" s="13" t="s">
        <v>1388</v>
      </c>
      <c r="D103" s="13" t="n">
        <v>2022</v>
      </c>
      <c r="E103" s="50" t="n">
        <f aca="false">CF!E37</f>
        <v>885079436935</v>
      </c>
      <c r="F103" s="50" t="n">
        <f aca="false">CF!E48</f>
        <v>885079436934</v>
      </c>
      <c r="G103" s="100" t="n">
        <f aca="false">IF(COUNT(E103:F103)=2,E103-F103,"")</f>
        <v>1</v>
      </c>
      <c r="H103" s="101" t="n">
        <v>1</v>
      </c>
      <c r="I103" s="4" t="str">
        <f aca="false">IF(COUNT(E103:F103)&lt;2,"N/A",IF(ABS(G103)&lt;=H103,"OK","❌"))</f>
        <v>OK</v>
      </c>
      <c r="J103" s="101" t="s">
        <v>1372</v>
      </c>
      <c r="K103" s="4" t="str">
        <f aca="false">IF(I103=J103,"✔ sesuai","✖ TIDAK sesuai")</f>
        <v>✔ sesuai</v>
      </c>
      <c r="L103" s="102"/>
    </row>
    <row r="104" customFormat="false" ht="15" hidden="false" customHeight="false" outlineLevel="0" collapsed="false">
      <c r="A104" s="13" t="n">
        <v>98</v>
      </c>
      <c r="B104" s="13" t="s">
        <v>1370</v>
      </c>
      <c r="C104" s="13" t="s">
        <v>1389</v>
      </c>
      <c r="D104" s="13" t="n">
        <v>2022</v>
      </c>
      <c r="E104" s="50" t="n">
        <f aca="false">CF!E38</f>
        <v>417331891045</v>
      </c>
      <c r="F104" s="50" t="n">
        <f aca="false">CF!E49</f>
        <v>417331891045</v>
      </c>
      <c r="G104" s="100" t="n">
        <f aca="false">IF(COUNT(E104:F104)=2,E104-F104,"")</f>
        <v>0</v>
      </c>
      <c r="H104" s="101" t="n">
        <v>1</v>
      </c>
      <c r="I104" s="4" t="str">
        <f aca="false">IF(COUNT(E104:F104)&lt;2,"N/A",IF(ABS(G104)&lt;=H104,"OK","❌"))</f>
        <v>OK</v>
      </c>
      <c r="J104" s="101" t="s">
        <v>1372</v>
      </c>
      <c r="K104" s="4" t="str">
        <f aca="false">IF(I104=J104,"✔ sesuai","✖ TIDAK sesuai")</f>
        <v>✔ sesuai</v>
      </c>
      <c r="L104" s="102"/>
    </row>
    <row r="105" customFormat="false" ht="15" hidden="false" customHeight="false" outlineLevel="0" collapsed="false">
      <c r="A105" s="13" t="n">
        <v>99</v>
      </c>
      <c r="B105" s="13" t="s">
        <v>1370</v>
      </c>
      <c r="C105" s="13" t="s">
        <v>1390</v>
      </c>
      <c r="D105" s="13" t="n">
        <v>2022</v>
      </c>
      <c r="E105" s="50" t="n">
        <f aca="false">CF!E41</f>
        <v>1118254250664</v>
      </c>
      <c r="F105" s="50" t="n">
        <f aca="false">CF!E50</f>
        <v>1118254250664</v>
      </c>
      <c r="G105" s="100" t="n">
        <f aca="false">IF(COUNT(E105:F105)=2,E105-F105,"")</f>
        <v>0</v>
      </c>
      <c r="H105" s="101" t="n">
        <v>1</v>
      </c>
      <c r="I105" s="4" t="str">
        <f aca="false">IF(COUNT(E105:F105)&lt;2,"N/A",IF(ABS(G105)&lt;=H105,"OK","❌"))</f>
        <v>OK</v>
      </c>
      <c r="J105" s="101" t="s">
        <v>1372</v>
      </c>
      <c r="K105" s="4" t="str">
        <f aca="false">IF(I105=J105,"✔ sesuai","✖ TIDAK sesuai")</f>
        <v>✔ sesuai</v>
      </c>
      <c r="L105" s="102"/>
    </row>
    <row r="106" customFormat="false" ht="15" hidden="false" customHeight="false" outlineLevel="0" collapsed="false">
      <c r="A106" s="13" t="n">
        <v>100</v>
      </c>
      <c r="B106" s="13" t="s">
        <v>1391</v>
      </c>
      <c r="C106" s="13" t="s">
        <v>1392</v>
      </c>
      <c r="D106" s="13" t="n">
        <v>2022</v>
      </c>
      <c r="E106" s="50" t="n">
        <f aca="false">BS!E27</f>
        <v>5749599247752</v>
      </c>
      <c r="F106" s="50" t="n">
        <f aca="false">BS!E63</f>
        <v>5749599247752</v>
      </c>
      <c r="G106" s="100" t="n">
        <f aca="false">IF(COUNT(E106:F106)=2,E106-F106,"")</f>
        <v>0</v>
      </c>
      <c r="H106" s="101" t="n">
        <v>1</v>
      </c>
      <c r="I106" s="4" t="str">
        <f aca="false">IF(COUNT(E106:F106)&lt;2,"N/A",IF(ABS(G106)&lt;=H106,"OK","❌"))</f>
        <v>OK</v>
      </c>
      <c r="J106" s="101" t="s">
        <v>1372</v>
      </c>
      <c r="K106" s="4" t="str">
        <f aca="false">IF(I106=J106,"✔ sesuai","✖ TIDAK sesuai")</f>
        <v>✔ sesuai</v>
      </c>
      <c r="L106" s="102"/>
    </row>
    <row r="107" customFormat="false" ht="15" hidden="false" customHeight="false" outlineLevel="0" collapsed="false">
      <c r="A107" s="13" t="n">
        <v>101</v>
      </c>
      <c r="B107" s="13" t="s">
        <v>1391</v>
      </c>
      <c r="C107" s="13" t="s">
        <v>1393</v>
      </c>
      <c r="D107" s="13" t="n">
        <v>2022</v>
      </c>
      <c r="E107" s="50" t="n">
        <f aca="false">IS!E19</f>
        <v>-44187230723</v>
      </c>
      <c r="F107" s="50" t="n">
        <f aca="false">IS!E26+IS!E27</f>
        <v>-44187230723</v>
      </c>
      <c r="G107" s="100" t="n">
        <f aca="false">IF(COUNT(E107:F107)=2,E107-F107,"")</f>
        <v>0</v>
      </c>
      <c r="H107" s="101" t="n">
        <v>1</v>
      </c>
      <c r="I107" s="4" t="str">
        <f aca="false">IF(COUNT(E107:F107)&lt;2,"N/A",IF(ABS(G107)&lt;=H107,"OK","❌"))</f>
        <v>OK</v>
      </c>
      <c r="J107" s="101" t="s">
        <v>1372</v>
      </c>
      <c r="K107" s="4" t="str">
        <f aca="false">IF(I107=J107,"✔ sesuai","✖ TIDAK sesuai")</f>
        <v>✔ sesuai</v>
      </c>
      <c r="L107" s="102"/>
    </row>
    <row r="108" customFormat="false" ht="15" hidden="false" customHeight="false" outlineLevel="0" collapsed="false">
      <c r="A108" s="13" t="n">
        <v>102</v>
      </c>
      <c r="B108" s="13" t="s">
        <v>1391</v>
      </c>
      <c r="C108" s="13" t="s">
        <v>1394</v>
      </c>
      <c r="D108" s="13" t="n">
        <v>2022</v>
      </c>
      <c r="E108" s="50" t="n">
        <f aca="false">IS!E24</f>
        <v>-32264424567</v>
      </c>
      <c r="F108" s="50" t="n">
        <f aca="false">IS!E28+IS!E29</f>
        <v>-32264424567</v>
      </c>
      <c r="G108" s="100" t="n">
        <f aca="false">IF(COUNT(E108:F108)=2,E108-F108,"")</f>
        <v>0</v>
      </c>
      <c r="H108" s="101" t="n">
        <v>1</v>
      </c>
      <c r="I108" s="4" t="str">
        <f aca="false">IF(COUNT(E108:F108)&lt;2,"N/A",IF(ABS(G108)&lt;=H108,"OK","❌"))</f>
        <v>OK</v>
      </c>
      <c r="J108" s="101" t="s">
        <v>1372</v>
      </c>
      <c r="K108" s="4" t="str">
        <f aca="false">IF(I108=J108,"✔ sesuai","✖ TIDAK sesuai")</f>
        <v>✔ sesuai</v>
      </c>
      <c r="L108" s="102"/>
    </row>
    <row r="109" customFormat="false" ht="15" hidden="false" customHeight="false" outlineLevel="0" collapsed="false">
      <c r="A109" s="13" t="n">
        <v>103</v>
      </c>
      <c r="B109" s="13" t="s">
        <v>1391</v>
      </c>
      <c r="C109" s="13" t="s">
        <v>1395</v>
      </c>
      <c r="D109" s="13" t="n">
        <v>2022</v>
      </c>
      <c r="E109" s="50" t="n">
        <f aca="false">CF!E41+N(CF!E44)</f>
        <v>1118254250664</v>
      </c>
      <c r="F109" s="50" t="n">
        <f aca="false">BS!E6</f>
        <v>1118254250664</v>
      </c>
      <c r="G109" s="100" t="n">
        <f aca="false">IF(COUNT(E109:F109)=2,E109-F109,"")</f>
        <v>0</v>
      </c>
      <c r="H109" s="101" t="n">
        <v>1</v>
      </c>
      <c r="I109" s="4" t="str">
        <f aca="false">IF(COUNT(E109:F109)&lt;2,"N/A",IF(ABS(G109)&lt;=H109,"OK","❌"))</f>
        <v>OK</v>
      </c>
      <c r="J109" s="101" t="s">
        <v>1372</v>
      </c>
      <c r="K109" s="4" t="str">
        <f aca="false">IF(I109=J109,"✔ sesuai","✖ TIDAK sesuai")</f>
        <v>✔ sesuai</v>
      </c>
      <c r="L109" s="102"/>
    </row>
    <row r="110" customFormat="false" ht="15" hidden="false" customHeight="false" outlineLevel="0" collapsed="false">
      <c r="A110" s="13" t="n">
        <v>104</v>
      </c>
      <c r="B110" s="13" t="s">
        <v>1391</v>
      </c>
      <c r="C110" s="13" t="s">
        <v>1396</v>
      </c>
      <c r="D110" s="13" t="n">
        <v>2022</v>
      </c>
      <c r="E110" s="61" t="n">
        <v>0</v>
      </c>
      <c r="F110" s="50" t="n">
        <f aca="false">CF!E36</f>
        <v>0</v>
      </c>
      <c r="G110" s="100" t="n">
        <f aca="false">IF(COUNT(E110:F110)=2,E110-F110,"")</f>
        <v>0</v>
      </c>
      <c r="H110" s="101" t="n">
        <v>1</v>
      </c>
      <c r="I110" s="4" t="str">
        <f aca="false">IF(COUNT(E110:F110)&lt;2,"N/A",IF(ABS(G110)&lt;=H110,"OK","❌"))</f>
        <v>OK</v>
      </c>
      <c r="J110" s="101" t="s">
        <v>1372</v>
      </c>
      <c r="K110" s="4" t="str">
        <f aca="false">IF(I110=J110,"✔ sesuai","✖ TIDAK sesuai")</f>
        <v>✔ sesuai</v>
      </c>
      <c r="L110" s="102" t="s">
        <v>1426</v>
      </c>
    </row>
    <row r="111" customFormat="false" ht="15" hidden="false" customHeight="false" outlineLevel="0" collapsed="false">
      <c r="A111" s="13" t="n">
        <v>105</v>
      </c>
      <c r="B111" s="13" t="s">
        <v>1416</v>
      </c>
      <c r="C111" s="13" t="s">
        <v>1417</v>
      </c>
      <c r="D111" s="13" t="n">
        <v>2022</v>
      </c>
      <c r="E111" s="50" t="n">
        <f aca="false">CF!E40+N(CF!E43)</f>
        <v>700922359619</v>
      </c>
      <c r="F111" s="50" t="n">
        <f aca="false">BS!D6</f>
        <v>700922359619</v>
      </c>
      <c r="G111" s="100" t="n">
        <f aca="false">IF(COUNT(E111:F111)=2,E111-F111,"")</f>
        <v>0</v>
      </c>
      <c r="H111" s="101" t="n">
        <v>1</v>
      </c>
      <c r="I111" s="4" t="str">
        <f aca="false">IF(COUNT(E111:F111)&lt;2,"N/A",IF(ABS(G111)&lt;=H111,"OK","❌"))</f>
        <v>OK</v>
      </c>
      <c r="J111" s="101" t="s">
        <v>1372</v>
      </c>
      <c r="K111" s="4" t="str">
        <f aca="false">IF(I111=J111,"✔ sesuai","✖ TIDAK sesuai")</f>
        <v>✔ sesuai</v>
      </c>
      <c r="L111" s="102"/>
    </row>
    <row r="112" customFormat="false" ht="15" hidden="false" customHeight="false" outlineLevel="0" collapsed="false">
      <c r="A112" s="13" t="n">
        <v>106</v>
      </c>
      <c r="B112" s="13" t="s">
        <v>1416</v>
      </c>
      <c r="C112" s="13" t="s">
        <v>1419</v>
      </c>
      <c r="D112" s="13" t="n">
        <v>2022</v>
      </c>
      <c r="E112" s="50" t="n">
        <f aca="false">BS!D59+-44314949025+CF!E36+0</f>
        <v>-479695516834</v>
      </c>
      <c r="F112" s="50" t="n">
        <f aca="false">BS!E59</f>
        <v>-479695516834</v>
      </c>
      <c r="G112" s="100" t="n">
        <f aca="false">IF(COUNT(E112:F112)=2,E112-F112,"")</f>
        <v>0</v>
      </c>
      <c r="H112" s="101" t="n">
        <v>1</v>
      </c>
      <c r="I112" s="4" t="str">
        <f aca="false">IF(COUNT(E112:F112)&lt;2,"N/A",IF(ABS(G112)&lt;=H112,"OK","❌"))</f>
        <v>OK</v>
      </c>
      <c r="J112" s="101" t="s">
        <v>1372</v>
      </c>
      <c r="K112" s="4" t="str">
        <f aca="false">IF(I112=J112,"✔ sesuai","✖ TIDAK sesuai")</f>
        <v>✔ sesuai</v>
      </c>
      <c r="L112" s="102" t="s">
        <v>1420</v>
      </c>
    </row>
    <row r="113" customFormat="false" ht="15" hidden="false" customHeight="false" outlineLevel="0" collapsed="false">
      <c r="A113" s="13" t="n">
        <v>107</v>
      </c>
      <c r="B113" s="13" t="s">
        <v>1416</v>
      </c>
      <c r="C113" s="13" t="s">
        <v>1421</v>
      </c>
      <c r="D113" s="13" t="n">
        <v>2022</v>
      </c>
      <c r="E113" s="50" t="n">
        <f aca="false">Schedules!E29</f>
        <v>4045883925132</v>
      </c>
      <c r="F113" s="50" t="n">
        <f aca="false">Schedules!D34</f>
        <v>4045883925132</v>
      </c>
      <c r="G113" s="100" t="n">
        <f aca="false">IF(COUNT(E113:F113)=2,E113-F113,"")</f>
        <v>0</v>
      </c>
      <c r="H113" s="101" t="n">
        <v>1</v>
      </c>
      <c r="I113" s="4" t="str">
        <f aca="false">IF(COUNT(E113:F113)&lt;2,"N/A",IF(ABS(G113)&lt;=H113,"OK","❌"))</f>
        <v>OK</v>
      </c>
      <c r="J113" s="101" t="s">
        <v>1372</v>
      </c>
      <c r="K113" s="4" t="str">
        <f aca="false">IF(I113=J113,"✔ sesuai","✖ TIDAK sesuai")</f>
        <v>✔ sesuai</v>
      </c>
      <c r="L113" s="102"/>
    </row>
    <row r="114" customFormat="false" ht="15" hidden="false" customHeight="false" outlineLevel="0" collapsed="false">
      <c r="A114" s="13" t="n">
        <v>108</v>
      </c>
      <c r="B114" s="13" t="s">
        <v>1416</v>
      </c>
      <c r="C114" s="13" t="s">
        <v>1424</v>
      </c>
      <c r="D114" s="13" t="n">
        <v>2022</v>
      </c>
      <c r="E114" s="50" t="n">
        <f aca="false">Schedules!E37</f>
        <v>-876108331302</v>
      </c>
      <c r="F114" s="50" t="n">
        <f aca="false">Schedules!D42</f>
        <v>-876108331302</v>
      </c>
      <c r="G114" s="100" t="n">
        <f aca="false">IF(COUNT(E114:F114)=2,E114-F114,"")</f>
        <v>0</v>
      </c>
      <c r="H114" s="101" t="n">
        <v>1</v>
      </c>
      <c r="I114" s="4" t="str">
        <f aca="false">IF(COUNT(E114:F114)&lt;2,"N/A",IF(ABS(G114)&lt;=H114,"OK","❌"))</f>
        <v>OK</v>
      </c>
      <c r="J114" s="101" t="s">
        <v>1372</v>
      </c>
      <c r="K114" s="4" t="str">
        <f aca="false">IF(I114=J114,"✔ sesuai","✖ TIDAK sesuai")</f>
        <v>✔ sesuai</v>
      </c>
      <c r="L114" s="102"/>
    </row>
    <row r="115" customFormat="false" ht="15" hidden="false" customHeight="false" outlineLevel="0" collapsed="false">
      <c r="A115" s="13" t="n">
        <v>109</v>
      </c>
      <c r="B115" s="13" t="s">
        <v>1398</v>
      </c>
      <c r="C115" s="13" t="s">
        <v>1399</v>
      </c>
      <c r="D115" s="13" t="n">
        <v>2022</v>
      </c>
      <c r="E115" s="50" t="n">
        <f aca="false">Schedules!E10</f>
        <v>1934163680964</v>
      </c>
      <c r="F115" s="50" t="n">
        <f aca="false">IS!E6</f>
        <v>1934163680964</v>
      </c>
      <c r="G115" s="100" t="n">
        <f aca="false">IF(COUNT(E115:F115)=2,E115-F115,"")</f>
        <v>0</v>
      </c>
      <c r="H115" s="101" t="n">
        <v>1</v>
      </c>
      <c r="I115" s="4" t="str">
        <f aca="false">IF(COUNT(E115:F115)&lt;2,"N/A",IF(ABS(G115)&lt;=H115,"OK","❌"))</f>
        <v>OK</v>
      </c>
      <c r="J115" s="101" t="s">
        <v>1372</v>
      </c>
      <c r="K115" s="4" t="str">
        <f aca="false">IF(I115=J115,"✔ sesuai","✖ TIDAK sesuai")</f>
        <v>✔ sesuai</v>
      </c>
      <c r="L115" s="102"/>
    </row>
    <row r="116" customFormat="false" ht="15" hidden="false" customHeight="false" outlineLevel="0" collapsed="false">
      <c r="A116" s="13" t="n">
        <v>110</v>
      </c>
      <c r="B116" s="13" t="s">
        <v>1398</v>
      </c>
      <c r="C116" s="13" t="s">
        <v>1400</v>
      </c>
      <c r="D116" s="13" t="n">
        <v>2022</v>
      </c>
      <c r="E116" s="50" t="n">
        <f aca="false">Schedules!E58</f>
        <v>1934163680964</v>
      </c>
      <c r="F116" s="50" t="n">
        <f aca="false">IS!E6</f>
        <v>1934163680964</v>
      </c>
      <c r="G116" s="100" t="n">
        <f aca="false">IF(COUNT(E116:F116)=2,E116-F116,"")</f>
        <v>0</v>
      </c>
      <c r="H116" s="101" t="n">
        <v>1</v>
      </c>
      <c r="I116" s="4" t="str">
        <f aca="false">IF(COUNT(E116:F116)&lt;2,"N/A",IF(ABS(G116)&lt;=H116,"OK","❌"))</f>
        <v>OK</v>
      </c>
      <c r="J116" s="101" t="s">
        <v>1372</v>
      </c>
      <c r="K116" s="4" t="str">
        <f aca="false">IF(I116=J116,"✔ sesuai","✖ TIDAK sesuai")</f>
        <v>✔ sesuai</v>
      </c>
      <c r="L116" s="102"/>
    </row>
    <row r="117" customFormat="false" ht="15" hidden="false" customHeight="false" outlineLevel="0" collapsed="false">
      <c r="A117" s="13" t="n">
        <v>111</v>
      </c>
      <c r="B117" s="13" t="s">
        <v>1398</v>
      </c>
      <c r="C117" s="13" t="s">
        <v>1401</v>
      </c>
      <c r="D117" s="13" t="n">
        <v>2022</v>
      </c>
      <c r="E117" s="50" t="n">
        <f aca="false">Schedules!E77</f>
        <v>1377109387379</v>
      </c>
      <c r="F117" s="50" t="n">
        <f aca="false">-IS!E7</f>
        <v>1377109387379</v>
      </c>
      <c r="G117" s="100" t="n">
        <f aca="false">IF(COUNT(E117:F117)=2,E117-F117,"")</f>
        <v>0</v>
      </c>
      <c r="H117" s="101" t="n">
        <v>1</v>
      </c>
      <c r="I117" s="4" t="str">
        <f aca="false">IF(COUNT(E117:F117)&lt;2,"N/A",IF(ABS(G117)&lt;=H117,"OK","❌"))</f>
        <v>OK</v>
      </c>
      <c r="J117" s="101" t="s">
        <v>1372</v>
      </c>
      <c r="K117" s="4" t="str">
        <f aca="false">IF(I117=J117,"✔ sesuai","✖ TIDAK sesuai")</f>
        <v>✔ sesuai</v>
      </c>
      <c r="L117" s="102"/>
    </row>
    <row r="118" customFormat="false" ht="15" hidden="false" customHeight="false" outlineLevel="0" collapsed="false">
      <c r="A118" s="13" t="n">
        <v>112</v>
      </c>
      <c r="B118" s="13" t="s">
        <v>1398</v>
      </c>
      <c r="C118" s="13" t="s">
        <v>1402</v>
      </c>
      <c r="D118" s="13" t="n">
        <v>2022</v>
      </c>
      <c r="E118" s="50" t="n">
        <f aca="false">Schedules!E106</f>
        <v>502013236172</v>
      </c>
      <c r="F118" s="50" t="n">
        <f aca="false">-IS!E10</f>
        <v>502013236172</v>
      </c>
      <c r="G118" s="100" t="n">
        <f aca="false">IF(COUNT(E118:F118)=2,E118-F118,"")</f>
        <v>0</v>
      </c>
      <c r="H118" s="101" t="n">
        <v>1</v>
      </c>
      <c r="I118" s="4" t="str">
        <f aca="false">IF(COUNT(E118:F118)&lt;2,"N/A",IF(ABS(G118)&lt;=H118,"OK","❌"))</f>
        <v>OK</v>
      </c>
      <c r="J118" s="101" t="s">
        <v>1372</v>
      </c>
      <c r="K118" s="4" t="str">
        <f aca="false">IF(I118=J118,"✔ sesuai","✖ TIDAK sesuai")</f>
        <v>✔ sesuai</v>
      </c>
      <c r="L118" s="102"/>
    </row>
    <row r="119" customFormat="false" ht="15" hidden="false" customHeight="false" outlineLevel="0" collapsed="false">
      <c r="A119" s="13" t="n">
        <v>113</v>
      </c>
      <c r="B119" s="13" t="s">
        <v>1398</v>
      </c>
      <c r="C119" s="13" t="s">
        <v>1403</v>
      </c>
      <c r="D119" s="13" t="n">
        <v>2022</v>
      </c>
      <c r="E119" s="50" t="n">
        <f aca="false">Schedules!E130</f>
        <v>4159861446</v>
      </c>
      <c r="F119" s="50" t="n">
        <f aca="false">IS!E12</f>
        <v>4159861446</v>
      </c>
      <c r="G119" s="100" t="n">
        <f aca="false">IF(COUNT(E119:F119)=2,E119-F119,"")</f>
        <v>0</v>
      </c>
      <c r="H119" s="101" t="n">
        <v>1</v>
      </c>
      <c r="I119" s="4" t="str">
        <f aca="false">IF(COUNT(E119:F119)&lt;2,"N/A",IF(ABS(G119)&lt;=H119,"OK","❌"))</f>
        <v>OK</v>
      </c>
      <c r="J119" s="101" t="s">
        <v>1372</v>
      </c>
      <c r="K119" s="4" t="str">
        <f aca="false">IF(I119=J119,"✔ sesuai","✖ TIDAK sesuai")</f>
        <v>✔ sesuai</v>
      </c>
      <c r="L119" s="102"/>
    </row>
    <row r="120" customFormat="false" ht="15" hidden="false" customHeight="false" outlineLevel="0" collapsed="false">
      <c r="A120" s="13" t="n">
        <v>114</v>
      </c>
      <c r="B120" s="13" t="s">
        <v>1398</v>
      </c>
      <c r="C120" s="13" t="s">
        <v>1404</v>
      </c>
      <c r="D120" s="13" t="n">
        <v>2022</v>
      </c>
      <c r="E120" s="50" t="n">
        <f aca="false">Schedules!E44</f>
        <v>3607142163990</v>
      </c>
      <c r="F120" s="50" t="n">
        <f aca="false">BS!E19</f>
        <v>3607142163990</v>
      </c>
      <c r="G120" s="100" t="n">
        <f aca="false">IF(COUNT(E120:F120)=2,E120-F120,"")</f>
        <v>0</v>
      </c>
      <c r="H120" s="101" t="n">
        <v>1</v>
      </c>
      <c r="I120" s="4" t="str">
        <f aca="false">IF(COUNT(E120:F120)&lt;2,"N/A",IF(ABS(G120)&lt;=H120,"OK","❌"))</f>
        <v>OK</v>
      </c>
      <c r="J120" s="101" t="s">
        <v>1372</v>
      </c>
      <c r="K120" s="4" t="str">
        <f aca="false">IF(I120=J120,"✔ sesuai","✖ TIDAK sesuai")</f>
        <v>✔ sesuai</v>
      </c>
      <c r="L120" s="102"/>
    </row>
    <row r="121" customFormat="false" ht="15" hidden="false" customHeight="false" outlineLevel="0" collapsed="false">
      <c r="A121" s="13" t="n">
        <v>115</v>
      </c>
      <c r="B121" s="13" t="s">
        <v>1405</v>
      </c>
      <c r="C121" s="13" t="s">
        <v>1406</v>
      </c>
      <c r="D121" s="13" t="n">
        <v>2022</v>
      </c>
      <c r="E121" s="50" t="n">
        <f aca="false">Schedules!E14</f>
        <v>200058535691</v>
      </c>
      <c r="F121" s="50" t="n">
        <f aca="false">Schedules!E15</f>
        <v>200058535691</v>
      </c>
      <c r="G121" s="100" t="n">
        <f aca="false">IF(COUNT(E121:F121)=2,E121-F121,"")</f>
        <v>0</v>
      </c>
      <c r="H121" s="101" t="n">
        <v>1</v>
      </c>
      <c r="I121" s="4" t="str">
        <f aca="false">IF(COUNT(E121:F121)&lt;2,"N/A",IF(ABS(G121)&lt;=H121,"OK","❌"))</f>
        <v>OK</v>
      </c>
      <c r="J121" s="101" t="s">
        <v>1372</v>
      </c>
      <c r="K121" s="4" t="str">
        <f aca="false">IF(I121=J121,"✔ sesuai","✖ TIDAK sesuai")</f>
        <v>✔ sesuai</v>
      </c>
      <c r="L121" s="102"/>
    </row>
    <row r="122" customFormat="false" ht="15" hidden="false" customHeight="false" outlineLevel="0" collapsed="false">
      <c r="A122" s="13" t="n">
        <v>116</v>
      </c>
      <c r="B122" s="13" t="s">
        <v>1405</v>
      </c>
      <c r="C122" s="13" t="s">
        <v>1407</v>
      </c>
      <c r="D122" s="13" t="n">
        <v>2022</v>
      </c>
      <c r="E122" s="50" t="n">
        <f aca="false">Schedules!E35</f>
        <v>4679439740916</v>
      </c>
      <c r="F122" s="50" t="n">
        <f aca="false">Schedules!E34</f>
        <v>4679439740916</v>
      </c>
      <c r="G122" s="100" t="n">
        <f aca="false">IF(COUNT(E122:F122)=2,E122-F122,"")</f>
        <v>0</v>
      </c>
      <c r="H122" s="101" t="n">
        <v>1</v>
      </c>
      <c r="I122" s="4" t="str">
        <f aca="false">IF(COUNT(E122:F122)&lt;2,"N/A",IF(ABS(G122)&lt;=H122,"OK","❌"))</f>
        <v>OK</v>
      </c>
      <c r="J122" s="101" t="s">
        <v>1372</v>
      </c>
      <c r="K122" s="4" t="str">
        <f aca="false">IF(I122=J122,"✔ sesuai","✖ TIDAK sesuai")</f>
        <v>✔ sesuai</v>
      </c>
      <c r="L122" s="102"/>
    </row>
    <row r="123" customFormat="false" ht="15" hidden="false" customHeight="false" outlineLevel="0" collapsed="false">
      <c r="A123" s="13" t="n">
        <v>117</v>
      </c>
      <c r="B123" s="13" t="s">
        <v>1405</v>
      </c>
      <c r="C123" s="13" t="s">
        <v>1408</v>
      </c>
      <c r="D123" s="13" t="n">
        <v>2022</v>
      </c>
      <c r="E123" s="50" t="n">
        <f aca="false">Schedules!E43</f>
        <v>-1072297576926</v>
      </c>
      <c r="F123" s="50" t="n">
        <f aca="false">Schedules!E42</f>
        <v>-1072297576926</v>
      </c>
      <c r="G123" s="100" t="n">
        <f aca="false">IF(COUNT(E123:F123)=2,E123-F123,"")</f>
        <v>0</v>
      </c>
      <c r="H123" s="101" t="n">
        <v>1</v>
      </c>
      <c r="I123" s="4" t="str">
        <f aca="false">IF(COUNT(E123:F123)&lt;2,"N/A",IF(ABS(G123)&lt;=H123,"OK","❌"))</f>
        <v>OK</v>
      </c>
      <c r="J123" s="101" t="s">
        <v>1372</v>
      </c>
      <c r="K123" s="4" t="str">
        <f aca="false">IF(I123=J123,"✔ sesuai","✖ TIDAK sesuai")</f>
        <v>✔ sesuai</v>
      </c>
      <c r="L123" s="102"/>
    </row>
    <row r="124" customFormat="false" ht="15" hidden="false" customHeight="false" outlineLevel="0" collapsed="false">
      <c r="A124" s="13" t="n">
        <v>118</v>
      </c>
      <c r="B124" s="13" t="s">
        <v>1405</v>
      </c>
      <c r="C124" s="13" t="s">
        <v>1409</v>
      </c>
      <c r="D124" s="13" t="n">
        <v>2022</v>
      </c>
      <c r="E124" s="50" t="n">
        <f aca="false">Schedules!E67</f>
        <v>1934163680964</v>
      </c>
      <c r="F124" s="50" t="n">
        <f aca="false">Schedules!E58</f>
        <v>1934163680964</v>
      </c>
      <c r="G124" s="100" t="n">
        <f aca="false">IF(COUNT(E124:F124)=2,E124-F124,"")</f>
        <v>0</v>
      </c>
      <c r="H124" s="101" t="n">
        <v>1</v>
      </c>
      <c r="I124" s="4" t="str">
        <f aca="false">IF(COUNT(E124:F124)&lt;2,"N/A",IF(ABS(G124)&lt;=H124,"OK","❌"))</f>
        <v>OK</v>
      </c>
      <c r="J124" s="101" t="s">
        <v>1372</v>
      </c>
      <c r="K124" s="4" t="str">
        <f aca="false">IF(I124=J124,"✔ sesuai","✖ TIDAK sesuai")</f>
        <v>✔ sesuai</v>
      </c>
      <c r="L124" s="102"/>
    </row>
    <row r="125" customFormat="false" ht="15" hidden="false" customHeight="false" outlineLevel="0" collapsed="false">
      <c r="A125" s="13" t="n">
        <v>119</v>
      </c>
      <c r="B125" s="13" t="s">
        <v>1405</v>
      </c>
      <c r="C125" s="13" t="s">
        <v>1410</v>
      </c>
      <c r="D125" s="13" t="n">
        <v>2022</v>
      </c>
      <c r="E125" s="50" t="n">
        <f aca="false">Schedules!E85</f>
        <v>1377109387379</v>
      </c>
      <c r="F125" s="50" t="n">
        <f aca="false">Schedules!E77</f>
        <v>1377109387379</v>
      </c>
      <c r="G125" s="100" t="n">
        <f aca="false">IF(COUNT(E125:F125)=2,E125-F125,"")</f>
        <v>0</v>
      </c>
      <c r="H125" s="101" t="n">
        <v>1</v>
      </c>
      <c r="I125" s="4" t="str">
        <f aca="false">IF(COUNT(E125:F125)&lt;2,"N/A",IF(ABS(G125)&lt;=H125,"OK","❌"))</f>
        <v>OK</v>
      </c>
      <c r="J125" s="101" t="s">
        <v>1372</v>
      </c>
      <c r="K125" s="4" t="str">
        <f aca="false">IF(I125=J125,"✔ sesuai","✖ TIDAK sesuai")</f>
        <v>✔ sesuai</v>
      </c>
      <c r="L125" s="102"/>
    </row>
    <row r="126" customFormat="false" ht="15" hidden="false" customHeight="false" outlineLevel="0" collapsed="false">
      <c r="A126" s="13" t="n">
        <v>120</v>
      </c>
      <c r="B126" s="13" t="s">
        <v>1405</v>
      </c>
      <c r="C126" s="13" t="s">
        <v>1411</v>
      </c>
      <c r="D126" s="13" t="n">
        <v>2022</v>
      </c>
      <c r="E126" s="50" t="n">
        <f aca="false">Schedules!E120</f>
        <v>502013236172</v>
      </c>
      <c r="F126" s="50" t="n">
        <f aca="false">Schedules!E106</f>
        <v>502013236172</v>
      </c>
      <c r="G126" s="100" t="n">
        <f aca="false">IF(COUNT(E126:F126)=2,E126-F126,"")</f>
        <v>0</v>
      </c>
      <c r="H126" s="101" t="n">
        <v>1</v>
      </c>
      <c r="I126" s="4" t="str">
        <f aca="false">IF(COUNT(E126:F126)&lt;2,"N/A",IF(ABS(G126)&lt;=H126,"OK","❌"))</f>
        <v>OK</v>
      </c>
      <c r="J126" s="101" t="s">
        <v>1372</v>
      </c>
      <c r="K126" s="4" t="str">
        <f aca="false">IF(I126=J126,"✔ sesuai","✖ TIDAK sesuai")</f>
        <v>✔ sesuai</v>
      </c>
      <c r="L126" s="102"/>
    </row>
    <row r="127" customFormat="false" ht="15" hidden="false" customHeight="false" outlineLevel="0" collapsed="false">
      <c r="A127" s="13" t="n">
        <v>121</v>
      </c>
      <c r="B127" s="13" t="s">
        <v>1405</v>
      </c>
      <c r="C127" s="13" t="s">
        <v>1412</v>
      </c>
      <c r="D127" s="13" t="n">
        <v>2022</v>
      </c>
      <c r="E127" s="50" t="n">
        <f aca="false">Schedules!E148</f>
        <v>4159861446</v>
      </c>
      <c r="F127" s="50" t="n">
        <f aca="false">Schedules!E130</f>
        <v>4159861446</v>
      </c>
      <c r="G127" s="100" t="n">
        <f aca="false">IF(COUNT(E127:F127)=2,E127-F127,"")</f>
        <v>0</v>
      </c>
      <c r="H127" s="101" t="n">
        <v>1</v>
      </c>
      <c r="I127" s="4" t="str">
        <f aca="false">IF(COUNT(E127:F127)&lt;2,"N/A",IF(ABS(G127)&lt;=H127,"OK","❌"))</f>
        <v>OK</v>
      </c>
      <c r="J127" s="101" t="s">
        <v>1372</v>
      </c>
      <c r="K127" s="4" t="str">
        <f aca="false">IF(I127=J127,"✔ sesuai","✖ TIDAK sesuai")</f>
        <v>✔ sesuai</v>
      </c>
      <c r="L127" s="102"/>
    </row>
    <row r="128" customFormat="false" ht="15" hidden="false" customHeight="false" outlineLevel="0" collapsed="false">
      <c r="A128" s="13" t="n">
        <v>122</v>
      </c>
      <c r="B128" s="13" t="s">
        <v>1413</v>
      </c>
      <c r="C128" s="13" t="s">
        <v>1414</v>
      </c>
      <c r="D128" s="13" t="n">
        <v>2022</v>
      </c>
      <c r="E128" s="50" t="n">
        <f aca="false">IS!E30</f>
        <v>-3.69</v>
      </c>
      <c r="F128" s="50" t="n">
        <f aca="false">ROUND(IS!E26/Schedules!E22,2)</f>
        <v>-3.69</v>
      </c>
      <c r="G128" s="100" t="n">
        <f aca="false">IF(COUNT(E128:F128)=2,E128-F128,"")</f>
        <v>0</v>
      </c>
      <c r="H128" s="101" t="n">
        <v>1</v>
      </c>
      <c r="I128" s="4" t="str">
        <f aca="false">IF(COUNT(E128:F128)&lt;2,"N/A",IF(ABS(G128)&lt;=H128,"OK","❌"))</f>
        <v>OK</v>
      </c>
      <c r="J128" s="101" t="s">
        <v>1372</v>
      </c>
      <c r="K128" s="4" t="str">
        <f aca="false">IF(I128=J128,"✔ sesuai","✖ TIDAK sesuai")</f>
        <v>✔ sesuai</v>
      </c>
      <c r="L128" s="102"/>
    </row>
    <row r="129" customFormat="false" ht="15" hidden="false" customHeight="false" outlineLevel="0" collapsed="false">
      <c r="A129" s="13" t="n">
        <v>123</v>
      </c>
      <c r="B129" s="13" t="s">
        <v>1370</v>
      </c>
      <c r="C129" s="13" t="s">
        <v>1371</v>
      </c>
      <c r="D129" s="13" t="n">
        <v>2023</v>
      </c>
      <c r="E129" s="50" t="n">
        <f aca="false">IS!F8</f>
        <v>718020000000</v>
      </c>
      <c r="F129" s="50" t="n">
        <f aca="false">IS!F32</f>
        <v>718020000000</v>
      </c>
      <c r="G129" s="100" t="n">
        <f aca="false">IF(COUNT(E129:F129)=2,E129-F129,"")</f>
        <v>0</v>
      </c>
      <c r="H129" s="101" t="n">
        <v>1</v>
      </c>
      <c r="I129" s="4" t="str">
        <f aca="false">IF(COUNT(E129:F129)&lt;2,"N/A",IF(ABS(G129)&lt;=H129,"OK","❌"))</f>
        <v>OK</v>
      </c>
      <c r="J129" s="101" t="s">
        <v>1372</v>
      </c>
      <c r="K129" s="4" t="str">
        <f aca="false">IF(I129=J129,"✔ sesuai","✖ TIDAK sesuai")</f>
        <v>✔ sesuai</v>
      </c>
      <c r="L129" s="102"/>
    </row>
    <row r="130" customFormat="false" ht="15" hidden="false" customHeight="false" outlineLevel="0" collapsed="false">
      <c r="A130" s="13" t="n">
        <v>124</v>
      </c>
      <c r="B130" s="13" t="s">
        <v>1370</v>
      </c>
      <c r="C130" s="13" t="s">
        <v>1373</v>
      </c>
      <c r="D130" s="13" t="n">
        <v>2023</v>
      </c>
      <c r="E130" s="50" t="n">
        <f aca="false">IS!F17</f>
        <v>-31291000000</v>
      </c>
      <c r="F130" s="50" t="n">
        <f aca="false">IS!F33</f>
        <v>-31291000000</v>
      </c>
      <c r="G130" s="100" t="n">
        <f aca="false">IF(COUNT(E130:F130)=2,E130-F130,"")</f>
        <v>0</v>
      </c>
      <c r="H130" s="101" t="n">
        <v>1</v>
      </c>
      <c r="I130" s="4" t="str">
        <f aca="false">IF(COUNT(E130:F130)&lt;2,"N/A",IF(ABS(G130)&lt;=H130,"OK","❌"))</f>
        <v>OK</v>
      </c>
      <c r="J130" s="101" t="s">
        <v>1372</v>
      </c>
      <c r="K130" s="4" t="str">
        <f aca="false">IF(I130=J130,"✔ sesuai","✖ TIDAK sesuai")</f>
        <v>✔ sesuai</v>
      </c>
      <c r="L130" s="102"/>
    </row>
    <row r="131" customFormat="false" ht="15" hidden="false" customHeight="false" outlineLevel="0" collapsed="false">
      <c r="A131" s="13" t="n">
        <v>125</v>
      </c>
      <c r="B131" s="13" t="s">
        <v>1370</v>
      </c>
      <c r="C131" s="13" t="s">
        <v>1374</v>
      </c>
      <c r="D131" s="13" t="n">
        <v>2023</v>
      </c>
      <c r="E131" s="50" t="n">
        <f aca="false">IS!F19</f>
        <v>-38313000000</v>
      </c>
      <c r="F131" s="50" t="n">
        <f aca="false">IS!F34</f>
        <v>-38313000000</v>
      </c>
      <c r="G131" s="100" t="n">
        <f aca="false">IF(COUNT(E131:F131)=2,E131-F131,"")</f>
        <v>0</v>
      </c>
      <c r="H131" s="101" t="n">
        <v>1</v>
      </c>
      <c r="I131" s="4" t="str">
        <f aca="false">IF(COUNT(E131:F131)&lt;2,"N/A",IF(ABS(G131)&lt;=H131,"OK","❌"))</f>
        <v>OK</v>
      </c>
      <c r="J131" s="101" t="s">
        <v>1372</v>
      </c>
      <c r="K131" s="4" t="str">
        <f aca="false">IF(I131=J131,"✔ sesuai","✖ TIDAK sesuai")</f>
        <v>✔ sesuai</v>
      </c>
      <c r="L131" s="102"/>
    </row>
    <row r="132" customFormat="false" ht="15" hidden="false" customHeight="false" outlineLevel="0" collapsed="false">
      <c r="A132" s="13" t="n">
        <v>126</v>
      </c>
      <c r="B132" s="13" t="s">
        <v>1370</v>
      </c>
      <c r="C132" s="13" t="s">
        <v>1375</v>
      </c>
      <c r="D132" s="13" t="n">
        <v>2023</v>
      </c>
      <c r="E132" s="50" t="n">
        <f aca="false">IS!F23</f>
        <v>632000000</v>
      </c>
      <c r="F132" s="50" t="n">
        <f aca="false">IS!F35</f>
        <v>632000000</v>
      </c>
      <c r="G132" s="100" t="n">
        <f aca="false">IF(COUNT(E132:F132)=2,E132-F132,"")</f>
        <v>0</v>
      </c>
      <c r="H132" s="101" t="n">
        <v>1</v>
      </c>
      <c r="I132" s="4" t="str">
        <f aca="false">IF(COUNT(E132:F132)&lt;2,"N/A",IF(ABS(G132)&lt;=H132,"OK","❌"))</f>
        <v>OK</v>
      </c>
      <c r="J132" s="101" t="s">
        <v>1372</v>
      </c>
      <c r="K132" s="4" t="str">
        <f aca="false">IF(I132=J132,"✔ sesuai","✖ TIDAK sesuai")</f>
        <v>✔ sesuai</v>
      </c>
      <c r="L132" s="102"/>
    </row>
    <row r="133" customFormat="false" ht="15" hidden="false" customHeight="false" outlineLevel="0" collapsed="false">
      <c r="A133" s="13" t="n">
        <v>127</v>
      </c>
      <c r="B133" s="13" t="s">
        <v>1370</v>
      </c>
      <c r="C133" s="13" t="s">
        <v>1376</v>
      </c>
      <c r="D133" s="13" t="n">
        <v>2023</v>
      </c>
      <c r="E133" s="50" t="n">
        <f aca="false">IS!F24</f>
        <v>-37681000000</v>
      </c>
      <c r="F133" s="50" t="n">
        <f aca="false">IS!F36</f>
        <v>-37681000000</v>
      </c>
      <c r="G133" s="100" t="n">
        <f aca="false">IF(COUNT(E133:F133)=2,E133-F133,"")</f>
        <v>0</v>
      </c>
      <c r="H133" s="101" t="n">
        <v>1</v>
      </c>
      <c r="I133" s="4" t="str">
        <f aca="false">IF(COUNT(E133:F133)&lt;2,"N/A",IF(ABS(G133)&lt;=H133,"OK","❌"))</f>
        <v>OK</v>
      </c>
      <c r="J133" s="101" t="s">
        <v>1372</v>
      </c>
      <c r="K133" s="4" t="str">
        <f aca="false">IF(I133=J133,"✔ sesuai","✖ TIDAK sesuai")</f>
        <v>✔ sesuai</v>
      </c>
      <c r="L133" s="102"/>
    </row>
    <row r="134" customFormat="false" ht="15" hidden="false" customHeight="false" outlineLevel="0" collapsed="false">
      <c r="A134" s="13" t="n">
        <v>128</v>
      </c>
      <c r="B134" s="13" t="s">
        <v>1370</v>
      </c>
      <c r="C134" s="13" t="s">
        <v>1377</v>
      </c>
      <c r="D134" s="13" t="n">
        <v>2023</v>
      </c>
      <c r="E134" s="50" t="n">
        <f aca="false">BS!F16</f>
        <v>998249000000</v>
      </c>
      <c r="F134" s="50" t="n">
        <f aca="false">BS!F68</f>
        <v>998249000000</v>
      </c>
      <c r="G134" s="100" t="n">
        <f aca="false">IF(COUNT(E134:F134)=2,E134-F134,"")</f>
        <v>0</v>
      </c>
      <c r="H134" s="101" t="n">
        <v>1</v>
      </c>
      <c r="I134" s="4" t="str">
        <f aca="false">IF(COUNT(E134:F134)&lt;2,"N/A",IF(ABS(G134)&lt;=H134,"OK","❌"))</f>
        <v>OK</v>
      </c>
      <c r="J134" s="101" t="s">
        <v>1372</v>
      </c>
      <c r="K134" s="4" t="str">
        <f aca="false">IF(I134=J134,"✔ sesuai","✖ TIDAK sesuai")</f>
        <v>✔ sesuai</v>
      </c>
      <c r="L134" s="102"/>
    </row>
    <row r="135" customFormat="false" ht="15" hidden="false" customHeight="false" outlineLevel="0" collapsed="false">
      <c r="A135" s="13" t="n">
        <v>129</v>
      </c>
      <c r="B135" s="13" t="s">
        <v>1370</v>
      </c>
      <c r="C135" s="13" t="s">
        <v>1378</v>
      </c>
      <c r="D135" s="13" t="n">
        <v>2023</v>
      </c>
      <c r="E135" s="50" t="n">
        <f aca="false">BS!F26</f>
        <v>4608042000000</v>
      </c>
      <c r="F135" s="50" t="n">
        <f aca="false">BS!F69</f>
        <v>4608042000000</v>
      </c>
      <c r="G135" s="100" t="n">
        <f aca="false">IF(COUNT(E135:F135)=2,E135-F135,"")</f>
        <v>0</v>
      </c>
      <c r="H135" s="101" t="n">
        <v>1</v>
      </c>
      <c r="I135" s="4" t="str">
        <f aca="false">IF(COUNT(E135:F135)&lt;2,"N/A",IF(ABS(G135)&lt;=H135,"OK","❌"))</f>
        <v>OK</v>
      </c>
      <c r="J135" s="101" t="s">
        <v>1372</v>
      </c>
      <c r="K135" s="4" t="str">
        <f aca="false">IF(I135=J135,"✔ sesuai","✖ TIDAK sesuai")</f>
        <v>✔ sesuai</v>
      </c>
      <c r="L135" s="102"/>
    </row>
    <row r="136" customFormat="false" ht="15" hidden="false" customHeight="false" outlineLevel="0" collapsed="false">
      <c r="A136" s="13" t="n">
        <v>130</v>
      </c>
      <c r="B136" s="13" t="s">
        <v>1370</v>
      </c>
      <c r="C136" s="13" t="s">
        <v>1379</v>
      </c>
      <c r="D136" s="13" t="n">
        <v>2023</v>
      </c>
      <c r="E136" s="50" t="n">
        <f aca="false">BS!F27</f>
        <v>5606291000000</v>
      </c>
      <c r="F136" s="50" t="n">
        <f aca="false">BS!F70</f>
        <v>5606291000000</v>
      </c>
      <c r="G136" s="100" t="n">
        <f aca="false">IF(COUNT(E136:F136)=2,E136-F136,"")</f>
        <v>0</v>
      </c>
      <c r="H136" s="101" t="n">
        <v>1</v>
      </c>
      <c r="I136" s="4" t="str">
        <f aca="false">IF(COUNT(E136:F136)&lt;2,"N/A",IF(ABS(G136)&lt;=H136,"OK","❌"))</f>
        <v>OK</v>
      </c>
      <c r="J136" s="101" t="s">
        <v>1372</v>
      </c>
      <c r="K136" s="4" t="str">
        <f aca="false">IF(I136=J136,"✔ sesuai","✖ TIDAK sesuai")</f>
        <v>✔ sesuai</v>
      </c>
      <c r="L136" s="102"/>
    </row>
    <row r="137" customFormat="false" ht="15" hidden="false" customHeight="false" outlineLevel="0" collapsed="false">
      <c r="A137" s="13" t="n">
        <v>131</v>
      </c>
      <c r="B137" s="13" t="s">
        <v>1370</v>
      </c>
      <c r="C137" s="13" t="s">
        <v>1380</v>
      </c>
      <c r="D137" s="13" t="n">
        <v>2023</v>
      </c>
      <c r="E137" s="50" t="n">
        <f aca="false">BS!F43</f>
        <v>2105526000000</v>
      </c>
      <c r="F137" s="50" t="n">
        <f aca="false">BS!F71</f>
        <v>2105526000000</v>
      </c>
      <c r="G137" s="100" t="n">
        <f aca="false">IF(COUNT(E137:F137)=2,E137-F137,"")</f>
        <v>0</v>
      </c>
      <c r="H137" s="101" t="n">
        <v>1</v>
      </c>
      <c r="I137" s="4" t="str">
        <f aca="false">IF(COUNT(E137:F137)&lt;2,"N/A",IF(ABS(G137)&lt;=H137,"OK","❌"))</f>
        <v>OK</v>
      </c>
      <c r="J137" s="101" t="s">
        <v>1372</v>
      </c>
      <c r="K137" s="4" t="str">
        <f aca="false">IF(I137=J137,"✔ sesuai","✖ TIDAK sesuai")</f>
        <v>✔ sesuai</v>
      </c>
      <c r="L137" s="102"/>
    </row>
    <row r="138" customFormat="false" ht="15" hidden="false" customHeight="false" outlineLevel="0" collapsed="false">
      <c r="A138" s="13" t="n">
        <v>132</v>
      </c>
      <c r="B138" s="13" t="s">
        <v>1370</v>
      </c>
      <c r="C138" s="13" t="s">
        <v>1381</v>
      </c>
      <c r="D138" s="13" t="n">
        <v>2023</v>
      </c>
      <c r="E138" s="50" t="n">
        <f aca="false">BS!F52</f>
        <v>1643308000000</v>
      </c>
      <c r="F138" s="50" t="n">
        <f aca="false">BS!F72</f>
        <v>1643308000000</v>
      </c>
      <c r="G138" s="100" t="n">
        <f aca="false">IF(COUNT(E138:F138)=2,E138-F138,"")</f>
        <v>0</v>
      </c>
      <c r="H138" s="101" t="n">
        <v>1</v>
      </c>
      <c r="I138" s="4" t="str">
        <f aca="false">IF(COUNT(E138:F138)&lt;2,"N/A",IF(ABS(G138)&lt;=H138,"OK","❌"))</f>
        <v>OK</v>
      </c>
      <c r="J138" s="101" t="s">
        <v>1372</v>
      </c>
      <c r="K138" s="4" t="str">
        <f aca="false">IF(I138=J138,"✔ sesuai","✖ TIDAK sesuai")</f>
        <v>✔ sesuai</v>
      </c>
      <c r="L138" s="102"/>
    </row>
    <row r="139" customFormat="false" ht="15" hidden="false" customHeight="false" outlineLevel="0" collapsed="false">
      <c r="A139" s="13" t="n">
        <v>133</v>
      </c>
      <c r="B139" s="13" t="s">
        <v>1370</v>
      </c>
      <c r="C139" s="13" t="s">
        <v>1382</v>
      </c>
      <c r="D139" s="13" t="n">
        <v>2023</v>
      </c>
      <c r="E139" s="50" t="n">
        <f aca="false">BS!F53</f>
        <v>3748834000000</v>
      </c>
      <c r="F139" s="50" t="n">
        <f aca="false">BS!F73</f>
        <v>3748834000000</v>
      </c>
      <c r="G139" s="100" t="n">
        <f aca="false">IF(COUNT(E139:F139)=2,E139-F139,"")</f>
        <v>0</v>
      </c>
      <c r="H139" s="101" t="n">
        <v>1</v>
      </c>
      <c r="I139" s="4" t="str">
        <f aca="false">IF(COUNT(E139:F139)&lt;2,"N/A",IF(ABS(G139)&lt;=H139,"OK","❌"))</f>
        <v>OK</v>
      </c>
      <c r="J139" s="101" t="s">
        <v>1372</v>
      </c>
      <c r="K139" s="4" t="str">
        <f aca="false">IF(I139=J139,"✔ sesuai","✖ TIDAK sesuai")</f>
        <v>✔ sesuai</v>
      </c>
      <c r="L139" s="102"/>
    </row>
    <row r="140" customFormat="false" ht="15" hidden="false" customHeight="false" outlineLevel="0" collapsed="false">
      <c r="A140" s="13" t="n">
        <v>134</v>
      </c>
      <c r="B140" s="13" t="s">
        <v>1370</v>
      </c>
      <c r="C140" s="13" t="s">
        <v>1383</v>
      </c>
      <c r="D140" s="13" t="n">
        <v>2023</v>
      </c>
      <c r="E140" s="50" t="n">
        <f aca="false">BS!F60</f>
        <v>1856055000000</v>
      </c>
      <c r="F140" s="50" t="n">
        <f aca="false">BS!F74</f>
        <v>1856055000000</v>
      </c>
      <c r="G140" s="100" t="n">
        <f aca="false">IF(COUNT(E140:F140)=2,E140-F140,"")</f>
        <v>0</v>
      </c>
      <c r="H140" s="101" t="n">
        <v>1</v>
      </c>
      <c r="I140" s="4" t="str">
        <f aca="false">IF(COUNT(E140:F140)&lt;2,"N/A",IF(ABS(G140)&lt;=H140,"OK","❌"))</f>
        <v>OK</v>
      </c>
      <c r="J140" s="101" t="s">
        <v>1372</v>
      </c>
      <c r="K140" s="4" t="str">
        <f aca="false">IF(I140=J140,"✔ sesuai","✖ TIDAK sesuai")</f>
        <v>✔ sesuai</v>
      </c>
      <c r="L140" s="102"/>
    </row>
    <row r="141" customFormat="false" ht="15" hidden="false" customHeight="false" outlineLevel="0" collapsed="false">
      <c r="A141" s="13" t="n">
        <v>135</v>
      </c>
      <c r="B141" s="13" t="s">
        <v>1370</v>
      </c>
      <c r="C141" s="13" t="s">
        <v>1384</v>
      </c>
      <c r="D141" s="13" t="n">
        <v>2023</v>
      </c>
      <c r="E141" s="50" t="n">
        <f aca="false">BS!F62</f>
        <v>1857457000000</v>
      </c>
      <c r="F141" s="50" t="n">
        <f aca="false">BS!F75</f>
        <v>1857457000000</v>
      </c>
      <c r="G141" s="100" t="n">
        <f aca="false">IF(COUNT(E141:F141)=2,E141-F141,"")</f>
        <v>0</v>
      </c>
      <c r="H141" s="101" t="n">
        <v>1</v>
      </c>
      <c r="I141" s="4" t="str">
        <f aca="false">IF(COUNT(E141:F141)&lt;2,"N/A",IF(ABS(G141)&lt;=H141,"OK","❌"))</f>
        <v>OK</v>
      </c>
      <c r="J141" s="101" t="s">
        <v>1372</v>
      </c>
      <c r="K141" s="4" t="str">
        <f aca="false">IF(I141=J141,"✔ sesuai","✖ TIDAK sesuai")</f>
        <v>✔ sesuai</v>
      </c>
      <c r="L141" s="102"/>
    </row>
    <row r="142" customFormat="false" ht="15" hidden="false" customHeight="false" outlineLevel="0" collapsed="false">
      <c r="A142" s="13" t="n">
        <v>136</v>
      </c>
      <c r="B142" s="13" t="s">
        <v>1370</v>
      </c>
      <c r="C142" s="13" t="s">
        <v>1385</v>
      </c>
      <c r="D142" s="13" t="n">
        <v>2023</v>
      </c>
      <c r="E142" s="50" t="n">
        <f aca="false">BS!F63</f>
        <v>5606291000000</v>
      </c>
      <c r="F142" s="50" t="n">
        <f aca="false">BS!F76</f>
        <v>5606291000000</v>
      </c>
      <c r="G142" s="100" t="n">
        <f aca="false">IF(COUNT(E142:F142)=2,E142-F142,"")</f>
        <v>0</v>
      </c>
      <c r="H142" s="101" t="n">
        <v>1</v>
      </c>
      <c r="I142" s="4" t="str">
        <f aca="false">IF(COUNT(E142:F142)&lt;2,"N/A",IF(ABS(G142)&lt;=H142,"OK","❌"))</f>
        <v>OK</v>
      </c>
      <c r="J142" s="101" t="s">
        <v>1372</v>
      </c>
      <c r="K142" s="4" t="str">
        <f aca="false">IF(I142=J142,"✔ sesuai","✖ TIDAK sesuai")</f>
        <v>✔ sesuai</v>
      </c>
      <c r="L142" s="102"/>
    </row>
    <row r="143" customFormat="false" ht="15" hidden="false" customHeight="false" outlineLevel="0" collapsed="false">
      <c r="A143" s="13" t="n">
        <v>137</v>
      </c>
      <c r="B143" s="13" t="s">
        <v>1370</v>
      </c>
      <c r="C143" s="13" t="s">
        <v>1386</v>
      </c>
      <c r="D143" s="13" t="n">
        <v>2023</v>
      </c>
      <c r="E143" s="50" t="n">
        <f aca="false">CF!F13</f>
        <v>55917000000</v>
      </c>
      <c r="F143" s="50" t="n">
        <f aca="false">CF!F46</f>
        <v>55917000000</v>
      </c>
      <c r="G143" s="100" t="n">
        <f aca="false">IF(COUNT(E143:F143)=2,E143-F143,"")</f>
        <v>0</v>
      </c>
      <c r="H143" s="101" t="n">
        <v>1</v>
      </c>
      <c r="I143" s="4" t="str">
        <f aca="false">IF(COUNT(E143:F143)&lt;2,"N/A",IF(ABS(G143)&lt;=H143,"OK","❌"))</f>
        <v>OK</v>
      </c>
      <c r="J143" s="101" t="s">
        <v>1372</v>
      </c>
      <c r="K143" s="4" t="str">
        <f aca="false">IF(I143=J143,"✔ sesuai","✖ TIDAK sesuai")</f>
        <v>✔ sesuai</v>
      </c>
      <c r="L143" s="102"/>
    </row>
    <row r="144" customFormat="false" ht="15" hidden="false" customHeight="false" outlineLevel="0" collapsed="false">
      <c r="A144" s="13" t="n">
        <v>138</v>
      </c>
      <c r="B144" s="13" t="s">
        <v>1370</v>
      </c>
      <c r="C144" s="13" t="s">
        <v>1387</v>
      </c>
      <c r="D144" s="13" t="n">
        <v>2023</v>
      </c>
      <c r="E144" s="50" t="n">
        <f aca="false">CF!F21</f>
        <v>-585390000000</v>
      </c>
      <c r="F144" s="50" t="n">
        <f aca="false">CF!F47</f>
        <v>-585390000000</v>
      </c>
      <c r="G144" s="100" t="n">
        <f aca="false">IF(COUNT(E144:F144)=2,E144-F144,"")</f>
        <v>0</v>
      </c>
      <c r="H144" s="101" t="n">
        <v>1</v>
      </c>
      <c r="I144" s="4" t="str">
        <f aca="false">IF(COUNT(E144:F144)&lt;2,"N/A",IF(ABS(G144)&lt;=H144,"OK","❌"))</f>
        <v>OK</v>
      </c>
      <c r="J144" s="101" t="s">
        <v>1372</v>
      </c>
      <c r="K144" s="4" t="str">
        <f aca="false">IF(I144=J144,"✔ sesuai","✖ TIDAK sesuai")</f>
        <v>✔ sesuai</v>
      </c>
      <c r="L144" s="102"/>
    </row>
    <row r="145" customFormat="false" ht="15" hidden="false" customHeight="false" outlineLevel="0" collapsed="false">
      <c r="A145" s="13" t="n">
        <v>139</v>
      </c>
      <c r="B145" s="13" t="s">
        <v>1370</v>
      </c>
      <c r="C145" s="13" t="s">
        <v>1388</v>
      </c>
      <c r="D145" s="13" t="n">
        <v>2023</v>
      </c>
      <c r="E145" s="50" t="n">
        <f aca="false">CF!F37</f>
        <v>-73596000000</v>
      </c>
      <c r="F145" s="50" t="n">
        <f aca="false">CF!F48</f>
        <v>-73596000000</v>
      </c>
      <c r="G145" s="100" t="n">
        <f aca="false">IF(COUNT(E145:F145)=2,E145-F145,"")</f>
        <v>0</v>
      </c>
      <c r="H145" s="101" t="n">
        <v>1</v>
      </c>
      <c r="I145" s="4" t="str">
        <f aca="false">IF(COUNT(E145:F145)&lt;2,"N/A",IF(ABS(G145)&lt;=H145,"OK","❌"))</f>
        <v>OK</v>
      </c>
      <c r="J145" s="101" t="s">
        <v>1372</v>
      </c>
      <c r="K145" s="4" t="str">
        <f aca="false">IF(I145=J145,"✔ sesuai","✖ TIDAK sesuai")</f>
        <v>✔ sesuai</v>
      </c>
      <c r="L145" s="102"/>
    </row>
    <row r="146" customFormat="false" ht="15" hidden="false" customHeight="false" outlineLevel="0" collapsed="false">
      <c r="A146" s="13" t="n">
        <v>140</v>
      </c>
      <c r="B146" s="13" t="s">
        <v>1370</v>
      </c>
      <c r="C146" s="13" t="s">
        <v>1389</v>
      </c>
      <c r="D146" s="13" t="n">
        <v>2023</v>
      </c>
      <c r="E146" s="50" t="n">
        <f aca="false">CF!F38</f>
        <v>-603069000000</v>
      </c>
      <c r="F146" s="50" t="n">
        <f aca="false">CF!F49</f>
        <v>-603069000000</v>
      </c>
      <c r="G146" s="100" t="n">
        <f aca="false">IF(COUNT(E146:F146)=2,E146-F146,"")</f>
        <v>0</v>
      </c>
      <c r="H146" s="101" t="n">
        <v>1</v>
      </c>
      <c r="I146" s="4" t="str">
        <f aca="false">IF(COUNT(E146:F146)&lt;2,"N/A",IF(ABS(G146)&lt;=H146,"OK","❌"))</f>
        <v>OK</v>
      </c>
      <c r="J146" s="101" t="s">
        <v>1372</v>
      </c>
      <c r="K146" s="4" t="str">
        <f aca="false">IF(I146=J146,"✔ sesuai","✖ TIDAK sesuai")</f>
        <v>✔ sesuai</v>
      </c>
      <c r="L146" s="102"/>
    </row>
    <row r="147" customFormat="false" ht="15" hidden="false" customHeight="false" outlineLevel="0" collapsed="false">
      <c r="A147" s="13" t="n">
        <v>141</v>
      </c>
      <c r="B147" s="13" t="s">
        <v>1370</v>
      </c>
      <c r="C147" s="13" t="s">
        <v>1390</v>
      </c>
      <c r="D147" s="13" t="n">
        <v>2023</v>
      </c>
      <c r="E147" s="50" t="n">
        <f aca="false">CF!F41</f>
        <v>515185000000</v>
      </c>
      <c r="F147" s="50" t="n">
        <f aca="false">CF!F50</f>
        <v>515185000000</v>
      </c>
      <c r="G147" s="100" t="n">
        <f aca="false">IF(COUNT(E147:F147)=2,E147-F147,"")</f>
        <v>0</v>
      </c>
      <c r="H147" s="101" t="n">
        <v>1</v>
      </c>
      <c r="I147" s="4" t="str">
        <f aca="false">IF(COUNT(E147:F147)&lt;2,"N/A",IF(ABS(G147)&lt;=H147,"OK","❌"))</f>
        <v>OK</v>
      </c>
      <c r="J147" s="101" t="s">
        <v>1372</v>
      </c>
      <c r="K147" s="4" t="str">
        <f aca="false">IF(I147=J147,"✔ sesuai","✖ TIDAK sesuai")</f>
        <v>✔ sesuai</v>
      </c>
      <c r="L147" s="102"/>
    </row>
    <row r="148" customFormat="false" ht="15" hidden="false" customHeight="false" outlineLevel="0" collapsed="false">
      <c r="A148" s="13" t="n">
        <v>142</v>
      </c>
      <c r="B148" s="13" t="s">
        <v>1391</v>
      </c>
      <c r="C148" s="13" t="s">
        <v>1392</v>
      </c>
      <c r="D148" s="13" t="n">
        <v>2023</v>
      </c>
      <c r="E148" s="50" t="n">
        <f aca="false">BS!F27</f>
        <v>5606291000000</v>
      </c>
      <c r="F148" s="50" t="n">
        <f aca="false">BS!F63</f>
        <v>5606291000000</v>
      </c>
      <c r="G148" s="100" t="n">
        <f aca="false">IF(COUNT(E148:F148)=2,E148-F148,"")</f>
        <v>0</v>
      </c>
      <c r="H148" s="101" t="n">
        <v>1</v>
      </c>
      <c r="I148" s="4" t="str">
        <f aca="false">IF(COUNT(E148:F148)&lt;2,"N/A",IF(ABS(G148)&lt;=H148,"OK","❌"))</f>
        <v>OK</v>
      </c>
      <c r="J148" s="101" t="s">
        <v>1372</v>
      </c>
      <c r="K148" s="4" t="str">
        <f aca="false">IF(I148=J148,"✔ sesuai","✖ TIDAK sesuai")</f>
        <v>✔ sesuai</v>
      </c>
      <c r="L148" s="102"/>
    </row>
    <row r="149" customFormat="false" ht="15" hidden="false" customHeight="false" outlineLevel="0" collapsed="false">
      <c r="A149" s="13" t="n">
        <v>143</v>
      </c>
      <c r="B149" s="13" t="s">
        <v>1391</v>
      </c>
      <c r="C149" s="13" t="s">
        <v>1393</v>
      </c>
      <c r="D149" s="13" t="n">
        <v>2023</v>
      </c>
      <c r="E149" s="50" t="n">
        <f aca="false">IS!F19</f>
        <v>-38313000000</v>
      </c>
      <c r="F149" s="50" t="n">
        <f aca="false">IS!F26+IS!F27</f>
        <v>-38313000000</v>
      </c>
      <c r="G149" s="100" t="n">
        <f aca="false">IF(COUNT(E149:F149)=2,E149-F149,"")</f>
        <v>0</v>
      </c>
      <c r="H149" s="101" t="n">
        <v>1</v>
      </c>
      <c r="I149" s="4" t="str">
        <f aca="false">IF(COUNT(E149:F149)&lt;2,"N/A",IF(ABS(G149)&lt;=H149,"OK","❌"))</f>
        <v>OK</v>
      </c>
      <c r="J149" s="101" t="s">
        <v>1372</v>
      </c>
      <c r="K149" s="4" t="str">
        <f aca="false">IF(I149=J149,"✔ sesuai","✖ TIDAK sesuai")</f>
        <v>✔ sesuai</v>
      </c>
      <c r="L149" s="102"/>
    </row>
    <row r="150" customFormat="false" ht="15" hidden="false" customHeight="false" outlineLevel="0" collapsed="false">
      <c r="A150" s="13" t="n">
        <v>144</v>
      </c>
      <c r="B150" s="13" t="s">
        <v>1391</v>
      </c>
      <c r="C150" s="13" t="s">
        <v>1394</v>
      </c>
      <c r="D150" s="13" t="n">
        <v>2023</v>
      </c>
      <c r="E150" s="50" t="n">
        <f aca="false">IS!F24</f>
        <v>-37681000000</v>
      </c>
      <c r="F150" s="50" t="n">
        <f aca="false">IS!F28+IS!F29</f>
        <v>-37681000000</v>
      </c>
      <c r="G150" s="100" t="n">
        <f aca="false">IF(COUNT(E150:F150)=2,E150-F150,"")</f>
        <v>0</v>
      </c>
      <c r="H150" s="101" t="n">
        <v>1</v>
      </c>
      <c r="I150" s="4" t="str">
        <f aca="false">IF(COUNT(E150:F150)&lt;2,"N/A",IF(ABS(G150)&lt;=H150,"OK","❌"))</f>
        <v>OK</v>
      </c>
      <c r="J150" s="101" t="s">
        <v>1372</v>
      </c>
      <c r="K150" s="4" t="str">
        <f aca="false">IF(I150=J150,"✔ sesuai","✖ TIDAK sesuai")</f>
        <v>✔ sesuai</v>
      </c>
      <c r="L150" s="102"/>
    </row>
    <row r="151" customFormat="false" ht="15" hidden="false" customHeight="false" outlineLevel="0" collapsed="false">
      <c r="A151" s="13" t="n">
        <v>145</v>
      </c>
      <c r="B151" s="13" t="s">
        <v>1391</v>
      </c>
      <c r="C151" s="13" t="s">
        <v>1395</v>
      </c>
      <c r="D151" s="13" t="n">
        <v>2023</v>
      </c>
      <c r="E151" s="50" t="n">
        <f aca="false">CF!F41+N(CF!F44)</f>
        <v>515185000000</v>
      </c>
      <c r="F151" s="50" t="n">
        <f aca="false">BS!F6</f>
        <v>515185000000</v>
      </c>
      <c r="G151" s="100" t="n">
        <f aca="false">IF(COUNT(E151:F151)=2,E151-F151,"")</f>
        <v>0</v>
      </c>
      <c r="H151" s="101" t="n">
        <v>1</v>
      </c>
      <c r="I151" s="4" t="str">
        <f aca="false">IF(COUNT(E151:F151)&lt;2,"N/A",IF(ABS(G151)&lt;=H151,"OK","❌"))</f>
        <v>OK</v>
      </c>
      <c r="J151" s="101" t="s">
        <v>1372</v>
      </c>
      <c r="K151" s="4" t="str">
        <f aca="false">IF(I151=J151,"✔ sesuai","✖ TIDAK sesuai")</f>
        <v>✔ sesuai</v>
      </c>
      <c r="L151" s="102"/>
    </row>
    <row r="152" customFormat="false" ht="15" hidden="false" customHeight="false" outlineLevel="0" collapsed="false">
      <c r="A152" s="13" t="n">
        <v>146</v>
      </c>
      <c r="B152" s="13" t="s">
        <v>1391</v>
      </c>
      <c r="C152" s="13" t="s">
        <v>1396</v>
      </c>
      <c r="D152" s="13" t="n">
        <v>2023</v>
      </c>
      <c r="E152" s="61" t="n">
        <v>0</v>
      </c>
      <c r="F152" s="50" t="n">
        <f aca="false">CF!F36</f>
        <v>0</v>
      </c>
      <c r="G152" s="100" t="n">
        <f aca="false">IF(COUNT(E152:F152)=2,E152-F152,"")</f>
        <v>0</v>
      </c>
      <c r="H152" s="101" t="n">
        <v>1</v>
      </c>
      <c r="I152" s="4" t="str">
        <f aca="false">IF(COUNT(E152:F152)&lt;2,"N/A",IF(ABS(G152)&lt;=H152,"OK","❌"))</f>
        <v>OK</v>
      </c>
      <c r="J152" s="101" t="s">
        <v>1372</v>
      </c>
      <c r="K152" s="4" t="str">
        <f aca="false">IF(I152=J152,"✔ sesuai","✖ TIDAK sesuai")</f>
        <v>✔ sesuai</v>
      </c>
      <c r="L152" s="102" t="s">
        <v>1427</v>
      </c>
    </row>
    <row r="153" customFormat="false" ht="15" hidden="false" customHeight="false" outlineLevel="0" collapsed="false">
      <c r="A153" s="13" t="n">
        <v>147</v>
      </c>
      <c r="B153" s="13" t="s">
        <v>1416</v>
      </c>
      <c r="C153" s="13" t="s">
        <v>1417</v>
      </c>
      <c r="D153" s="13" t="n">
        <v>2023</v>
      </c>
      <c r="E153" s="50" t="n">
        <f aca="false">CF!F40+N(CF!F43)</f>
        <v>1118254000000</v>
      </c>
      <c r="F153" s="50" t="n">
        <f aca="false">BS!E6</f>
        <v>1118254250664</v>
      </c>
      <c r="G153" s="100" t="n">
        <f aca="false">IF(COUNT(E153:F153)=2,E153-F153,"")</f>
        <v>-250664</v>
      </c>
      <c r="H153" s="101" t="n">
        <v>500000</v>
      </c>
      <c r="I153" s="4" t="str">
        <f aca="false">IF(COUNT(E153:F153)&lt;2,"N/A",IF(ABS(G153)&lt;=H153,"OK","❌"))</f>
        <v>OK</v>
      </c>
      <c r="J153" s="101" t="s">
        <v>1372</v>
      </c>
      <c r="K153" s="4" t="str">
        <f aca="false">IF(I153=J153,"✔ sesuai","✖ TIDAK sesuai")</f>
        <v>✔ sesuai</v>
      </c>
      <c r="L153" s="102" t="s">
        <v>1428</v>
      </c>
    </row>
    <row r="154" customFormat="false" ht="15" hidden="false" customHeight="false" outlineLevel="0" collapsed="false">
      <c r="A154" s="13" t="n">
        <v>148</v>
      </c>
      <c r="B154" s="13" t="s">
        <v>1416</v>
      </c>
      <c r="C154" s="13" t="s">
        <v>1419</v>
      </c>
      <c r="D154" s="13" t="n">
        <v>2023</v>
      </c>
      <c r="E154" s="50" t="n">
        <f aca="false">BS!E59+-38490000000+CF!F36+-483166</f>
        <v>-518186000000</v>
      </c>
      <c r="F154" s="50" t="n">
        <f aca="false">BS!F59</f>
        <v>-518186000000</v>
      </c>
      <c r="G154" s="100" t="n">
        <f aca="false">IF(COUNT(E154:F154)=2,E154-F154,"")</f>
        <v>0</v>
      </c>
      <c r="H154" s="101" t="n">
        <v>1</v>
      </c>
      <c r="I154" s="4" t="str">
        <f aca="false">IF(COUNT(E154:F154)&lt;2,"N/A",IF(ABS(G154)&lt;=H154,"OK","❌"))</f>
        <v>OK</v>
      </c>
      <c r="J154" s="101" t="s">
        <v>1372</v>
      </c>
      <c r="K154" s="4" t="str">
        <f aca="false">IF(I154=J154,"✔ sesuai","✖ TIDAK sesuai")</f>
        <v>✔ sesuai</v>
      </c>
      <c r="L154" s="102" t="s">
        <v>1420</v>
      </c>
    </row>
    <row r="155" customFormat="false" ht="15" hidden="false" customHeight="false" outlineLevel="0" collapsed="false">
      <c r="A155" s="13" t="n">
        <v>149</v>
      </c>
      <c r="B155" s="13" t="s">
        <v>1416</v>
      </c>
      <c r="C155" s="13" t="s">
        <v>1421</v>
      </c>
      <c r="D155" s="13" t="n">
        <v>2023</v>
      </c>
      <c r="E155" s="50" t="n">
        <f aca="false">Schedules!F29</f>
        <v>4679439000000</v>
      </c>
      <c r="F155" s="50" t="n">
        <f aca="false">Schedules!E34</f>
        <v>4679439740916</v>
      </c>
      <c r="G155" s="100" t="n">
        <f aca="false">IF(COUNT(E155:F155)=2,E155-F155,"")</f>
        <v>-740916</v>
      </c>
      <c r="H155" s="101" t="n">
        <v>1</v>
      </c>
      <c r="I155" s="4" t="str">
        <f aca="false">IF(COUNT(E155:F155)&lt;2,"N/A",IF(ABS(G155)&lt;=H155,"OK","❌"))</f>
        <v>❌</v>
      </c>
      <c r="J155" s="101" t="s">
        <v>1422</v>
      </c>
      <c r="K155" s="4" t="str">
        <f aca="false">IF(I155=J155,"✔ sesuai","✖ TIDAK sesuai")</f>
        <v>✔ sesuai</v>
      </c>
      <c r="L155" s="102" t="s">
        <v>1429</v>
      </c>
    </row>
    <row r="156" customFormat="false" ht="15" hidden="false" customHeight="false" outlineLevel="0" collapsed="false">
      <c r="A156" s="13" t="n">
        <v>150</v>
      </c>
      <c r="B156" s="13" t="s">
        <v>1416</v>
      </c>
      <c r="C156" s="13" t="s">
        <v>1424</v>
      </c>
      <c r="D156" s="13" t="n">
        <v>2023</v>
      </c>
      <c r="E156" s="50" t="n">
        <f aca="false">Schedules!F37</f>
        <v>-1072297000000</v>
      </c>
      <c r="F156" s="50" t="n">
        <f aca="false">Schedules!E42</f>
        <v>-1072297576926</v>
      </c>
      <c r="G156" s="100" t="n">
        <f aca="false">IF(COUNT(E156:F156)=2,E156-F156,"")</f>
        <v>576926</v>
      </c>
      <c r="H156" s="101" t="n">
        <v>1</v>
      </c>
      <c r="I156" s="4" t="str">
        <f aca="false">IF(COUNT(E156:F156)&lt;2,"N/A",IF(ABS(G156)&lt;=H156,"OK","❌"))</f>
        <v>❌</v>
      </c>
      <c r="J156" s="101" t="s">
        <v>1422</v>
      </c>
      <c r="K156" s="4" t="str">
        <f aca="false">IF(I156=J156,"✔ sesuai","✖ TIDAK sesuai")</f>
        <v>✔ sesuai</v>
      </c>
      <c r="L156" s="102" t="s">
        <v>1430</v>
      </c>
    </row>
    <row r="157" customFormat="false" ht="15" hidden="false" customHeight="false" outlineLevel="0" collapsed="false">
      <c r="A157" s="13" t="n">
        <v>151</v>
      </c>
      <c r="B157" s="13" t="s">
        <v>1398</v>
      </c>
      <c r="C157" s="13" t="s">
        <v>1399</v>
      </c>
      <c r="D157" s="13" t="n">
        <v>2023</v>
      </c>
      <c r="E157" s="50" t="n">
        <f aca="false">Schedules!F10</f>
        <v>2503174000000</v>
      </c>
      <c r="F157" s="50" t="n">
        <f aca="false">IS!F6</f>
        <v>2503174000000</v>
      </c>
      <c r="G157" s="100" t="n">
        <f aca="false">IF(COUNT(E157:F157)=2,E157-F157,"")</f>
        <v>0</v>
      </c>
      <c r="H157" s="101" t="n">
        <v>1</v>
      </c>
      <c r="I157" s="4" t="str">
        <f aca="false">IF(COUNT(E157:F157)&lt;2,"N/A",IF(ABS(G157)&lt;=H157,"OK","❌"))</f>
        <v>OK</v>
      </c>
      <c r="J157" s="101" t="s">
        <v>1372</v>
      </c>
      <c r="K157" s="4" t="str">
        <f aca="false">IF(I157=J157,"✔ sesuai","✖ TIDAK sesuai")</f>
        <v>✔ sesuai</v>
      </c>
      <c r="L157" s="102"/>
    </row>
    <row r="158" customFormat="false" ht="15" hidden="false" customHeight="false" outlineLevel="0" collapsed="false">
      <c r="A158" s="13" t="n">
        <v>152</v>
      </c>
      <c r="B158" s="13" t="s">
        <v>1398</v>
      </c>
      <c r="C158" s="13" t="s">
        <v>1400</v>
      </c>
      <c r="D158" s="13" t="n">
        <v>2023</v>
      </c>
      <c r="E158" s="50" t="n">
        <f aca="false">Schedules!F58</f>
        <v>2503174000000</v>
      </c>
      <c r="F158" s="50" t="n">
        <f aca="false">IS!F6</f>
        <v>2503174000000</v>
      </c>
      <c r="G158" s="100" t="n">
        <f aca="false">IF(COUNT(E158:F158)=2,E158-F158,"")</f>
        <v>0</v>
      </c>
      <c r="H158" s="101" t="n">
        <v>1</v>
      </c>
      <c r="I158" s="4" t="str">
        <f aca="false">IF(COUNT(E158:F158)&lt;2,"N/A",IF(ABS(G158)&lt;=H158,"OK","❌"))</f>
        <v>OK</v>
      </c>
      <c r="J158" s="101" t="s">
        <v>1372</v>
      </c>
      <c r="K158" s="4" t="str">
        <f aca="false">IF(I158=J158,"✔ sesuai","✖ TIDAK sesuai")</f>
        <v>✔ sesuai</v>
      </c>
      <c r="L158" s="102"/>
    </row>
    <row r="159" customFormat="false" ht="15" hidden="false" customHeight="false" outlineLevel="0" collapsed="false">
      <c r="A159" s="13" t="n">
        <v>153</v>
      </c>
      <c r="B159" s="13" t="s">
        <v>1398</v>
      </c>
      <c r="C159" s="13" t="s">
        <v>1401</v>
      </c>
      <c r="D159" s="13" t="n">
        <v>2023</v>
      </c>
      <c r="E159" s="50" t="n">
        <f aca="false">Schedules!F77</f>
        <v>1785154000000</v>
      </c>
      <c r="F159" s="50" t="n">
        <f aca="false">-IS!F7</f>
        <v>1785154000000</v>
      </c>
      <c r="G159" s="100" t="n">
        <f aca="false">IF(COUNT(E159:F159)=2,E159-F159,"")</f>
        <v>0</v>
      </c>
      <c r="H159" s="101" t="n">
        <v>1</v>
      </c>
      <c r="I159" s="4" t="str">
        <f aca="false">IF(COUNT(E159:F159)&lt;2,"N/A",IF(ABS(G159)&lt;=H159,"OK","❌"))</f>
        <v>OK</v>
      </c>
      <c r="J159" s="101" t="s">
        <v>1372</v>
      </c>
      <c r="K159" s="4" t="str">
        <f aca="false">IF(I159=J159,"✔ sesuai","✖ TIDAK sesuai")</f>
        <v>✔ sesuai</v>
      </c>
      <c r="L159" s="102"/>
    </row>
    <row r="160" customFormat="false" ht="15" hidden="false" customHeight="false" outlineLevel="0" collapsed="false">
      <c r="A160" s="13" t="n">
        <v>154</v>
      </c>
      <c r="B160" s="13" t="s">
        <v>1398</v>
      </c>
      <c r="C160" s="13" t="s">
        <v>1402</v>
      </c>
      <c r="D160" s="13" t="n">
        <v>2023</v>
      </c>
      <c r="E160" s="50" t="n">
        <f aca="false">Schedules!F106</f>
        <v>576920000000</v>
      </c>
      <c r="F160" s="50" t="n">
        <f aca="false">-IS!F10</f>
        <v>576920000000</v>
      </c>
      <c r="G160" s="100" t="n">
        <f aca="false">IF(COUNT(E160:F160)=2,E160-F160,"")</f>
        <v>0</v>
      </c>
      <c r="H160" s="101" t="n">
        <v>1</v>
      </c>
      <c r="I160" s="4" t="str">
        <f aca="false">IF(COUNT(E160:F160)&lt;2,"N/A",IF(ABS(G160)&lt;=H160,"OK","❌"))</f>
        <v>OK</v>
      </c>
      <c r="J160" s="101" t="s">
        <v>1372</v>
      </c>
      <c r="K160" s="4" t="str">
        <f aca="false">IF(I160=J160,"✔ sesuai","✖ TIDAK sesuai")</f>
        <v>✔ sesuai</v>
      </c>
      <c r="L160" s="102"/>
    </row>
    <row r="161" customFormat="false" ht="15" hidden="false" customHeight="false" outlineLevel="0" collapsed="false">
      <c r="A161" s="13" t="n">
        <v>155</v>
      </c>
      <c r="B161" s="13" t="s">
        <v>1398</v>
      </c>
      <c r="C161" s="13" t="s">
        <v>1403</v>
      </c>
      <c r="D161" s="13" t="n">
        <v>2023</v>
      </c>
      <c r="E161" s="50" t="n">
        <f aca="false">Schedules!F130</f>
        <v>7014000000</v>
      </c>
      <c r="F161" s="50" t="n">
        <f aca="false">IS!F12</f>
        <v>7014000000</v>
      </c>
      <c r="G161" s="100" t="n">
        <f aca="false">IF(COUNT(E161:F161)=2,E161-F161,"")</f>
        <v>0</v>
      </c>
      <c r="H161" s="101" t="n">
        <v>1</v>
      </c>
      <c r="I161" s="4" t="str">
        <f aca="false">IF(COUNT(E161:F161)&lt;2,"N/A",IF(ABS(G161)&lt;=H161,"OK","❌"))</f>
        <v>OK</v>
      </c>
      <c r="J161" s="101" t="s">
        <v>1372</v>
      </c>
      <c r="K161" s="4" t="str">
        <f aca="false">IF(I161=J161,"✔ sesuai","✖ TIDAK sesuai")</f>
        <v>✔ sesuai</v>
      </c>
      <c r="L161" s="102"/>
    </row>
    <row r="162" customFormat="false" ht="15" hidden="false" customHeight="false" outlineLevel="0" collapsed="false">
      <c r="A162" s="13" t="n">
        <v>156</v>
      </c>
      <c r="B162" s="13" t="s">
        <v>1398</v>
      </c>
      <c r="C162" s="13" t="s">
        <v>1404</v>
      </c>
      <c r="D162" s="13" t="n">
        <v>2023</v>
      </c>
      <c r="E162" s="50" t="n">
        <f aca="false">Schedules!F44</f>
        <v>3952312000000</v>
      </c>
      <c r="F162" s="50" t="n">
        <f aca="false">BS!F19</f>
        <v>3952312000000</v>
      </c>
      <c r="G162" s="100" t="n">
        <f aca="false">IF(COUNT(E162:F162)=2,E162-F162,"")</f>
        <v>0</v>
      </c>
      <c r="H162" s="101" t="n">
        <v>1</v>
      </c>
      <c r="I162" s="4" t="str">
        <f aca="false">IF(COUNT(E162:F162)&lt;2,"N/A",IF(ABS(G162)&lt;=H162,"OK","❌"))</f>
        <v>OK</v>
      </c>
      <c r="J162" s="101" t="s">
        <v>1372</v>
      </c>
      <c r="K162" s="4" t="str">
        <f aca="false">IF(I162=J162,"✔ sesuai","✖ TIDAK sesuai")</f>
        <v>✔ sesuai</v>
      </c>
      <c r="L162" s="102"/>
    </row>
    <row r="163" customFormat="false" ht="15" hidden="false" customHeight="false" outlineLevel="0" collapsed="false">
      <c r="A163" s="13" t="n">
        <v>157</v>
      </c>
      <c r="B163" s="13" t="s">
        <v>1405</v>
      </c>
      <c r="C163" s="13" t="s">
        <v>1406</v>
      </c>
      <c r="D163" s="13" t="n">
        <v>2023</v>
      </c>
      <c r="E163" s="50" t="n">
        <f aca="false">Schedules!F14</f>
        <v>255845000000</v>
      </c>
      <c r="F163" s="50" t="n">
        <f aca="false">Schedules!F15</f>
        <v>255845000000</v>
      </c>
      <c r="G163" s="100" t="n">
        <f aca="false">IF(COUNT(E163:F163)=2,E163-F163,"")</f>
        <v>0</v>
      </c>
      <c r="H163" s="101" t="n">
        <v>1</v>
      </c>
      <c r="I163" s="4" t="str">
        <f aca="false">IF(COUNT(E163:F163)&lt;2,"N/A",IF(ABS(G163)&lt;=H163,"OK","❌"))</f>
        <v>OK</v>
      </c>
      <c r="J163" s="101" t="s">
        <v>1372</v>
      </c>
      <c r="K163" s="4" t="str">
        <f aca="false">IF(I163=J163,"✔ sesuai","✖ TIDAK sesuai")</f>
        <v>✔ sesuai</v>
      </c>
      <c r="L163" s="102"/>
    </row>
    <row r="164" customFormat="false" ht="15" hidden="false" customHeight="false" outlineLevel="0" collapsed="false">
      <c r="A164" s="13" t="n">
        <v>158</v>
      </c>
      <c r="B164" s="13" t="s">
        <v>1405</v>
      </c>
      <c r="C164" s="13" t="s">
        <v>1407</v>
      </c>
      <c r="D164" s="13" t="n">
        <v>2023</v>
      </c>
      <c r="E164" s="50" t="n">
        <f aca="false">Schedules!F35</f>
        <v>5275928000000</v>
      </c>
      <c r="F164" s="50" t="n">
        <f aca="false">Schedules!F34</f>
        <v>5275928000000</v>
      </c>
      <c r="G164" s="100" t="n">
        <f aca="false">IF(COUNT(E164:F164)=2,E164-F164,"")</f>
        <v>0</v>
      </c>
      <c r="H164" s="101" t="n">
        <v>1</v>
      </c>
      <c r="I164" s="4" t="str">
        <f aca="false">IF(COUNT(E164:F164)&lt;2,"N/A",IF(ABS(G164)&lt;=H164,"OK","❌"))</f>
        <v>OK</v>
      </c>
      <c r="J164" s="101" t="s">
        <v>1372</v>
      </c>
      <c r="K164" s="4" t="str">
        <f aca="false">IF(I164=J164,"✔ sesuai","✖ TIDAK sesuai")</f>
        <v>✔ sesuai</v>
      </c>
      <c r="L164" s="102"/>
    </row>
    <row r="165" customFormat="false" ht="15" hidden="false" customHeight="false" outlineLevel="0" collapsed="false">
      <c r="A165" s="13" t="n">
        <v>159</v>
      </c>
      <c r="B165" s="13" t="s">
        <v>1405</v>
      </c>
      <c r="C165" s="13" t="s">
        <v>1408</v>
      </c>
      <c r="D165" s="13" t="n">
        <v>2023</v>
      </c>
      <c r="E165" s="50" t="n">
        <f aca="false">Schedules!F43</f>
        <v>-1323616000000</v>
      </c>
      <c r="F165" s="50" t="n">
        <f aca="false">Schedules!F42</f>
        <v>-1323616000000</v>
      </c>
      <c r="G165" s="100" t="n">
        <f aca="false">IF(COUNT(E165:F165)=2,E165-F165,"")</f>
        <v>0</v>
      </c>
      <c r="H165" s="101" t="n">
        <v>1</v>
      </c>
      <c r="I165" s="4" t="str">
        <f aca="false">IF(COUNT(E165:F165)&lt;2,"N/A",IF(ABS(G165)&lt;=H165,"OK","❌"))</f>
        <v>OK</v>
      </c>
      <c r="J165" s="101" t="s">
        <v>1372</v>
      </c>
      <c r="K165" s="4" t="str">
        <f aca="false">IF(I165=J165,"✔ sesuai","✖ TIDAK sesuai")</f>
        <v>✔ sesuai</v>
      </c>
      <c r="L165" s="102"/>
    </row>
    <row r="166" customFormat="false" ht="15" hidden="false" customHeight="false" outlineLevel="0" collapsed="false">
      <c r="A166" s="13" t="n">
        <v>160</v>
      </c>
      <c r="B166" s="13" t="s">
        <v>1405</v>
      </c>
      <c r="C166" s="13" t="s">
        <v>1409</v>
      </c>
      <c r="D166" s="13" t="n">
        <v>2023</v>
      </c>
      <c r="E166" s="50" t="n">
        <f aca="false">Schedules!F67</f>
        <v>2503174000000</v>
      </c>
      <c r="F166" s="50" t="n">
        <f aca="false">Schedules!F58</f>
        <v>2503174000000</v>
      </c>
      <c r="G166" s="100" t="n">
        <f aca="false">IF(COUNT(E166:F166)=2,E166-F166,"")</f>
        <v>0</v>
      </c>
      <c r="H166" s="101" t="n">
        <v>1</v>
      </c>
      <c r="I166" s="4" t="str">
        <f aca="false">IF(COUNT(E166:F166)&lt;2,"N/A",IF(ABS(G166)&lt;=H166,"OK","❌"))</f>
        <v>OK</v>
      </c>
      <c r="J166" s="101" t="s">
        <v>1372</v>
      </c>
      <c r="K166" s="4" t="str">
        <f aca="false">IF(I166=J166,"✔ sesuai","✖ TIDAK sesuai")</f>
        <v>✔ sesuai</v>
      </c>
      <c r="L166" s="102"/>
    </row>
    <row r="167" customFormat="false" ht="15" hidden="false" customHeight="false" outlineLevel="0" collapsed="false">
      <c r="A167" s="13" t="n">
        <v>161</v>
      </c>
      <c r="B167" s="13" t="s">
        <v>1405</v>
      </c>
      <c r="C167" s="13" t="s">
        <v>1410</v>
      </c>
      <c r="D167" s="13" t="n">
        <v>2023</v>
      </c>
      <c r="E167" s="50" t="n">
        <f aca="false">Schedules!F85</f>
        <v>1785154000000</v>
      </c>
      <c r="F167" s="50" t="n">
        <f aca="false">Schedules!F77</f>
        <v>1785154000000</v>
      </c>
      <c r="G167" s="100" t="n">
        <f aca="false">IF(COUNT(E167:F167)=2,E167-F167,"")</f>
        <v>0</v>
      </c>
      <c r="H167" s="101" t="n">
        <v>1</v>
      </c>
      <c r="I167" s="4" t="str">
        <f aca="false">IF(COUNT(E167:F167)&lt;2,"N/A",IF(ABS(G167)&lt;=H167,"OK","❌"))</f>
        <v>OK</v>
      </c>
      <c r="J167" s="101" t="s">
        <v>1372</v>
      </c>
      <c r="K167" s="4" t="str">
        <f aca="false">IF(I167=J167,"✔ sesuai","✖ TIDAK sesuai")</f>
        <v>✔ sesuai</v>
      </c>
      <c r="L167" s="102"/>
    </row>
    <row r="168" customFormat="false" ht="15" hidden="false" customHeight="false" outlineLevel="0" collapsed="false">
      <c r="A168" s="13" t="n">
        <v>162</v>
      </c>
      <c r="B168" s="13" t="s">
        <v>1405</v>
      </c>
      <c r="C168" s="13" t="s">
        <v>1411</v>
      </c>
      <c r="D168" s="13" t="n">
        <v>2023</v>
      </c>
      <c r="E168" s="50" t="n">
        <f aca="false">Schedules!F120</f>
        <v>576920000000</v>
      </c>
      <c r="F168" s="50" t="n">
        <f aca="false">Schedules!F106</f>
        <v>576920000000</v>
      </c>
      <c r="G168" s="100" t="n">
        <f aca="false">IF(COUNT(E168:F168)=2,E168-F168,"")</f>
        <v>0</v>
      </c>
      <c r="H168" s="101" t="n">
        <v>1</v>
      </c>
      <c r="I168" s="4" t="str">
        <f aca="false">IF(COUNT(E168:F168)&lt;2,"N/A",IF(ABS(G168)&lt;=H168,"OK","❌"))</f>
        <v>OK</v>
      </c>
      <c r="J168" s="101" t="s">
        <v>1372</v>
      </c>
      <c r="K168" s="4" t="str">
        <f aca="false">IF(I168=J168,"✔ sesuai","✖ TIDAK sesuai")</f>
        <v>✔ sesuai</v>
      </c>
      <c r="L168" s="102"/>
    </row>
    <row r="169" customFormat="false" ht="15" hidden="false" customHeight="false" outlineLevel="0" collapsed="false">
      <c r="A169" s="13" t="n">
        <v>163</v>
      </c>
      <c r="B169" s="13" t="s">
        <v>1405</v>
      </c>
      <c r="C169" s="13" t="s">
        <v>1412</v>
      </c>
      <c r="D169" s="13" t="n">
        <v>2023</v>
      </c>
      <c r="E169" s="50" t="n">
        <f aca="false">Schedules!F148</f>
        <v>7014000000</v>
      </c>
      <c r="F169" s="50" t="n">
        <f aca="false">Schedules!F130</f>
        <v>7014000000</v>
      </c>
      <c r="G169" s="100" t="n">
        <f aca="false">IF(COUNT(E169:F169)=2,E169-F169,"")</f>
        <v>0</v>
      </c>
      <c r="H169" s="101" t="n">
        <v>1</v>
      </c>
      <c r="I169" s="4" t="str">
        <f aca="false">IF(COUNT(E169:F169)&lt;2,"N/A",IF(ABS(G169)&lt;=H169,"OK","❌"))</f>
        <v>OK</v>
      </c>
      <c r="J169" s="101" t="s">
        <v>1372</v>
      </c>
      <c r="K169" s="4" t="str">
        <f aca="false">IF(I169=J169,"✔ sesuai","✖ TIDAK sesuai")</f>
        <v>✔ sesuai</v>
      </c>
      <c r="L169" s="102"/>
    </row>
    <row r="170" customFormat="false" ht="15" hidden="false" customHeight="false" outlineLevel="0" collapsed="false">
      <c r="A170" s="13" t="n">
        <v>164</v>
      </c>
      <c r="B170" s="13" t="s">
        <v>1413</v>
      </c>
      <c r="C170" s="13" t="s">
        <v>1414</v>
      </c>
      <c r="D170" s="13" t="n">
        <v>2023</v>
      </c>
      <c r="E170" s="50" t="n">
        <f aca="false">IS!F30</f>
        <v>-3.21</v>
      </c>
      <c r="F170" s="50" t="n">
        <f aca="false">ROUND(IS!F26/Schedules!F22,2)</f>
        <v>-3.21</v>
      </c>
      <c r="G170" s="100" t="n">
        <f aca="false">IF(COUNT(E170:F170)=2,E170-F170,"")</f>
        <v>0</v>
      </c>
      <c r="H170" s="101" t="n">
        <v>1</v>
      </c>
      <c r="I170" s="4" t="str">
        <f aca="false">IF(COUNT(E170:F170)&lt;2,"N/A",IF(ABS(G170)&lt;=H170,"OK","❌"))</f>
        <v>OK</v>
      </c>
      <c r="J170" s="101" t="s">
        <v>1372</v>
      </c>
      <c r="K170" s="4" t="str">
        <f aca="false">IF(I170=J170,"✔ sesuai","✖ TIDAK sesuai")</f>
        <v>✔ sesuai</v>
      </c>
      <c r="L170" s="102"/>
    </row>
    <row r="171" customFormat="false" ht="15" hidden="false" customHeight="false" outlineLevel="0" collapsed="false">
      <c r="A171" s="13" t="n">
        <v>165</v>
      </c>
      <c r="B171" s="13" t="s">
        <v>1370</v>
      </c>
      <c r="C171" s="13" t="s">
        <v>1371</v>
      </c>
      <c r="D171" s="13" t="n">
        <v>2024</v>
      </c>
      <c r="E171" s="50" t="n">
        <f aca="false">IS!G8</f>
        <v>916443000000</v>
      </c>
      <c r="F171" s="50" t="n">
        <f aca="false">IS!G32</f>
        <v>916443000000</v>
      </c>
      <c r="G171" s="100" t="n">
        <f aca="false">IF(COUNT(E171:F171)=2,E171-F171,"")</f>
        <v>0</v>
      </c>
      <c r="H171" s="101" t="n">
        <v>1</v>
      </c>
      <c r="I171" s="4" t="str">
        <f aca="false">IF(COUNT(E171:F171)&lt;2,"N/A",IF(ABS(G171)&lt;=H171,"OK","❌"))</f>
        <v>OK</v>
      </c>
      <c r="J171" s="101" t="s">
        <v>1372</v>
      </c>
      <c r="K171" s="4" t="str">
        <f aca="false">IF(I171=J171,"✔ sesuai","✖ TIDAK sesuai")</f>
        <v>✔ sesuai</v>
      </c>
      <c r="L171" s="102"/>
    </row>
    <row r="172" customFormat="false" ht="15" hidden="false" customHeight="false" outlineLevel="0" collapsed="false">
      <c r="A172" s="13" t="n">
        <v>166</v>
      </c>
      <c r="B172" s="13" t="s">
        <v>1370</v>
      </c>
      <c r="C172" s="13" t="s">
        <v>1373</v>
      </c>
      <c r="D172" s="13" t="n">
        <v>2024</v>
      </c>
      <c r="E172" s="50" t="n">
        <f aca="false">IS!G17</f>
        <v>-2640000000</v>
      </c>
      <c r="F172" s="50" t="n">
        <f aca="false">IS!G33</f>
        <v>-2640000000</v>
      </c>
      <c r="G172" s="100" t="n">
        <f aca="false">IF(COUNT(E172:F172)=2,E172-F172,"")</f>
        <v>0</v>
      </c>
      <c r="H172" s="101" t="n">
        <v>1</v>
      </c>
      <c r="I172" s="4" t="str">
        <f aca="false">IF(COUNT(E172:F172)&lt;2,"N/A",IF(ABS(G172)&lt;=H172,"OK","❌"))</f>
        <v>OK</v>
      </c>
      <c r="J172" s="101" t="s">
        <v>1372</v>
      </c>
      <c r="K172" s="4" t="str">
        <f aca="false">IF(I172=J172,"✔ sesuai","✖ TIDAK sesuai")</f>
        <v>✔ sesuai</v>
      </c>
      <c r="L172" s="102"/>
    </row>
    <row r="173" customFormat="false" ht="15" hidden="false" customHeight="false" outlineLevel="0" collapsed="false">
      <c r="A173" s="13" t="n">
        <v>167</v>
      </c>
      <c r="B173" s="13" t="s">
        <v>1370</v>
      </c>
      <c r="C173" s="13" t="s">
        <v>1374</v>
      </c>
      <c r="D173" s="13" t="n">
        <v>2024</v>
      </c>
      <c r="E173" s="50" t="n">
        <f aca="false">IS!G19</f>
        <v>-23344000000</v>
      </c>
      <c r="F173" s="50" t="n">
        <f aca="false">IS!G34</f>
        <v>-23344000000</v>
      </c>
      <c r="G173" s="100" t="n">
        <f aca="false">IF(COUNT(E173:F173)=2,E173-F173,"")</f>
        <v>0</v>
      </c>
      <c r="H173" s="101" t="n">
        <v>1</v>
      </c>
      <c r="I173" s="4" t="str">
        <f aca="false">IF(COUNT(E173:F173)&lt;2,"N/A",IF(ABS(G173)&lt;=H173,"OK","❌"))</f>
        <v>OK</v>
      </c>
      <c r="J173" s="101" t="s">
        <v>1372</v>
      </c>
      <c r="K173" s="4" t="str">
        <f aca="false">IF(I173=J173,"✔ sesuai","✖ TIDAK sesuai")</f>
        <v>✔ sesuai</v>
      </c>
      <c r="L173" s="102"/>
    </row>
    <row r="174" customFormat="false" ht="15" hidden="false" customHeight="false" outlineLevel="0" collapsed="false">
      <c r="A174" s="13" t="n">
        <v>168</v>
      </c>
      <c r="B174" s="13" t="s">
        <v>1370</v>
      </c>
      <c r="C174" s="13" t="s">
        <v>1375</v>
      </c>
      <c r="D174" s="13" t="n">
        <v>2024</v>
      </c>
      <c r="E174" s="50" t="n">
        <f aca="false">IS!G23</f>
        <v>-809000000</v>
      </c>
      <c r="F174" s="50" t="n">
        <f aca="false">IS!G35</f>
        <v>-809000000</v>
      </c>
      <c r="G174" s="100" t="n">
        <f aca="false">IF(COUNT(E174:F174)=2,E174-F174,"")</f>
        <v>0</v>
      </c>
      <c r="H174" s="101" t="n">
        <v>1</v>
      </c>
      <c r="I174" s="4" t="str">
        <f aca="false">IF(COUNT(E174:F174)&lt;2,"N/A",IF(ABS(G174)&lt;=H174,"OK","❌"))</f>
        <v>OK</v>
      </c>
      <c r="J174" s="101" t="s">
        <v>1372</v>
      </c>
      <c r="K174" s="4" t="str">
        <f aca="false">IF(I174=J174,"✔ sesuai","✖ TIDAK sesuai")</f>
        <v>✔ sesuai</v>
      </c>
      <c r="L174" s="102"/>
    </row>
    <row r="175" customFormat="false" ht="15" hidden="false" customHeight="false" outlineLevel="0" collapsed="false">
      <c r="A175" s="13" t="n">
        <v>169</v>
      </c>
      <c r="B175" s="13" t="s">
        <v>1370</v>
      </c>
      <c r="C175" s="13" t="s">
        <v>1376</v>
      </c>
      <c r="D175" s="13" t="n">
        <v>2024</v>
      </c>
      <c r="E175" s="50" t="n">
        <f aca="false">IS!G24</f>
        <v>-24153000000</v>
      </c>
      <c r="F175" s="50" t="n">
        <f aca="false">IS!G36</f>
        <v>-24153000000</v>
      </c>
      <c r="G175" s="100" t="n">
        <f aca="false">IF(COUNT(E175:F175)=2,E175-F175,"")</f>
        <v>0</v>
      </c>
      <c r="H175" s="101" t="n">
        <v>1</v>
      </c>
      <c r="I175" s="4" t="str">
        <f aca="false">IF(COUNT(E175:F175)&lt;2,"N/A",IF(ABS(G175)&lt;=H175,"OK","❌"))</f>
        <v>OK</v>
      </c>
      <c r="J175" s="101" t="s">
        <v>1372</v>
      </c>
      <c r="K175" s="4" t="str">
        <f aca="false">IF(I175=J175,"✔ sesuai","✖ TIDAK sesuai")</f>
        <v>✔ sesuai</v>
      </c>
      <c r="L175" s="102"/>
    </row>
    <row r="176" customFormat="false" ht="15" hidden="false" customHeight="false" outlineLevel="0" collapsed="false">
      <c r="A176" s="13" t="n">
        <v>170</v>
      </c>
      <c r="B176" s="13" t="s">
        <v>1370</v>
      </c>
      <c r="C176" s="13" t="s">
        <v>1377</v>
      </c>
      <c r="D176" s="13" t="n">
        <v>2024</v>
      </c>
      <c r="E176" s="50" t="n">
        <f aca="false">BS!G16</f>
        <v>832802000000</v>
      </c>
      <c r="F176" s="50" t="n">
        <f aca="false">BS!G68</f>
        <v>832802000000</v>
      </c>
      <c r="G176" s="100" t="n">
        <f aca="false">IF(COUNT(E176:F176)=2,E176-F176,"")</f>
        <v>0</v>
      </c>
      <c r="H176" s="101" t="n">
        <v>1</v>
      </c>
      <c r="I176" s="4" t="str">
        <f aca="false">IF(COUNT(E176:F176)&lt;2,"N/A",IF(ABS(G176)&lt;=H176,"OK","❌"))</f>
        <v>OK</v>
      </c>
      <c r="J176" s="101" t="s">
        <v>1372</v>
      </c>
      <c r="K176" s="4" t="str">
        <f aca="false">IF(I176=J176,"✔ sesuai","✖ TIDAK sesuai")</f>
        <v>✔ sesuai</v>
      </c>
      <c r="L176" s="102"/>
    </row>
    <row r="177" customFormat="false" ht="15" hidden="false" customHeight="false" outlineLevel="0" collapsed="false">
      <c r="A177" s="13" t="n">
        <v>171</v>
      </c>
      <c r="B177" s="13" t="s">
        <v>1370</v>
      </c>
      <c r="C177" s="13" t="s">
        <v>1378</v>
      </c>
      <c r="D177" s="13" t="n">
        <v>2024</v>
      </c>
      <c r="E177" s="50" t="n">
        <f aca="false">BS!G26</f>
        <v>4850220000000</v>
      </c>
      <c r="F177" s="50" t="n">
        <f aca="false">BS!G69</f>
        <v>4850220000000</v>
      </c>
      <c r="G177" s="100" t="n">
        <f aca="false">IF(COUNT(E177:F177)=2,E177-F177,"")</f>
        <v>0</v>
      </c>
      <c r="H177" s="101" t="n">
        <v>1</v>
      </c>
      <c r="I177" s="4" t="str">
        <f aca="false">IF(COUNT(E177:F177)&lt;2,"N/A",IF(ABS(G177)&lt;=H177,"OK","❌"))</f>
        <v>OK</v>
      </c>
      <c r="J177" s="101" t="s">
        <v>1372</v>
      </c>
      <c r="K177" s="4" t="str">
        <f aca="false">IF(I177=J177,"✔ sesuai","✖ TIDAK sesuai")</f>
        <v>✔ sesuai</v>
      </c>
      <c r="L177" s="102"/>
    </row>
    <row r="178" customFormat="false" ht="15" hidden="false" customHeight="false" outlineLevel="0" collapsed="false">
      <c r="A178" s="13" t="n">
        <v>172</v>
      </c>
      <c r="B178" s="13" t="s">
        <v>1370</v>
      </c>
      <c r="C178" s="13" t="s">
        <v>1379</v>
      </c>
      <c r="D178" s="13" t="n">
        <v>2024</v>
      </c>
      <c r="E178" s="50" t="n">
        <f aca="false">BS!G27</f>
        <v>5683022000000</v>
      </c>
      <c r="F178" s="50" t="n">
        <f aca="false">BS!G70</f>
        <v>5683022000000</v>
      </c>
      <c r="G178" s="100" t="n">
        <f aca="false">IF(COUNT(E178:F178)=2,E178-F178,"")</f>
        <v>0</v>
      </c>
      <c r="H178" s="101" t="n">
        <v>1</v>
      </c>
      <c r="I178" s="4" t="str">
        <f aca="false">IF(COUNT(E178:F178)&lt;2,"N/A",IF(ABS(G178)&lt;=H178,"OK","❌"))</f>
        <v>OK</v>
      </c>
      <c r="J178" s="101" t="s">
        <v>1372</v>
      </c>
      <c r="K178" s="4" t="str">
        <f aca="false">IF(I178=J178,"✔ sesuai","✖ TIDAK sesuai")</f>
        <v>✔ sesuai</v>
      </c>
      <c r="L178" s="102"/>
    </row>
    <row r="179" customFormat="false" ht="15" hidden="false" customHeight="false" outlineLevel="0" collapsed="false">
      <c r="A179" s="13" t="n">
        <v>173</v>
      </c>
      <c r="B179" s="13" t="s">
        <v>1370</v>
      </c>
      <c r="C179" s="13" t="s">
        <v>1380</v>
      </c>
      <c r="D179" s="13" t="n">
        <v>2024</v>
      </c>
      <c r="E179" s="50" t="n">
        <f aca="false">BS!G43</f>
        <v>2597046000000</v>
      </c>
      <c r="F179" s="50" t="n">
        <f aca="false">BS!G71</f>
        <v>2597046000000</v>
      </c>
      <c r="G179" s="100" t="n">
        <f aca="false">IF(COUNT(E179:F179)=2,E179-F179,"")</f>
        <v>0</v>
      </c>
      <c r="H179" s="101" t="n">
        <v>1</v>
      </c>
      <c r="I179" s="4" t="str">
        <f aca="false">IF(COUNT(E179:F179)&lt;2,"N/A",IF(ABS(G179)&lt;=H179,"OK","❌"))</f>
        <v>OK</v>
      </c>
      <c r="J179" s="101" t="s">
        <v>1372</v>
      </c>
      <c r="K179" s="4" t="str">
        <f aca="false">IF(I179=J179,"✔ sesuai","✖ TIDAK sesuai")</f>
        <v>✔ sesuai</v>
      </c>
      <c r="L179" s="102"/>
    </row>
    <row r="180" customFormat="false" ht="15" hidden="false" customHeight="false" outlineLevel="0" collapsed="false">
      <c r="A180" s="13" t="n">
        <v>174</v>
      </c>
      <c r="B180" s="13" t="s">
        <v>1370</v>
      </c>
      <c r="C180" s="13" t="s">
        <v>1381</v>
      </c>
      <c r="D180" s="13" t="n">
        <v>2024</v>
      </c>
      <c r="E180" s="50" t="n">
        <f aca="false">BS!G52</f>
        <v>1252672000000</v>
      </c>
      <c r="F180" s="50" t="n">
        <f aca="false">BS!G72</f>
        <v>1252672000000</v>
      </c>
      <c r="G180" s="100" t="n">
        <f aca="false">IF(COUNT(E180:F180)=2,E180-F180,"")</f>
        <v>0</v>
      </c>
      <c r="H180" s="101" t="n">
        <v>1</v>
      </c>
      <c r="I180" s="4" t="str">
        <f aca="false">IF(COUNT(E180:F180)&lt;2,"N/A",IF(ABS(G180)&lt;=H180,"OK","❌"))</f>
        <v>OK</v>
      </c>
      <c r="J180" s="101" t="s">
        <v>1372</v>
      </c>
      <c r="K180" s="4" t="str">
        <f aca="false">IF(I180=J180,"✔ sesuai","✖ TIDAK sesuai")</f>
        <v>✔ sesuai</v>
      </c>
      <c r="L180" s="102"/>
    </row>
    <row r="181" customFormat="false" ht="15" hidden="false" customHeight="false" outlineLevel="0" collapsed="false">
      <c r="A181" s="13" t="n">
        <v>175</v>
      </c>
      <c r="B181" s="13" t="s">
        <v>1370</v>
      </c>
      <c r="C181" s="13" t="s">
        <v>1382</v>
      </c>
      <c r="D181" s="13" t="n">
        <v>2024</v>
      </c>
      <c r="E181" s="50" t="n">
        <f aca="false">BS!G53</f>
        <v>3849718000000</v>
      </c>
      <c r="F181" s="50" t="n">
        <f aca="false">BS!G73</f>
        <v>3849718000000</v>
      </c>
      <c r="G181" s="100" t="n">
        <f aca="false">IF(COUNT(E181:F181)=2,E181-F181,"")</f>
        <v>0</v>
      </c>
      <c r="H181" s="101" t="n">
        <v>1</v>
      </c>
      <c r="I181" s="4" t="str">
        <f aca="false">IF(COUNT(E181:F181)&lt;2,"N/A",IF(ABS(G181)&lt;=H181,"OK","❌"))</f>
        <v>OK</v>
      </c>
      <c r="J181" s="101" t="s">
        <v>1372</v>
      </c>
      <c r="K181" s="4" t="str">
        <f aca="false">IF(I181=J181,"✔ sesuai","✖ TIDAK sesuai")</f>
        <v>✔ sesuai</v>
      </c>
      <c r="L181" s="102"/>
    </row>
    <row r="182" customFormat="false" ht="15" hidden="false" customHeight="false" outlineLevel="0" collapsed="false">
      <c r="A182" s="13" t="n">
        <v>176</v>
      </c>
      <c r="B182" s="13" t="s">
        <v>1370</v>
      </c>
      <c r="C182" s="13" t="s">
        <v>1383</v>
      </c>
      <c r="D182" s="13" t="n">
        <v>2024</v>
      </c>
      <c r="E182" s="50" t="n">
        <f aca="false">BS!G60</f>
        <v>1830252000000</v>
      </c>
      <c r="F182" s="50" t="n">
        <f aca="false">BS!G74</f>
        <v>1830252000000</v>
      </c>
      <c r="G182" s="100" t="n">
        <f aca="false">IF(COUNT(E182:F182)=2,E182-F182,"")</f>
        <v>0</v>
      </c>
      <c r="H182" s="101" t="n">
        <v>1</v>
      </c>
      <c r="I182" s="4" t="str">
        <f aca="false">IF(COUNT(E182:F182)&lt;2,"N/A",IF(ABS(G182)&lt;=H182,"OK","❌"))</f>
        <v>OK</v>
      </c>
      <c r="J182" s="101" t="s">
        <v>1372</v>
      </c>
      <c r="K182" s="4" t="str">
        <f aca="false">IF(I182=J182,"✔ sesuai","✖ TIDAK sesuai")</f>
        <v>✔ sesuai</v>
      </c>
      <c r="L182" s="102"/>
    </row>
    <row r="183" customFormat="false" ht="15" hidden="false" customHeight="false" outlineLevel="0" collapsed="false">
      <c r="A183" s="13" t="n">
        <v>177</v>
      </c>
      <c r="B183" s="13" t="s">
        <v>1370</v>
      </c>
      <c r="C183" s="13" t="s">
        <v>1384</v>
      </c>
      <c r="D183" s="13" t="n">
        <v>2024</v>
      </c>
      <c r="E183" s="50" t="n">
        <f aca="false">BS!G62</f>
        <v>1833304000000</v>
      </c>
      <c r="F183" s="50" t="n">
        <f aca="false">BS!G75</f>
        <v>1833304000000</v>
      </c>
      <c r="G183" s="100" t="n">
        <f aca="false">IF(COUNT(E183:F183)=2,E183-F183,"")</f>
        <v>0</v>
      </c>
      <c r="H183" s="101" t="n">
        <v>1</v>
      </c>
      <c r="I183" s="4" t="str">
        <f aca="false">IF(COUNT(E183:F183)&lt;2,"N/A",IF(ABS(G183)&lt;=H183,"OK","❌"))</f>
        <v>OK</v>
      </c>
      <c r="J183" s="101" t="s">
        <v>1372</v>
      </c>
      <c r="K183" s="4" t="str">
        <f aca="false">IF(I183=J183,"✔ sesuai","✖ TIDAK sesuai")</f>
        <v>✔ sesuai</v>
      </c>
      <c r="L183" s="102"/>
    </row>
    <row r="184" customFormat="false" ht="15" hidden="false" customHeight="false" outlineLevel="0" collapsed="false">
      <c r="A184" s="13" t="n">
        <v>178</v>
      </c>
      <c r="B184" s="13" t="s">
        <v>1370</v>
      </c>
      <c r="C184" s="13" t="s">
        <v>1385</v>
      </c>
      <c r="D184" s="13" t="n">
        <v>2024</v>
      </c>
      <c r="E184" s="50" t="n">
        <f aca="false">BS!G63</f>
        <v>5683022000000</v>
      </c>
      <c r="F184" s="50" t="n">
        <f aca="false">BS!G76</f>
        <v>5683022000000</v>
      </c>
      <c r="G184" s="100" t="n">
        <f aca="false">IF(COUNT(E184:F184)=2,E184-F184,"")</f>
        <v>0</v>
      </c>
      <c r="H184" s="101" t="n">
        <v>1</v>
      </c>
      <c r="I184" s="4" t="str">
        <f aca="false">IF(COUNT(E184:F184)&lt;2,"N/A",IF(ABS(G184)&lt;=H184,"OK","❌"))</f>
        <v>OK</v>
      </c>
      <c r="J184" s="101" t="s">
        <v>1372</v>
      </c>
      <c r="K184" s="4" t="str">
        <f aca="false">IF(I184=J184,"✔ sesuai","✖ TIDAK sesuai")</f>
        <v>✔ sesuai</v>
      </c>
      <c r="L184" s="102"/>
    </row>
    <row r="185" customFormat="false" ht="15" hidden="false" customHeight="false" outlineLevel="0" collapsed="false">
      <c r="A185" s="13" t="n">
        <v>179</v>
      </c>
      <c r="B185" s="13" t="s">
        <v>1370</v>
      </c>
      <c r="C185" s="13" t="s">
        <v>1386</v>
      </c>
      <c r="D185" s="13" t="n">
        <v>2024</v>
      </c>
      <c r="E185" s="50" t="n">
        <f aca="false">CF!G13</f>
        <v>273248000000</v>
      </c>
      <c r="F185" s="50" t="n">
        <f aca="false">CF!G46</f>
        <v>273248000000</v>
      </c>
      <c r="G185" s="100" t="n">
        <f aca="false">IF(COUNT(E185:F185)=2,E185-F185,"")</f>
        <v>0</v>
      </c>
      <c r="H185" s="101" t="n">
        <v>1</v>
      </c>
      <c r="I185" s="4" t="str">
        <f aca="false">IF(COUNT(E185:F185)&lt;2,"N/A",IF(ABS(G185)&lt;=H185,"OK","❌"))</f>
        <v>OK</v>
      </c>
      <c r="J185" s="101" t="s">
        <v>1372</v>
      </c>
      <c r="K185" s="4" t="str">
        <f aca="false">IF(I185=J185,"✔ sesuai","✖ TIDAK sesuai")</f>
        <v>✔ sesuai</v>
      </c>
      <c r="L185" s="102"/>
    </row>
    <row r="186" customFormat="false" ht="15" hidden="false" customHeight="false" outlineLevel="0" collapsed="false">
      <c r="A186" s="13" t="n">
        <v>180</v>
      </c>
      <c r="B186" s="13" t="s">
        <v>1370</v>
      </c>
      <c r="C186" s="13" t="s">
        <v>1387</v>
      </c>
      <c r="D186" s="13" t="n">
        <v>2024</v>
      </c>
      <c r="E186" s="50" t="n">
        <f aca="false">CF!G21</f>
        <v>-532317000000</v>
      </c>
      <c r="F186" s="50" t="n">
        <f aca="false">CF!G47</f>
        <v>-532317000000</v>
      </c>
      <c r="G186" s="100" t="n">
        <f aca="false">IF(COUNT(E186:F186)=2,E186-F186,"")</f>
        <v>0</v>
      </c>
      <c r="H186" s="101" t="n">
        <v>1</v>
      </c>
      <c r="I186" s="4" t="str">
        <f aca="false">IF(COUNT(E186:F186)&lt;2,"N/A",IF(ABS(G186)&lt;=H186,"OK","❌"))</f>
        <v>OK</v>
      </c>
      <c r="J186" s="101" t="s">
        <v>1372</v>
      </c>
      <c r="K186" s="4" t="str">
        <f aca="false">IF(I186=J186,"✔ sesuai","✖ TIDAK sesuai")</f>
        <v>✔ sesuai</v>
      </c>
      <c r="L186" s="102"/>
    </row>
    <row r="187" customFormat="false" ht="15" hidden="false" customHeight="false" outlineLevel="0" collapsed="false">
      <c r="A187" s="13" t="n">
        <v>181</v>
      </c>
      <c r="B187" s="13" t="s">
        <v>1370</v>
      </c>
      <c r="C187" s="13" t="s">
        <v>1388</v>
      </c>
      <c r="D187" s="13" t="n">
        <v>2024</v>
      </c>
      <c r="E187" s="50" t="n">
        <f aca="false">CF!G37</f>
        <v>9737000000</v>
      </c>
      <c r="F187" s="50" t="n">
        <f aca="false">CF!G48</f>
        <v>9737000000</v>
      </c>
      <c r="G187" s="100" t="n">
        <f aca="false">IF(COUNT(E187:F187)=2,E187-F187,"")</f>
        <v>0</v>
      </c>
      <c r="H187" s="101" t="n">
        <v>1</v>
      </c>
      <c r="I187" s="4" t="str">
        <f aca="false">IF(COUNT(E187:F187)&lt;2,"N/A",IF(ABS(G187)&lt;=H187,"OK","❌"))</f>
        <v>OK</v>
      </c>
      <c r="J187" s="101" t="s">
        <v>1372</v>
      </c>
      <c r="K187" s="4" t="str">
        <f aca="false">IF(I187=J187,"✔ sesuai","✖ TIDAK sesuai")</f>
        <v>✔ sesuai</v>
      </c>
      <c r="L187" s="102"/>
    </row>
    <row r="188" customFormat="false" ht="15" hidden="false" customHeight="false" outlineLevel="0" collapsed="false">
      <c r="A188" s="13" t="n">
        <v>182</v>
      </c>
      <c r="B188" s="13" t="s">
        <v>1370</v>
      </c>
      <c r="C188" s="13" t="s">
        <v>1389</v>
      </c>
      <c r="D188" s="13" t="n">
        <v>2024</v>
      </c>
      <c r="E188" s="50" t="n">
        <f aca="false">CF!G38</f>
        <v>-249332000000</v>
      </c>
      <c r="F188" s="50" t="n">
        <f aca="false">CF!G49</f>
        <v>-249332000000</v>
      </c>
      <c r="G188" s="100" t="n">
        <f aca="false">IF(COUNT(E188:F188)=2,E188-F188,"")</f>
        <v>0</v>
      </c>
      <c r="H188" s="101" t="n">
        <v>1</v>
      </c>
      <c r="I188" s="4" t="str">
        <f aca="false">IF(COUNT(E188:F188)&lt;2,"N/A",IF(ABS(G188)&lt;=H188,"OK","❌"))</f>
        <v>OK</v>
      </c>
      <c r="J188" s="101" t="s">
        <v>1372</v>
      </c>
      <c r="K188" s="4" t="str">
        <f aca="false">IF(I188=J188,"✔ sesuai","✖ TIDAK sesuai")</f>
        <v>✔ sesuai</v>
      </c>
      <c r="L188" s="102"/>
    </row>
    <row r="189" customFormat="false" ht="15" hidden="false" customHeight="false" outlineLevel="0" collapsed="false">
      <c r="A189" s="13" t="n">
        <v>183</v>
      </c>
      <c r="B189" s="13" t="s">
        <v>1370</v>
      </c>
      <c r="C189" s="13" t="s">
        <v>1390</v>
      </c>
      <c r="D189" s="13" t="n">
        <v>2024</v>
      </c>
      <c r="E189" s="50" t="n">
        <f aca="false">CF!G41</f>
        <v>248039000000</v>
      </c>
      <c r="F189" s="50" t="n">
        <f aca="false">CF!G50</f>
        <v>248039000000</v>
      </c>
      <c r="G189" s="100" t="n">
        <f aca="false">IF(COUNT(E189:F189)=2,E189-F189,"")</f>
        <v>0</v>
      </c>
      <c r="H189" s="101" t="n">
        <v>1</v>
      </c>
      <c r="I189" s="4" t="str">
        <f aca="false">IF(COUNT(E189:F189)&lt;2,"N/A",IF(ABS(G189)&lt;=H189,"OK","❌"))</f>
        <v>OK</v>
      </c>
      <c r="J189" s="101" t="s">
        <v>1372</v>
      </c>
      <c r="K189" s="4" t="str">
        <f aca="false">IF(I189=J189,"✔ sesuai","✖ TIDAK sesuai")</f>
        <v>✔ sesuai</v>
      </c>
      <c r="L189" s="102"/>
    </row>
    <row r="190" customFormat="false" ht="15" hidden="false" customHeight="false" outlineLevel="0" collapsed="false">
      <c r="A190" s="13" t="n">
        <v>184</v>
      </c>
      <c r="B190" s="13" t="s">
        <v>1391</v>
      </c>
      <c r="C190" s="13" t="s">
        <v>1392</v>
      </c>
      <c r="D190" s="13" t="n">
        <v>2024</v>
      </c>
      <c r="E190" s="50" t="n">
        <f aca="false">BS!G27</f>
        <v>5683022000000</v>
      </c>
      <c r="F190" s="50" t="n">
        <f aca="false">BS!G63</f>
        <v>5683022000000</v>
      </c>
      <c r="G190" s="100" t="n">
        <f aca="false">IF(COUNT(E190:F190)=2,E190-F190,"")</f>
        <v>0</v>
      </c>
      <c r="H190" s="101" t="n">
        <v>1</v>
      </c>
      <c r="I190" s="4" t="str">
        <f aca="false">IF(COUNT(E190:F190)&lt;2,"N/A",IF(ABS(G190)&lt;=H190,"OK","❌"))</f>
        <v>OK</v>
      </c>
      <c r="J190" s="101" t="s">
        <v>1372</v>
      </c>
      <c r="K190" s="4" t="str">
        <f aca="false">IF(I190=J190,"✔ sesuai","✖ TIDAK sesuai")</f>
        <v>✔ sesuai</v>
      </c>
      <c r="L190" s="102"/>
    </row>
    <row r="191" customFormat="false" ht="15" hidden="false" customHeight="false" outlineLevel="0" collapsed="false">
      <c r="A191" s="13" t="n">
        <v>185</v>
      </c>
      <c r="B191" s="13" t="s">
        <v>1391</v>
      </c>
      <c r="C191" s="13" t="s">
        <v>1393</v>
      </c>
      <c r="D191" s="13" t="n">
        <v>2024</v>
      </c>
      <c r="E191" s="50" t="n">
        <f aca="false">IS!G19</f>
        <v>-23344000000</v>
      </c>
      <c r="F191" s="50" t="n">
        <f aca="false">IS!G26+IS!G27</f>
        <v>-23344000000</v>
      </c>
      <c r="G191" s="100" t="n">
        <f aca="false">IF(COUNT(E191:F191)=2,E191-F191,"")</f>
        <v>0</v>
      </c>
      <c r="H191" s="101" t="n">
        <v>1</v>
      </c>
      <c r="I191" s="4" t="str">
        <f aca="false">IF(COUNT(E191:F191)&lt;2,"N/A",IF(ABS(G191)&lt;=H191,"OK","❌"))</f>
        <v>OK</v>
      </c>
      <c r="J191" s="101" t="s">
        <v>1372</v>
      </c>
      <c r="K191" s="4" t="str">
        <f aca="false">IF(I191=J191,"✔ sesuai","✖ TIDAK sesuai")</f>
        <v>✔ sesuai</v>
      </c>
      <c r="L191" s="102"/>
    </row>
    <row r="192" customFormat="false" ht="15" hidden="false" customHeight="false" outlineLevel="0" collapsed="false">
      <c r="A192" s="13" t="n">
        <v>186</v>
      </c>
      <c r="B192" s="13" t="s">
        <v>1391</v>
      </c>
      <c r="C192" s="13" t="s">
        <v>1394</v>
      </c>
      <c r="D192" s="13" t="n">
        <v>2024</v>
      </c>
      <c r="E192" s="50" t="n">
        <f aca="false">IS!G24</f>
        <v>-24153000000</v>
      </c>
      <c r="F192" s="50" t="n">
        <f aca="false">IS!G28+IS!G29</f>
        <v>-24153000000</v>
      </c>
      <c r="G192" s="100" t="n">
        <f aca="false">IF(COUNT(E192:F192)=2,E192-F192,"")</f>
        <v>0</v>
      </c>
      <c r="H192" s="101" t="n">
        <v>1</v>
      </c>
      <c r="I192" s="4" t="str">
        <f aca="false">IF(COUNT(E192:F192)&lt;2,"N/A",IF(ABS(G192)&lt;=H192,"OK","❌"))</f>
        <v>OK</v>
      </c>
      <c r="J192" s="101" t="s">
        <v>1372</v>
      </c>
      <c r="K192" s="4" t="str">
        <f aca="false">IF(I192=J192,"✔ sesuai","✖ TIDAK sesuai")</f>
        <v>✔ sesuai</v>
      </c>
      <c r="L192" s="102"/>
    </row>
    <row r="193" customFormat="false" ht="15" hidden="false" customHeight="false" outlineLevel="0" collapsed="false">
      <c r="A193" s="13" t="n">
        <v>187</v>
      </c>
      <c r="B193" s="13" t="s">
        <v>1391</v>
      </c>
      <c r="C193" s="13" t="s">
        <v>1395</v>
      </c>
      <c r="D193" s="13" t="n">
        <v>2024</v>
      </c>
      <c r="E193" s="50" t="n">
        <f aca="false">CF!G41+N(CF!G44)</f>
        <v>277208000000</v>
      </c>
      <c r="F193" s="50" t="n">
        <f aca="false">BS!G6</f>
        <v>277208000000</v>
      </c>
      <c r="G193" s="100" t="n">
        <f aca="false">IF(COUNT(E193:F193)=2,E193-F193,"")</f>
        <v>0</v>
      </c>
      <c r="H193" s="101" t="n">
        <v>1</v>
      </c>
      <c r="I193" s="4" t="str">
        <f aca="false">IF(COUNT(E193:F193)&lt;2,"N/A",IF(ABS(G193)&lt;=H193,"OK","❌"))</f>
        <v>OK</v>
      </c>
      <c r="J193" s="101" t="s">
        <v>1372</v>
      </c>
      <c r="K193" s="4" t="str">
        <f aca="false">IF(I193=J193,"✔ sesuai","✖ TIDAK sesuai")</f>
        <v>✔ sesuai</v>
      </c>
      <c r="L193" s="102" t="s">
        <v>1431</v>
      </c>
    </row>
    <row r="194" customFormat="false" ht="15" hidden="false" customHeight="false" outlineLevel="0" collapsed="false">
      <c r="A194" s="13" t="n">
        <v>188</v>
      </c>
      <c r="B194" s="13" t="s">
        <v>1391</v>
      </c>
      <c r="C194" s="13" t="s">
        <v>1396</v>
      </c>
      <c r="D194" s="13" t="n">
        <v>2024</v>
      </c>
      <c r="E194" s="61" t="n">
        <v>0</v>
      </c>
      <c r="F194" s="50" t="n">
        <f aca="false">CF!G36</f>
        <v>0</v>
      </c>
      <c r="G194" s="100" t="n">
        <f aca="false">IF(COUNT(E194:F194)=2,E194-F194,"")</f>
        <v>0</v>
      </c>
      <c r="H194" s="101" t="n">
        <v>1</v>
      </c>
      <c r="I194" s="4" t="str">
        <f aca="false">IF(COUNT(E194:F194)&lt;2,"N/A",IF(ABS(G194)&lt;=H194,"OK","❌"))</f>
        <v>OK</v>
      </c>
      <c r="J194" s="101" t="s">
        <v>1372</v>
      </c>
      <c r="K194" s="4" t="str">
        <f aca="false">IF(I194=J194,"✔ sesuai","✖ TIDAK sesuai")</f>
        <v>✔ sesuai</v>
      </c>
      <c r="L194" s="102" t="s">
        <v>1432</v>
      </c>
    </row>
    <row r="195" customFormat="false" ht="15" hidden="false" customHeight="false" outlineLevel="0" collapsed="false">
      <c r="A195" s="13" t="n">
        <v>189</v>
      </c>
      <c r="B195" s="13" t="s">
        <v>1416</v>
      </c>
      <c r="C195" s="13" t="s">
        <v>1417</v>
      </c>
      <c r="D195" s="13" t="n">
        <v>2024</v>
      </c>
      <c r="E195" s="50" t="n">
        <f aca="false">CF!G40+N(CF!G43)</f>
        <v>515185000000</v>
      </c>
      <c r="F195" s="50" t="n">
        <f aca="false">BS!F6</f>
        <v>515185000000</v>
      </c>
      <c r="G195" s="100" t="n">
        <f aca="false">IF(COUNT(E195:F195)=2,E195-F195,"")</f>
        <v>0</v>
      </c>
      <c r="H195" s="101" t="n">
        <v>1</v>
      </c>
      <c r="I195" s="4" t="str">
        <f aca="false">IF(COUNT(E195:F195)&lt;2,"N/A",IF(ABS(G195)&lt;=H195,"OK","❌"))</f>
        <v>OK</v>
      </c>
      <c r="J195" s="101" t="s">
        <v>1372</v>
      </c>
      <c r="K195" s="4" t="str">
        <f aca="false">IF(I195=J195,"✔ sesuai","✖ TIDAK sesuai")</f>
        <v>✔ sesuai</v>
      </c>
      <c r="L195" s="102" t="s">
        <v>1418</v>
      </c>
    </row>
    <row r="196" customFormat="false" ht="15" hidden="false" customHeight="false" outlineLevel="0" collapsed="false">
      <c r="A196" s="13" t="n">
        <v>190</v>
      </c>
      <c r="B196" s="13" t="s">
        <v>1416</v>
      </c>
      <c r="C196" s="13" t="s">
        <v>1419</v>
      </c>
      <c r="D196" s="13" t="n">
        <v>2024</v>
      </c>
      <c r="E196" s="50" t="n">
        <f aca="false">BS!F59+-23513000000+CF!G36+0</f>
        <v>-541699000000</v>
      </c>
      <c r="F196" s="50" t="n">
        <f aca="false">BS!G59</f>
        <v>-541699000000</v>
      </c>
      <c r="G196" s="100" t="n">
        <f aca="false">IF(COUNT(E196:F196)=2,E196-F196,"")</f>
        <v>0</v>
      </c>
      <c r="H196" s="101" t="n">
        <v>1</v>
      </c>
      <c r="I196" s="4" t="str">
        <f aca="false">IF(COUNT(E196:F196)&lt;2,"N/A",IF(ABS(G196)&lt;=H196,"OK","❌"))</f>
        <v>OK</v>
      </c>
      <c r="J196" s="101" t="s">
        <v>1372</v>
      </c>
      <c r="K196" s="4" t="str">
        <f aca="false">IF(I196=J196,"✔ sesuai","✖ TIDAK sesuai")</f>
        <v>✔ sesuai</v>
      </c>
      <c r="L196" s="102" t="s">
        <v>1420</v>
      </c>
    </row>
    <row r="197" customFormat="false" ht="15" hidden="false" customHeight="false" outlineLevel="0" collapsed="false">
      <c r="A197" s="13" t="n">
        <v>191</v>
      </c>
      <c r="B197" s="13" t="s">
        <v>1416</v>
      </c>
      <c r="C197" s="13" t="s">
        <v>1421</v>
      </c>
      <c r="D197" s="13" t="n">
        <v>2024</v>
      </c>
      <c r="E197" s="50" t="n">
        <f aca="false">Schedules!G29</f>
        <v>5275928000000</v>
      </c>
      <c r="F197" s="50" t="n">
        <f aca="false">Schedules!F34</f>
        <v>5275928000000</v>
      </c>
      <c r="G197" s="100" t="n">
        <f aca="false">IF(COUNT(E197:F197)=2,E197-F197,"")</f>
        <v>0</v>
      </c>
      <c r="H197" s="101" t="n">
        <v>1</v>
      </c>
      <c r="I197" s="4" t="str">
        <f aca="false">IF(COUNT(E197:F197)&lt;2,"N/A",IF(ABS(G197)&lt;=H197,"OK","❌"))</f>
        <v>OK</v>
      </c>
      <c r="J197" s="101" t="s">
        <v>1372</v>
      </c>
      <c r="K197" s="4" t="str">
        <f aca="false">IF(I197=J197,"✔ sesuai","✖ TIDAK sesuai")</f>
        <v>✔ sesuai</v>
      </c>
      <c r="L197" s="102"/>
    </row>
    <row r="198" customFormat="false" ht="15" hidden="false" customHeight="false" outlineLevel="0" collapsed="false">
      <c r="A198" s="13" t="n">
        <v>192</v>
      </c>
      <c r="B198" s="13" t="s">
        <v>1416</v>
      </c>
      <c r="C198" s="13" t="s">
        <v>1424</v>
      </c>
      <c r="D198" s="13" t="n">
        <v>2024</v>
      </c>
      <c r="E198" s="50" t="n">
        <f aca="false">Schedules!G37</f>
        <v>-1323616000000</v>
      </c>
      <c r="F198" s="50" t="n">
        <f aca="false">Schedules!F42</f>
        <v>-1323616000000</v>
      </c>
      <c r="G198" s="100" t="n">
        <f aca="false">IF(COUNT(E198:F198)=2,E198-F198,"")</f>
        <v>0</v>
      </c>
      <c r="H198" s="101" t="n">
        <v>1</v>
      </c>
      <c r="I198" s="4" t="str">
        <f aca="false">IF(COUNT(E198:F198)&lt;2,"N/A",IF(ABS(G198)&lt;=H198,"OK","❌"))</f>
        <v>OK</v>
      </c>
      <c r="J198" s="101" t="s">
        <v>1372</v>
      </c>
      <c r="K198" s="4" t="str">
        <f aca="false">IF(I198=J198,"✔ sesuai","✖ TIDAK sesuai")</f>
        <v>✔ sesuai</v>
      </c>
      <c r="L198" s="102"/>
    </row>
    <row r="199" customFormat="false" ht="15" hidden="false" customHeight="false" outlineLevel="0" collapsed="false">
      <c r="A199" s="13" t="n">
        <v>193</v>
      </c>
      <c r="B199" s="13" t="s">
        <v>1398</v>
      </c>
      <c r="C199" s="13" t="s">
        <v>1399</v>
      </c>
      <c r="D199" s="13" t="n">
        <v>2024</v>
      </c>
      <c r="E199" s="50" t="n">
        <f aca="false">Schedules!G10</f>
        <v>2340431000000</v>
      </c>
      <c r="F199" s="50" t="n">
        <f aca="false">IS!G6</f>
        <v>2340431000000</v>
      </c>
      <c r="G199" s="100" t="n">
        <f aca="false">IF(COUNT(E199:F199)=2,E199-F199,"")</f>
        <v>0</v>
      </c>
      <c r="H199" s="101" t="n">
        <v>1</v>
      </c>
      <c r="I199" s="4" t="str">
        <f aca="false">IF(COUNT(E199:F199)&lt;2,"N/A",IF(ABS(G199)&lt;=H199,"OK","❌"))</f>
        <v>OK</v>
      </c>
      <c r="J199" s="101" t="s">
        <v>1372</v>
      </c>
      <c r="K199" s="4" t="str">
        <f aca="false">IF(I199=J199,"✔ sesuai","✖ TIDAK sesuai")</f>
        <v>✔ sesuai</v>
      </c>
      <c r="L199" s="102"/>
    </row>
    <row r="200" customFormat="false" ht="15" hidden="false" customHeight="false" outlineLevel="0" collapsed="false">
      <c r="A200" s="13" t="n">
        <v>194</v>
      </c>
      <c r="B200" s="13" t="s">
        <v>1398</v>
      </c>
      <c r="C200" s="13" t="s">
        <v>1400</v>
      </c>
      <c r="D200" s="13" t="n">
        <v>2024</v>
      </c>
      <c r="E200" s="50" t="n">
        <f aca="false">Schedules!G58</f>
        <v>2340431000000</v>
      </c>
      <c r="F200" s="50" t="n">
        <f aca="false">IS!G6</f>
        <v>2340431000000</v>
      </c>
      <c r="G200" s="100" t="n">
        <f aca="false">IF(COUNT(E200:F200)=2,E200-F200,"")</f>
        <v>0</v>
      </c>
      <c r="H200" s="101" t="n">
        <v>1</v>
      </c>
      <c r="I200" s="4" t="str">
        <f aca="false">IF(COUNT(E200:F200)&lt;2,"N/A",IF(ABS(G200)&lt;=H200,"OK","❌"))</f>
        <v>OK</v>
      </c>
      <c r="J200" s="101" t="s">
        <v>1372</v>
      </c>
      <c r="K200" s="4" t="str">
        <f aca="false">IF(I200=J200,"✔ sesuai","✖ TIDAK sesuai")</f>
        <v>✔ sesuai</v>
      </c>
      <c r="L200" s="102"/>
    </row>
    <row r="201" customFormat="false" ht="15" hidden="false" customHeight="false" outlineLevel="0" collapsed="false">
      <c r="A201" s="13" t="n">
        <v>195</v>
      </c>
      <c r="B201" s="13" t="s">
        <v>1398</v>
      </c>
      <c r="C201" s="13" t="s">
        <v>1401</v>
      </c>
      <c r="D201" s="13" t="n">
        <v>2024</v>
      </c>
      <c r="E201" s="50" t="n">
        <f aca="false">Schedules!G77</f>
        <v>1423988000000</v>
      </c>
      <c r="F201" s="50" t="n">
        <f aca="false">-IS!G7</f>
        <v>1423988000000</v>
      </c>
      <c r="G201" s="100" t="n">
        <f aca="false">IF(COUNT(E201:F201)=2,E201-F201,"")</f>
        <v>0</v>
      </c>
      <c r="H201" s="101" t="n">
        <v>1</v>
      </c>
      <c r="I201" s="4" t="str">
        <f aca="false">IF(COUNT(E201:F201)&lt;2,"N/A",IF(ABS(G201)&lt;=H201,"OK","❌"))</f>
        <v>OK</v>
      </c>
      <c r="J201" s="101" t="s">
        <v>1372</v>
      </c>
      <c r="K201" s="4" t="str">
        <f aca="false">IF(I201=J201,"✔ sesuai","✖ TIDAK sesuai")</f>
        <v>✔ sesuai</v>
      </c>
      <c r="L201" s="102"/>
    </row>
    <row r="202" customFormat="false" ht="15" hidden="false" customHeight="false" outlineLevel="0" collapsed="false">
      <c r="A202" s="13" t="n">
        <v>196</v>
      </c>
      <c r="B202" s="13" t="s">
        <v>1398</v>
      </c>
      <c r="C202" s="13" t="s">
        <v>1402</v>
      </c>
      <c r="D202" s="13" t="n">
        <v>2024</v>
      </c>
      <c r="E202" s="50" t="n">
        <f aca="false">Schedules!G106</f>
        <v>689147000000</v>
      </c>
      <c r="F202" s="50" t="n">
        <f aca="false">-IS!G10</f>
        <v>689147000000</v>
      </c>
      <c r="G202" s="100" t="n">
        <f aca="false">IF(COUNT(E202:F202)=2,E202-F202,"")</f>
        <v>0</v>
      </c>
      <c r="H202" s="101" t="n">
        <v>1</v>
      </c>
      <c r="I202" s="4" t="str">
        <f aca="false">IF(COUNT(E202:F202)&lt;2,"N/A",IF(ABS(G202)&lt;=H202,"OK","❌"))</f>
        <v>OK</v>
      </c>
      <c r="J202" s="101" t="s">
        <v>1372</v>
      </c>
      <c r="K202" s="4" t="str">
        <f aca="false">IF(I202=J202,"✔ sesuai","✖ TIDAK sesuai")</f>
        <v>✔ sesuai</v>
      </c>
      <c r="L202" s="102"/>
    </row>
    <row r="203" customFormat="false" ht="15" hidden="false" customHeight="false" outlineLevel="0" collapsed="false">
      <c r="A203" s="13" t="n">
        <v>197</v>
      </c>
      <c r="B203" s="13" t="s">
        <v>1398</v>
      </c>
      <c r="C203" s="13" t="s">
        <v>1403</v>
      </c>
      <c r="D203" s="13" t="n">
        <v>2024</v>
      </c>
      <c r="E203" s="50" t="n">
        <f aca="false">Schedules!G130</f>
        <v>-24777000000</v>
      </c>
      <c r="F203" s="50" t="n">
        <f aca="false">IS!G12</f>
        <v>-24777000000</v>
      </c>
      <c r="G203" s="100" t="n">
        <f aca="false">IF(COUNT(E203:F203)=2,E203-F203,"")</f>
        <v>0</v>
      </c>
      <c r="H203" s="101" t="n">
        <v>1</v>
      </c>
      <c r="I203" s="4" t="str">
        <f aca="false">IF(COUNT(E203:F203)&lt;2,"N/A",IF(ABS(G203)&lt;=H203,"OK","❌"))</f>
        <v>OK</v>
      </c>
      <c r="J203" s="101" t="s">
        <v>1372</v>
      </c>
      <c r="K203" s="4" t="str">
        <f aca="false">IF(I203=J203,"✔ sesuai","✖ TIDAK sesuai")</f>
        <v>✔ sesuai</v>
      </c>
      <c r="L203" s="102"/>
    </row>
    <row r="204" customFormat="false" ht="15" hidden="false" customHeight="false" outlineLevel="0" collapsed="false">
      <c r="A204" s="13" t="n">
        <v>198</v>
      </c>
      <c r="B204" s="13" t="s">
        <v>1398</v>
      </c>
      <c r="C204" s="13" t="s">
        <v>1404</v>
      </c>
      <c r="D204" s="13" t="n">
        <v>2024</v>
      </c>
      <c r="E204" s="50" t="n">
        <f aca="false">Schedules!G44</f>
        <v>4164140000000</v>
      </c>
      <c r="F204" s="50" t="n">
        <f aca="false">BS!G19</f>
        <v>4164140000000</v>
      </c>
      <c r="G204" s="100" t="n">
        <f aca="false">IF(COUNT(E204:F204)=2,E204-F204,"")</f>
        <v>0</v>
      </c>
      <c r="H204" s="101" t="n">
        <v>1</v>
      </c>
      <c r="I204" s="4" t="str">
        <f aca="false">IF(COUNT(E204:F204)&lt;2,"N/A",IF(ABS(G204)&lt;=H204,"OK","❌"))</f>
        <v>OK</v>
      </c>
      <c r="J204" s="101" t="s">
        <v>1372</v>
      </c>
      <c r="K204" s="4" t="str">
        <f aca="false">IF(I204=J204,"✔ sesuai","✖ TIDAK sesuai")</f>
        <v>✔ sesuai</v>
      </c>
      <c r="L204" s="102"/>
    </row>
    <row r="205" customFormat="false" ht="15" hidden="false" customHeight="false" outlineLevel="0" collapsed="false">
      <c r="A205" s="13" t="n">
        <v>199</v>
      </c>
      <c r="B205" s="13" t="s">
        <v>1405</v>
      </c>
      <c r="C205" s="13" t="s">
        <v>1406</v>
      </c>
      <c r="D205" s="13" t="n">
        <v>2024</v>
      </c>
      <c r="E205" s="50" t="n">
        <f aca="false">Schedules!G14</f>
        <v>291582000000</v>
      </c>
      <c r="F205" s="50" t="n">
        <f aca="false">Schedules!G15</f>
        <v>291582000000</v>
      </c>
      <c r="G205" s="100" t="n">
        <f aca="false">IF(COUNT(E205:F205)=2,E205-F205,"")</f>
        <v>0</v>
      </c>
      <c r="H205" s="101" t="n">
        <v>1</v>
      </c>
      <c r="I205" s="4" t="str">
        <f aca="false">IF(COUNT(E205:F205)&lt;2,"N/A",IF(ABS(G205)&lt;=H205,"OK","❌"))</f>
        <v>OK</v>
      </c>
      <c r="J205" s="101" t="s">
        <v>1372</v>
      </c>
      <c r="K205" s="4" t="str">
        <f aca="false">IF(I205=J205,"✔ sesuai","✖ TIDAK sesuai")</f>
        <v>✔ sesuai</v>
      </c>
      <c r="L205" s="102"/>
    </row>
    <row r="206" customFormat="false" ht="15" hidden="false" customHeight="false" outlineLevel="0" collapsed="false">
      <c r="A206" s="13" t="n">
        <v>200</v>
      </c>
      <c r="B206" s="13" t="s">
        <v>1405</v>
      </c>
      <c r="C206" s="13" t="s">
        <v>1407</v>
      </c>
      <c r="D206" s="13" t="n">
        <v>2024</v>
      </c>
      <c r="E206" s="50" t="n">
        <f aca="false">Schedules!G35</f>
        <v>5763879000000</v>
      </c>
      <c r="F206" s="50" t="n">
        <f aca="false">Schedules!G34</f>
        <v>5763879000000</v>
      </c>
      <c r="G206" s="100" t="n">
        <f aca="false">IF(COUNT(E206:F206)=2,E206-F206,"")</f>
        <v>0</v>
      </c>
      <c r="H206" s="101" t="n">
        <v>1</v>
      </c>
      <c r="I206" s="4" t="str">
        <f aca="false">IF(COUNT(E206:F206)&lt;2,"N/A",IF(ABS(G206)&lt;=H206,"OK","❌"))</f>
        <v>OK</v>
      </c>
      <c r="J206" s="101" t="s">
        <v>1372</v>
      </c>
      <c r="K206" s="4" t="str">
        <f aca="false">IF(I206=J206,"✔ sesuai","✖ TIDAK sesuai")</f>
        <v>✔ sesuai</v>
      </c>
      <c r="L206" s="102"/>
    </row>
    <row r="207" customFormat="false" ht="15" hidden="false" customHeight="false" outlineLevel="0" collapsed="false">
      <c r="A207" s="13" t="n">
        <v>201</v>
      </c>
      <c r="B207" s="13" t="s">
        <v>1405</v>
      </c>
      <c r="C207" s="13" t="s">
        <v>1408</v>
      </c>
      <c r="D207" s="13" t="n">
        <v>2024</v>
      </c>
      <c r="E207" s="50" t="n">
        <f aca="false">Schedules!G43</f>
        <v>-1599739000000</v>
      </c>
      <c r="F207" s="50" t="n">
        <f aca="false">Schedules!G42</f>
        <v>-1599739000000</v>
      </c>
      <c r="G207" s="100" t="n">
        <f aca="false">IF(COUNT(E207:F207)=2,E207-F207,"")</f>
        <v>0</v>
      </c>
      <c r="H207" s="101" t="n">
        <v>1</v>
      </c>
      <c r="I207" s="4" t="str">
        <f aca="false">IF(COUNT(E207:F207)&lt;2,"N/A",IF(ABS(G207)&lt;=H207,"OK","❌"))</f>
        <v>OK</v>
      </c>
      <c r="J207" s="101" t="s">
        <v>1372</v>
      </c>
      <c r="K207" s="4" t="str">
        <f aca="false">IF(I207=J207,"✔ sesuai","✖ TIDAK sesuai")</f>
        <v>✔ sesuai</v>
      </c>
      <c r="L207" s="102"/>
    </row>
    <row r="208" customFormat="false" ht="15" hidden="false" customHeight="false" outlineLevel="0" collapsed="false">
      <c r="A208" s="13" t="n">
        <v>202</v>
      </c>
      <c r="B208" s="13" t="s">
        <v>1405</v>
      </c>
      <c r="C208" s="13" t="s">
        <v>1409</v>
      </c>
      <c r="D208" s="13" t="n">
        <v>2024</v>
      </c>
      <c r="E208" s="50" t="n">
        <f aca="false">Schedules!G67</f>
        <v>2340431000000</v>
      </c>
      <c r="F208" s="50" t="n">
        <f aca="false">Schedules!G58</f>
        <v>2340431000000</v>
      </c>
      <c r="G208" s="100" t="n">
        <f aca="false">IF(COUNT(E208:F208)=2,E208-F208,"")</f>
        <v>0</v>
      </c>
      <c r="H208" s="101" t="n">
        <v>1</v>
      </c>
      <c r="I208" s="4" t="str">
        <f aca="false">IF(COUNT(E208:F208)&lt;2,"N/A",IF(ABS(G208)&lt;=H208,"OK","❌"))</f>
        <v>OK</v>
      </c>
      <c r="J208" s="101" t="s">
        <v>1372</v>
      </c>
      <c r="K208" s="4" t="str">
        <f aca="false">IF(I208=J208,"✔ sesuai","✖ TIDAK sesuai")</f>
        <v>✔ sesuai</v>
      </c>
      <c r="L208" s="102"/>
    </row>
    <row r="209" customFormat="false" ht="15" hidden="false" customHeight="false" outlineLevel="0" collapsed="false">
      <c r="A209" s="13" t="n">
        <v>203</v>
      </c>
      <c r="B209" s="13" t="s">
        <v>1405</v>
      </c>
      <c r="C209" s="13" t="s">
        <v>1410</v>
      </c>
      <c r="D209" s="13" t="n">
        <v>2024</v>
      </c>
      <c r="E209" s="50" t="n">
        <f aca="false">Schedules!G85</f>
        <v>1423988000000</v>
      </c>
      <c r="F209" s="50" t="n">
        <f aca="false">Schedules!G77</f>
        <v>1423988000000</v>
      </c>
      <c r="G209" s="100" t="n">
        <f aca="false">IF(COUNT(E209:F209)=2,E209-F209,"")</f>
        <v>0</v>
      </c>
      <c r="H209" s="101" t="n">
        <v>1</v>
      </c>
      <c r="I209" s="4" t="str">
        <f aca="false">IF(COUNT(E209:F209)&lt;2,"N/A",IF(ABS(G209)&lt;=H209,"OK","❌"))</f>
        <v>OK</v>
      </c>
      <c r="J209" s="101" t="s">
        <v>1372</v>
      </c>
      <c r="K209" s="4" t="str">
        <f aca="false">IF(I209=J209,"✔ sesuai","✖ TIDAK sesuai")</f>
        <v>✔ sesuai</v>
      </c>
      <c r="L209" s="102"/>
    </row>
    <row r="210" customFormat="false" ht="15" hidden="false" customHeight="false" outlineLevel="0" collapsed="false">
      <c r="A210" s="13" t="n">
        <v>204</v>
      </c>
      <c r="B210" s="13" t="s">
        <v>1405</v>
      </c>
      <c r="C210" s="13" t="s">
        <v>1411</v>
      </c>
      <c r="D210" s="13" t="n">
        <v>2024</v>
      </c>
      <c r="E210" s="50" t="n">
        <f aca="false">Schedules!G120</f>
        <v>689147000000</v>
      </c>
      <c r="F210" s="50" t="n">
        <f aca="false">Schedules!G106</f>
        <v>689147000000</v>
      </c>
      <c r="G210" s="100" t="n">
        <f aca="false">IF(COUNT(E210:F210)=2,E210-F210,"")</f>
        <v>0</v>
      </c>
      <c r="H210" s="101" t="n">
        <v>1</v>
      </c>
      <c r="I210" s="4" t="str">
        <f aca="false">IF(COUNT(E210:F210)&lt;2,"N/A",IF(ABS(G210)&lt;=H210,"OK","❌"))</f>
        <v>OK</v>
      </c>
      <c r="J210" s="101" t="s">
        <v>1372</v>
      </c>
      <c r="K210" s="4" t="str">
        <f aca="false">IF(I210=J210,"✔ sesuai","✖ TIDAK sesuai")</f>
        <v>✔ sesuai</v>
      </c>
      <c r="L210" s="102"/>
    </row>
    <row r="211" customFormat="false" ht="15" hidden="false" customHeight="false" outlineLevel="0" collapsed="false">
      <c r="A211" s="13" t="n">
        <v>205</v>
      </c>
      <c r="B211" s="13" t="s">
        <v>1405</v>
      </c>
      <c r="C211" s="13" t="s">
        <v>1412</v>
      </c>
      <c r="D211" s="13" t="n">
        <v>2024</v>
      </c>
      <c r="E211" s="50" t="n">
        <f aca="false">Schedules!G148</f>
        <v>-24777000000</v>
      </c>
      <c r="F211" s="50" t="n">
        <f aca="false">Schedules!G130</f>
        <v>-24777000000</v>
      </c>
      <c r="G211" s="100" t="n">
        <f aca="false">IF(COUNT(E211:F211)=2,E211-F211,"")</f>
        <v>0</v>
      </c>
      <c r="H211" s="101" t="n">
        <v>1</v>
      </c>
      <c r="I211" s="4" t="str">
        <f aca="false">IF(COUNT(E211:F211)&lt;2,"N/A",IF(ABS(G211)&lt;=H211,"OK","❌"))</f>
        <v>OK</v>
      </c>
      <c r="J211" s="101" t="s">
        <v>1372</v>
      </c>
      <c r="K211" s="4" t="str">
        <f aca="false">IF(I211=J211,"✔ sesuai","✖ TIDAK sesuai")</f>
        <v>✔ sesuai</v>
      </c>
      <c r="L211" s="102"/>
    </row>
    <row r="212" customFormat="false" ht="15" hidden="false" customHeight="false" outlineLevel="0" collapsed="false">
      <c r="A212" s="13" t="n">
        <v>206</v>
      </c>
      <c r="B212" s="13" t="s">
        <v>1413</v>
      </c>
      <c r="C212" s="13" t="s">
        <v>1414</v>
      </c>
      <c r="D212" s="13" t="n">
        <v>2024</v>
      </c>
      <c r="E212" s="50" t="n">
        <f aca="false">IS!G30</f>
        <v>-1.96</v>
      </c>
      <c r="F212" s="50" t="n">
        <f aca="false">ROUND(IS!G26/Schedules!G22,2)</f>
        <v>-1.96</v>
      </c>
      <c r="G212" s="100" t="n">
        <f aca="false">IF(COUNT(E212:F212)=2,E212-F212,"")</f>
        <v>0</v>
      </c>
      <c r="H212" s="101" t="n">
        <v>1</v>
      </c>
      <c r="I212" s="4" t="str">
        <f aca="false">IF(COUNT(E212:F212)&lt;2,"N/A",IF(ABS(G212)&lt;=H212,"OK","❌"))</f>
        <v>OK</v>
      </c>
      <c r="J212" s="101" t="s">
        <v>1372</v>
      </c>
      <c r="K212" s="4" t="str">
        <f aca="false">IF(I212=J212,"✔ sesuai","✖ TIDAK sesuai")</f>
        <v>✔ sesuai</v>
      </c>
      <c r="L212" s="102"/>
    </row>
    <row r="213" customFormat="false" ht="15" hidden="false" customHeight="false" outlineLevel="0" collapsed="false">
      <c r="A213" s="13" t="n">
        <v>207</v>
      </c>
      <c r="B213" s="13" t="s">
        <v>1370</v>
      </c>
      <c r="C213" s="13" t="s">
        <v>1371</v>
      </c>
      <c r="D213" s="13" t="n">
        <v>2025</v>
      </c>
      <c r="E213" s="50" t="n">
        <f aca="false">IS!H8</f>
        <v>1058876000000</v>
      </c>
      <c r="F213" s="50" t="n">
        <f aca="false">IS!H32</f>
        <v>1058876000000</v>
      </c>
      <c r="G213" s="100" t="n">
        <f aca="false">IF(COUNT(E213:F213)=2,E213-F213,"")</f>
        <v>0</v>
      </c>
      <c r="H213" s="101" t="n">
        <v>1</v>
      </c>
      <c r="I213" s="4" t="str">
        <f aca="false">IF(COUNT(E213:F213)&lt;2,"N/A",IF(ABS(G213)&lt;=H213,"OK","❌"))</f>
        <v>OK</v>
      </c>
      <c r="J213" s="101" t="s">
        <v>1372</v>
      </c>
      <c r="K213" s="4" t="str">
        <f aca="false">IF(I213=J213,"✔ sesuai","✖ TIDAK sesuai")</f>
        <v>✔ sesuai</v>
      </c>
      <c r="L213" s="102"/>
    </row>
    <row r="214" customFormat="false" ht="15" hidden="false" customHeight="false" outlineLevel="0" collapsed="false">
      <c r="A214" s="13" t="n">
        <v>208</v>
      </c>
      <c r="B214" s="13" t="s">
        <v>1370</v>
      </c>
      <c r="C214" s="13" t="s">
        <v>1373</v>
      </c>
      <c r="D214" s="13" t="n">
        <v>2025</v>
      </c>
      <c r="E214" s="50" t="n">
        <f aca="false">IS!H17</f>
        <v>-235170000000</v>
      </c>
      <c r="F214" s="50" t="n">
        <f aca="false">IS!H33</f>
        <v>-235170000000</v>
      </c>
      <c r="G214" s="100" t="n">
        <f aca="false">IF(COUNT(E214:F214)=2,E214-F214,"")</f>
        <v>0</v>
      </c>
      <c r="H214" s="101" t="n">
        <v>1</v>
      </c>
      <c r="I214" s="4" t="str">
        <f aca="false">IF(COUNT(E214:F214)&lt;2,"N/A",IF(ABS(G214)&lt;=H214,"OK","❌"))</f>
        <v>OK</v>
      </c>
      <c r="J214" s="101" t="s">
        <v>1372</v>
      </c>
      <c r="K214" s="4" t="str">
        <f aca="false">IF(I214=J214,"✔ sesuai","✖ TIDAK sesuai")</f>
        <v>✔ sesuai</v>
      </c>
      <c r="L214" s="102"/>
    </row>
    <row r="215" customFormat="false" ht="15" hidden="false" customHeight="false" outlineLevel="0" collapsed="false">
      <c r="A215" s="13" t="n">
        <v>209</v>
      </c>
      <c r="B215" s="13" t="s">
        <v>1370</v>
      </c>
      <c r="C215" s="13" t="s">
        <v>1374</v>
      </c>
      <c r="D215" s="13" t="n">
        <v>2025</v>
      </c>
      <c r="E215" s="50" t="n">
        <f aca="false">IS!H19</f>
        <v>-198790000000</v>
      </c>
      <c r="F215" s="50" t="n">
        <f aca="false">IS!H34</f>
        <v>-198790000000</v>
      </c>
      <c r="G215" s="100" t="n">
        <f aca="false">IF(COUNT(E215:F215)=2,E215-F215,"")</f>
        <v>0</v>
      </c>
      <c r="H215" s="101" t="n">
        <v>1</v>
      </c>
      <c r="I215" s="4" t="str">
        <f aca="false">IF(COUNT(E215:F215)&lt;2,"N/A",IF(ABS(G215)&lt;=H215,"OK","❌"))</f>
        <v>OK</v>
      </c>
      <c r="J215" s="101" t="s">
        <v>1372</v>
      </c>
      <c r="K215" s="4" t="str">
        <f aca="false">IF(I215=J215,"✔ sesuai","✖ TIDAK sesuai")</f>
        <v>✔ sesuai</v>
      </c>
      <c r="L215" s="102"/>
    </row>
    <row r="216" customFormat="false" ht="15" hidden="false" customHeight="false" outlineLevel="0" collapsed="false">
      <c r="A216" s="13" t="n">
        <v>210</v>
      </c>
      <c r="B216" s="13" t="s">
        <v>1370</v>
      </c>
      <c r="C216" s="13" t="s">
        <v>1375</v>
      </c>
      <c r="D216" s="13" t="n">
        <v>2025</v>
      </c>
      <c r="E216" s="50" t="n">
        <f aca="false">IS!H23</f>
        <v>-4191000000</v>
      </c>
      <c r="F216" s="50" t="n">
        <f aca="false">IS!H35</f>
        <v>-4191000000</v>
      </c>
      <c r="G216" s="100" t="n">
        <f aca="false">IF(COUNT(E216:F216)=2,E216-F216,"")</f>
        <v>0</v>
      </c>
      <c r="H216" s="101" t="n">
        <v>1</v>
      </c>
      <c r="I216" s="4" t="str">
        <f aca="false">IF(COUNT(E216:F216)&lt;2,"N/A",IF(ABS(G216)&lt;=H216,"OK","❌"))</f>
        <v>OK</v>
      </c>
      <c r="J216" s="101" t="s">
        <v>1372</v>
      </c>
      <c r="K216" s="4" t="str">
        <f aca="false">IF(I216=J216,"✔ sesuai","✖ TIDAK sesuai")</f>
        <v>✔ sesuai</v>
      </c>
      <c r="L216" s="102"/>
    </row>
    <row r="217" customFormat="false" ht="15" hidden="false" customHeight="false" outlineLevel="0" collapsed="false">
      <c r="A217" s="13" t="n">
        <v>211</v>
      </c>
      <c r="B217" s="13" t="s">
        <v>1370</v>
      </c>
      <c r="C217" s="13" t="s">
        <v>1376</v>
      </c>
      <c r="D217" s="13" t="n">
        <v>2025</v>
      </c>
      <c r="E217" s="50" t="n">
        <f aca="false">IS!H24</f>
        <v>-202981000000</v>
      </c>
      <c r="F217" s="50" t="n">
        <f aca="false">IS!H36</f>
        <v>-202981000000</v>
      </c>
      <c r="G217" s="100" t="n">
        <f aca="false">IF(COUNT(E217:F217)=2,E217-F217,"")</f>
        <v>0</v>
      </c>
      <c r="H217" s="101" t="n">
        <v>1</v>
      </c>
      <c r="I217" s="4" t="str">
        <f aca="false">IF(COUNT(E217:F217)&lt;2,"N/A",IF(ABS(G217)&lt;=H217,"OK","❌"))</f>
        <v>OK</v>
      </c>
      <c r="J217" s="101" t="s">
        <v>1372</v>
      </c>
      <c r="K217" s="4" t="str">
        <f aca="false">IF(I217=J217,"✔ sesuai","✖ TIDAK sesuai")</f>
        <v>✔ sesuai</v>
      </c>
      <c r="L217" s="102"/>
    </row>
    <row r="218" customFormat="false" ht="15" hidden="false" customHeight="false" outlineLevel="0" collapsed="false">
      <c r="A218" s="13" t="n">
        <v>212</v>
      </c>
      <c r="B218" s="13" t="s">
        <v>1370</v>
      </c>
      <c r="C218" s="13" t="s">
        <v>1377</v>
      </c>
      <c r="D218" s="13" t="n">
        <v>2025</v>
      </c>
      <c r="E218" s="50" t="n">
        <f aca="false">BS!H16</f>
        <v>2527917000000</v>
      </c>
      <c r="F218" s="50" t="n">
        <f aca="false">BS!H68</f>
        <v>2527917000000</v>
      </c>
      <c r="G218" s="100" t="n">
        <f aca="false">IF(COUNT(E218:F218)=2,E218-F218,"")</f>
        <v>0</v>
      </c>
      <c r="H218" s="101" t="n">
        <v>1</v>
      </c>
      <c r="I218" s="4" t="str">
        <f aca="false">IF(COUNT(E218:F218)&lt;2,"N/A",IF(ABS(G218)&lt;=H218,"OK","❌"))</f>
        <v>OK</v>
      </c>
      <c r="J218" s="101" t="s">
        <v>1372</v>
      </c>
      <c r="K218" s="4" t="str">
        <f aca="false">IF(I218=J218,"✔ sesuai","✖ TIDAK sesuai")</f>
        <v>✔ sesuai</v>
      </c>
      <c r="L218" s="102"/>
    </row>
    <row r="219" customFormat="false" ht="15" hidden="false" customHeight="false" outlineLevel="0" collapsed="false">
      <c r="A219" s="13" t="n">
        <v>213</v>
      </c>
      <c r="B219" s="13" t="s">
        <v>1370</v>
      </c>
      <c r="C219" s="13" t="s">
        <v>1378</v>
      </c>
      <c r="D219" s="13" t="n">
        <v>2025</v>
      </c>
      <c r="E219" s="50" t="n">
        <f aca="false">BS!H26</f>
        <v>5095993000000</v>
      </c>
      <c r="F219" s="50" t="n">
        <f aca="false">BS!H69</f>
        <v>5095993000000</v>
      </c>
      <c r="G219" s="100" t="n">
        <f aca="false">IF(COUNT(E219:F219)=2,E219-F219,"")</f>
        <v>0</v>
      </c>
      <c r="H219" s="101" t="n">
        <v>1</v>
      </c>
      <c r="I219" s="4" t="str">
        <f aca="false">IF(COUNT(E219:F219)&lt;2,"N/A",IF(ABS(G219)&lt;=H219,"OK","❌"))</f>
        <v>OK</v>
      </c>
      <c r="J219" s="101" t="s">
        <v>1372</v>
      </c>
      <c r="K219" s="4" t="str">
        <f aca="false">IF(I219=J219,"✔ sesuai","✖ TIDAK sesuai")</f>
        <v>✔ sesuai</v>
      </c>
      <c r="L219" s="102"/>
    </row>
    <row r="220" customFormat="false" ht="15" hidden="false" customHeight="false" outlineLevel="0" collapsed="false">
      <c r="A220" s="13" t="n">
        <v>214</v>
      </c>
      <c r="B220" s="13" t="s">
        <v>1370</v>
      </c>
      <c r="C220" s="13" t="s">
        <v>1379</v>
      </c>
      <c r="D220" s="13" t="n">
        <v>2025</v>
      </c>
      <c r="E220" s="50" t="n">
        <f aca="false">BS!H27</f>
        <v>7623910000000</v>
      </c>
      <c r="F220" s="50" t="n">
        <f aca="false">BS!H70</f>
        <v>7623910000000</v>
      </c>
      <c r="G220" s="100" t="n">
        <f aca="false">IF(COUNT(E220:F220)=2,E220-F220,"")</f>
        <v>0</v>
      </c>
      <c r="H220" s="101" t="n">
        <v>1</v>
      </c>
      <c r="I220" s="4" t="str">
        <f aca="false">IF(COUNT(E220:F220)&lt;2,"N/A",IF(ABS(G220)&lt;=H220,"OK","❌"))</f>
        <v>OK</v>
      </c>
      <c r="J220" s="101" t="s">
        <v>1372</v>
      </c>
      <c r="K220" s="4" t="str">
        <f aca="false">IF(I220=J220,"✔ sesuai","✖ TIDAK sesuai")</f>
        <v>✔ sesuai</v>
      </c>
      <c r="L220" s="102"/>
    </row>
    <row r="221" customFormat="false" ht="15" hidden="false" customHeight="false" outlineLevel="0" collapsed="false">
      <c r="A221" s="13" t="n">
        <v>215</v>
      </c>
      <c r="B221" s="13" t="s">
        <v>1370</v>
      </c>
      <c r="C221" s="13" t="s">
        <v>1380</v>
      </c>
      <c r="D221" s="13" t="n">
        <v>2025</v>
      </c>
      <c r="E221" s="50" t="n">
        <f aca="false">BS!H43</f>
        <v>1610030000000</v>
      </c>
      <c r="F221" s="50" t="n">
        <f aca="false">BS!H71</f>
        <v>1610030000000</v>
      </c>
      <c r="G221" s="100" t="n">
        <f aca="false">IF(COUNT(E221:F221)=2,E221-F221,"")</f>
        <v>0</v>
      </c>
      <c r="H221" s="101" t="n">
        <v>1</v>
      </c>
      <c r="I221" s="4" t="str">
        <f aca="false">IF(COUNT(E221:F221)&lt;2,"N/A",IF(ABS(G221)&lt;=H221,"OK","❌"))</f>
        <v>OK</v>
      </c>
      <c r="J221" s="101" t="s">
        <v>1372</v>
      </c>
      <c r="K221" s="4" t="str">
        <f aca="false">IF(I221=J221,"✔ sesuai","✖ TIDAK sesuai")</f>
        <v>✔ sesuai</v>
      </c>
      <c r="L221" s="102"/>
    </row>
    <row r="222" customFormat="false" ht="15" hidden="false" customHeight="false" outlineLevel="0" collapsed="false">
      <c r="A222" s="13" t="n">
        <v>216</v>
      </c>
      <c r="B222" s="13" t="s">
        <v>1370</v>
      </c>
      <c r="C222" s="13" t="s">
        <v>1381</v>
      </c>
      <c r="D222" s="13" t="n">
        <v>2025</v>
      </c>
      <c r="E222" s="50" t="n">
        <f aca="false">BS!H52</f>
        <v>4678155000000</v>
      </c>
      <c r="F222" s="50" t="n">
        <f aca="false">BS!H72</f>
        <v>4678155000000</v>
      </c>
      <c r="G222" s="100" t="n">
        <f aca="false">IF(COUNT(E222:F222)=2,E222-F222,"")</f>
        <v>0</v>
      </c>
      <c r="H222" s="101" t="n">
        <v>1</v>
      </c>
      <c r="I222" s="4" t="str">
        <f aca="false">IF(COUNT(E222:F222)&lt;2,"N/A",IF(ABS(G222)&lt;=H222,"OK","❌"))</f>
        <v>OK</v>
      </c>
      <c r="J222" s="101" t="s">
        <v>1372</v>
      </c>
      <c r="K222" s="4" t="str">
        <f aca="false">IF(I222=J222,"✔ sesuai","✖ TIDAK sesuai")</f>
        <v>✔ sesuai</v>
      </c>
      <c r="L222" s="102"/>
    </row>
    <row r="223" customFormat="false" ht="15" hidden="false" customHeight="false" outlineLevel="0" collapsed="false">
      <c r="A223" s="13" t="n">
        <v>217</v>
      </c>
      <c r="B223" s="13" t="s">
        <v>1370</v>
      </c>
      <c r="C223" s="13" t="s">
        <v>1382</v>
      </c>
      <c r="D223" s="13" t="n">
        <v>2025</v>
      </c>
      <c r="E223" s="50" t="n">
        <f aca="false">BS!H53</f>
        <v>6288185000000</v>
      </c>
      <c r="F223" s="50" t="n">
        <f aca="false">BS!H73</f>
        <v>6288185000000</v>
      </c>
      <c r="G223" s="100" t="n">
        <f aca="false">IF(COUNT(E223:F223)=2,E223-F223,"")</f>
        <v>0</v>
      </c>
      <c r="H223" s="101" t="n">
        <v>1</v>
      </c>
      <c r="I223" s="4" t="str">
        <f aca="false">IF(COUNT(E223:F223)&lt;2,"N/A",IF(ABS(G223)&lt;=H223,"OK","❌"))</f>
        <v>OK</v>
      </c>
      <c r="J223" s="101" t="s">
        <v>1372</v>
      </c>
      <c r="K223" s="4" t="str">
        <f aca="false">IF(I223=J223,"✔ sesuai","✖ TIDAK sesuai")</f>
        <v>✔ sesuai</v>
      </c>
      <c r="L223" s="102"/>
    </row>
    <row r="224" customFormat="false" ht="15" hidden="false" customHeight="false" outlineLevel="0" collapsed="false">
      <c r="A224" s="13" t="n">
        <v>218</v>
      </c>
      <c r="B224" s="13" t="s">
        <v>1370</v>
      </c>
      <c r="C224" s="13" t="s">
        <v>1383</v>
      </c>
      <c r="D224" s="13" t="n">
        <v>2025</v>
      </c>
      <c r="E224" s="50" t="n">
        <f aca="false">BS!H60</f>
        <v>1332590000000</v>
      </c>
      <c r="F224" s="50" t="n">
        <f aca="false">BS!H74</f>
        <v>1332590000000</v>
      </c>
      <c r="G224" s="100" t="n">
        <f aca="false">IF(COUNT(E224:F224)=2,E224-F224,"")</f>
        <v>0</v>
      </c>
      <c r="H224" s="101" t="n">
        <v>1</v>
      </c>
      <c r="I224" s="4" t="str">
        <f aca="false">IF(COUNT(E224:F224)&lt;2,"N/A",IF(ABS(G224)&lt;=H224,"OK","❌"))</f>
        <v>OK</v>
      </c>
      <c r="J224" s="101" t="s">
        <v>1372</v>
      </c>
      <c r="K224" s="4" t="str">
        <f aca="false">IF(I224=J224,"✔ sesuai","✖ TIDAK sesuai")</f>
        <v>✔ sesuai</v>
      </c>
      <c r="L224" s="102"/>
    </row>
    <row r="225" customFormat="false" ht="15" hidden="false" customHeight="false" outlineLevel="0" collapsed="false">
      <c r="A225" s="13" t="n">
        <v>219</v>
      </c>
      <c r="B225" s="13" t="s">
        <v>1370</v>
      </c>
      <c r="C225" s="13" t="s">
        <v>1384</v>
      </c>
      <c r="D225" s="13" t="n">
        <v>2025</v>
      </c>
      <c r="E225" s="50" t="n">
        <f aca="false">BS!H62</f>
        <v>1335725000000</v>
      </c>
      <c r="F225" s="50" t="n">
        <f aca="false">BS!H75</f>
        <v>1335725000000</v>
      </c>
      <c r="G225" s="100" t="n">
        <f aca="false">IF(COUNT(E225:F225)=2,E225-F225,"")</f>
        <v>0</v>
      </c>
      <c r="H225" s="101" t="n">
        <v>1</v>
      </c>
      <c r="I225" s="4" t="str">
        <f aca="false">IF(COUNT(E225:F225)&lt;2,"N/A",IF(ABS(G225)&lt;=H225,"OK","❌"))</f>
        <v>OK</v>
      </c>
      <c r="J225" s="101" t="s">
        <v>1372</v>
      </c>
      <c r="K225" s="4" t="str">
        <f aca="false">IF(I225=J225,"✔ sesuai","✖ TIDAK sesuai")</f>
        <v>✔ sesuai</v>
      </c>
      <c r="L225" s="102"/>
    </row>
    <row r="226" customFormat="false" ht="15" hidden="false" customHeight="false" outlineLevel="0" collapsed="false">
      <c r="A226" s="13" t="n">
        <v>220</v>
      </c>
      <c r="B226" s="13" t="s">
        <v>1370</v>
      </c>
      <c r="C226" s="13" t="s">
        <v>1385</v>
      </c>
      <c r="D226" s="13" t="n">
        <v>2025</v>
      </c>
      <c r="E226" s="50" t="n">
        <f aca="false">BS!H63</f>
        <v>7623910000000</v>
      </c>
      <c r="F226" s="50" t="n">
        <f aca="false">BS!H76</f>
        <v>7623910000000</v>
      </c>
      <c r="G226" s="100" t="n">
        <f aca="false">IF(COUNT(E226:F226)=2,E226-F226,"")</f>
        <v>0</v>
      </c>
      <c r="H226" s="101" t="n">
        <v>1</v>
      </c>
      <c r="I226" s="4" t="str">
        <f aca="false">IF(COUNT(E226:F226)&lt;2,"N/A",IF(ABS(G226)&lt;=H226,"OK","❌"))</f>
        <v>OK</v>
      </c>
      <c r="J226" s="101" t="s">
        <v>1372</v>
      </c>
      <c r="K226" s="4" t="str">
        <f aca="false">IF(I226=J226,"✔ sesuai","✖ TIDAK sesuai")</f>
        <v>✔ sesuai</v>
      </c>
      <c r="L226" s="102"/>
    </row>
    <row r="227" customFormat="false" ht="15" hidden="false" customHeight="false" outlineLevel="0" collapsed="false">
      <c r="A227" s="13" t="n">
        <v>221</v>
      </c>
      <c r="B227" s="13" t="s">
        <v>1370</v>
      </c>
      <c r="C227" s="13" t="s">
        <v>1386</v>
      </c>
      <c r="D227" s="13" t="n">
        <v>2025</v>
      </c>
      <c r="E227" s="50" t="n">
        <f aca="false">CF!H13</f>
        <v>129670000000</v>
      </c>
      <c r="F227" s="50" t="n">
        <f aca="false">CF!H46</f>
        <v>129670000000</v>
      </c>
      <c r="G227" s="100" t="n">
        <f aca="false">IF(COUNT(E227:F227)=2,E227-F227,"")</f>
        <v>0</v>
      </c>
      <c r="H227" s="101" t="n">
        <v>1</v>
      </c>
      <c r="I227" s="4" t="str">
        <f aca="false">IF(COUNT(E227:F227)&lt;2,"N/A",IF(ABS(G227)&lt;=H227,"OK","❌"))</f>
        <v>OK</v>
      </c>
      <c r="J227" s="101" t="s">
        <v>1372</v>
      </c>
      <c r="K227" s="4" t="str">
        <f aca="false">IF(I227=J227,"✔ sesuai","✖ TIDAK sesuai")</f>
        <v>✔ sesuai</v>
      </c>
      <c r="L227" s="102"/>
    </row>
    <row r="228" customFormat="false" ht="15" hidden="false" customHeight="false" outlineLevel="0" collapsed="false">
      <c r="A228" s="13" t="n">
        <v>222</v>
      </c>
      <c r="B228" s="13" t="s">
        <v>1370</v>
      </c>
      <c r="C228" s="13" t="s">
        <v>1387</v>
      </c>
      <c r="D228" s="13" t="n">
        <v>2025</v>
      </c>
      <c r="E228" s="50" t="n">
        <f aca="false">CF!H21</f>
        <v>-612150000000</v>
      </c>
      <c r="F228" s="50" t="n">
        <f aca="false">CF!H47</f>
        <v>-612150000000</v>
      </c>
      <c r="G228" s="100" t="n">
        <f aca="false">IF(COUNT(E228:F228)=2,E228-F228,"")</f>
        <v>0</v>
      </c>
      <c r="H228" s="101" t="n">
        <v>1</v>
      </c>
      <c r="I228" s="4" t="str">
        <f aca="false">IF(COUNT(E228:F228)&lt;2,"N/A",IF(ABS(G228)&lt;=H228,"OK","❌"))</f>
        <v>OK</v>
      </c>
      <c r="J228" s="101" t="s">
        <v>1372</v>
      </c>
      <c r="K228" s="4" t="str">
        <f aca="false">IF(I228=J228,"✔ sesuai","✖ TIDAK sesuai")</f>
        <v>✔ sesuai</v>
      </c>
      <c r="L228" s="102"/>
    </row>
    <row r="229" customFormat="false" ht="15" hidden="false" customHeight="false" outlineLevel="0" collapsed="false">
      <c r="A229" s="13" t="n">
        <v>223</v>
      </c>
      <c r="B229" s="13" t="s">
        <v>1370</v>
      </c>
      <c r="C229" s="13" t="s">
        <v>1388</v>
      </c>
      <c r="D229" s="13" t="n">
        <v>2025</v>
      </c>
      <c r="E229" s="50" t="n">
        <f aca="false">CF!H37</f>
        <v>2023440000000</v>
      </c>
      <c r="F229" s="50" t="n">
        <f aca="false">CF!H48</f>
        <v>2023440000000</v>
      </c>
      <c r="G229" s="100" t="n">
        <f aca="false">IF(COUNT(E229:F229)=2,E229-F229,"")</f>
        <v>0</v>
      </c>
      <c r="H229" s="101" t="n">
        <v>1</v>
      </c>
      <c r="I229" s="4" t="str">
        <f aca="false">IF(COUNT(E229:F229)&lt;2,"N/A",IF(ABS(G229)&lt;=H229,"OK","❌"))</f>
        <v>OK</v>
      </c>
      <c r="J229" s="101" t="s">
        <v>1372</v>
      </c>
      <c r="K229" s="4" t="str">
        <f aca="false">IF(I229=J229,"✔ sesuai","✖ TIDAK sesuai")</f>
        <v>✔ sesuai</v>
      </c>
      <c r="L229" s="102"/>
    </row>
    <row r="230" customFormat="false" ht="15" hidden="false" customHeight="false" outlineLevel="0" collapsed="false">
      <c r="A230" s="13" t="n">
        <v>224</v>
      </c>
      <c r="B230" s="13" t="s">
        <v>1370</v>
      </c>
      <c r="C230" s="13" t="s">
        <v>1389</v>
      </c>
      <c r="D230" s="13" t="n">
        <v>2025</v>
      </c>
      <c r="E230" s="50" t="n">
        <f aca="false">CF!H38</f>
        <v>1540960000000</v>
      </c>
      <c r="F230" s="50" t="n">
        <f aca="false">CF!H49</f>
        <v>1540960000000</v>
      </c>
      <c r="G230" s="100" t="n">
        <f aca="false">IF(COUNT(E230:F230)=2,E230-F230,"")</f>
        <v>0</v>
      </c>
      <c r="H230" s="101" t="n">
        <v>1</v>
      </c>
      <c r="I230" s="4" t="str">
        <f aca="false">IF(COUNT(E230:F230)&lt;2,"N/A",IF(ABS(G230)&lt;=H230,"OK","❌"))</f>
        <v>OK</v>
      </c>
      <c r="J230" s="101" t="s">
        <v>1372</v>
      </c>
      <c r="K230" s="4" t="str">
        <f aca="false">IF(I230=J230,"✔ sesuai","✖ TIDAK sesuai")</f>
        <v>✔ sesuai</v>
      </c>
      <c r="L230" s="102"/>
    </row>
    <row r="231" customFormat="false" ht="15" hidden="false" customHeight="false" outlineLevel="0" collapsed="false">
      <c r="A231" s="13" t="n">
        <v>225</v>
      </c>
      <c r="B231" s="13" t="s">
        <v>1370</v>
      </c>
      <c r="C231" s="13" t="s">
        <v>1390</v>
      </c>
      <c r="D231" s="13" t="n">
        <v>2025</v>
      </c>
      <c r="E231" s="50" t="n">
        <f aca="false">CF!H41</f>
        <v>1826263000000</v>
      </c>
      <c r="F231" s="50" t="n">
        <f aca="false">CF!H50</f>
        <v>1826263000000</v>
      </c>
      <c r="G231" s="100" t="n">
        <f aca="false">IF(COUNT(E231:F231)=2,E231-F231,"")</f>
        <v>0</v>
      </c>
      <c r="H231" s="101" t="n">
        <v>1</v>
      </c>
      <c r="I231" s="4" t="str">
        <f aca="false">IF(COUNT(E231:F231)&lt;2,"N/A",IF(ABS(G231)&lt;=H231,"OK","❌"))</f>
        <v>OK</v>
      </c>
      <c r="J231" s="101" t="s">
        <v>1372</v>
      </c>
      <c r="K231" s="4" t="str">
        <f aca="false">IF(I231=J231,"✔ sesuai","✖ TIDAK sesuai")</f>
        <v>✔ sesuai</v>
      </c>
      <c r="L231" s="102"/>
    </row>
    <row r="232" customFormat="false" ht="15" hidden="false" customHeight="false" outlineLevel="0" collapsed="false">
      <c r="A232" s="13" t="n">
        <v>226</v>
      </c>
      <c r="B232" s="13" t="s">
        <v>1391</v>
      </c>
      <c r="C232" s="13" t="s">
        <v>1392</v>
      </c>
      <c r="D232" s="13" t="n">
        <v>2025</v>
      </c>
      <c r="E232" s="50" t="n">
        <f aca="false">BS!H27</f>
        <v>7623910000000</v>
      </c>
      <c r="F232" s="50" t="n">
        <f aca="false">BS!H63</f>
        <v>7623910000000</v>
      </c>
      <c r="G232" s="100" t="n">
        <f aca="false">IF(COUNT(E232:F232)=2,E232-F232,"")</f>
        <v>0</v>
      </c>
      <c r="H232" s="101" t="n">
        <v>1</v>
      </c>
      <c r="I232" s="4" t="str">
        <f aca="false">IF(COUNT(E232:F232)&lt;2,"N/A",IF(ABS(G232)&lt;=H232,"OK","❌"))</f>
        <v>OK</v>
      </c>
      <c r="J232" s="101" t="s">
        <v>1372</v>
      </c>
      <c r="K232" s="4" t="str">
        <f aca="false">IF(I232=J232,"✔ sesuai","✖ TIDAK sesuai")</f>
        <v>✔ sesuai</v>
      </c>
      <c r="L232" s="102"/>
    </row>
    <row r="233" customFormat="false" ht="15" hidden="false" customHeight="false" outlineLevel="0" collapsed="false">
      <c r="A233" s="13" t="n">
        <v>227</v>
      </c>
      <c r="B233" s="13" t="s">
        <v>1391</v>
      </c>
      <c r="C233" s="13" t="s">
        <v>1393</v>
      </c>
      <c r="D233" s="13" t="n">
        <v>2025</v>
      </c>
      <c r="E233" s="50" t="n">
        <f aca="false">IS!H19</f>
        <v>-198790000000</v>
      </c>
      <c r="F233" s="50" t="n">
        <f aca="false">IS!H26+IS!H27</f>
        <v>-198790000000</v>
      </c>
      <c r="G233" s="100" t="n">
        <f aca="false">IF(COUNT(E233:F233)=2,E233-F233,"")</f>
        <v>0</v>
      </c>
      <c r="H233" s="101" t="n">
        <v>1</v>
      </c>
      <c r="I233" s="4" t="str">
        <f aca="false">IF(COUNT(E233:F233)&lt;2,"N/A",IF(ABS(G233)&lt;=H233,"OK","❌"))</f>
        <v>OK</v>
      </c>
      <c r="J233" s="101" t="s">
        <v>1372</v>
      </c>
      <c r="K233" s="4" t="str">
        <f aca="false">IF(I233=J233,"✔ sesuai","✖ TIDAK sesuai")</f>
        <v>✔ sesuai</v>
      </c>
      <c r="L233" s="102"/>
    </row>
    <row r="234" customFormat="false" ht="15" hidden="false" customHeight="false" outlineLevel="0" collapsed="false">
      <c r="A234" s="13" t="n">
        <v>228</v>
      </c>
      <c r="B234" s="13" t="s">
        <v>1391</v>
      </c>
      <c r="C234" s="13" t="s">
        <v>1394</v>
      </c>
      <c r="D234" s="13" t="n">
        <v>2025</v>
      </c>
      <c r="E234" s="50" t="n">
        <f aca="false">IS!H24</f>
        <v>-202981000000</v>
      </c>
      <c r="F234" s="50" t="n">
        <f aca="false">IS!H28+IS!H29</f>
        <v>-202981000000</v>
      </c>
      <c r="G234" s="100" t="n">
        <f aca="false">IF(COUNT(E234:F234)=2,E234-F234,"")</f>
        <v>0</v>
      </c>
      <c r="H234" s="101" t="n">
        <v>1</v>
      </c>
      <c r="I234" s="4" t="str">
        <f aca="false">IF(COUNT(E234:F234)&lt;2,"N/A",IF(ABS(G234)&lt;=H234,"OK","❌"))</f>
        <v>OK</v>
      </c>
      <c r="J234" s="101" t="s">
        <v>1372</v>
      </c>
      <c r="K234" s="4" t="str">
        <f aca="false">IF(I234=J234,"✔ sesuai","✖ TIDAK sesuai")</f>
        <v>✔ sesuai</v>
      </c>
      <c r="L234" s="102"/>
    </row>
    <row r="235" customFormat="false" ht="15" hidden="false" customHeight="false" outlineLevel="0" collapsed="false">
      <c r="A235" s="13" t="n">
        <v>229</v>
      </c>
      <c r="B235" s="13" t="s">
        <v>1391</v>
      </c>
      <c r="C235" s="13" t="s">
        <v>1395</v>
      </c>
      <c r="D235" s="13" t="n">
        <v>2025</v>
      </c>
      <c r="E235" s="50" t="n">
        <f aca="false">CF!H41+N(CF!H44)</f>
        <v>1826263000000</v>
      </c>
      <c r="F235" s="50" t="n">
        <f aca="false">BS!H6</f>
        <v>1826263000000</v>
      </c>
      <c r="G235" s="100" t="n">
        <f aca="false">IF(COUNT(E235:F235)=2,E235-F235,"")</f>
        <v>0</v>
      </c>
      <c r="H235" s="101" t="n">
        <v>1</v>
      </c>
      <c r="I235" s="4" t="str">
        <f aca="false">IF(COUNT(E235:F235)&lt;2,"N/A",IF(ABS(G235)&lt;=H235,"OK","❌"))</f>
        <v>OK</v>
      </c>
      <c r="J235" s="101" t="s">
        <v>1372</v>
      </c>
      <c r="K235" s="4" t="str">
        <f aca="false">IF(I235=J235,"✔ sesuai","✖ TIDAK sesuai")</f>
        <v>✔ sesuai</v>
      </c>
      <c r="L235" s="102"/>
    </row>
    <row r="236" customFormat="false" ht="15" hidden="false" customHeight="false" outlineLevel="0" collapsed="false">
      <c r="A236" s="13" t="n">
        <v>230</v>
      </c>
      <c r="B236" s="13" t="s">
        <v>1391</v>
      </c>
      <c r="C236" s="13" t="s">
        <v>1396</v>
      </c>
      <c r="D236" s="13" t="n">
        <v>2025</v>
      </c>
      <c r="E236" s="61" t="n">
        <v>0</v>
      </c>
      <c r="F236" s="50" t="n">
        <f aca="false">CF!H36</f>
        <v>0</v>
      </c>
      <c r="G236" s="100" t="n">
        <f aca="false">IF(COUNT(E236:F236)=2,E236-F236,"")</f>
        <v>0</v>
      </c>
      <c r="H236" s="101" t="n">
        <v>1</v>
      </c>
      <c r="I236" s="4" t="str">
        <f aca="false">IF(COUNT(E236:F236)&lt;2,"N/A",IF(ABS(G236)&lt;=H236,"OK","❌"))</f>
        <v>OK</v>
      </c>
      <c r="J236" s="101" t="s">
        <v>1372</v>
      </c>
      <c r="K236" s="4" t="str">
        <f aca="false">IF(I236=J236,"✔ sesuai","✖ TIDAK sesuai")</f>
        <v>✔ sesuai</v>
      </c>
      <c r="L236" s="102" t="s">
        <v>1433</v>
      </c>
    </row>
    <row r="237" customFormat="false" ht="15" hidden="false" customHeight="false" outlineLevel="0" collapsed="false">
      <c r="A237" s="13" t="n">
        <v>231</v>
      </c>
      <c r="B237" s="13" t="s">
        <v>1416</v>
      </c>
      <c r="C237" s="13" t="s">
        <v>1417</v>
      </c>
      <c r="D237" s="13" t="n">
        <v>2025</v>
      </c>
      <c r="E237" s="50" t="n">
        <f aca="false">CF!H40+N(CF!H43)</f>
        <v>277208000000</v>
      </c>
      <c r="F237" s="50" t="n">
        <f aca="false">BS!G6</f>
        <v>277208000000</v>
      </c>
      <c r="G237" s="100" t="n">
        <f aca="false">IF(COUNT(E237:F237)=2,E237-F237,"")</f>
        <v>0</v>
      </c>
      <c r="H237" s="101" t="n">
        <v>1</v>
      </c>
      <c r="I237" s="4" t="str">
        <f aca="false">IF(COUNT(E237:F237)&lt;2,"N/A",IF(ABS(G237)&lt;=H237,"OK","❌"))</f>
        <v>OK</v>
      </c>
      <c r="J237" s="101" t="s">
        <v>1372</v>
      </c>
      <c r="K237" s="4" t="str">
        <f aca="false">IF(I237=J237,"✔ sesuai","✖ TIDAK sesuai")</f>
        <v>✔ sesuai</v>
      </c>
      <c r="L237" s="102" t="s">
        <v>1418</v>
      </c>
    </row>
    <row r="238" customFormat="false" ht="15" hidden="false" customHeight="false" outlineLevel="0" collapsed="false">
      <c r="A238" s="13" t="n">
        <v>232</v>
      </c>
      <c r="B238" s="13" t="s">
        <v>1416</v>
      </c>
      <c r="C238" s="13" t="s">
        <v>1419</v>
      </c>
      <c r="D238" s="13" t="n">
        <v>2025</v>
      </c>
      <c r="E238" s="50" t="n">
        <f aca="false">BS!G59+-199000000000+CF!H36+0</f>
        <v>-740699000000</v>
      </c>
      <c r="F238" s="50" t="n">
        <f aca="false">BS!H59</f>
        <v>-740699000000</v>
      </c>
      <c r="G238" s="100" t="n">
        <f aca="false">IF(COUNT(E238:F238)=2,E238-F238,"")</f>
        <v>0</v>
      </c>
      <c r="H238" s="101" t="n">
        <v>1</v>
      </c>
      <c r="I238" s="4" t="str">
        <f aca="false">IF(COUNT(E238:F238)&lt;2,"N/A",IF(ABS(G238)&lt;=H238,"OK","❌"))</f>
        <v>OK</v>
      </c>
      <c r="J238" s="101" t="s">
        <v>1372</v>
      </c>
      <c r="K238" s="4" t="str">
        <f aca="false">IF(I238=J238,"✔ sesuai","✖ TIDAK sesuai")</f>
        <v>✔ sesuai</v>
      </c>
      <c r="L238" s="102" t="s">
        <v>1420</v>
      </c>
    </row>
    <row r="239" customFormat="false" ht="15" hidden="false" customHeight="false" outlineLevel="0" collapsed="false">
      <c r="A239" s="13" t="n">
        <v>233</v>
      </c>
      <c r="B239" s="13" t="s">
        <v>1416</v>
      </c>
      <c r="C239" s="13" t="s">
        <v>1421</v>
      </c>
      <c r="D239" s="13" t="n">
        <v>2025</v>
      </c>
      <c r="E239" s="50" t="n">
        <f aca="false">Schedules!H29</f>
        <v>5763879000000</v>
      </c>
      <c r="F239" s="50" t="n">
        <f aca="false">Schedules!G34</f>
        <v>5763879000000</v>
      </c>
      <c r="G239" s="100" t="n">
        <f aca="false">IF(COUNT(E239:F239)=2,E239-F239,"")</f>
        <v>0</v>
      </c>
      <c r="H239" s="101" t="n">
        <v>1</v>
      </c>
      <c r="I239" s="4" t="str">
        <f aca="false">IF(COUNT(E239:F239)&lt;2,"N/A",IF(ABS(G239)&lt;=H239,"OK","❌"))</f>
        <v>OK</v>
      </c>
      <c r="J239" s="101" t="s">
        <v>1372</v>
      </c>
      <c r="K239" s="4" t="str">
        <f aca="false">IF(I239=J239,"✔ sesuai","✖ TIDAK sesuai")</f>
        <v>✔ sesuai</v>
      </c>
      <c r="L239" s="102"/>
    </row>
    <row r="240" customFormat="false" ht="15" hidden="false" customHeight="false" outlineLevel="0" collapsed="false">
      <c r="A240" s="13" t="n">
        <v>234</v>
      </c>
      <c r="B240" s="13" t="s">
        <v>1416</v>
      </c>
      <c r="C240" s="13" t="s">
        <v>1424</v>
      </c>
      <c r="D240" s="13" t="n">
        <v>2025</v>
      </c>
      <c r="E240" s="50" t="n">
        <f aca="false">Schedules!H37</f>
        <v>-1599739000000</v>
      </c>
      <c r="F240" s="50" t="n">
        <f aca="false">Schedules!G42</f>
        <v>-1599739000000</v>
      </c>
      <c r="G240" s="100" t="n">
        <f aca="false">IF(COUNT(E240:F240)=2,E240-F240,"")</f>
        <v>0</v>
      </c>
      <c r="H240" s="101" t="n">
        <v>1</v>
      </c>
      <c r="I240" s="4" t="str">
        <f aca="false">IF(COUNT(E240:F240)&lt;2,"N/A",IF(ABS(G240)&lt;=H240,"OK","❌"))</f>
        <v>OK</v>
      </c>
      <c r="J240" s="101" t="s">
        <v>1372</v>
      </c>
      <c r="K240" s="4" t="str">
        <f aca="false">IF(I240=J240,"✔ sesuai","✖ TIDAK sesuai")</f>
        <v>✔ sesuai</v>
      </c>
      <c r="L240" s="102"/>
    </row>
    <row r="241" customFormat="false" ht="15" hidden="false" customHeight="false" outlineLevel="0" collapsed="false">
      <c r="A241" s="13" t="n">
        <v>235</v>
      </c>
      <c r="B241" s="13" t="s">
        <v>1398</v>
      </c>
      <c r="C241" s="13" t="s">
        <v>1399</v>
      </c>
      <c r="D241" s="13" t="n">
        <v>2025</v>
      </c>
      <c r="E241" s="50" t="n">
        <f aca="false">Schedules!H10</f>
        <v>2589440000000</v>
      </c>
      <c r="F241" s="50" t="n">
        <f aca="false">IS!H6</f>
        <v>2589440000000</v>
      </c>
      <c r="G241" s="100" t="n">
        <f aca="false">IF(COUNT(E241:F241)=2,E241-F241,"")</f>
        <v>0</v>
      </c>
      <c r="H241" s="101" t="n">
        <v>1</v>
      </c>
      <c r="I241" s="4" t="str">
        <f aca="false">IF(COUNT(E241:F241)&lt;2,"N/A",IF(ABS(G241)&lt;=H241,"OK","❌"))</f>
        <v>OK</v>
      </c>
      <c r="J241" s="101" t="s">
        <v>1372</v>
      </c>
      <c r="K241" s="4" t="str">
        <f aca="false">IF(I241=J241,"✔ sesuai","✖ TIDAK sesuai")</f>
        <v>✔ sesuai</v>
      </c>
      <c r="L241" s="102"/>
    </row>
    <row r="242" customFormat="false" ht="15" hidden="false" customHeight="false" outlineLevel="0" collapsed="false">
      <c r="A242" s="13" t="n">
        <v>236</v>
      </c>
      <c r="B242" s="13" t="s">
        <v>1398</v>
      </c>
      <c r="C242" s="13" t="s">
        <v>1400</v>
      </c>
      <c r="D242" s="13" t="n">
        <v>2025</v>
      </c>
      <c r="E242" s="50" t="n">
        <f aca="false">Schedules!H58</f>
        <v>2589440000000</v>
      </c>
      <c r="F242" s="50" t="n">
        <f aca="false">IS!H6</f>
        <v>2589440000000</v>
      </c>
      <c r="G242" s="100" t="n">
        <f aca="false">IF(COUNT(E242:F242)=2,E242-F242,"")</f>
        <v>0</v>
      </c>
      <c r="H242" s="101" t="n">
        <v>1</v>
      </c>
      <c r="I242" s="4" t="str">
        <f aca="false">IF(COUNT(E242:F242)&lt;2,"N/A",IF(ABS(G242)&lt;=H242,"OK","❌"))</f>
        <v>OK</v>
      </c>
      <c r="J242" s="101" t="s">
        <v>1372</v>
      </c>
      <c r="K242" s="4" t="str">
        <f aca="false">IF(I242=J242,"✔ sesuai","✖ TIDAK sesuai")</f>
        <v>✔ sesuai</v>
      </c>
      <c r="L242" s="102"/>
    </row>
    <row r="243" customFormat="false" ht="15" hidden="false" customHeight="false" outlineLevel="0" collapsed="false">
      <c r="A243" s="13" t="n">
        <v>237</v>
      </c>
      <c r="B243" s="13" t="s">
        <v>1398</v>
      </c>
      <c r="C243" s="13" t="s">
        <v>1401</v>
      </c>
      <c r="D243" s="13" t="n">
        <v>2025</v>
      </c>
      <c r="E243" s="50" t="n">
        <f aca="false">Schedules!H77</f>
        <v>1530564000000</v>
      </c>
      <c r="F243" s="50" t="n">
        <f aca="false">-IS!H7</f>
        <v>1530564000000</v>
      </c>
      <c r="G243" s="100" t="n">
        <f aca="false">IF(COUNT(E243:F243)=2,E243-F243,"")</f>
        <v>0</v>
      </c>
      <c r="H243" s="101" t="n">
        <v>1</v>
      </c>
      <c r="I243" s="4" t="str">
        <f aca="false">IF(COUNT(E243:F243)&lt;2,"N/A",IF(ABS(G243)&lt;=H243,"OK","❌"))</f>
        <v>OK</v>
      </c>
      <c r="J243" s="101" t="s">
        <v>1372</v>
      </c>
      <c r="K243" s="4" t="str">
        <f aca="false">IF(I243=J243,"✔ sesuai","✖ TIDAK sesuai")</f>
        <v>✔ sesuai</v>
      </c>
      <c r="L243" s="102"/>
    </row>
    <row r="244" customFormat="false" ht="15" hidden="false" customHeight="false" outlineLevel="0" collapsed="false">
      <c r="A244" s="13" t="n">
        <v>238</v>
      </c>
      <c r="B244" s="13" t="s">
        <v>1398</v>
      </c>
      <c r="C244" s="13" t="s">
        <v>1402</v>
      </c>
      <c r="D244" s="13" t="n">
        <v>2025</v>
      </c>
      <c r="E244" s="50" t="n">
        <f aca="false">Schedules!H106</f>
        <v>922332000000</v>
      </c>
      <c r="F244" s="50" t="n">
        <f aca="false">-IS!H10</f>
        <v>922332000000</v>
      </c>
      <c r="G244" s="100" t="n">
        <f aca="false">IF(COUNT(E244:F244)=2,E244-F244,"")</f>
        <v>0</v>
      </c>
      <c r="H244" s="101" t="n">
        <v>1</v>
      </c>
      <c r="I244" s="4" t="str">
        <f aca="false">IF(COUNT(E244:F244)&lt;2,"N/A",IF(ABS(G244)&lt;=H244,"OK","❌"))</f>
        <v>OK</v>
      </c>
      <c r="J244" s="101" t="s">
        <v>1372</v>
      </c>
      <c r="K244" s="4" t="str">
        <f aca="false">IF(I244=J244,"✔ sesuai","✖ TIDAK sesuai")</f>
        <v>✔ sesuai</v>
      </c>
      <c r="L244" s="102"/>
    </row>
    <row r="245" customFormat="false" ht="15" hidden="false" customHeight="false" outlineLevel="0" collapsed="false">
      <c r="A245" s="13" t="n">
        <v>239</v>
      </c>
      <c r="B245" s="13" t="s">
        <v>1398</v>
      </c>
      <c r="C245" s="13" t="s">
        <v>1403</v>
      </c>
      <c r="D245" s="13" t="n">
        <v>2025</v>
      </c>
      <c r="E245" s="50" t="n">
        <f aca="false">Schedules!H130</f>
        <v>2883000000</v>
      </c>
      <c r="F245" s="50" t="n">
        <f aca="false">IS!H12</f>
        <v>2883000000</v>
      </c>
      <c r="G245" s="100" t="n">
        <f aca="false">IF(COUNT(E245:F245)=2,E245-F245,"")</f>
        <v>0</v>
      </c>
      <c r="H245" s="101" t="n">
        <v>1</v>
      </c>
      <c r="I245" s="4" t="str">
        <f aca="false">IF(COUNT(E245:F245)&lt;2,"N/A",IF(ABS(G245)&lt;=H245,"OK","❌"))</f>
        <v>OK</v>
      </c>
      <c r="J245" s="101" t="s">
        <v>1372</v>
      </c>
      <c r="K245" s="4" t="str">
        <f aca="false">IF(I245=J245,"✔ sesuai","✖ TIDAK sesuai")</f>
        <v>✔ sesuai</v>
      </c>
      <c r="L245" s="102"/>
    </row>
    <row r="246" customFormat="false" ht="15" hidden="false" customHeight="false" outlineLevel="0" collapsed="false">
      <c r="A246" s="13" t="n">
        <v>240</v>
      </c>
      <c r="B246" s="13" t="s">
        <v>1398</v>
      </c>
      <c r="C246" s="13" t="s">
        <v>1404</v>
      </c>
      <c r="D246" s="13" t="n">
        <v>2025</v>
      </c>
      <c r="E246" s="50" t="n">
        <f aca="false">Schedules!H44</f>
        <v>4286327000000</v>
      </c>
      <c r="F246" s="50" t="n">
        <f aca="false">BS!H19</f>
        <v>4286327000000</v>
      </c>
      <c r="G246" s="100" t="n">
        <f aca="false">IF(COUNT(E246:F246)=2,E246-F246,"")</f>
        <v>0</v>
      </c>
      <c r="H246" s="101" t="n">
        <v>1</v>
      </c>
      <c r="I246" s="4" t="str">
        <f aca="false">IF(COUNT(E246:F246)&lt;2,"N/A",IF(ABS(G246)&lt;=H246,"OK","❌"))</f>
        <v>OK</v>
      </c>
      <c r="J246" s="101" t="s">
        <v>1372</v>
      </c>
      <c r="K246" s="4" t="str">
        <f aca="false">IF(I246=J246,"✔ sesuai","✖ TIDAK sesuai")</f>
        <v>✔ sesuai</v>
      </c>
      <c r="L246" s="102"/>
    </row>
    <row r="247" customFormat="false" ht="15" hidden="false" customHeight="false" outlineLevel="0" collapsed="false">
      <c r="A247" s="13" t="n">
        <v>241</v>
      </c>
      <c r="B247" s="13" t="s">
        <v>1405</v>
      </c>
      <c r="C247" s="13" t="s">
        <v>1406</v>
      </c>
      <c r="D247" s="13" t="n">
        <v>2025</v>
      </c>
      <c r="E247" s="50" t="n">
        <f aca="false">Schedules!H14</f>
        <v>337806000000</v>
      </c>
      <c r="F247" s="50" t="n">
        <f aca="false">Schedules!H15</f>
        <v>337806000000</v>
      </c>
      <c r="G247" s="100" t="n">
        <f aca="false">IF(COUNT(E247:F247)=2,E247-F247,"")</f>
        <v>0</v>
      </c>
      <c r="H247" s="101" t="n">
        <v>1</v>
      </c>
      <c r="I247" s="4" t="str">
        <f aca="false">IF(COUNT(E247:F247)&lt;2,"N/A",IF(ABS(G247)&lt;=H247,"OK","❌"))</f>
        <v>OK</v>
      </c>
      <c r="J247" s="101" t="s">
        <v>1372</v>
      </c>
      <c r="K247" s="4" t="str">
        <f aca="false">IF(I247=J247,"✔ sesuai","✖ TIDAK sesuai")</f>
        <v>✔ sesuai</v>
      </c>
      <c r="L247" s="102"/>
    </row>
    <row r="248" customFormat="false" ht="15" hidden="false" customHeight="false" outlineLevel="0" collapsed="false">
      <c r="A248" s="13" t="n">
        <v>242</v>
      </c>
      <c r="B248" s="13" t="s">
        <v>1405</v>
      </c>
      <c r="C248" s="13" t="s">
        <v>1407</v>
      </c>
      <c r="D248" s="13" t="n">
        <v>2025</v>
      </c>
      <c r="E248" s="50" t="n">
        <f aca="false">Schedules!H35</f>
        <v>6206364000000</v>
      </c>
      <c r="F248" s="50" t="n">
        <f aca="false">Schedules!H34</f>
        <v>6206364000000</v>
      </c>
      <c r="G248" s="100" t="n">
        <f aca="false">IF(COUNT(E248:F248)=2,E248-F248,"")</f>
        <v>0</v>
      </c>
      <c r="H248" s="101" t="n">
        <v>1</v>
      </c>
      <c r="I248" s="4" t="str">
        <f aca="false">IF(COUNT(E248:F248)&lt;2,"N/A",IF(ABS(G248)&lt;=H248,"OK","❌"))</f>
        <v>OK</v>
      </c>
      <c r="J248" s="101" t="s">
        <v>1372</v>
      </c>
      <c r="K248" s="4" t="str">
        <f aca="false">IF(I248=J248,"✔ sesuai","✖ TIDAK sesuai")</f>
        <v>✔ sesuai</v>
      </c>
      <c r="L248" s="102"/>
    </row>
    <row r="249" customFormat="false" ht="15" hidden="false" customHeight="false" outlineLevel="0" collapsed="false">
      <c r="A249" s="13" t="n">
        <v>243</v>
      </c>
      <c r="B249" s="13" t="s">
        <v>1405</v>
      </c>
      <c r="C249" s="13" t="s">
        <v>1408</v>
      </c>
      <c r="D249" s="13" t="n">
        <v>2025</v>
      </c>
      <c r="E249" s="50" t="n">
        <f aca="false">Schedules!H43</f>
        <v>-1920037000000</v>
      </c>
      <c r="F249" s="50" t="n">
        <f aca="false">Schedules!H42</f>
        <v>-1920037000000</v>
      </c>
      <c r="G249" s="100" t="n">
        <f aca="false">IF(COUNT(E249:F249)=2,E249-F249,"")</f>
        <v>0</v>
      </c>
      <c r="H249" s="101" t="n">
        <v>1</v>
      </c>
      <c r="I249" s="4" t="str">
        <f aca="false">IF(COUNT(E249:F249)&lt;2,"N/A",IF(ABS(G249)&lt;=H249,"OK","❌"))</f>
        <v>OK</v>
      </c>
      <c r="J249" s="101" t="s">
        <v>1372</v>
      </c>
      <c r="K249" s="4" t="str">
        <f aca="false">IF(I249=J249,"✔ sesuai","✖ TIDAK sesuai")</f>
        <v>✔ sesuai</v>
      </c>
      <c r="L249" s="102"/>
    </row>
    <row r="250" customFormat="false" ht="15" hidden="false" customHeight="false" outlineLevel="0" collapsed="false">
      <c r="A250" s="13" t="n">
        <v>244</v>
      </c>
      <c r="B250" s="13" t="s">
        <v>1405</v>
      </c>
      <c r="C250" s="13" t="s">
        <v>1409</v>
      </c>
      <c r="D250" s="13" t="n">
        <v>2025</v>
      </c>
      <c r="E250" s="50" t="n">
        <f aca="false">Schedules!H67</f>
        <v>2589440000000</v>
      </c>
      <c r="F250" s="50" t="n">
        <f aca="false">Schedules!H58</f>
        <v>2589440000000</v>
      </c>
      <c r="G250" s="100" t="n">
        <f aca="false">IF(COUNT(E250:F250)=2,E250-F250,"")</f>
        <v>0</v>
      </c>
      <c r="H250" s="101" t="n">
        <v>1</v>
      </c>
      <c r="I250" s="4" t="str">
        <f aca="false">IF(COUNT(E250:F250)&lt;2,"N/A",IF(ABS(G250)&lt;=H250,"OK","❌"))</f>
        <v>OK</v>
      </c>
      <c r="J250" s="101" t="s">
        <v>1372</v>
      </c>
      <c r="K250" s="4" t="str">
        <f aca="false">IF(I250=J250,"✔ sesuai","✖ TIDAK sesuai")</f>
        <v>✔ sesuai</v>
      </c>
      <c r="L250" s="102"/>
    </row>
    <row r="251" customFormat="false" ht="15" hidden="false" customHeight="false" outlineLevel="0" collapsed="false">
      <c r="A251" s="13" t="n">
        <v>245</v>
      </c>
      <c r="B251" s="13" t="s">
        <v>1405</v>
      </c>
      <c r="C251" s="13" t="s">
        <v>1410</v>
      </c>
      <c r="D251" s="13" t="n">
        <v>2025</v>
      </c>
      <c r="E251" s="50" t="n">
        <f aca="false">Schedules!H85</f>
        <v>1530564000000</v>
      </c>
      <c r="F251" s="50" t="n">
        <f aca="false">Schedules!H77</f>
        <v>1530564000000</v>
      </c>
      <c r="G251" s="100" t="n">
        <f aca="false">IF(COUNT(E251:F251)=2,E251-F251,"")</f>
        <v>0</v>
      </c>
      <c r="H251" s="101" t="n">
        <v>1</v>
      </c>
      <c r="I251" s="4" t="str">
        <f aca="false">IF(COUNT(E251:F251)&lt;2,"N/A",IF(ABS(G251)&lt;=H251,"OK","❌"))</f>
        <v>OK</v>
      </c>
      <c r="J251" s="101" t="s">
        <v>1372</v>
      </c>
      <c r="K251" s="4" t="str">
        <f aca="false">IF(I251=J251,"✔ sesuai","✖ TIDAK sesuai")</f>
        <v>✔ sesuai</v>
      </c>
      <c r="L251" s="102"/>
    </row>
    <row r="252" customFormat="false" ht="15" hidden="false" customHeight="false" outlineLevel="0" collapsed="false">
      <c r="A252" s="13" t="n">
        <v>246</v>
      </c>
      <c r="B252" s="13" t="s">
        <v>1405</v>
      </c>
      <c r="C252" s="13" t="s">
        <v>1411</v>
      </c>
      <c r="D252" s="13" t="n">
        <v>2025</v>
      </c>
      <c r="E252" s="50" t="n">
        <f aca="false">Schedules!H120</f>
        <v>922332000000</v>
      </c>
      <c r="F252" s="50" t="n">
        <f aca="false">Schedules!H106</f>
        <v>922332000000</v>
      </c>
      <c r="G252" s="100" t="n">
        <f aca="false">IF(COUNT(E252:F252)=2,E252-F252,"")</f>
        <v>0</v>
      </c>
      <c r="H252" s="101" t="n">
        <v>1</v>
      </c>
      <c r="I252" s="4" t="str">
        <f aca="false">IF(COUNT(E252:F252)&lt;2,"N/A",IF(ABS(G252)&lt;=H252,"OK","❌"))</f>
        <v>OK</v>
      </c>
      <c r="J252" s="101" t="s">
        <v>1372</v>
      </c>
      <c r="K252" s="4" t="str">
        <f aca="false">IF(I252=J252,"✔ sesuai","✖ TIDAK sesuai")</f>
        <v>✔ sesuai</v>
      </c>
      <c r="L252" s="102"/>
    </row>
    <row r="253" customFormat="false" ht="15" hidden="false" customHeight="false" outlineLevel="0" collapsed="false">
      <c r="A253" s="13" t="n">
        <v>247</v>
      </c>
      <c r="B253" s="13" t="s">
        <v>1405</v>
      </c>
      <c r="C253" s="13" t="s">
        <v>1412</v>
      </c>
      <c r="D253" s="13" t="n">
        <v>2025</v>
      </c>
      <c r="E253" s="50" t="n">
        <f aca="false">Schedules!H148</f>
        <v>2883000000</v>
      </c>
      <c r="F253" s="50" t="n">
        <f aca="false">Schedules!H130</f>
        <v>2883000000</v>
      </c>
      <c r="G253" s="100" t="n">
        <f aca="false">IF(COUNT(E253:F253)=2,E253-F253,"")</f>
        <v>0</v>
      </c>
      <c r="H253" s="101" t="n">
        <v>1</v>
      </c>
      <c r="I253" s="4" t="str">
        <f aca="false">IF(COUNT(E253:F253)&lt;2,"N/A",IF(ABS(G253)&lt;=H253,"OK","❌"))</f>
        <v>OK</v>
      </c>
      <c r="J253" s="101" t="s">
        <v>1372</v>
      </c>
      <c r="K253" s="4" t="str">
        <f aca="false">IF(I253=J253,"✔ sesuai","✖ TIDAK sesuai")</f>
        <v>✔ sesuai</v>
      </c>
      <c r="L253" s="102"/>
    </row>
    <row r="254" customFormat="false" ht="15" hidden="false" customHeight="false" outlineLevel="0" collapsed="false">
      <c r="A254" s="13" t="n">
        <v>248</v>
      </c>
      <c r="B254" s="13" t="s">
        <v>1413</v>
      </c>
      <c r="C254" s="13" t="s">
        <v>1414</v>
      </c>
      <c r="D254" s="13" t="n">
        <v>2025</v>
      </c>
      <c r="E254" s="50" t="n">
        <f aca="false">IS!H30</f>
        <v>-16.31</v>
      </c>
      <c r="F254" s="50" t="n">
        <f aca="false">ROUND(IS!H26/Schedules!H22,2)</f>
        <v>-16.31</v>
      </c>
      <c r="G254" s="100" t="n">
        <f aca="false">IF(COUNT(E254:F254)=2,E254-F254,"")</f>
        <v>0</v>
      </c>
      <c r="H254" s="101" t="n">
        <v>1</v>
      </c>
      <c r="I254" s="4" t="str">
        <f aca="false">IF(COUNT(E254:F254)&lt;2,"N/A",IF(ABS(G254)&lt;=H254,"OK","❌"))</f>
        <v>OK</v>
      </c>
      <c r="J254" s="101" t="s">
        <v>1372</v>
      </c>
      <c r="K254" s="4" t="str">
        <f aca="false">IF(I254=J254,"✔ sesuai","✖ TIDAK sesuai")</f>
        <v>✔ sesuai</v>
      </c>
      <c r="L254" s="102"/>
    </row>
    <row r="255" customFormat="false" ht="15" hidden="false" customHeight="false" outlineLevel="0" collapsed="false">
      <c r="A255" s="13" t="n">
        <v>249</v>
      </c>
      <c r="B255" s="13" t="s">
        <v>1434</v>
      </c>
      <c r="C255" s="13" t="s">
        <v>1435</v>
      </c>
      <c r="D255" s="13" t="n">
        <v>2020</v>
      </c>
      <c r="E255" s="61" t="n">
        <v>629608688874</v>
      </c>
      <c r="F255" s="61" t="n">
        <v>629608688874</v>
      </c>
      <c r="G255" s="100" t="n">
        <f aca="false">IF(COUNT(E255:F255)=2,E255-F255,"")</f>
        <v>0</v>
      </c>
      <c r="H255" s="101" t="n">
        <v>1</v>
      </c>
      <c r="I255" s="4" t="str">
        <f aca="false">IF(COUNT(E255:F255)&lt;2,"N/A",IF(ABS(G255)&lt;=H255,"OK","❌"))</f>
        <v>OK</v>
      </c>
      <c r="J255" s="101" t="s">
        <v>1372</v>
      </c>
      <c r="K255" s="4" t="str">
        <f aca="false">IF(I255=J255,"✔ sesuai","✖ TIDAK sesuai")</f>
        <v>✔ sesuai</v>
      </c>
      <c r="L255" s="102"/>
    </row>
    <row r="256" customFormat="false" ht="15" hidden="false" customHeight="false" outlineLevel="0" collapsed="false">
      <c r="A256" s="13" t="n">
        <v>250</v>
      </c>
      <c r="B256" s="13" t="s">
        <v>1434</v>
      </c>
      <c r="C256" s="13" t="s">
        <v>1436</v>
      </c>
      <c r="D256" s="13" t="n">
        <v>2020</v>
      </c>
      <c r="E256" s="61" t="n">
        <v>-1.2</v>
      </c>
      <c r="F256" s="61" t="n">
        <v>-1.2</v>
      </c>
      <c r="G256" s="100" t="n">
        <f aca="false">IF(COUNT(E256:F256)=2,E256-F256,"")</f>
        <v>0</v>
      </c>
      <c r="H256" s="101" t="n">
        <v>1</v>
      </c>
      <c r="I256" s="4" t="str">
        <f aca="false">IF(COUNT(E256:F256)&lt;2,"N/A",IF(ABS(G256)&lt;=H256,"OK","❌"))</f>
        <v>OK</v>
      </c>
      <c r="J256" s="101" t="s">
        <v>1372</v>
      </c>
      <c r="K256" s="4" t="str">
        <f aca="false">IF(I256=J256,"✔ sesuai","✖ TIDAK sesuai")</f>
        <v>✔ sesuai</v>
      </c>
      <c r="L256" s="102" t="s">
        <v>1437</v>
      </c>
    </row>
    <row r="257" customFormat="false" ht="15" hidden="false" customHeight="false" outlineLevel="0" collapsed="false">
      <c r="A257" s="13" t="n">
        <v>251</v>
      </c>
      <c r="B257" s="13" t="s">
        <v>1434</v>
      </c>
      <c r="C257" s="13" t="s">
        <v>1435</v>
      </c>
      <c r="D257" s="13" t="n">
        <v>2021</v>
      </c>
      <c r="E257" s="61" t="n">
        <v>700922359619</v>
      </c>
      <c r="F257" s="61" t="n">
        <v>700922359619</v>
      </c>
      <c r="G257" s="100" t="n">
        <f aca="false">IF(COUNT(E257:F257)=2,E257-F257,"")</f>
        <v>0</v>
      </c>
      <c r="H257" s="101" t="n">
        <v>1</v>
      </c>
      <c r="I257" s="4" t="str">
        <f aca="false">IF(COUNT(E257:F257)&lt;2,"N/A",IF(ABS(G257)&lt;=H257,"OK","❌"))</f>
        <v>OK</v>
      </c>
      <c r="J257" s="101" t="s">
        <v>1372</v>
      </c>
      <c r="K257" s="4" t="str">
        <f aca="false">IF(I257=J257,"✔ sesuai","✖ TIDAK sesuai")</f>
        <v>✔ sesuai</v>
      </c>
      <c r="L257" s="102"/>
    </row>
    <row r="258" customFormat="false" ht="15" hidden="false" customHeight="false" outlineLevel="0" collapsed="false">
      <c r="A258" s="13" t="n">
        <v>252</v>
      </c>
      <c r="B258" s="13" t="s">
        <v>1434</v>
      </c>
      <c r="C258" s="13" t="s">
        <v>1438</v>
      </c>
      <c r="D258" s="13" t="n">
        <v>2021</v>
      </c>
      <c r="E258" s="61" t="n">
        <v>629608688874</v>
      </c>
      <c r="F258" s="61" t="n">
        <v>629608688874</v>
      </c>
      <c r="G258" s="100" t="n">
        <f aca="false">IF(COUNT(E258:F258)=2,E258-F258,"")</f>
        <v>0</v>
      </c>
      <c r="H258" s="101" t="n">
        <v>1</v>
      </c>
      <c r="I258" s="4" t="str">
        <f aca="false">IF(COUNT(E258:F258)&lt;2,"N/A",IF(ABS(G258)&lt;=H258,"OK","❌"))</f>
        <v>OK</v>
      </c>
      <c r="J258" s="101" t="s">
        <v>1372</v>
      </c>
      <c r="K258" s="4" t="str">
        <f aca="false">IF(I258=J258,"✔ sesuai","✖ TIDAK sesuai")</f>
        <v>✔ sesuai</v>
      </c>
      <c r="L258" s="102" t="s">
        <v>1439</v>
      </c>
    </row>
    <row r="259" customFormat="false" ht="15" hidden="false" customHeight="false" outlineLevel="0" collapsed="false">
      <c r="A259" s="13" t="n">
        <v>253</v>
      </c>
      <c r="B259" s="13" t="s">
        <v>1434</v>
      </c>
      <c r="C259" s="13" t="s">
        <v>1436</v>
      </c>
      <c r="D259" s="13" t="n">
        <v>2021</v>
      </c>
      <c r="E259" s="61" t="n">
        <v>13.77</v>
      </c>
      <c r="F259" s="61" t="n">
        <v>13.77</v>
      </c>
      <c r="G259" s="100" t="n">
        <f aca="false">IF(COUNT(E259:F259)=2,E259-F259,"")</f>
        <v>0</v>
      </c>
      <c r="H259" s="101" t="n">
        <v>1</v>
      </c>
      <c r="I259" s="4" t="str">
        <f aca="false">IF(COUNT(E259:F259)&lt;2,"N/A",IF(ABS(G259)&lt;=H259,"OK","❌"))</f>
        <v>OK</v>
      </c>
      <c r="J259" s="101" t="s">
        <v>1372</v>
      </c>
      <c r="K259" s="4" t="str">
        <f aca="false">IF(I259=J259,"✔ sesuai","✖ TIDAK sesuai")</f>
        <v>✔ sesuai</v>
      </c>
      <c r="L259" s="102" t="s">
        <v>1437</v>
      </c>
    </row>
    <row r="260" customFormat="false" ht="15" hidden="false" customHeight="false" outlineLevel="0" collapsed="false">
      <c r="A260" s="13" t="n">
        <v>254</v>
      </c>
      <c r="B260" s="13" t="s">
        <v>1434</v>
      </c>
      <c r="C260" s="13" t="s">
        <v>1435</v>
      </c>
      <c r="D260" s="13" t="n">
        <v>2022</v>
      </c>
      <c r="E260" s="61" t="n">
        <v>1118254250664</v>
      </c>
      <c r="F260" s="61" t="n">
        <v>1118254250664</v>
      </c>
      <c r="G260" s="100" t="n">
        <f aca="false">IF(COUNT(E260:F260)=2,E260-F260,"")</f>
        <v>0</v>
      </c>
      <c r="H260" s="101" t="n">
        <v>1</v>
      </c>
      <c r="I260" s="4" t="str">
        <f aca="false">IF(COUNT(E260:F260)&lt;2,"N/A",IF(ABS(G260)&lt;=H260,"OK","❌"))</f>
        <v>OK</v>
      </c>
      <c r="J260" s="101" t="s">
        <v>1372</v>
      </c>
      <c r="K260" s="4" t="str">
        <f aca="false">IF(I260=J260,"✔ sesuai","✖ TIDAK sesuai")</f>
        <v>✔ sesuai</v>
      </c>
      <c r="L260" s="102"/>
    </row>
    <row r="261" customFormat="false" ht="15" hidden="false" customHeight="false" outlineLevel="0" collapsed="false">
      <c r="A261" s="13" t="n">
        <v>255</v>
      </c>
      <c r="B261" s="13" t="s">
        <v>1434</v>
      </c>
      <c r="C261" s="13" t="s">
        <v>1438</v>
      </c>
      <c r="D261" s="13" t="n">
        <v>2022</v>
      </c>
      <c r="E261" s="61" t="n">
        <v>700922359619</v>
      </c>
      <c r="F261" s="61" t="n">
        <v>700922359619</v>
      </c>
      <c r="G261" s="100" t="n">
        <f aca="false">IF(COUNT(E261:F261)=2,E261-F261,"")</f>
        <v>0</v>
      </c>
      <c r="H261" s="101" t="n">
        <v>1</v>
      </c>
      <c r="I261" s="4" t="str">
        <f aca="false">IF(COUNT(E261:F261)&lt;2,"N/A",IF(ABS(G261)&lt;=H261,"OK","❌"))</f>
        <v>OK</v>
      </c>
      <c r="J261" s="101" t="s">
        <v>1372</v>
      </c>
      <c r="K261" s="4" t="str">
        <f aca="false">IF(I261=J261,"✔ sesuai","✖ TIDAK sesuai")</f>
        <v>✔ sesuai</v>
      </c>
      <c r="L261" s="102"/>
    </row>
    <row r="262" customFormat="false" ht="15" hidden="false" customHeight="false" outlineLevel="0" collapsed="false">
      <c r="A262" s="13" t="n">
        <v>256</v>
      </c>
      <c r="B262" s="13" t="s">
        <v>1434</v>
      </c>
      <c r="C262" s="13" t="s">
        <v>1436</v>
      </c>
      <c r="D262" s="13" t="n">
        <v>2022</v>
      </c>
      <c r="E262" s="61" t="n">
        <v>-3.69</v>
      </c>
      <c r="F262" s="61" t="n">
        <v>-3.69</v>
      </c>
      <c r="G262" s="100" t="n">
        <f aca="false">IF(COUNT(E262:F262)=2,E262-F262,"")</f>
        <v>0</v>
      </c>
      <c r="H262" s="101" t="n">
        <v>1</v>
      </c>
      <c r="I262" s="4" t="str">
        <f aca="false">IF(COUNT(E262:F262)&lt;2,"N/A",IF(ABS(G262)&lt;=H262,"OK","❌"))</f>
        <v>OK</v>
      </c>
      <c r="J262" s="101" t="s">
        <v>1372</v>
      </c>
      <c r="K262" s="4" t="str">
        <f aca="false">IF(I262=J262,"✔ sesuai","✖ TIDAK sesuai")</f>
        <v>✔ sesuai</v>
      </c>
      <c r="L262" s="102" t="s">
        <v>1437</v>
      </c>
    </row>
    <row r="263" customFormat="false" ht="15" hidden="false" customHeight="false" outlineLevel="0" collapsed="false">
      <c r="A263" s="13" t="n">
        <v>257</v>
      </c>
      <c r="B263" s="13" t="s">
        <v>1434</v>
      </c>
      <c r="C263" s="13" t="s">
        <v>1435</v>
      </c>
      <c r="D263" s="13" t="n">
        <v>2023</v>
      </c>
      <c r="E263" s="61" t="n">
        <v>515185000000</v>
      </c>
      <c r="F263" s="61" t="n">
        <v>515185000000</v>
      </c>
      <c r="G263" s="100" t="n">
        <f aca="false">IF(COUNT(E263:F263)=2,E263-F263,"")</f>
        <v>0</v>
      </c>
      <c r="H263" s="101" t="n">
        <v>1</v>
      </c>
      <c r="I263" s="4" t="str">
        <f aca="false">IF(COUNT(E263:F263)&lt;2,"N/A",IF(ABS(G263)&lt;=H263,"OK","❌"))</f>
        <v>OK</v>
      </c>
      <c r="J263" s="101" t="s">
        <v>1372</v>
      </c>
      <c r="K263" s="4" t="str">
        <f aca="false">IF(I263=J263,"✔ sesuai","✖ TIDAK sesuai")</f>
        <v>✔ sesuai</v>
      </c>
      <c r="L263" s="102"/>
    </row>
    <row r="264" customFormat="false" ht="15" hidden="false" customHeight="false" outlineLevel="0" collapsed="false">
      <c r="A264" s="13" t="n">
        <v>258</v>
      </c>
      <c r="B264" s="13" t="s">
        <v>1434</v>
      </c>
      <c r="C264" s="13" t="s">
        <v>1438</v>
      </c>
      <c r="D264" s="13" t="n">
        <v>2023</v>
      </c>
      <c r="E264" s="61" t="n">
        <v>1118254000000</v>
      </c>
      <c r="F264" s="61" t="n">
        <v>1118254250664</v>
      </c>
      <c r="G264" s="100" t="n">
        <f aca="false">IF(COUNT(E264:F264)=2,E264-F264,"")</f>
        <v>-250664</v>
      </c>
      <c r="H264" s="101" t="n">
        <v>1</v>
      </c>
      <c r="I264" s="4" t="str">
        <f aca="false">IF(COUNT(E264:F264)&lt;2,"N/A",IF(ABS(G264)&lt;=H264,"OK","❌"))</f>
        <v>❌</v>
      </c>
      <c r="J264" s="101" t="s">
        <v>1422</v>
      </c>
      <c r="K264" s="4" t="str">
        <f aca="false">IF(I264=J264,"✔ sesuai","✖ TIDAK sesuai")</f>
        <v>✔ sesuai</v>
      </c>
      <c r="L264" s="102" t="s">
        <v>1440</v>
      </c>
    </row>
    <row r="265" customFormat="false" ht="15" hidden="false" customHeight="false" outlineLevel="0" collapsed="false">
      <c r="A265" s="13" t="n">
        <v>259</v>
      </c>
      <c r="B265" s="13" t="s">
        <v>1434</v>
      </c>
      <c r="C265" s="13" t="s">
        <v>1436</v>
      </c>
      <c r="D265" s="13" t="n">
        <v>2023</v>
      </c>
      <c r="E265" s="61" t="n">
        <v>-3.21</v>
      </c>
      <c r="F265" s="61" t="n">
        <v>-3.21</v>
      </c>
      <c r="G265" s="100" t="n">
        <f aca="false">IF(COUNT(E265:F265)=2,E265-F265,"")</f>
        <v>0</v>
      </c>
      <c r="H265" s="101" t="n">
        <v>1</v>
      </c>
      <c r="I265" s="4" t="str">
        <f aca="false">IF(COUNT(E265:F265)&lt;2,"N/A",IF(ABS(G265)&lt;=H265,"OK","❌"))</f>
        <v>OK</v>
      </c>
      <c r="J265" s="101" t="s">
        <v>1372</v>
      </c>
      <c r="K265" s="4" t="str">
        <f aca="false">IF(I265=J265,"✔ sesuai","✖ TIDAK sesuai")</f>
        <v>✔ sesuai</v>
      </c>
      <c r="L265" s="102" t="s">
        <v>1437</v>
      </c>
    </row>
    <row r="266" customFormat="false" ht="15" hidden="false" customHeight="false" outlineLevel="0" collapsed="false">
      <c r="A266" s="13" t="n">
        <v>260</v>
      </c>
      <c r="B266" s="13" t="s">
        <v>1434</v>
      </c>
      <c r="C266" s="13" t="s">
        <v>1435</v>
      </c>
      <c r="D266" s="13" t="n">
        <v>2024</v>
      </c>
      <c r="E266" s="61" t="n">
        <v>277208000000</v>
      </c>
      <c r="F266" s="61" t="n">
        <v>277208000000</v>
      </c>
      <c r="G266" s="100" t="n">
        <f aca="false">IF(COUNT(E266:F266)=2,E266-F266,"")</f>
        <v>0</v>
      </c>
      <c r="H266" s="101" t="n">
        <v>1</v>
      </c>
      <c r="I266" s="4" t="str">
        <f aca="false">IF(COUNT(E266:F266)&lt;2,"N/A",IF(ABS(G266)&lt;=H266,"OK","❌"))</f>
        <v>OK</v>
      </c>
      <c r="J266" s="101" t="s">
        <v>1372</v>
      </c>
      <c r="K266" s="4" t="str">
        <f aca="false">IF(I266=J266,"✔ sesuai","✖ TIDAK sesuai")</f>
        <v>✔ sesuai</v>
      </c>
      <c r="L266" s="102" t="s">
        <v>1441</v>
      </c>
    </row>
    <row r="267" customFormat="false" ht="15" hidden="false" customHeight="false" outlineLevel="0" collapsed="false">
      <c r="A267" s="13" t="n">
        <v>261</v>
      </c>
      <c r="B267" s="13" t="s">
        <v>1434</v>
      </c>
      <c r="C267" s="13" t="s">
        <v>1438</v>
      </c>
      <c r="D267" s="13" t="n">
        <v>2024</v>
      </c>
      <c r="E267" s="61" t="n">
        <v>515185000000</v>
      </c>
      <c r="F267" s="61" t="n">
        <v>515185000000</v>
      </c>
      <c r="G267" s="100" t="n">
        <f aca="false">IF(COUNT(E267:F267)=2,E267-F267,"")</f>
        <v>0</v>
      </c>
      <c r="H267" s="101" t="n">
        <v>1</v>
      </c>
      <c r="I267" s="4" t="str">
        <f aca="false">IF(COUNT(E267:F267)&lt;2,"N/A",IF(ABS(G267)&lt;=H267,"OK","❌"))</f>
        <v>OK</v>
      </c>
      <c r="J267" s="101" t="s">
        <v>1372</v>
      </c>
      <c r="K267" s="4" t="str">
        <f aca="false">IF(I267=J267,"✔ sesuai","✖ TIDAK sesuai")</f>
        <v>✔ sesuai</v>
      </c>
      <c r="L267" s="102" t="s">
        <v>1442</v>
      </c>
    </row>
    <row r="268" customFormat="false" ht="15" hidden="false" customHeight="false" outlineLevel="0" collapsed="false">
      <c r="A268" s="13" t="n">
        <v>262</v>
      </c>
      <c r="B268" s="13" t="s">
        <v>1434</v>
      </c>
      <c r="C268" s="13" t="s">
        <v>1436</v>
      </c>
      <c r="D268" s="13" t="n">
        <v>2024</v>
      </c>
      <c r="E268" s="61" t="n">
        <v>-1.96</v>
      </c>
      <c r="F268" s="61" t="n">
        <v>-1.96</v>
      </c>
      <c r="G268" s="100" t="n">
        <f aca="false">IF(COUNT(E268:F268)=2,E268-F268,"")</f>
        <v>0</v>
      </c>
      <c r="H268" s="101" t="n">
        <v>1</v>
      </c>
      <c r="I268" s="4" t="str">
        <f aca="false">IF(COUNT(E268:F268)&lt;2,"N/A",IF(ABS(G268)&lt;=H268,"OK","❌"))</f>
        <v>OK</v>
      </c>
      <c r="J268" s="101" t="s">
        <v>1372</v>
      </c>
      <c r="K268" s="4" t="str">
        <f aca="false">IF(I268=J268,"✔ sesuai","✖ TIDAK sesuai")</f>
        <v>✔ sesuai</v>
      </c>
      <c r="L268" s="102" t="s">
        <v>1437</v>
      </c>
    </row>
    <row r="269" customFormat="false" ht="15" hidden="false" customHeight="false" outlineLevel="0" collapsed="false">
      <c r="A269" s="13" t="n">
        <v>263</v>
      </c>
      <c r="B269" s="13" t="s">
        <v>1434</v>
      </c>
      <c r="C269" s="13" t="s">
        <v>1435</v>
      </c>
      <c r="D269" s="13" t="n">
        <v>2025</v>
      </c>
      <c r="E269" s="61" t="n">
        <v>1826263000000</v>
      </c>
      <c r="F269" s="61" t="n">
        <v>1826263000000</v>
      </c>
      <c r="G269" s="100" t="n">
        <f aca="false">IF(COUNT(E269:F269)=2,E269-F269,"")</f>
        <v>0</v>
      </c>
      <c r="H269" s="101" t="n">
        <v>1</v>
      </c>
      <c r="I269" s="4" t="str">
        <f aca="false">IF(COUNT(E269:F269)&lt;2,"N/A",IF(ABS(G269)&lt;=H269,"OK","❌"))</f>
        <v>OK</v>
      </c>
      <c r="J269" s="101" t="s">
        <v>1372</v>
      </c>
      <c r="K269" s="4" t="str">
        <f aca="false">IF(I269=J269,"✔ sesuai","✖ TIDAK sesuai")</f>
        <v>✔ sesuai</v>
      </c>
      <c r="L269" s="102"/>
    </row>
    <row r="270" customFormat="false" ht="15" hidden="false" customHeight="false" outlineLevel="0" collapsed="false">
      <c r="A270" s="13" t="n">
        <v>264</v>
      </c>
      <c r="B270" s="13" t="s">
        <v>1434</v>
      </c>
      <c r="C270" s="13" t="s">
        <v>1438</v>
      </c>
      <c r="D270" s="13" t="n">
        <v>2025</v>
      </c>
      <c r="E270" s="61" t="n">
        <v>277208000000</v>
      </c>
      <c r="F270" s="61" t="n">
        <v>277208000000</v>
      </c>
      <c r="G270" s="100" t="n">
        <f aca="false">IF(COUNT(E270:F270)=2,E270-F270,"")</f>
        <v>0</v>
      </c>
      <c r="H270" s="101" t="n">
        <v>1</v>
      </c>
      <c r="I270" s="4" t="str">
        <f aca="false">IF(COUNT(E270:F270)&lt;2,"N/A",IF(ABS(G270)&lt;=H270,"OK","❌"))</f>
        <v>OK</v>
      </c>
      <c r="J270" s="101" t="s">
        <v>1372</v>
      </c>
      <c r="K270" s="4" t="str">
        <f aca="false">IF(I270=J270,"✔ sesuai","✖ TIDAK sesuai")</f>
        <v>✔ sesuai</v>
      </c>
      <c r="L270" s="102" t="s">
        <v>1443</v>
      </c>
    </row>
    <row r="271" customFormat="false" ht="15" hidden="false" customHeight="false" outlineLevel="0" collapsed="false">
      <c r="A271" s="13" t="n">
        <v>265</v>
      </c>
      <c r="B271" s="13" t="s">
        <v>1434</v>
      </c>
      <c r="C271" s="13" t="s">
        <v>1436</v>
      </c>
      <c r="D271" s="13" t="n">
        <v>2025</v>
      </c>
      <c r="E271" s="61" t="n">
        <v>-16.31</v>
      </c>
      <c r="F271" s="61" t="n">
        <v>-16.31</v>
      </c>
      <c r="G271" s="100" t="n">
        <f aca="false">IF(COUNT(E271:F271)=2,E271-F271,"")</f>
        <v>0</v>
      </c>
      <c r="H271" s="101" t="n">
        <v>1</v>
      </c>
      <c r="I271" s="4" t="str">
        <f aca="false">IF(COUNT(E271:F271)&lt;2,"N/A",IF(ABS(G271)&lt;=H271,"OK","❌"))</f>
        <v>OK</v>
      </c>
      <c r="J271" s="101" t="s">
        <v>1372</v>
      </c>
      <c r="K271" s="4" t="str">
        <f aca="false">IF(I271=J271,"✔ sesuai","✖ TIDAK sesuai")</f>
        <v>✔ sesuai</v>
      </c>
      <c r="L271" s="102" t="s">
        <v>1444</v>
      </c>
    </row>
    <row r="272" customFormat="false" ht="15" hidden="false" customHeight="false" outlineLevel="0" collapsed="false">
      <c r="A272" s="13" t="n">
        <v>266</v>
      </c>
      <c r="B272" s="13" t="s">
        <v>1434</v>
      </c>
      <c r="C272" s="13" t="s">
        <v>1445</v>
      </c>
      <c r="D272" s="13" t="n">
        <v>2021</v>
      </c>
      <c r="E272" s="61" t="n">
        <v>-435380567809</v>
      </c>
      <c r="F272" s="61" t="n">
        <v>-435380567809</v>
      </c>
      <c r="G272" s="100" t="n">
        <f aca="false">IF(COUNT(E272:F272)=2,E272-F272,"")</f>
        <v>0</v>
      </c>
      <c r="H272" s="101" t="n">
        <v>1</v>
      </c>
      <c r="I272" s="4" t="str">
        <f aca="false">IF(COUNT(E272:F272)&lt;2,"N/A",IF(ABS(G272)&lt;=H272,"OK","❌"))</f>
        <v>OK</v>
      </c>
      <c r="J272" s="101" t="s">
        <v>1372</v>
      </c>
      <c r="K272" s="4" t="str">
        <f aca="false">IF(I272=J272,"✔ sesuai","✖ TIDAK sesuai")</f>
        <v>✔ sesuai</v>
      </c>
      <c r="L272" s="102" t="s">
        <v>1446</v>
      </c>
    </row>
    <row r="273" customFormat="false" ht="15" hidden="false" customHeight="false" outlineLevel="0" collapsed="false">
      <c r="A273" s="13" t="n">
        <v>267</v>
      </c>
      <c r="B273" s="13" t="s">
        <v>1434</v>
      </c>
      <c r="C273" s="13" t="s">
        <v>1447</v>
      </c>
      <c r="D273" s="13" t="n">
        <v>2021</v>
      </c>
      <c r="E273" s="61" t="n">
        <v>165308238619</v>
      </c>
      <c r="F273" s="61" t="n">
        <v>165308238619</v>
      </c>
      <c r="G273" s="100" t="n">
        <f aca="false">IF(COUNT(E273:F273)=2,E273-F273,"")</f>
        <v>0</v>
      </c>
      <c r="H273" s="101" t="n">
        <v>1</v>
      </c>
      <c r="I273" s="4" t="str">
        <f aca="false">IF(COUNT(E273:F273)&lt;2,"N/A",IF(ABS(G273)&lt;=H273,"OK","❌"))</f>
        <v>OK</v>
      </c>
      <c r="J273" s="101" t="s">
        <v>1372</v>
      </c>
      <c r="K273" s="4" t="str">
        <f aca="false">IF(I273=J273,"✔ sesuai","✖ TIDAK sesuai")</f>
        <v>✔ sesuai</v>
      </c>
      <c r="L273" s="102"/>
    </row>
    <row r="274" customFormat="false" ht="15" hidden="false" customHeight="false" outlineLevel="0" collapsed="false">
      <c r="A274" s="13" t="n">
        <v>268</v>
      </c>
      <c r="B274" s="13" t="s">
        <v>1434</v>
      </c>
      <c r="C274" s="13" t="s">
        <v>1445</v>
      </c>
      <c r="D274" s="13" t="n">
        <v>2022</v>
      </c>
      <c r="E274" s="61" t="n">
        <v>-479695516834</v>
      </c>
      <c r="F274" s="61" t="n">
        <v>-479695516834</v>
      </c>
      <c r="G274" s="100" t="n">
        <f aca="false">IF(COUNT(E274:F274)=2,E274-F274,"")</f>
        <v>0</v>
      </c>
      <c r="H274" s="101" t="n">
        <v>1</v>
      </c>
      <c r="I274" s="4" t="str">
        <f aca="false">IF(COUNT(E274:F274)&lt;2,"N/A",IF(ABS(G274)&lt;=H274,"OK","❌"))</f>
        <v>OK</v>
      </c>
      <c r="J274" s="101" t="s">
        <v>1372</v>
      </c>
      <c r="K274" s="4" t="str">
        <f aca="false">IF(I274=J274,"✔ sesuai","✖ TIDAK sesuai")</f>
        <v>✔ sesuai</v>
      </c>
      <c r="L274" s="102" t="s">
        <v>1448</v>
      </c>
    </row>
    <row r="275" customFormat="false" ht="15" hidden="false" customHeight="false" outlineLevel="0" collapsed="false">
      <c r="A275" s="13" t="n">
        <v>269</v>
      </c>
      <c r="B275" s="13" t="s">
        <v>1434</v>
      </c>
      <c r="C275" s="13" t="s">
        <v>1447</v>
      </c>
      <c r="D275" s="13" t="n">
        <v>2022</v>
      </c>
      <c r="E275" s="61" t="n">
        <v>-44314949025</v>
      </c>
      <c r="F275" s="61" t="n">
        <v>-44314949025</v>
      </c>
      <c r="G275" s="100" t="n">
        <f aca="false">IF(COUNT(E275:F275)=2,E275-F275,"")</f>
        <v>0</v>
      </c>
      <c r="H275" s="101" t="n">
        <v>1</v>
      </c>
      <c r="I275" s="4" t="str">
        <f aca="false">IF(COUNT(E275:F275)&lt;2,"N/A",IF(ABS(G275)&lt;=H275,"OK","❌"))</f>
        <v>OK</v>
      </c>
      <c r="J275" s="101" t="s">
        <v>1372</v>
      </c>
      <c r="K275" s="4" t="str">
        <f aca="false">IF(I275=J275,"✔ sesuai","✖ TIDAK sesuai")</f>
        <v>✔ sesuai</v>
      </c>
      <c r="L275" s="102"/>
    </row>
    <row r="276" customFormat="false" ht="15" hidden="false" customHeight="false" outlineLevel="0" collapsed="false">
      <c r="A276" s="13" t="n">
        <v>270</v>
      </c>
      <c r="B276" s="13" t="s">
        <v>1434</v>
      </c>
      <c r="C276" s="13" t="s">
        <v>1445</v>
      </c>
      <c r="D276" s="13" t="n">
        <v>2023</v>
      </c>
      <c r="E276" s="61" t="n">
        <v>-518186000000</v>
      </c>
      <c r="F276" s="61" t="n">
        <v>-518186000000</v>
      </c>
      <c r="G276" s="100" t="n">
        <f aca="false">IF(COUNT(E276:F276)=2,E276-F276,"")</f>
        <v>0</v>
      </c>
      <c r="H276" s="101" t="n">
        <v>1</v>
      </c>
      <c r="I276" s="4" t="str">
        <f aca="false">IF(COUNT(E276:F276)&lt;2,"N/A",IF(ABS(G276)&lt;=H276,"OK","❌"))</f>
        <v>OK</v>
      </c>
      <c r="J276" s="101" t="s">
        <v>1372</v>
      </c>
      <c r="K276" s="4" t="str">
        <f aca="false">IF(I276=J276,"✔ sesuai","✖ TIDAK sesuai")</f>
        <v>✔ sesuai</v>
      </c>
      <c r="L276" s="102" t="s">
        <v>1449</v>
      </c>
    </row>
    <row r="277" customFormat="false" ht="15" hidden="false" customHeight="false" outlineLevel="0" collapsed="false">
      <c r="A277" s="13" t="n">
        <v>271</v>
      </c>
      <c r="B277" s="13" t="s">
        <v>1434</v>
      </c>
      <c r="C277" s="13" t="s">
        <v>1447</v>
      </c>
      <c r="D277" s="13" t="n">
        <v>2023</v>
      </c>
      <c r="E277" s="61" t="n">
        <v>-38490000000</v>
      </c>
      <c r="F277" s="61" t="n">
        <v>-38490000000</v>
      </c>
      <c r="G277" s="100" t="n">
        <f aca="false">IF(COUNT(E277:F277)=2,E277-F277,"")</f>
        <v>0</v>
      </c>
      <c r="H277" s="101" t="n">
        <v>1</v>
      </c>
      <c r="I277" s="4" t="str">
        <f aca="false">IF(COUNT(E277:F277)&lt;2,"N/A",IF(ABS(G277)&lt;=H277,"OK","❌"))</f>
        <v>OK</v>
      </c>
      <c r="J277" s="101" t="s">
        <v>1372</v>
      </c>
      <c r="K277" s="4" t="str">
        <f aca="false">IF(I277=J277,"✔ sesuai","✖ TIDAK sesuai")</f>
        <v>✔ sesuai</v>
      </c>
      <c r="L277" s="102"/>
    </row>
    <row r="278" customFormat="false" ht="15" hidden="false" customHeight="false" outlineLevel="0" collapsed="false">
      <c r="A278" s="13" t="n">
        <v>272</v>
      </c>
      <c r="B278" s="13" t="s">
        <v>1434</v>
      </c>
      <c r="C278" s="13" t="s">
        <v>1445</v>
      </c>
      <c r="D278" s="13" t="n">
        <v>2024</v>
      </c>
      <c r="E278" s="61" t="n">
        <v>-541699000000</v>
      </c>
      <c r="F278" s="61" t="n">
        <v>-541699000000</v>
      </c>
      <c r="G278" s="100" t="n">
        <f aca="false">IF(COUNT(E278:F278)=2,E278-F278,"")</f>
        <v>0</v>
      </c>
      <c r="H278" s="101" t="n">
        <v>1</v>
      </c>
      <c r="I278" s="4" t="str">
        <f aca="false">IF(COUNT(E278:F278)&lt;2,"N/A",IF(ABS(G278)&lt;=H278,"OK","❌"))</f>
        <v>OK</v>
      </c>
      <c r="J278" s="101" t="s">
        <v>1372</v>
      </c>
      <c r="K278" s="4" t="str">
        <f aca="false">IF(I278=J278,"✔ sesuai","✖ TIDAK sesuai")</f>
        <v>✔ sesuai</v>
      </c>
      <c r="L278" s="102" t="s">
        <v>1450</v>
      </c>
    </row>
    <row r="279" customFormat="false" ht="15" hidden="false" customHeight="false" outlineLevel="0" collapsed="false">
      <c r="A279" s="13" t="n">
        <v>273</v>
      </c>
      <c r="B279" s="13" t="s">
        <v>1434</v>
      </c>
      <c r="C279" s="13" t="s">
        <v>1447</v>
      </c>
      <c r="D279" s="13" t="n">
        <v>2024</v>
      </c>
      <c r="E279" s="61" t="n">
        <v>-23513000000</v>
      </c>
      <c r="F279" s="61" t="n">
        <v>-23513000000</v>
      </c>
      <c r="G279" s="100" t="n">
        <f aca="false">IF(COUNT(E279:F279)=2,E279-F279,"")</f>
        <v>0</v>
      </c>
      <c r="H279" s="101" t="n">
        <v>1</v>
      </c>
      <c r="I279" s="4" t="str">
        <f aca="false">IF(COUNT(E279:F279)&lt;2,"N/A",IF(ABS(G279)&lt;=H279,"OK","❌"))</f>
        <v>OK</v>
      </c>
      <c r="J279" s="101" t="s">
        <v>1372</v>
      </c>
      <c r="K279" s="4" t="str">
        <f aca="false">IF(I279=J279,"✔ sesuai","✖ TIDAK sesuai")</f>
        <v>✔ sesuai</v>
      </c>
      <c r="L279" s="102"/>
    </row>
    <row r="280" customFormat="false" ht="15" hidden="false" customHeight="false" outlineLevel="0" collapsed="false">
      <c r="A280" s="13" t="n">
        <v>274</v>
      </c>
      <c r="B280" s="13" t="s">
        <v>1434</v>
      </c>
      <c r="C280" s="13" t="s">
        <v>1445</v>
      </c>
      <c r="D280" s="13" t="n">
        <v>2025</v>
      </c>
      <c r="E280" s="61" t="n">
        <v>-740699000000</v>
      </c>
      <c r="F280" s="61" t="n">
        <v>-740699000000</v>
      </c>
      <c r="G280" s="100" t="n">
        <f aca="false">IF(COUNT(E280:F280)=2,E280-F280,"")</f>
        <v>0</v>
      </c>
      <c r="H280" s="101" t="n">
        <v>1</v>
      </c>
      <c r="I280" s="4" t="str">
        <f aca="false">IF(COUNT(E280:F280)&lt;2,"N/A",IF(ABS(G280)&lt;=H280,"OK","❌"))</f>
        <v>OK</v>
      </c>
      <c r="J280" s="101" t="s">
        <v>1372</v>
      </c>
      <c r="K280" s="4" t="str">
        <f aca="false">IF(I280=J280,"✔ sesuai","✖ TIDAK sesuai")</f>
        <v>✔ sesuai</v>
      </c>
      <c r="L280" s="102" t="s">
        <v>1451</v>
      </c>
    </row>
    <row r="281" customFormat="false" ht="15" hidden="false" customHeight="false" outlineLevel="0" collapsed="false">
      <c r="A281" s="13" t="n">
        <v>275</v>
      </c>
      <c r="B281" s="13" t="s">
        <v>1434</v>
      </c>
      <c r="C281" s="13" t="s">
        <v>1447</v>
      </c>
      <c r="D281" s="13" t="n">
        <v>2025</v>
      </c>
      <c r="E281" s="61" t="n">
        <v>-199000000000</v>
      </c>
      <c r="F281" s="61" t="n">
        <v>-199000000000</v>
      </c>
      <c r="G281" s="100" t="n">
        <f aca="false">IF(COUNT(E281:F281)=2,E281-F281,"")</f>
        <v>0</v>
      </c>
      <c r="H281" s="101" t="n">
        <v>1</v>
      </c>
      <c r="I281" s="4" t="str">
        <f aca="false">IF(COUNT(E281:F281)&lt;2,"N/A",IF(ABS(G281)&lt;=H281,"OK","❌"))</f>
        <v>OK</v>
      </c>
      <c r="J281" s="101" t="s">
        <v>1372</v>
      </c>
      <c r="K281" s="4" t="str">
        <f aca="false">IF(I281=J281,"✔ sesuai","✖ TIDAK sesuai")</f>
        <v>✔ sesuai</v>
      </c>
      <c r="L281" s="102"/>
    </row>
    <row r="282" customFormat="false" ht="15" hidden="false" customHeight="false" outlineLevel="0" collapsed="false">
      <c r="A282" s="13" t="n">
        <v>276</v>
      </c>
      <c r="B282" s="13" t="s">
        <v>1452</v>
      </c>
      <c r="C282" s="13" t="s">
        <v>1453</v>
      </c>
      <c r="D282" s="13" t="n">
        <v>2020</v>
      </c>
      <c r="E282" s="50" t="n">
        <f aca="false">IS_Proj!C19</f>
        <v>44282840013</v>
      </c>
      <c r="F282" s="50" t="n">
        <f aca="false">IS!C14</f>
        <v>44282840013</v>
      </c>
      <c r="G282" s="100" t="n">
        <f aca="false">IF(COUNT(E282:F282)=2,E282-F282,"")</f>
        <v>0</v>
      </c>
      <c r="H282" s="101" t="n">
        <v>1</v>
      </c>
      <c r="I282" s="4" t="str">
        <f aca="false">IF(COUNT(E282:F282)&lt;2,"N/A",IF(ABS(G282)&lt;=H282,"OK","❌"))</f>
        <v>OK</v>
      </c>
      <c r="J282" s="101" t="s">
        <v>1372</v>
      </c>
      <c r="K282" s="4" t="str">
        <f aca="false">IF(I282=J282,"✔ sesuai","✖ TIDAK sesuai")</f>
        <v>✔ sesuai</v>
      </c>
      <c r="L282" s="102"/>
    </row>
    <row r="283" customFormat="false" ht="15" hidden="false" customHeight="false" outlineLevel="0" collapsed="false">
      <c r="A283" s="13" t="n">
        <v>277</v>
      </c>
      <c r="B283" s="13" t="s">
        <v>1452</v>
      </c>
      <c r="C283" s="13" t="s">
        <v>1454</v>
      </c>
      <c r="D283" s="13" t="n">
        <v>2020</v>
      </c>
      <c r="E283" s="50" t="n">
        <f aca="false">IS_Proj!C22</f>
        <v>191390366</v>
      </c>
      <c r="F283" s="50" t="n">
        <f aca="false">IS!C17</f>
        <v>191390366</v>
      </c>
      <c r="G283" s="100" t="n">
        <f aca="false">IF(COUNT(E283:F283)=2,E283-F283,"")</f>
        <v>0</v>
      </c>
      <c r="H283" s="101" t="n">
        <v>1</v>
      </c>
      <c r="I283" s="4" t="str">
        <f aca="false">IF(COUNT(E283:F283)&lt;2,"N/A",IF(ABS(G283)&lt;=H283,"OK","❌"))</f>
        <v>OK</v>
      </c>
      <c r="J283" s="101" t="s">
        <v>1372</v>
      </c>
      <c r="K283" s="4" t="str">
        <f aca="false">IF(I283=J283,"✔ sesuai","✖ TIDAK sesuai")</f>
        <v>✔ sesuai</v>
      </c>
      <c r="L283" s="102"/>
    </row>
    <row r="284" customFormat="false" ht="15" hidden="false" customHeight="false" outlineLevel="0" collapsed="false">
      <c r="A284" s="13" t="n">
        <v>278</v>
      </c>
      <c r="B284" s="13" t="s">
        <v>1452</v>
      </c>
      <c r="C284" s="13" t="s">
        <v>1455</v>
      </c>
      <c r="D284" s="13" t="n">
        <v>2020</v>
      </c>
      <c r="E284" s="50" t="n">
        <f aca="false">IS_Proj!C10</f>
        <v>1283798609174</v>
      </c>
      <c r="F284" s="50" t="n">
        <f aca="false">IS_Proj!C6+IS_Proj!C7+IS_Proj!C8+IS_Proj!C9</f>
        <v>1283798609174</v>
      </c>
      <c r="G284" s="100" t="n">
        <f aca="false">IF(COUNT(E284:F284)=2,E284-F284,"")</f>
        <v>0</v>
      </c>
      <c r="H284" s="101" t="n">
        <v>1</v>
      </c>
      <c r="I284" s="4" t="str">
        <f aca="false">IF(COUNT(E284:F284)&lt;2,"N/A",IF(ABS(G284)&lt;=H284,"OK","❌"))</f>
        <v>OK</v>
      </c>
      <c r="J284" s="101" t="s">
        <v>1372</v>
      </c>
      <c r="K284" s="4" t="str">
        <f aca="false">IF(I284=J284,"✔ sesuai","✖ TIDAK sesuai")</f>
        <v>✔ sesuai</v>
      </c>
      <c r="L284" s="102"/>
    </row>
    <row r="285" customFormat="false" ht="15" hidden="false" customHeight="false" outlineLevel="0" collapsed="false">
      <c r="A285" s="13" t="n">
        <v>279</v>
      </c>
      <c r="B285" s="13" t="s">
        <v>1452</v>
      </c>
      <c r="C285" s="13" t="s">
        <v>1456</v>
      </c>
      <c r="D285" s="13" t="n">
        <v>2020</v>
      </c>
      <c r="E285" s="50" t="n">
        <f aca="false">BS_Proj!C15</f>
        <v>4346329088006</v>
      </c>
      <c r="F285" s="50" t="n">
        <f aca="false">BS_Proj!C28</f>
        <v>4346329088006</v>
      </c>
      <c r="G285" s="100" t="n">
        <f aca="false">IF(COUNT(E285:F285)=2,E285-F285,"")</f>
        <v>0</v>
      </c>
      <c r="H285" s="101" t="n">
        <v>1</v>
      </c>
      <c r="I285" s="4" t="str">
        <f aca="false">IF(COUNT(E285:F285)&lt;2,"N/A",IF(ABS(G285)&lt;=H285,"OK","❌"))</f>
        <v>OK</v>
      </c>
      <c r="J285" s="101" t="s">
        <v>1372</v>
      </c>
      <c r="K285" s="4" t="str">
        <f aca="false">IF(I285=J285,"✔ sesuai","✖ TIDAK sesuai")</f>
        <v>✔ sesuai</v>
      </c>
      <c r="L285" s="102"/>
    </row>
    <row r="286" customFormat="false" ht="15" hidden="false" customHeight="false" outlineLevel="0" collapsed="false">
      <c r="A286" s="13" t="n">
        <v>280</v>
      </c>
      <c r="B286" s="13" t="s">
        <v>1452</v>
      </c>
      <c r="C286" s="13" t="s">
        <v>1457</v>
      </c>
      <c r="D286" s="13" t="n">
        <v>2020</v>
      </c>
      <c r="E286" s="50" t="n">
        <f aca="false">BS_Proj!C15</f>
        <v>4346329088006</v>
      </c>
      <c r="F286" s="50" t="n">
        <f aca="false">BS!C27</f>
        <v>4346329088006</v>
      </c>
      <c r="G286" s="100" t="n">
        <f aca="false">IF(COUNT(E286:F286)=2,E286-F286,"")</f>
        <v>0</v>
      </c>
      <c r="H286" s="101" t="n">
        <v>1</v>
      </c>
      <c r="I286" s="4" t="str">
        <f aca="false">IF(COUNT(E286:F286)&lt;2,"N/A",IF(ABS(G286)&lt;=H286,"OK","❌"))</f>
        <v>OK</v>
      </c>
      <c r="J286" s="101" t="s">
        <v>1372</v>
      </c>
      <c r="K286" s="4" t="str">
        <f aca="false">IF(I286=J286,"✔ sesuai","✖ TIDAK sesuai")</f>
        <v>✔ sesuai</v>
      </c>
      <c r="L286" s="102"/>
    </row>
    <row r="287" customFormat="false" ht="15" hidden="false" customHeight="false" outlineLevel="0" collapsed="false">
      <c r="A287" s="13" t="n">
        <v>281</v>
      </c>
      <c r="B287" s="13" t="s">
        <v>1452</v>
      </c>
      <c r="C287" s="13" t="s">
        <v>1453</v>
      </c>
      <c r="D287" s="13" t="n">
        <v>2021</v>
      </c>
      <c r="E287" s="50" t="n">
        <f aca="false">IS_Proj!D19</f>
        <v>250512624547</v>
      </c>
      <c r="F287" s="50" t="n">
        <f aca="false">IS!D14</f>
        <v>250512624547</v>
      </c>
      <c r="G287" s="100" t="n">
        <f aca="false">IF(COUNT(E287:F287)=2,E287-F287,"")</f>
        <v>0</v>
      </c>
      <c r="H287" s="101" t="n">
        <v>1</v>
      </c>
      <c r="I287" s="4" t="str">
        <f aca="false">IF(COUNT(E287:F287)&lt;2,"N/A",IF(ABS(G287)&lt;=H287,"OK","❌"))</f>
        <v>OK</v>
      </c>
      <c r="J287" s="101" t="s">
        <v>1372</v>
      </c>
      <c r="K287" s="4" t="str">
        <f aca="false">IF(I287=J287,"✔ sesuai","✖ TIDAK sesuai")</f>
        <v>✔ sesuai</v>
      </c>
      <c r="L287" s="102"/>
    </row>
    <row r="288" customFormat="false" ht="15" hidden="false" customHeight="false" outlineLevel="0" collapsed="false">
      <c r="A288" s="13" t="n">
        <v>282</v>
      </c>
      <c r="B288" s="13" t="s">
        <v>1452</v>
      </c>
      <c r="C288" s="13" t="s">
        <v>1454</v>
      </c>
      <c r="D288" s="13" t="n">
        <v>2021</v>
      </c>
      <c r="E288" s="50" t="n">
        <f aca="false">IS_Proj!D22</f>
        <v>156419509835</v>
      </c>
      <c r="F288" s="50" t="n">
        <f aca="false">IS!D17</f>
        <v>156419509835</v>
      </c>
      <c r="G288" s="100" t="n">
        <f aca="false">IF(COUNT(E288:F288)=2,E288-F288,"")</f>
        <v>0</v>
      </c>
      <c r="H288" s="101" t="n">
        <v>1</v>
      </c>
      <c r="I288" s="4" t="str">
        <f aca="false">IF(COUNT(E288:F288)&lt;2,"N/A",IF(ABS(G288)&lt;=H288,"OK","❌"))</f>
        <v>OK</v>
      </c>
      <c r="J288" s="101" t="s">
        <v>1372</v>
      </c>
      <c r="K288" s="4" t="str">
        <f aca="false">IF(I288=J288,"✔ sesuai","✖ TIDAK sesuai")</f>
        <v>✔ sesuai</v>
      </c>
      <c r="L288" s="102"/>
    </row>
    <row r="289" customFormat="false" ht="15" hidden="false" customHeight="false" outlineLevel="0" collapsed="false">
      <c r="A289" s="13" t="n">
        <v>283</v>
      </c>
      <c r="B289" s="13" t="s">
        <v>1452</v>
      </c>
      <c r="C289" s="13" t="s">
        <v>1455</v>
      </c>
      <c r="D289" s="13" t="n">
        <v>2021</v>
      </c>
      <c r="E289" s="50" t="n">
        <f aca="false">IS_Proj!D10</f>
        <v>1924453140978</v>
      </c>
      <c r="F289" s="50" t="n">
        <f aca="false">IS_Proj!D6+IS_Proj!D7+IS_Proj!D8+IS_Proj!D9</f>
        <v>1924453140978</v>
      </c>
      <c r="G289" s="100" t="n">
        <f aca="false">IF(COUNT(E289:F289)=2,E289-F289,"")</f>
        <v>0</v>
      </c>
      <c r="H289" s="101" t="n">
        <v>1</v>
      </c>
      <c r="I289" s="4" t="str">
        <f aca="false">IF(COUNT(E289:F289)&lt;2,"N/A",IF(ABS(G289)&lt;=H289,"OK","❌"))</f>
        <v>OK</v>
      </c>
      <c r="J289" s="101" t="s">
        <v>1372</v>
      </c>
      <c r="K289" s="4" t="str">
        <f aca="false">IF(I289=J289,"✔ sesuai","✖ TIDAK sesuai")</f>
        <v>✔ sesuai</v>
      </c>
      <c r="L289" s="102"/>
    </row>
    <row r="290" customFormat="false" ht="15" hidden="false" customHeight="false" outlineLevel="0" collapsed="false">
      <c r="A290" s="13" t="n">
        <v>284</v>
      </c>
      <c r="B290" s="13" t="s">
        <v>1452</v>
      </c>
      <c r="C290" s="13" t="s">
        <v>1456</v>
      </c>
      <c r="D290" s="13" t="n">
        <v>2021</v>
      </c>
      <c r="E290" s="50" t="n">
        <f aca="false">BS_Proj!D15</f>
        <v>4871806608361</v>
      </c>
      <c r="F290" s="50" t="n">
        <f aca="false">BS_Proj!D28</f>
        <v>4871806608361</v>
      </c>
      <c r="G290" s="100" t="n">
        <f aca="false">IF(COUNT(E290:F290)=2,E290-F290,"")</f>
        <v>0</v>
      </c>
      <c r="H290" s="101" t="n">
        <v>1</v>
      </c>
      <c r="I290" s="4" t="str">
        <f aca="false">IF(COUNT(E290:F290)&lt;2,"N/A",IF(ABS(G290)&lt;=H290,"OK","❌"))</f>
        <v>OK</v>
      </c>
      <c r="J290" s="101" t="s">
        <v>1372</v>
      </c>
      <c r="K290" s="4" t="str">
        <f aca="false">IF(I290=J290,"✔ sesuai","✖ TIDAK sesuai")</f>
        <v>✔ sesuai</v>
      </c>
      <c r="L290" s="102"/>
    </row>
    <row r="291" customFormat="false" ht="15" hidden="false" customHeight="false" outlineLevel="0" collapsed="false">
      <c r="A291" s="13" t="n">
        <v>285</v>
      </c>
      <c r="B291" s="13" t="s">
        <v>1452</v>
      </c>
      <c r="C291" s="13" t="s">
        <v>1457</v>
      </c>
      <c r="D291" s="13" t="n">
        <v>2021</v>
      </c>
      <c r="E291" s="50" t="n">
        <f aca="false">BS_Proj!D15</f>
        <v>4871806608361</v>
      </c>
      <c r="F291" s="50" t="n">
        <f aca="false">BS!D27</f>
        <v>4871806608361</v>
      </c>
      <c r="G291" s="100" t="n">
        <f aca="false">IF(COUNT(E291:F291)=2,E291-F291,"")</f>
        <v>0</v>
      </c>
      <c r="H291" s="101" t="n">
        <v>1</v>
      </c>
      <c r="I291" s="4" t="str">
        <f aca="false">IF(COUNT(E291:F291)&lt;2,"N/A",IF(ABS(G291)&lt;=H291,"OK","❌"))</f>
        <v>OK</v>
      </c>
      <c r="J291" s="101" t="s">
        <v>1372</v>
      </c>
      <c r="K291" s="4" t="str">
        <f aca="false">IF(I291=J291,"✔ sesuai","✖ TIDAK sesuai")</f>
        <v>✔ sesuai</v>
      </c>
      <c r="L291" s="102"/>
    </row>
    <row r="292" customFormat="false" ht="15" hidden="false" customHeight="false" outlineLevel="0" collapsed="false">
      <c r="A292" s="13" t="n">
        <v>286</v>
      </c>
      <c r="B292" s="13" t="s">
        <v>1452</v>
      </c>
      <c r="C292" s="13" t="s">
        <v>1453</v>
      </c>
      <c r="D292" s="13" t="n">
        <v>2022</v>
      </c>
      <c r="E292" s="50" t="n">
        <f aca="false">IS_Proj!E19</f>
        <v>35173651170</v>
      </c>
      <c r="F292" s="50" t="n">
        <f aca="false">IS!E14</f>
        <v>35173651170</v>
      </c>
      <c r="G292" s="100" t="n">
        <f aca="false">IF(COUNT(E292:F292)=2,E292-F292,"")</f>
        <v>0</v>
      </c>
      <c r="H292" s="101" t="n">
        <v>1</v>
      </c>
      <c r="I292" s="4" t="str">
        <f aca="false">IF(COUNT(E292:F292)&lt;2,"N/A",IF(ABS(G292)&lt;=H292,"OK","❌"))</f>
        <v>OK</v>
      </c>
      <c r="J292" s="101" t="s">
        <v>1372</v>
      </c>
      <c r="K292" s="4" t="str">
        <f aca="false">IF(I292=J292,"✔ sesuai","✖ TIDAK sesuai")</f>
        <v>✔ sesuai</v>
      </c>
      <c r="L292" s="102"/>
    </row>
    <row r="293" customFormat="false" ht="15" hidden="false" customHeight="false" outlineLevel="0" collapsed="false">
      <c r="A293" s="13" t="n">
        <v>287</v>
      </c>
      <c r="B293" s="13" t="s">
        <v>1452</v>
      </c>
      <c r="C293" s="13" t="s">
        <v>1454</v>
      </c>
      <c r="D293" s="13" t="n">
        <v>2022</v>
      </c>
      <c r="E293" s="50" t="n">
        <f aca="false">IS_Proj!E22</f>
        <v>-42086886236</v>
      </c>
      <c r="F293" s="50" t="n">
        <f aca="false">IS!E17</f>
        <v>-42086886236</v>
      </c>
      <c r="G293" s="100" t="n">
        <f aca="false">IF(COUNT(E293:F293)=2,E293-F293,"")</f>
        <v>0</v>
      </c>
      <c r="H293" s="101" t="n">
        <v>1</v>
      </c>
      <c r="I293" s="4" t="str">
        <f aca="false">IF(COUNT(E293:F293)&lt;2,"N/A",IF(ABS(G293)&lt;=H293,"OK","❌"))</f>
        <v>OK</v>
      </c>
      <c r="J293" s="101" t="s">
        <v>1372</v>
      </c>
      <c r="K293" s="4" t="str">
        <f aca="false">IF(I293=J293,"✔ sesuai","✖ TIDAK sesuai")</f>
        <v>✔ sesuai</v>
      </c>
      <c r="L293" s="102"/>
    </row>
    <row r="294" customFormat="false" ht="15" hidden="false" customHeight="false" outlineLevel="0" collapsed="false">
      <c r="A294" s="13" t="n">
        <v>288</v>
      </c>
      <c r="B294" s="13" t="s">
        <v>1452</v>
      </c>
      <c r="C294" s="13" t="s">
        <v>1455</v>
      </c>
      <c r="D294" s="13" t="n">
        <v>2022</v>
      </c>
      <c r="E294" s="50" t="n">
        <f aca="false">IS_Proj!E10</f>
        <v>1934163680964</v>
      </c>
      <c r="F294" s="50" t="n">
        <f aca="false">IS_Proj!E6+IS_Proj!E7+IS_Proj!E8+IS_Proj!E9</f>
        <v>1934163680964</v>
      </c>
      <c r="G294" s="100" t="n">
        <f aca="false">IF(COUNT(E294:F294)=2,E294-F294,"")</f>
        <v>0</v>
      </c>
      <c r="H294" s="101" t="n">
        <v>1</v>
      </c>
      <c r="I294" s="4" t="str">
        <f aca="false">IF(COUNT(E294:F294)&lt;2,"N/A",IF(ABS(G294)&lt;=H294,"OK","❌"))</f>
        <v>OK</v>
      </c>
      <c r="J294" s="101" t="s">
        <v>1372</v>
      </c>
      <c r="K294" s="4" t="str">
        <f aca="false">IF(I294=J294,"✔ sesuai","✖ TIDAK sesuai")</f>
        <v>✔ sesuai</v>
      </c>
      <c r="L294" s="102"/>
    </row>
    <row r="295" customFormat="false" ht="15" hidden="false" customHeight="false" outlineLevel="0" collapsed="false">
      <c r="A295" s="13" t="n">
        <v>289</v>
      </c>
      <c r="B295" s="13" t="s">
        <v>1452</v>
      </c>
      <c r="C295" s="13" t="s">
        <v>1456</v>
      </c>
      <c r="D295" s="13" t="n">
        <v>2022</v>
      </c>
      <c r="E295" s="50" t="n">
        <f aca="false">BS_Proj!E15</f>
        <v>5749599247752</v>
      </c>
      <c r="F295" s="50" t="n">
        <f aca="false">BS_Proj!E28</f>
        <v>5749599247752</v>
      </c>
      <c r="G295" s="100" t="n">
        <f aca="false">IF(COUNT(E295:F295)=2,E295-F295,"")</f>
        <v>0</v>
      </c>
      <c r="H295" s="101" t="n">
        <v>1</v>
      </c>
      <c r="I295" s="4" t="str">
        <f aca="false">IF(COUNT(E295:F295)&lt;2,"N/A",IF(ABS(G295)&lt;=H295,"OK","❌"))</f>
        <v>OK</v>
      </c>
      <c r="J295" s="101" t="s">
        <v>1372</v>
      </c>
      <c r="K295" s="4" t="str">
        <f aca="false">IF(I295=J295,"✔ sesuai","✖ TIDAK sesuai")</f>
        <v>✔ sesuai</v>
      </c>
      <c r="L295" s="102"/>
    </row>
    <row r="296" customFormat="false" ht="15" hidden="false" customHeight="false" outlineLevel="0" collapsed="false">
      <c r="A296" s="13" t="n">
        <v>290</v>
      </c>
      <c r="B296" s="13" t="s">
        <v>1452</v>
      </c>
      <c r="C296" s="13" t="s">
        <v>1457</v>
      </c>
      <c r="D296" s="13" t="n">
        <v>2022</v>
      </c>
      <c r="E296" s="50" t="n">
        <f aca="false">BS_Proj!E15</f>
        <v>5749599247752</v>
      </c>
      <c r="F296" s="50" t="n">
        <f aca="false">BS!E27</f>
        <v>5749599247752</v>
      </c>
      <c r="G296" s="100" t="n">
        <f aca="false">IF(COUNT(E296:F296)=2,E296-F296,"")</f>
        <v>0</v>
      </c>
      <c r="H296" s="101" t="n">
        <v>1</v>
      </c>
      <c r="I296" s="4" t="str">
        <f aca="false">IF(COUNT(E296:F296)&lt;2,"N/A",IF(ABS(G296)&lt;=H296,"OK","❌"))</f>
        <v>OK</v>
      </c>
      <c r="J296" s="101" t="s">
        <v>1372</v>
      </c>
      <c r="K296" s="4" t="str">
        <f aca="false">IF(I296=J296,"✔ sesuai","✖ TIDAK sesuai")</f>
        <v>✔ sesuai</v>
      </c>
      <c r="L296" s="102"/>
    </row>
    <row r="297" customFormat="false" ht="15" hidden="false" customHeight="false" outlineLevel="0" collapsed="false">
      <c r="A297" s="13" t="n">
        <v>291</v>
      </c>
      <c r="B297" s="13" t="s">
        <v>1452</v>
      </c>
      <c r="C297" s="13" t="s">
        <v>1453</v>
      </c>
      <c r="D297" s="13" t="n">
        <v>2023</v>
      </c>
      <c r="E297" s="50" t="n">
        <f aca="false">IS_Proj!F19</f>
        <v>113275000000</v>
      </c>
      <c r="F297" s="50" t="n">
        <f aca="false">IS!F14</f>
        <v>113275000000</v>
      </c>
      <c r="G297" s="100" t="n">
        <f aca="false">IF(COUNT(E297:F297)=2,E297-F297,"")</f>
        <v>0</v>
      </c>
      <c r="H297" s="101" t="n">
        <v>1</v>
      </c>
      <c r="I297" s="4" t="str">
        <f aca="false">IF(COUNT(E297:F297)&lt;2,"N/A",IF(ABS(G297)&lt;=H297,"OK","❌"))</f>
        <v>OK</v>
      </c>
      <c r="J297" s="101" t="s">
        <v>1372</v>
      </c>
      <c r="K297" s="4" t="str">
        <f aca="false">IF(I297=J297,"✔ sesuai","✖ TIDAK sesuai")</f>
        <v>✔ sesuai</v>
      </c>
      <c r="L297" s="102"/>
    </row>
    <row r="298" customFormat="false" ht="15" hidden="false" customHeight="false" outlineLevel="0" collapsed="false">
      <c r="A298" s="13" t="n">
        <v>292</v>
      </c>
      <c r="B298" s="13" t="s">
        <v>1452</v>
      </c>
      <c r="C298" s="13" t="s">
        <v>1454</v>
      </c>
      <c r="D298" s="13" t="n">
        <v>2023</v>
      </c>
      <c r="E298" s="50" t="n">
        <f aca="false">IS_Proj!F22</f>
        <v>-31291000000</v>
      </c>
      <c r="F298" s="50" t="n">
        <f aca="false">IS!F17</f>
        <v>-31291000000</v>
      </c>
      <c r="G298" s="100" t="n">
        <f aca="false">IF(COUNT(E298:F298)=2,E298-F298,"")</f>
        <v>0</v>
      </c>
      <c r="H298" s="101" t="n">
        <v>1</v>
      </c>
      <c r="I298" s="4" t="str">
        <f aca="false">IF(COUNT(E298:F298)&lt;2,"N/A",IF(ABS(G298)&lt;=H298,"OK","❌"))</f>
        <v>OK</v>
      </c>
      <c r="J298" s="101" t="s">
        <v>1372</v>
      </c>
      <c r="K298" s="4" t="str">
        <f aca="false">IF(I298=J298,"✔ sesuai","✖ TIDAK sesuai")</f>
        <v>✔ sesuai</v>
      </c>
      <c r="L298" s="102"/>
    </row>
    <row r="299" customFormat="false" ht="15" hidden="false" customHeight="false" outlineLevel="0" collapsed="false">
      <c r="A299" s="13" t="n">
        <v>293</v>
      </c>
      <c r="B299" s="13" t="s">
        <v>1452</v>
      </c>
      <c r="C299" s="13" t="s">
        <v>1455</v>
      </c>
      <c r="D299" s="13" t="n">
        <v>2023</v>
      </c>
      <c r="E299" s="50" t="n">
        <f aca="false">IS_Proj!F10</f>
        <v>2503174000000</v>
      </c>
      <c r="F299" s="50" t="n">
        <f aca="false">IS_Proj!F6+IS_Proj!F7+IS_Proj!F8+IS_Proj!F9</f>
        <v>2503174000000</v>
      </c>
      <c r="G299" s="100" t="n">
        <f aca="false">IF(COUNT(E299:F299)=2,E299-F299,"")</f>
        <v>0</v>
      </c>
      <c r="H299" s="101" t="n">
        <v>1</v>
      </c>
      <c r="I299" s="4" t="str">
        <f aca="false">IF(COUNT(E299:F299)&lt;2,"N/A",IF(ABS(G299)&lt;=H299,"OK","❌"))</f>
        <v>OK</v>
      </c>
      <c r="J299" s="101" t="s">
        <v>1372</v>
      </c>
      <c r="K299" s="4" t="str">
        <f aca="false">IF(I299=J299,"✔ sesuai","✖ TIDAK sesuai")</f>
        <v>✔ sesuai</v>
      </c>
      <c r="L299" s="102"/>
    </row>
    <row r="300" customFormat="false" ht="15" hidden="false" customHeight="false" outlineLevel="0" collapsed="false">
      <c r="A300" s="13" t="n">
        <v>294</v>
      </c>
      <c r="B300" s="13" t="s">
        <v>1452</v>
      </c>
      <c r="C300" s="13" t="s">
        <v>1456</v>
      </c>
      <c r="D300" s="13" t="n">
        <v>2023</v>
      </c>
      <c r="E300" s="50" t="n">
        <f aca="false">BS_Proj!F15</f>
        <v>5606291000000</v>
      </c>
      <c r="F300" s="50" t="n">
        <f aca="false">BS_Proj!F28</f>
        <v>5606291000000</v>
      </c>
      <c r="G300" s="100" t="n">
        <f aca="false">IF(COUNT(E300:F300)=2,E300-F300,"")</f>
        <v>0</v>
      </c>
      <c r="H300" s="101" t="n">
        <v>1</v>
      </c>
      <c r="I300" s="4" t="str">
        <f aca="false">IF(COUNT(E300:F300)&lt;2,"N/A",IF(ABS(G300)&lt;=H300,"OK","❌"))</f>
        <v>OK</v>
      </c>
      <c r="J300" s="101" t="s">
        <v>1372</v>
      </c>
      <c r="K300" s="4" t="str">
        <f aca="false">IF(I300=J300,"✔ sesuai","✖ TIDAK sesuai")</f>
        <v>✔ sesuai</v>
      </c>
      <c r="L300" s="102"/>
    </row>
    <row r="301" customFormat="false" ht="15" hidden="false" customHeight="false" outlineLevel="0" collapsed="false">
      <c r="A301" s="13" t="n">
        <v>295</v>
      </c>
      <c r="B301" s="13" t="s">
        <v>1452</v>
      </c>
      <c r="C301" s="13" t="s">
        <v>1457</v>
      </c>
      <c r="D301" s="13" t="n">
        <v>2023</v>
      </c>
      <c r="E301" s="50" t="n">
        <f aca="false">BS_Proj!F15</f>
        <v>5606291000000</v>
      </c>
      <c r="F301" s="50" t="n">
        <f aca="false">BS!F27</f>
        <v>5606291000000</v>
      </c>
      <c r="G301" s="100" t="n">
        <f aca="false">IF(COUNT(E301:F301)=2,E301-F301,"")</f>
        <v>0</v>
      </c>
      <c r="H301" s="101" t="n">
        <v>1</v>
      </c>
      <c r="I301" s="4" t="str">
        <f aca="false">IF(COUNT(E301:F301)&lt;2,"N/A",IF(ABS(G301)&lt;=H301,"OK","❌"))</f>
        <v>OK</v>
      </c>
      <c r="J301" s="101" t="s">
        <v>1372</v>
      </c>
      <c r="K301" s="4" t="str">
        <f aca="false">IF(I301=J301,"✔ sesuai","✖ TIDAK sesuai")</f>
        <v>✔ sesuai</v>
      </c>
      <c r="L301" s="102"/>
    </row>
    <row r="302" customFormat="false" ht="15" hidden="false" customHeight="false" outlineLevel="0" collapsed="false">
      <c r="A302" s="13" t="n">
        <v>296</v>
      </c>
      <c r="B302" s="13" t="s">
        <v>1452</v>
      </c>
      <c r="C302" s="13" t="s">
        <v>1453</v>
      </c>
      <c r="D302" s="13" t="n">
        <v>2024</v>
      </c>
      <c r="E302" s="50" t="n">
        <f aca="false">IS_Proj!G19</f>
        <v>157740000000</v>
      </c>
      <c r="F302" s="50" t="n">
        <f aca="false">IS!G14</f>
        <v>157740000000</v>
      </c>
      <c r="G302" s="100" t="n">
        <f aca="false">IF(COUNT(E302:F302)=2,E302-F302,"")</f>
        <v>0</v>
      </c>
      <c r="H302" s="101" t="n">
        <v>1</v>
      </c>
      <c r="I302" s="4" t="str">
        <f aca="false">IF(COUNT(E302:F302)&lt;2,"N/A",IF(ABS(G302)&lt;=H302,"OK","❌"))</f>
        <v>OK</v>
      </c>
      <c r="J302" s="101" t="s">
        <v>1372</v>
      </c>
      <c r="K302" s="4" t="str">
        <f aca="false">IF(I302=J302,"✔ sesuai","✖ TIDAK sesuai")</f>
        <v>✔ sesuai</v>
      </c>
      <c r="L302" s="102"/>
    </row>
    <row r="303" customFormat="false" ht="15" hidden="false" customHeight="false" outlineLevel="0" collapsed="false">
      <c r="A303" s="13" t="n">
        <v>297</v>
      </c>
      <c r="B303" s="13" t="s">
        <v>1452</v>
      </c>
      <c r="C303" s="13" t="s">
        <v>1454</v>
      </c>
      <c r="D303" s="13" t="n">
        <v>2024</v>
      </c>
      <c r="E303" s="50" t="n">
        <f aca="false">IS_Proj!G22</f>
        <v>-2640000000</v>
      </c>
      <c r="F303" s="50" t="n">
        <f aca="false">IS!G17</f>
        <v>-2640000000</v>
      </c>
      <c r="G303" s="100" t="n">
        <f aca="false">IF(COUNT(E303:F303)=2,E303-F303,"")</f>
        <v>0</v>
      </c>
      <c r="H303" s="101" t="n">
        <v>1</v>
      </c>
      <c r="I303" s="4" t="str">
        <f aca="false">IF(COUNT(E303:F303)&lt;2,"N/A",IF(ABS(G303)&lt;=H303,"OK","❌"))</f>
        <v>OK</v>
      </c>
      <c r="J303" s="101" t="s">
        <v>1372</v>
      </c>
      <c r="K303" s="4" t="str">
        <f aca="false">IF(I303=J303,"✔ sesuai","✖ TIDAK sesuai")</f>
        <v>✔ sesuai</v>
      </c>
      <c r="L303" s="102"/>
    </row>
    <row r="304" customFormat="false" ht="15" hidden="false" customHeight="false" outlineLevel="0" collapsed="false">
      <c r="A304" s="13" t="n">
        <v>298</v>
      </c>
      <c r="B304" s="13" t="s">
        <v>1452</v>
      </c>
      <c r="C304" s="13" t="s">
        <v>1455</v>
      </c>
      <c r="D304" s="13" t="n">
        <v>2024</v>
      </c>
      <c r="E304" s="50" t="n">
        <f aca="false">IS_Proj!G10</f>
        <v>2340431000000</v>
      </c>
      <c r="F304" s="50" t="n">
        <f aca="false">IS_Proj!G6+IS_Proj!G7+IS_Proj!G8+IS_Proj!G9</f>
        <v>2340431000000</v>
      </c>
      <c r="G304" s="100" t="n">
        <f aca="false">IF(COUNT(E304:F304)=2,E304-F304,"")</f>
        <v>0</v>
      </c>
      <c r="H304" s="101" t="n">
        <v>1</v>
      </c>
      <c r="I304" s="4" t="str">
        <f aca="false">IF(COUNT(E304:F304)&lt;2,"N/A",IF(ABS(G304)&lt;=H304,"OK","❌"))</f>
        <v>OK</v>
      </c>
      <c r="J304" s="101" t="s">
        <v>1372</v>
      </c>
      <c r="K304" s="4" t="str">
        <f aca="false">IF(I304=J304,"✔ sesuai","✖ TIDAK sesuai")</f>
        <v>✔ sesuai</v>
      </c>
      <c r="L304" s="102"/>
    </row>
    <row r="305" customFormat="false" ht="15" hidden="false" customHeight="false" outlineLevel="0" collapsed="false">
      <c r="A305" s="13" t="n">
        <v>299</v>
      </c>
      <c r="B305" s="13" t="s">
        <v>1452</v>
      </c>
      <c r="C305" s="13" t="s">
        <v>1456</v>
      </c>
      <c r="D305" s="13" t="n">
        <v>2024</v>
      </c>
      <c r="E305" s="50" t="n">
        <f aca="false">BS_Proj!G15</f>
        <v>5683022000000</v>
      </c>
      <c r="F305" s="50" t="n">
        <f aca="false">BS_Proj!G28</f>
        <v>5683022000000</v>
      </c>
      <c r="G305" s="100" t="n">
        <f aca="false">IF(COUNT(E305:F305)=2,E305-F305,"")</f>
        <v>0</v>
      </c>
      <c r="H305" s="101" t="n">
        <v>1</v>
      </c>
      <c r="I305" s="4" t="str">
        <f aca="false">IF(COUNT(E305:F305)&lt;2,"N/A",IF(ABS(G305)&lt;=H305,"OK","❌"))</f>
        <v>OK</v>
      </c>
      <c r="J305" s="101" t="s">
        <v>1372</v>
      </c>
      <c r="K305" s="4" t="str">
        <f aca="false">IF(I305=J305,"✔ sesuai","✖ TIDAK sesuai")</f>
        <v>✔ sesuai</v>
      </c>
      <c r="L305" s="102"/>
    </row>
    <row r="306" customFormat="false" ht="15" hidden="false" customHeight="false" outlineLevel="0" collapsed="false">
      <c r="A306" s="13" t="n">
        <v>300</v>
      </c>
      <c r="B306" s="13" t="s">
        <v>1452</v>
      </c>
      <c r="C306" s="13" t="s">
        <v>1457</v>
      </c>
      <c r="D306" s="13" t="n">
        <v>2024</v>
      </c>
      <c r="E306" s="50" t="n">
        <f aca="false">BS_Proj!G15</f>
        <v>5683022000000</v>
      </c>
      <c r="F306" s="50" t="n">
        <f aca="false">BS!G27</f>
        <v>5683022000000</v>
      </c>
      <c r="G306" s="100" t="n">
        <f aca="false">IF(COUNT(E306:F306)=2,E306-F306,"")</f>
        <v>0</v>
      </c>
      <c r="H306" s="101" t="n">
        <v>1</v>
      </c>
      <c r="I306" s="4" t="str">
        <f aca="false">IF(COUNT(E306:F306)&lt;2,"N/A",IF(ABS(G306)&lt;=H306,"OK","❌"))</f>
        <v>OK</v>
      </c>
      <c r="J306" s="101" t="s">
        <v>1372</v>
      </c>
      <c r="K306" s="4" t="str">
        <f aca="false">IF(I306=J306,"✔ sesuai","✖ TIDAK sesuai")</f>
        <v>✔ sesuai</v>
      </c>
      <c r="L306" s="102"/>
    </row>
    <row r="307" customFormat="false" ht="15" hidden="false" customHeight="false" outlineLevel="0" collapsed="false">
      <c r="A307" s="13" t="n">
        <v>301</v>
      </c>
      <c r="B307" s="13" t="s">
        <v>1452</v>
      </c>
      <c r="C307" s="13" t="s">
        <v>1453</v>
      </c>
      <c r="D307" s="13" t="n">
        <v>2025</v>
      </c>
      <c r="E307" s="50" t="n">
        <f aca="false">IS_Proj!H19</f>
        <v>85487000000</v>
      </c>
      <c r="F307" s="50" t="n">
        <f aca="false">IS!H14</f>
        <v>85487000000</v>
      </c>
      <c r="G307" s="100" t="n">
        <f aca="false">IF(COUNT(E307:F307)=2,E307-F307,"")</f>
        <v>0</v>
      </c>
      <c r="H307" s="101" t="n">
        <v>1</v>
      </c>
      <c r="I307" s="4" t="str">
        <f aca="false">IF(COUNT(E307:F307)&lt;2,"N/A",IF(ABS(G307)&lt;=H307,"OK","❌"))</f>
        <v>OK</v>
      </c>
      <c r="J307" s="101" t="s">
        <v>1372</v>
      </c>
      <c r="K307" s="4" t="str">
        <f aca="false">IF(I307=J307,"✔ sesuai","✖ TIDAK sesuai")</f>
        <v>✔ sesuai</v>
      </c>
      <c r="L307" s="102"/>
    </row>
    <row r="308" customFormat="false" ht="15" hidden="false" customHeight="false" outlineLevel="0" collapsed="false">
      <c r="A308" s="13" t="n">
        <v>302</v>
      </c>
      <c r="B308" s="13" t="s">
        <v>1452</v>
      </c>
      <c r="C308" s="13" t="s">
        <v>1454</v>
      </c>
      <c r="D308" s="13" t="n">
        <v>2025</v>
      </c>
      <c r="E308" s="50" t="n">
        <f aca="false">IS_Proj!H22</f>
        <v>-235170000000</v>
      </c>
      <c r="F308" s="50" t="n">
        <f aca="false">IS!H17</f>
        <v>-235170000000</v>
      </c>
      <c r="G308" s="100" t="n">
        <f aca="false">IF(COUNT(E308:F308)=2,E308-F308,"")</f>
        <v>0</v>
      </c>
      <c r="H308" s="101" t="n">
        <v>1</v>
      </c>
      <c r="I308" s="4" t="str">
        <f aca="false">IF(COUNT(E308:F308)&lt;2,"N/A",IF(ABS(G308)&lt;=H308,"OK","❌"))</f>
        <v>OK</v>
      </c>
      <c r="J308" s="101" t="s">
        <v>1372</v>
      </c>
      <c r="K308" s="4" t="str">
        <f aca="false">IF(I308=J308,"✔ sesuai","✖ TIDAK sesuai")</f>
        <v>✔ sesuai</v>
      </c>
      <c r="L308" s="102"/>
    </row>
    <row r="309" customFormat="false" ht="15" hidden="false" customHeight="false" outlineLevel="0" collapsed="false">
      <c r="A309" s="13" t="n">
        <v>303</v>
      </c>
      <c r="B309" s="13" t="s">
        <v>1452</v>
      </c>
      <c r="C309" s="13" t="s">
        <v>1455</v>
      </c>
      <c r="D309" s="13" t="n">
        <v>2025</v>
      </c>
      <c r="E309" s="50" t="n">
        <f aca="false">IS_Proj!H10</f>
        <v>2589440000000</v>
      </c>
      <c r="F309" s="50" t="n">
        <f aca="false">IS_Proj!H6+IS_Proj!H7+IS_Proj!H8+IS_Proj!H9</f>
        <v>2589440000000</v>
      </c>
      <c r="G309" s="100" t="n">
        <f aca="false">IF(COUNT(E309:F309)=2,E309-F309,"")</f>
        <v>0</v>
      </c>
      <c r="H309" s="101" t="n">
        <v>1</v>
      </c>
      <c r="I309" s="4" t="str">
        <f aca="false">IF(COUNT(E309:F309)&lt;2,"N/A",IF(ABS(G309)&lt;=H309,"OK","❌"))</f>
        <v>OK</v>
      </c>
      <c r="J309" s="101" t="s">
        <v>1372</v>
      </c>
      <c r="K309" s="4" t="str">
        <f aca="false">IF(I309=J309,"✔ sesuai","✖ TIDAK sesuai")</f>
        <v>✔ sesuai</v>
      </c>
      <c r="L309" s="102"/>
    </row>
    <row r="310" customFormat="false" ht="15" hidden="false" customHeight="false" outlineLevel="0" collapsed="false">
      <c r="A310" s="13" t="n">
        <v>304</v>
      </c>
      <c r="B310" s="13" t="s">
        <v>1452</v>
      </c>
      <c r="C310" s="13" t="s">
        <v>1456</v>
      </c>
      <c r="D310" s="13" t="n">
        <v>2025</v>
      </c>
      <c r="E310" s="50" t="n">
        <f aca="false">BS_Proj!H15</f>
        <v>7623910000000</v>
      </c>
      <c r="F310" s="50" t="n">
        <f aca="false">BS_Proj!H28</f>
        <v>7623910000000</v>
      </c>
      <c r="G310" s="100" t="n">
        <f aca="false">IF(COUNT(E310:F310)=2,E310-F310,"")</f>
        <v>0</v>
      </c>
      <c r="H310" s="101" t="n">
        <v>1</v>
      </c>
      <c r="I310" s="4" t="str">
        <f aca="false">IF(COUNT(E310:F310)&lt;2,"N/A",IF(ABS(G310)&lt;=H310,"OK","❌"))</f>
        <v>OK</v>
      </c>
      <c r="J310" s="101" t="s">
        <v>1372</v>
      </c>
      <c r="K310" s="4" t="str">
        <f aca="false">IF(I310=J310,"✔ sesuai","✖ TIDAK sesuai")</f>
        <v>✔ sesuai</v>
      </c>
      <c r="L310" s="102"/>
    </row>
    <row r="311" customFormat="false" ht="15" hidden="false" customHeight="false" outlineLevel="0" collapsed="false">
      <c r="A311" s="13" t="n">
        <v>305</v>
      </c>
      <c r="B311" s="13" t="s">
        <v>1452</v>
      </c>
      <c r="C311" s="13" t="s">
        <v>1457</v>
      </c>
      <c r="D311" s="13" t="n">
        <v>2025</v>
      </c>
      <c r="E311" s="50" t="n">
        <f aca="false">BS_Proj!H15</f>
        <v>7623910000000</v>
      </c>
      <c r="F311" s="50" t="n">
        <f aca="false">BS!H27</f>
        <v>7623910000000</v>
      </c>
      <c r="G311" s="100" t="n">
        <f aca="false">IF(COUNT(E311:F311)=2,E311-F311,"")</f>
        <v>0</v>
      </c>
      <c r="H311" s="101" t="n">
        <v>1</v>
      </c>
      <c r="I311" s="4" t="str">
        <f aca="false">IF(COUNT(E311:F311)&lt;2,"N/A",IF(ABS(G311)&lt;=H311,"OK","❌"))</f>
        <v>OK</v>
      </c>
      <c r="J311" s="101" t="s">
        <v>1372</v>
      </c>
      <c r="K311" s="4" t="str">
        <f aca="false">IF(I311=J311,"✔ sesuai","✖ TIDAK sesuai")</f>
        <v>✔ sesuai</v>
      </c>
      <c r="L311" s="102"/>
    </row>
    <row r="312" customFormat="false" ht="15" hidden="false" customHeight="false" outlineLevel="0" collapsed="false">
      <c r="A312" s="13" t="n">
        <v>306</v>
      </c>
      <c r="B312" s="13" t="s">
        <v>1458</v>
      </c>
      <c r="C312" s="13" t="s">
        <v>1459</v>
      </c>
      <c r="D312" s="13" t="n">
        <v>2026</v>
      </c>
      <c r="E312" s="50" t="n">
        <f aca="false">BS_Proj!I15</f>
        <v>7501640996923.28</v>
      </c>
      <c r="F312" s="50" t="n">
        <f aca="false">BS_Proj!I28</f>
        <v>7501640996923.28</v>
      </c>
      <c r="G312" s="100" t="n">
        <f aca="false">IF(COUNT(E312:F312)=2,E312-F312,"")</f>
        <v>0</v>
      </c>
      <c r="H312" s="101" t="n">
        <v>1</v>
      </c>
      <c r="I312" s="4" t="str">
        <f aca="false">IF(COUNT(E312:F312)&lt;2,"N/A",IF(ABS(G312)&lt;=H312,"OK","❌"))</f>
        <v>OK</v>
      </c>
      <c r="J312" s="101" t="s">
        <v>1372</v>
      </c>
      <c r="K312" s="4" t="str">
        <f aca="false">IF(I312=J312,"✔ sesuai","✖ TIDAK sesuai")</f>
        <v>✔ sesuai</v>
      </c>
      <c r="L312" s="102"/>
    </row>
    <row r="313" customFormat="false" ht="15" hidden="false" customHeight="false" outlineLevel="0" collapsed="false">
      <c r="A313" s="13" t="n">
        <v>307</v>
      </c>
      <c r="B313" s="13" t="s">
        <v>1458</v>
      </c>
      <c r="C313" s="13" t="s">
        <v>1460</v>
      </c>
      <c r="D313" s="13" t="n">
        <v>2026</v>
      </c>
      <c r="E313" s="50" t="n">
        <f aca="false">CF_Proj!I25</f>
        <v>1570681805845.63</v>
      </c>
      <c r="F313" s="50" t="n">
        <f aca="false">BS_Proj!I6</f>
        <v>1570681805845.63</v>
      </c>
      <c r="G313" s="100" t="n">
        <f aca="false">IF(COUNT(E313:F313)=2,E313-F313,"")</f>
        <v>0</v>
      </c>
      <c r="H313" s="101" t="n">
        <v>1</v>
      </c>
      <c r="I313" s="4" t="str">
        <f aca="false">IF(COUNT(E313:F313)&lt;2,"N/A",IF(ABS(G313)&lt;=H313,"OK","❌"))</f>
        <v>OK</v>
      </c>
      <c r="J313" s="101" t="s">
        <v>1372</v>
      </c>
      <c r="K313" s="4" t="str">
        <f aca="false">IF(I313=J313,"✔ sesuai","✖ TIDAK sesuai")</f>
        <v>✔ sesuai</v>
      </c>
      <c r="L313" s="102"/>
    </row>
    <row r="314" customFormat="false" ht="15" hidden="false" customHeight="false" outlineLevel="0" collapsed="false">
      <c r="A314" s="13" t="n">
        <v>308</v>
      </c>
      <c r="B314" s="13" t="s">
        <v>1458</v>
      </c>
      <c r="C314" s="13" t="s">
        <v>1461</v>
      </c>
      <c r="D314" s="13" t="n">
        <v>2026</v>
      </c>
      <c r="E314" s="50" t="n">
        <f aca="false">BS_Proj!I24</f>
        <v>-874481394079.6</v>
      </c>
      <c r="F314" s="50" t="n">
        <f aca="false">BS_Proj!H24+IS_Proj!I26+CF_Proj!I19</f>
        <v>-874481394079.6</v>
      </c>
      <c r="G314" s="100" t="n">
        <f aca="false">IF(COUNT(E314:F314)=2,E314-F314,"")</f>
        <v>0</v>
      </c>
      <c r="H314" s="101" t="n">
        <v>1</v>
      </c>
      <c r="I314" s="4" t="str">
        <f aca="false">IF(COUNT(E314:F314)&lt;2,"N/A",IF(ABS(G314)&lt;=H314,"OK","❌"))</f>
        <v>OK</v>
      </c>
      <c r="J314" s="101" t="s">
        <v>1372</v>
      </c>
      <c r="K314" s="4" t="str">
        <f aca="false">IF(I314=J314,"✔ sesuai","✖ TIDAK sesuai")</f>
        <v>✔ sesuai</v>
      </c>
      <c r="L314" s="102"/>
    </row>
    <row r="315" customFormat="false" ht="15" hidden="false" customHeight="false" outlineLevel="0" collapsed="false">
      <c r="A315" s="13" t="n">
        <v>309</v>
      </c>
      <c r="B315" s="13" t="s">
        <v>1458</v>
      </c>
      <c r="C315" s="13" t="s">
        <v>1462</v>
      </c>
      <c r="D315" s="13" t="n">
        <v>2026</v>
      </c>
      <c r="E315" s="50" t="n">
        <f aca="false">BS_Proj!I11</f>
        <v>4358699502602.24</v>
      </c>
      <c r="F315" s="50" t="n">
        <f aca="false">BS_Proj!H11+Schedules_Proj!I7+Schedules_Proj!I8-Schedules_Proj!I9</f>
        <v>4358699502602.24</v>
      </c>
      <c r="G315" s="100" t="n">
        <f aca="false">IF(COUNT(E315:F315)=2,E315-F315,"")</f>
        <v>0</v>
      </c>
      <c r="H315" s="101" t="n">
        <v>1</v>
      </c>
      <c r="I315" s="4" t="str">
        <f aca="false">IF(COUNT(E315:F315)&lt;2,"N/A",IF(ABS(G315)&lt;=H315,"OK","❌"))</f>
        <v>OK</v>
      </c>
      <c r="J315" s="101" t="s">
        <v>1372</v>
      </c>
      <c r="K315" s="4" t="str">
        <f aca="false">IF(I315=J315,"✔ sesuai","✖ TIDAK sesuai")</f>
        <v>✔ sesuai</v>
      </c>
      <c r="L315" s="102"/>
    </row>
    <row r="316" customFormat="false" ht="15" hidden="false" customHeight="false" outlineLevel="0" collapsed="false">
      <c r="A316" s="13" t="n">
        <v>310</v>
      </c>
      <c r="B316" s="13" t="s">
        <v>1458</v>
      </c>
      <c r="C316" s="13" t="s">
        <v>1463</v>
      </c>
      <c r="D316" s="13" t="n">
        <v>2026</v>
      </c>
      <c r="E316" s="69" t="n">
        <f aca="false">IF(BS_Proj!I6&gt;=0,0,1)</f>
        <v>0</v>
      </c>
      <c r="F316" s="84" t="n">
        <f aca="false">0</f>
        <v>0</v>
      </c>
      <c r="G316" s="103" t="n">
        <f aca="false">IF(COUNT(E316:F316)=2,E316-F316,"")</f>
        <v>0</v>
      </c>
      <c r="H316" s="101" t="n">
        <v>0</v>
      </c>
      <c r="I316" s="4" t="str">
        <f aca="false">IF(COUNT(E316:F316)&lt;2,"N/A",IF(ABS(G316)&lt;=H316,"OK","❌"))</f>
        <v>OK</v>
      </c>
      <c r="J316" s="101" t="s">
        <v>1372</v>
      </c>
      <c r="K316" s="4" t="str">
        <f aca="false">IF(I316=J316,"✔ sesuai","✖ TIDAK sesuai")</f>
        <v>✔ sesuai</v>
      </c>
      <c r="L316" s="102" t="s">
        <v>1464</v>
      </c>
    </row>
    <row r="317" customFormat="false" ht="15" hidden="false" customHeight="false" outlineLevel="0" collapsed="false">
      <c r="A317" s="13" t="n">
        <v>311</v>
      </c>
      <c r="B317" s="13" t="s">
        <v>1458</v>
      </c>
      <c r="C317" s="13" t="s">
        <v>1459</v>
      </c>
      <c r="D317" s="13" t="n">
        <v>2027</v>
      </c>
      <c r="E317" s="50" t="n">
        <f aca="false">BS_Proj!J15</f>
        <v>7402902951169.7</v>
      </c>
      <c r="F317" s="50" t="n">
        <f aca="false">BS_Proj!J28</f>
        <v>7402902951169.7</v>
      </c>
      <c r="G317" s="100" t="n">
        <f aca="false">IF(COUNT(E317:F317)=2,E317-F317,"")</f>
        <v>0</v>
      </c>
      <c r="H317" s="101" t="n">
        <v>1</v>
      </c>
      <c r="I317" s="4" t="str">
        <f aca="false">IF(COUNT(E317:F317)&lt;2,"N/A",IF(ABS(G317)&lt;=H317,"OK","❌"))</f>
        <v>OK</v>
      </c>
      <c r="J317" s="101" t="s">
        <v>1372</v>
      </c>
      <c r="K317" s="4" t="str">
        <f aca="false">IF(I317=J317,"✔ sesuai","✖ TIDAK sesuai")</f>
        <v>✔ sesuai</v>
      </c>
      <c r="L317" s="102"/>
    </row>
    <row r="318" customFormat="false" ht="15" hidden="false" customHeight="false" outlineLevel="0" collapsed="false">
      <c r="A318" s="13" t="n">
        <v>312</v>
      </c>
      <c r="B318" s="13" t="s">
        <v>1458</v>
      </c>
      <c r="C318" s="13" t="s">
        <v>1460</v>
      </c>
      <c r="D318" s="13" t="n">
        <v>2027</v>
      </c>
      <c r="E318" s="50" t="n">
        <f aca="false">CF_Proj!J25</f>
        <v>1302600274559.27</v>
      </c>
      <c r="F318" s="50" t="n">
        <f aca="false">BS_Proj!J6</f>
        <v>1302600274559.27</v>
      </c>
      <c r="G318" s="100" t="n">
        <f aca="false">IF(COUNT(E318:F318)=2,E318-F318,"")</f>
        <v>0</v>
      </c>
      <c r="H318" s="101" t="n">
        <v>1</v>
      </c>
      <c r="I318" s="4" t="str">
        <f aca="false">IF(COUNT(E318:F318)&lt;2,"N/A",IF(ABS(G318)&lt;=H318,"OK","❌"))</f>
        <v>OK</v>
      </c>
      <c r="J318" s="101" t="s">
        <v>1372</v>
      </c>
      <c r="K318" s="4" t="str">
        <f aca="false">IF(I318=J318,"✔ sesuai","✖ TIDAK sesuai")</f>
        <v>✔ sesuai</v>
      </c>
      <c r="L318" s="102"/>
    </row>
    <row r="319" customFormat="false" ht="15" hidden="false" customHeight="false" outlineLevel="0" collapsed="false">
      <c r="A319" s="13" t="n">
        <v>313</v>
      </c>
      <c r="B319" s="13" t="s">
        <v>1458</v>
      </c>
      <c r="C319" s="13" t="s">
        <v>1461</v>
      </c>
      <c r="D319" s="13" t="n">
        <v>2027</v>
      </c>
      <c r="E319" s="50" t="n">
        <f aca="false">BS_Proj!J24</f>
        <v>-984763213122.09</v>
      </c>
      <c r="F319" s="50" t="n">
        <f aca="false">BS_Proj!I24+IS_Proj!J26+CF_Proj!J19</f>
        <v>-984763213122.09</v>
      </c>
      <c r="G319" s="100" t="n">
        <f aca="false">IF(COUNT(E319:F319)=2,E319-F319,"")</f>
        <v>0</v>
      </c>
      <c r="H319" s="101" t="n">
        <v>1</v>
      </c>
      <c r="I319" s="4" t="str">
        <f aca="false">IF(COUNT(E319:F319)&lt;2,"N/A",IF(ABS(G319)&lt;=H319,"OK","❌"))</f>
        <v>OK</v>
      </c>
      <c r="J319" s="101" t="s">
        <v>1372</v>
      </c>
      <c r="K319" s="4" t="str">
        <f aca="false">IF(I319=J319,"✔ sesuai","✖ TIDAK sesuai")</f>
        <v>✔ sesuai</v>
      </c>
      <c r="L319" s="102"/>
    </row>
    <row r="320" customFormat="false" ht="15" hidden="false" customHeight="false" outlineLevel="0" collapsed="false">
      <c r="A320" s="13" t="n">
        <v>314</v>
      </c>
      <c r="B320" s="13" t="s">
        <v>1458</v>
      </c>
      <c r="C320" s="13" t="s">
        <v>1462</v>
      </c>
      <c r="D320" s="13" t="n">
        <v>2027</v>
      </c>
      <c r="E320" s="50" t="n">
        <f aca="false">BS_Proj!J11</f>
        <v>4464298800320.16</v>
      </c>
      <c r="F320" s="50" t="n">
        <f aca="false">BS_Proj!I11+Schedules_Proj!J7+Schedules_Proj!J8-Schedules_Proj!J9</f>
        <v>4464298800320.16</v>
      </c>
      <c r="G320" s="100" t="n">
        <f aca="false">IF(COUNT(E320:F320)=2,E320-F320,"")</f>
        <v>0</v>
      </c>
      <c r="H320" s="101" t="n">
        <v>1</v>
      </c>
      <c r="I320" s="4" t="str">
        <f aca="false">IF(COUNT(E320:F320)&lt;2,"N/A",IF(ABS(G320)&lt;=H320,"OK","❌"))</f>
        <v>OK</v>
      </c>
      <c r="J320" s="101" t="s">
        <v>1372</v>
      </c>
      <c r="K320" s="4" t="str">
        <f aca="false">IF(I320=J320,"✔ sesuai","✖ TIDAK sesuai")</f>
        <v>✔ sesuai</v>
      </c>
      <c r="L320" s="102"/>
    </row>
    <row r="321" customFormat="false" ht="15" hidden="false" customHeight="false" outlineLevel="0" collapsed="false">
      <c r="A321" s="13" t="n">
        <v>315</v>
      </c>
      <c r="B321" s="13" t="s">
        <v>1458</v>
      </c>
      <c r="C321" s="13" t="s">
        <v>1463</v>
      </c>
      <c r="D321" s="13" t="n">
        <v>2027</v>
      </c>
      <c r="E321" s="69" t="n">
        <f aca="false">IF(BS_Proj!J6&gt;=0,0,1)</f>
        <v>0</v>
      </c>
      <c r="F321" s="84" t="n">
        <f aca="false">0</f>
        <v>0</v>
      </c>
      <c r="G321" s="103" t="n">
        <f aca="false">IF(COUNT(E321:F321)=2,E321-F321,"")</f>
        <v>0</v>
      </c>
      <c r="H321" s="101" t="n">
        <v>0</v>
      </c>
      <c r="I321" s="4" t="str">
        <f aca="false">IF(COUNT(E321:F321)&lt;2,"N/A",IF(ABS(G321)&lt;=H321,"OK","❌"))</f>
        <v>OK</v>
      </c>
      <c r="J321" s="101" t="s">
        <v>1372</v>
      </c>
      <c r="K321" s="4" t="str">
        <f aca="false">IF(I321=J321,"✔ sesuai","✖ TIDAK sesuai")</f>
        <v>✔ sesuai</v>
      </c>
      <c r="L321" s="102" t="s">
        <v>1464</v>
      </c>
    </row>
    <row r="322" customFormat="false" ht="15" hidden="false" customHeight="false" outlineLevel="0" collapsed="false">
      <c r="A322" s="13" t="n">
        <v>316</v>
      </c>
      <c r="B322" s="13" t="s">
        <v>1458</v>
      </c>
      <c r="C322" s="13" t="s">
        <v>1459</v>
      </c>
      <c r="D322" s="13" t="n">
        <v>2028</v>
      </c>
      <c r="E322" s="50" t="n">
        <f aca="false">BS_Proj!K15</f>
        <v>7329851870855.17</v>
      </c>
      <c r="F322" s="50" t="n">
        <f aca="false">BS_Proj!K28</f>
        <v>7329851870855.17</v>
      </c>
      <c r="G322" s="100" t="n">
        <f aca="false">IF(COUNT(E322:F322)=2,E322-F322,"")</f>
        <v>0</v>
      </c>
      <c r="H322" s="101" t="n">
        <v>1</v>
      </c>
      <c r="I322" s="4" t="str">
        <f aca="false">IF(COUNT(E322:F322)&lt;2,"N/A",IF(ABS(G322)&lt;=H322,"OK","❌"))</f>
        <v>OK</v>
      </c>
      <c r="J322" s="101" t="s">
        <v>1372</v>
      </c>
      <c r="K322" s="4" t="str">
        <f aca="false">IF(I322=J322,"✔ sesuai","✖ TIDAK sesuai")</f>
        <v>✔ sesuai</v>
      </c>
      <c r="L322" s="102"/>
    </row>
    <row r="323" customFormat="false" ht="15" hidden="false" customHeight="false" outlineLevel="0" collapsed="false">
      <c r="A323" s="13" t="n">
        <v>317</v>
      </c>
      <c r="B323" s="13" t="s">
        <v>1458</v>
      </c>
      <c r="C323" s="13" t="s">
        <v>1460</v>
      </c>
      <c r="D323" s="13" t="n">
        <v>2028</v>
      </c>
      <c r="E323" s="50" t="n">
        <f aca="false">CF_Proj!K25</f>
        <v>1020130687914.76</v>
      </c>
      <c r="F323" s="50" t="n">
        <f aca="false">BS_Proj!K6</f>
        <v>1020130687914.76</v>
      </c>
      <c r="G323" s="100" t="n">
        <f aca="false">IF(COUNT(E323:F323)=2,E323-F323,"")</f>
        <v>0</v>
      </c>
      <c r="H323" s="101" t="n">
        <v>1</v>
      </c>
      <c r="I323" s="4" t="str">
        <f aca="false">IF(COUNT(E323:F323)&lt;2,"N/A",IF(ABS(G323)&lt;=H323,"OK","❌"))</f>
        <v>OK</v>
      </c>
      <c r="J323" s="101" t="s">
        <v>1372</v>
      </c>
      <c r="K323" s="4" t="str">
        <f aca="false">IF(I323=J323,"✔ sesuai","✖ TIDAK sesuai")</f>
        <v>✔ sesuai</v>
      </c>
      <c r="L323" s="102"/>
    </row>
    <row r="324" customFormat="false" ht="15" hidden="false" customHeight="false" outlineLevel="0" collapsed="false">
      <c r="A324" s="13" t="n">
        <v>318</v>
      </c>
      <c r="B324" s="13" t="s">
        <v>1458</v>
      </c>
      <c r="C324" s="13" t="s">
        <v>1461</v>
      </c>
      <c r="D324" s="13" t="n">
        <v>2028</v>
      </c>
      <c r="E324" s="50" t="n">
        <f aca="false">BS_Proj!K24</f>
        <v>-1070433118789.5</v>
      </c>
      <c r="F324" s="50" t="n">
        <f aca="false">BS_Proj!J24+IS_Proj!K26+CF_Proj!K19</f>
        <v>-1070433118789.5</v>
      </c>
      <c r="G324" s="100" t="n">
        <f aca="false">IF(COUNT(E324:F324)=2,E324-F324,"")</f>
        <v>0</v>
      </c>
      <c r="H324" s="101" t="n">
        <v>1</v>
      </c>
      <c r="I324" s="4" t="str">
        <f aca="false">IF(COUNT(E324:F324)&lt;2,"N/A",IF(ABS(G324)&lt;=H324,"OK","❌"))</f>
        <v>OK</v>
      </c>
      <c r="J324" s="101" t="s">
        <v>1372</v>
      </c>
      <c r="K324" s="4" t="str">
        <f aca="false">IF(I324=J324,"✔ sesuai","✖ TIDAK sesuai")</f>
        <v>✔ sesuai</v>
      </c>
      <c r="L324" s="102"/>
    </row>
    <row r="325" customFormat="false" ht="15" hidden="false" customHeight="false" outlineLevel="0" collapsed="false">
      <c r="A325" s="13" t="n">
        <v>319</v>
      </c>
      <c r="B325" s="13" t="s">
        <v>1458</v>
      </c>
      <c r="C325" s="13" t="s">
        <v>1462</v>
      </c>
      <c r="D325" s="13" t="n">
        <v>2028</v>
      </c>
      <c r="E325" s="50" t="n">
        <f aca="false">BS_Proj!K11</f>
        <v>4604036730536.41</v>
      </c>
      <c r="F325" s="50" t="n">
        <f aca="false">BS_Proj!J11+Schedules_Proj!K7+Schedules_Proj!K8-Schedules_Proj!K9</f>
        <v>4604036730536.41</v>
      </c>
      <c r="G325" s="100" t="n">
        <f aca="false">IF(COUNT(E325:F325)=2,E325-F325,"")</f>
        <v>0</v>
      </c>
      <c r="H325" s="101" t="n">
        <v>1</v>
      </c>
      <c r="I325" s="4" t="str">
        <f aca="false">IF(COUNT(E325:F325)&lt;2,"N/A",IF(ABS(G325)&lt;=H325,"OK","❌"))</f>
        <v>OK</v>
      </c>
      <c r="J325" s="101" t="s">
        <v>1372</v>
      </c>
      <c r="K325" s="4" t="str">
        <f aca="false">IF(I325=J325,"✔ sesuai","✖ TIDAK sesuai")</f>
        <v>✔ sesuai</v>
      </c>
      <c r="L325" s="102"/>
    </row>
    <row r="326" customFormat="false" ht="15" hidden="false" customHeight="false" outlineLevel="0" collapsed="false">
      <c r="A326" s="13" t="n">
        <v>320</v>
      </c>
      <c r="B326" s="13" t="s">
        <v>1458</v>
      </c>
      <c r="C326" s="13" t="s">
        <v>1463</v>
      </c>
      <c r="D326" s="13" t="n">
        <v>2028</v>
      </c>
      <c r="E326" s="69" t="n">
        <f aca="false">IF(BS_Proj!K6&gt;=0,0,1)</f>
        <v>0</v>
      </c>
      <c r="F326" s="84" t="n">
        <f aca="false">0</f>
        <v>0</v>
      </c>
      <c r="G326" s="103" t="n">
        <f aca="false">IF(COUNT(E326:F326)=2,E326-F326,"")</f>
        <v>0</v>
      </c>
      <c r="H326" s="101" t="n">
        <v>0</v>
      </c>
      <c r="I326" s="4" t="str">
        <f aca="false">IF(COUNT(E326:F326)&lt;2,"N/A",IF(ABS(G326)&lt;=H326,"OK","❌"))</f>
        <v>OK</v>
      </c>
      <c r="J326" s="101" t="s">
        <v>1372</v>
      </c>
      <c r="K326" s="4" t="str">
        <f aca="false">IF(I326=J326,"✔ sesuai","✖ TIDAK sesuai")</f>
        <v>✔ sesuai</v>
      </c>
      <c r="L326" s="102" t="s">
        <v>1464</v>
      </c>
    </row>
    <row r="327" customFormat="false" ht="15" hidden="false" customHeight="false" outlineLevel="0" collapsed="false">
      <c r="A327" s="13" t="n">
        <v>321</v>
      </c>
      <c r="B327" s="13" t="s">
        <v>1458</v>
      </c>
      <c r="C327" s="13" t="s">
        <v>1459</v>
      </c>
      <c r="D327" s="13" t="n">
        <v>2029</v>
      </c>
      <c r="E327" s="50" t="n">
        <f aca="false">BS_Proj!L15</f>
        <v>7283917736640.56</v>
      </c>
      <c r="F327" s="50" t="n">
        <f aca="false">BS_Proj!L28</f>
        <v>7283917736640.56</v>
      </c>
      <c r="G327" s="100" t="n">
        <f aca="false">IF(COUNT(E327:F327)=2,E327-F327,"")</f>
        <v>0</v>
      </c>
      <c r="H327" s="101" t="n">
        <v>1</v>
      </c>
      <c r="I327" s="4" t="str">
        <f aca="false">IF(COUNT(E327:F327)&lt;2,"N/A",IF(ABS(G327)&lt;=H327,"OK","❌"))</f>
        <v>OK</v>
      </c>
      <c r="J327" s="101" t="s">
        <v>1372</v>
      </c>
      <c r="K327" s="4" t="str">
        <f aca="false">IF(I327=J327,"✔ sesuai","✖ TIDAK sesuai")</f>
        <v>✔ sesuai</v>
      </c>
      <c r="L327" s="102"/>
    </row>
    <row r="328" customFormat="false" ht="15" hidden="false" customHeight="false" outlineLevel="0" collapsed="false">
      <c r="A328" s="13" t="n">
        <v>322</v>
      </c>
      <c r="B328" s="13" t="s">
        <v>1458</v>
      </c>
      <c r="C328" s="13" t="s">
        <v>1460</v>
      </c>
      <c r="D328" s="13" t="n">
        <v>2029</v>
      </c>
      <c r="E328" s="50" t="n">
        <f aca="false">CF_Proj!L25</f>
        <v>722964299959.933</v>
      </c>
      <c r="F328" s="50" t="n">
        <f aca="false">BS_Proj!L6</f>
        <v>722964299959.933</v>
      </c>
      <c r="G328" s="100" t="n">
        <f aca="false">IF(COUNT(E328:F328)=2,E328-F328,"")</f>
        <v>0</v>
      </c>
      <c r="H328" s="101" t="n">
        <v>1</v>
      </c>
      <c r="I328" s="4" t="str">
        <f aca="false">IF(COUNT(E328:F328)&lt;2,"N/A",IF(ABS(G328)&lt;=H328,"OK","❌"))</f>
        <v>OK</v>
      </c>
      <c r="J328" s="101" t="s">
        <v>1372</v>
      </c>
      <c r="K328" s="4" t="str">
        <f aca="false">IF(I328=J328,"✔ sesuai","✖ TIDAK sesuai")</f>
        <v>✔ sesuai</v>
      </c>
      <c r="L328" s="102"/>
    </row>
    <row r="329" customFormat="false" ht="15" hidden="false" customHeight="false" outlineLevel="0" collapsed="false">
      <c r="A329" s="13" t="n">
        <v>323</v>
      </c>
      <c r="B329" s="13" t="s">
        <v>1458</v>
      </c>
      <c r="C329" s="13" t="s">
        <v>1461</v>
      </c>
      <c r="D329" s="13" t="n">
        <v>2029</v>
      </c>
      <c r="E329" s="50" t="n">
        <f aca="false">BS_Proj!L24</f>
        <v>-1130162289606.18</v>
      </c>
      <c r="F329" s="50" t="n">
        <f aca="false">BS_Proj!K24+IS_Proj!L26+CF_Proj!L19</f>
        <v>-1130162289606.18</v>
      </c>
      <c r="G329" s="100" t="n">
        <f aca="false">IF(COUNT(E329:F329)=2,E329-F329,"")</f>
        <v>0</v>
      </c>
      <c r="H329" s="101" t="n">
        <v>1</v>
      </c>
      <c r="I329" s="4" t="str">
        <f aca="false">IF(COUNT(E329:F329)&lt;2,"N/A",IF(ABS(G329)&lt;=H329,"OK","❌"))</f>
        <v>OK</v>
      </c>
      <c r="J329" s="101" t="s">
        <v>1372</v>
      </c>
      <c r="K329" s="4" t="str">
        <f aca="false">IF(I329=J329,"✔ sesuai","✖ TIDAK sesuai")</f>
        <v>✔ sesuai</v>
      </c>
      <c r="L329" s="102"/>
    </row>
    <row r="330" customFormat="false" ht="15" hidden="false" customHeight="false" outlineLevel="0" collapsed="false">
      <c r="A330" s="13" t="n">
        <v>324</v>
      </c>
      <c r="B330" s="13" t="s">
        <v>1458</v>
      </c>
      <c r="C330" s="13" t="s">
        <v>1462</v>
      </c>
      <c r="D330" s="13" t="n">
        <v>2029</v>
      </c>
      <c r="E330" s="50" t="n">
        <f aca="false">BS_Proj!L11</f>
        <v>4779093423472.75</v>
      </c>
      <c r="F330" s="50" t="n">
        <f aca="false">BS_Proj!K11+Schedules_Proj!L7+Schedules_Proj!L8-Schedules_Proj!L9</f>
        <v>4779093423472.75</v>
      </c>
      <c r="G330" s="100" t="n">
        <f aca="false">IF(COUNT(E330:F330)=2,E330-F330,"")</f>
        <v>0</v>
      </c>
      <c r="H330" s="101" t="n">
        <v>1</v>
      </c>
      <c r="I330" s="4" t="str">
        <f aca="false">IF(COUNT(E330:F330)&lt;2,"N/A",IF(ABS(G330)&lt;=H330,"OK","❌"))</f>
        <v>OK</v>
      </c>
      <c r="J330" s="101" t="s">
        <v>1372</v>
      </c>
      <c r="K330" s="4" t="str">
        <f aca="false">IF(I330=J330,"✔ sesuai","✖ TIDAK sesuai")</f>
        <v>✔ sesuai</v>
      </c>
      <c r="L330" s="102"/>
    </row>
    <row r="331" customFormat="false" ht="15" hidden="false" customHeight="false" outlineLevel="0" collapsed="false">
      <c r="A331" s="13" t="n">
        <v>325</v>
      </c>
      <c r="B331" s="13" t="s">
        <v>1458</v>
      </c>
      <c r="C331" s="13" t="s">
        <v>1463</v>
      </c>
      <c r="D331" s="13" t="n">
        <v>2029</v>
      </c>
      <c r="E331" s="69" t="n">
        <f aca="false">IF(BS_Proj!L6&gt;=0,0,1)</f>
        <v>0</v>
      </c>
      <c r="F331" s="84" t="n">
        <f aca="false">0</f>
        <v>0</v>
      </c>
      <c r="G331" s="103" t="n">
        <f aca="false">IF(COUNT(E331:F331)=2,E331-F331,"")</f>
        <v>0</v>
      </c>
      <c r="H331" s="101" t="n">
        <v>0</v>
      </c>
      <c r="I331" s="4" t="str">
        <f aca="false">IF(COUNT(E331:F331)&lt;2,"N/A",IF(ABS(G331)&lt;=H331,"OK","❌"))</f>
        <v>OK</v>
      </c>
      <c r="J331" s="101" t="s">
        <v>1372</v>
      </c>
      <c r="K331" s="4" t="str">
        <f aca="false">IF(I331=J331,"✔ sesuai","✖ TIDAK sesuai")</f>
        <v>✔ sesuai</v>
      </c>
      <c r="L331" s="102" t="s">
        <v>1464</v>
      </c>
    </row>
    <row r="332" customFormat="false" ht="15" hidden="false" customHeight="false" outlineLevel="0" collapsed="false">
      <c r="A332" s="13" t="n">
        <v>326</v>
      </c>
      <c r="B332" s="13" t="s">
        <v>1458</v>
      </c>
      <c r="C332" s="13" t="s">
        <v>1459</v>
      </c>
      <c r="D332" s="13" t="n">
        <v>2030</v>
      </c>
      <c r="E332" s="50" t="n">
        <f aca="false">BS_Proj!M15</f>
        <v>7266935265374.39</v>
      </c>
      <c r="F332" s="50" t="n">
        <f aca="false">BS_Proj!M28</f>
        <v>7266935265374.39</v>
      </c>
      <c r="G332" s="100" t="n">
        <f aca="false">IF(COUNT(E332:F332)=2,E332-F332,"")</f>
        <v>0</v>
      </c>
      <c r="H332" s="101" t="n">
        <v>1</v>
      </c>
      <c r="I332" s="4" t="str">
        <f aca="false">IF(COUNT(E332:F332)&lt;2,"N/A",IF(ABS(G332)&lt;=H332,"OK","❌"))</f>
        <v>OK</v>
      </c>
      <c r="J332" s="101" t="s">
        <v>1372</v>
      </c>
      <c r="K332" s="4" t="str">
        <f aca="false">IF(I332=J332,"✔ sesuai","✖ TIDAK sesuai")</f>
        <v>✔ sesuai</v>
      </c>
      <c r="L332" s="102"/>
    </row>
    <row r="333" customFormat="false" ht="15" hidden="false" customHeight="false" outlineLevel="0" collapsed="false">
      <c r="A333" s="13" t="n">
        <v>327</v>
      </c>
      <c r="B333" s="13" t="s">
        <v>1458</v>
      </c>
      <c r="C333" s="13" t="s">
        <v>1460</v>
      </c>
      <c r="D333" s="13" t="n">
        <v>2030</v>
      </c>
      <c r="E333" s="50" t="n">
        <f aca="false">CF_Proj!M25</f>
        <v>410865239896.464</v>
      </c>
      <c r="F333" s="50" t="n">
        <f aca="false">BS_Proj!M6</f>
        <v>410865239896.464</v>
      </c>
      <c r="G333" s="100" t="n">
        <f aca="false">IF(COUNT(E333:F333)=2,E333-F333,"")</f>
        <v>0</v>
      </c>
      <c r="H333" s="101" t="n">
        <v>1</v>
      </c>
      <c r="I333" s="4" t="str">
        <f aca="false">IF(COUNT(E333:F333)&lt;2,"N/A",IF(ABS(G333)&lt;=H333,"OK","❌"))</f>
        <v>OK</v>
      </c>
      <c r="J333" s="101" t="s">
        <v>1372</v>
      </c>
      <c r="K333" s="4" t="str">
        <f aca="false">IF(I333=J333,"✔ sesuai","✖ TIDAK sesuai")</f>
        <v>✔ sesuai</v>
      </c>
      <c r="L333" s="102"/>
    </row>
    <row r="334" customFormat="false" ht="15" hidden="false" customHeight="false" outlineLevel="0" collapsed="false">
      <c r="A334" s="13" t="n">
        <v>328</v>
      </c>
      <c r="B334" s="13" t="s">
        <v>1458</v>
      </c>
      <c r="C334" s="13" t="s">
        <v>1461</v>
      </c>
      <c r="D334" s="13" t="n">
        <v>2030</v>
      </c>
      <c r="E334" s="50" t="n">
        <f aca="false">BS_Proj!M24</f>
        <v>-1162226776145.63</v>
      </c>
      <c r="F334" s="50" t="n">
        <f aca="false">BS_Proj!L24+IS_Proj!M26+CF_Proj!M19</f>
        <v>-1162226776145.63</v>
      </c>
      <c r="G334" s="100" t="n">
        <f aca="false">IF(COUNT(E334:F334)=2,E334-F334,"")</f>
        <v>0</v>
      </c>
      <c r="H334" s="101" t="n">
        <v>1</v>
      </c>
      <c r="I334" s="4" t="str">
        <f aca="false">IF(COUNT(E334:F334)&lt;2,"N/A",IF(ABS(G334)&lt;=H334,"OK","❌"))</f>
        <v>OK</v>
      </c>
      <c r="J334" s="101" t="s">
        <v>1372</v>
      </c>
      <c r="K334" s="4" t="str">
        <f aca="false">IF(I334=J334,"✔ sesuai","✖ TIDAK sesuai")</f>
        <v>✔ sesuai</v>
      </c>
      <c r="L334" s="102"/>
    </row>
    <row r="335" customFormat="false" ht="15" hidden="false" customHeight="false" outlineLevel="0" collapsed="false">
      <c r="A335" s="13" t="n">
        <v>329</v>
      </c>
      <c r="B335" s="13" t="s">
        <v>1458</v>
      </c>
      <c r="C335" s="13" t="s">
        <v>1462</v>
      </c>
      <c r="D335" s="13" t="n">
        <v>2030</v>
      </c>
      <c r="E335" s="50" t="n">
        <f aca="false">BS_Proj!M11</f>
        <v>4990927814140.7</v>
      </c>
      <c r="F335" s="50" t="n">
        <f aca="false">BS_Proj!L11+Schedules_Proj!M7+Schedules_Proj!M8-Schedules_Proj!M9</f>
        <v>4990927814140.7</v>
      </c>
      <c r="G335" s="100" t="n">
        <f aca="false">IF(COUNT(E335:F335)=2,E335-F335,"")</f>
        <v>0</v>
      </c>
      <c r="H335" s="101" t="n">
        <v>1</v>
      </c>
      <c r="I335" s="4" t="str">
        <f aca="false">IF(COUNT(E335:F335)&lt;2,"N/A",IF(ABS(G335)&lt;=H335,"OK","❌"))</f>
        <v>OK</v>
      </c>
      <c r="J335" s="101" t="s">
        <v>1372</v>
      </c>
      <c r="K335" s="4" t="str">
        <f aca="false">IF(I335=J335,"✔ sesuai","✖ TIDAK sesuai")</f>
        <v>✔ sesuai</v>
      </c>
      <c r="L335" s="102"/>
    </row>
    <row r="336" customFormat="false" ht="15" hidden="false" customHeight="false" outlineLevel="0" collapsed="false">
      <c r="A336" s="13" t="n">
        <v>330</v>
      </c>
      <c r="B336" s="13" t="s">
        <v>1458</v>
      </c>
      <c r="C336" s="13" t="s">
        <v>1463</v>
      </c>
      <c r="D336" s="13" t="n">
        <v>2030</v>
      </c>
      <c r="E336" s="69" t="n">
        <f aca="false">IF(BS_Proj!M6&gt;=0,0,1)</f>
        <v>0</v>
      </c>
      <c r="F336" s="84" t="n">
        <f aca="false">0</f>
        <v>0</v>
      </c>
      <c r="G336" s="103" t="n">
        <f aca="false">IF(COUNT(E336:F336)=2,E336-F336,"")</f>
        <v>0</v>
      </c>
      <c r="H336" s="101" t="n">
        <v>0</v>
      </c>
      <c r="I336" s="4" t="str">
        <f aca="false">IF(COUNT(E336:F336)&lt;2,"N/A",IF(ABS(G336)&lt;=H336,"OK","❌"))</f>
        <v>OK</v>
      </c>
      <c r="J336" s="101" t="s">
        <v>1372</v>
      </c>
      <c r="K336" s="4" t="str">
        <f aca="false">IF(I336=J336,"✔ sesuai","✖ TIDAK sesuai")</f>
        <v>✔ sesuai</v>
      </c>
      <c r="L336" s="102" t="s">
        <v>1464</v>
      </c>
    </row>
  </sheetData>
  <autoFilter ref="A6:L336"/>
  <conditionalFormatting sqref="K7:K336">
    <cfRule type="cellIs" priority="2" operator="equal" aboveAverage="0" equalAverage="0" bottom="0" percent="0" rank="0" text="" dxfId="0">
      <formula>"✖ TIDAK sesuai"</formula>
    </cfRule>
  </conditionalFormatting>
  <conditionalFormatting sqref="I7:I336">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1465</v>
      </c>
    </row>
    <row r="2" customFormat="false" ht="15" hidden="false" customHeight="false" outlineLevel="0" collapsed="false">
      <c r="A2" s="15" t="s">
        <v>1466</v>
      </c>
    </row>
    <row r="4" customFormat="false" ht="15" hidden="false" customHeight="false" outlineLevel="0" collapsed="false">
      <c r="A4" s="25" t="s">
        <v>330</v>
      </c>
      <c r="B4" s="25" t="s">
        <v>1467</v>
      </c>
      <c r="C4" s="25" t="s">
        <v>1362</v>
      </c>
      <c r="D4" s="25" t="s">
        <v>1363</v>
      </c>
      <c r="E4" s="25" t="s">
        <v>1364</v>
      </c>
      <c r="F4" s="25" t="s">
        <v>1468</v>
      </c>
      <c r="G4" s="25" t="s">
        <v>1469</v>
      </c>
      <c r="H4" s="25" t="s">
        <v>1470</v>
      </c>
    </row>
    <row r="5" customFormat="false" ht="90.75" hidden="false" customHeight="true" outlineLevel="0" collapsed="false">
      <c r="A5" s="104" t="s">
        <v>1471</v>
      </c>
      <c r="B5" s="10" t="s">
        <v>1472</v>
      </c>
      <c r="C5" s="105"/>
      <c r="D5" s="105"/>
      <c r="E5" s="106"/>
      <c r="F5" s="10" t="s">
        <v>1473</v>
      </c>
      <c r="G5" s="10" t="s">
        <v>1474</v>
      </c>
      <c r="H5" s="10" t="s">
        <v>1475</v>
      </c>
    </row>
    <row r="6" customFormat="false" ht="51.75" hidden="false" customHeight="true" outlineLevel="0" collapsed="false">
      <c r="A6" s="104" t="s">
        <v>1476</v>
      </c>
      <c r="B6" s="10" t="s">
        <v>1477</v>
      </c>
      <c r="C6" s="105" t="n">
        <v>3148345000000</v>
      </c>
      <c r="D6" s="105" t="n">
        <v>2340431000000</v>
      </c>
      <c r="E6" s="106" t="n">
        <f aca="false">C6-D6</f>
        <v>807914000000</v>
      </c>
      <c r="F6" s="10" t="s">
        <v>1478</v>
      </c>
      <c r="G6" s="10" t="s">
        <v>1479</v>
      </c>
      <c r="H6" s="10" t="s">
        <v>1480</v>
      </c>
    </row>
    <row r="7" customFormat="false" ht="78" hidden="false" customHeight="true" outlineLevel="0" collapsed="false">
      <c r="A7" s="104" t="s">
        <v>1481</v>
      </c>
      <c r="B7" s="10" t="s">
        <v>1482</v>
      </c>
      <c r="C7" s="105" t="n">
        <v>-912138000000</v>
      </c>
      <c r="D7" s="105" t="n">
        <v>2589440000000</v>
      </c>
      <c r="E7" s="106" t="n">
        <f aca="false">C7-D7</f>
        <v>-3501578000000</v>
      </c>
      <c r="F7" s="10" t="s">
        <v>1483</v>
      </c>
      <c r="G7" s="10" t="s">
        <v>1484</v>
      </c>
      <c r="H7" s="10" t="s">
        <v>1485</v>
      </c>
    </row>
    <row r="8" customFormat="false" ht="39" hidden="false" customHeight="true" outlineLevel="0" collapsed="false">
      <c r="A8" s="104" t="s">
        <v>1486</v>
      </c>
      <c r="B8" s="10" t="s">
        <v>1487</v>
      </c>
      <c r="C8" s="105" t="n">
        <v>85487000000</v>
      </c>
      <c r="D8" s="105"/>
      <c r="E8" s="106"/>
      <c r="F8" s="10" t="s">
        <v>1488</v>
      </c>
      <c r="G8" s="10" t="s">
        <v>1489</v>
      </c>
      <c r="H8" s="10" t="s">
        <v>1490</v>
      </c>
    </row>
    <row r="9" customFormat="false" ht="51.75" hidden="false" customHeight="true" outlineLevel="0" collapsed="false">
      <c r="A9" s="104" t="s">
        <v>1491</v>
      </c>
      <c r="B9" s="10" t="s">
        <v>1492</v>
      </c>
      <c r="C9" s="105" t="n">
        <v>17814000000</v>
      </c>
      <c r="D9" s="105" t="n">
        <v>29169000000</v>
      </c>
      <c r="E9" s="106" t="n">
        <f aca="false">C9-D9</f>
        <v>-11355000000</v>
      </c>
      <c r="F9" s="10" t="s">
        <v>1493</v>
      </c>
      <c r="G9" s="10" t="s">
        <v>1494</v>
      </c>
      <c r="H9" s="10" t="s">
        <v>1495</v>
      </c>
    </row>
    <row r="10" customFormat="false" ht="78" hidden="false" customHeight="true" outlineLevel="0" collapsed="false">
      <c r="A10" s="104" t="s">
        <v>1496</v>
      </c>
      <c r="B10" s="10" t="s">
        <v>1497</v>
      </c>
      <c r="C10" s="105" t="n">
        <v>4684415000000</v>
      </c>
      <c r="D10" s="105" t="n">
        <v>1665866000000</v>
      </c>
      <c r="E10" s="106" t="n">
        <f aca="false">C10-D10</f>
        <v>3018549000000</v>
      </c>
      <c r="F10" s="10" t="s">
        <v>1498</v>
      </c>
      <c r="G10" s="10" t="s">
        <v>1499</v>
      </c>
      <c r="H10" s="10" t="s">
        <v>1500</v>
      </c>
    </row>
    <row r="11" customFormat="false" ht="39" hidden="false" customHeight="true" outlineLevel="0" collapsed="false">
      <c r="A11" s="104" t="s">
        <v>1501</v>
      </c>
      <c r="B11" s="10" t="s">
        <v>1502</v>
      </c>
      <c r="C11" s="105" t="n">
        <v>972118000000</v>
      </c>
      <c r="D11" s="105" t="n">
        <v>1512219000000</v>
      </c>
      <c r="E11" s="106" t="n">
        <f aca="false">C11-D11</f>
        <v>-540101000000</v>
      </c>
      <c r="F11" s="10" t="s">
        <v>1503</v>
      </c>
      <c r="G11" s="10" t="s">
        <v>1504</v>
      </c>
      <c r="H11" s="10" t="s">
        <v>1505</v>
      </c>
    </row>
    <row r="12" customFormat="false" ht="39" hidden="false" customHeight="true" outlineLevel="0" collapsed="false">
      <c r="A12" s="104" t="s">
        <v>1506</v>
      </c>
      <c r="B12" s="10" t="s">
        <v>1507</v>
      </c>
      <c r="C12" s="105" t="n">
        <v>3448224531705</v>
      </c>
      <c r="D12" s="105" t="n">
        <v>3371822743790</v>
      </c>
      <c r="E12" s="106" t="n">
        <f aca="false">C12-D12</f>
        <v>76401787915</v>
      </c>
      <c r="F12" s="10" t="s">
        <v>1508</v>
      </c>
      <c r="G12" s="10" t="s">
        <v>1509</v>
      </c>
      <c r="H12" s="10" t="s">
        <v>1510</v>
      </c>
    </row>
    <row r="13" customFormat="false" ht="51.75" hidden="false" customHeight="true" outlineLevel="0" collapsed="false">
      <c r="A13" s="104" t="s">
        <v>1511</v>
      </c>
      <c r="B13" s="10" t="s">
        <v>1512</v>
      </c>
      <c r="C13" s="105" t="n">
        <v>-199000000000</v>
      </c>
      <c r="D13" s="105" t="n">
        <v>165308238619</v>
      </c>
      <c r="E13" s="106" t="n">
        <f aca="false">C13-D13</f>
        <v>-364308238619</v>
      </c>
      <c r="F13" s="10" t="s">
        <v>1513</v>
      </c>
      <c r="G13" s="10" t="s">
        <v>1514</v>
      </c>
      <c r="H13" s="10" t="s">
        <v>1515</v>
      </c>
    </row>
    <row r="14" customFormat="false" ht="78" hidden="false" customHeight="true" outlineLevel="0" collapsed="false">
      <c r="A14" s="104" t="s">
        <v>1516</v>
      </c>
      <c r="B14" s="10" t="s">
        <v>1517</v>
      </c>
      <c r="C14" s="105" t="n">
        <v>541</v>
      </c>
      <c r="D14" s="105" t="n">
        <v>0</v>
      </c>
      <c r="E14" s="106" t="n">
        <f aca="false">C14-D14</f>
        <v>541</v>
      </c>
      <c r="F14" s="10" t="s">
        <v>1518</v>
      </c>
      <c r="G14" s="10" t="s">
        <v>1519</v>
      </c>
      <c r="H14" s="10" t="s">
        <v>1520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0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1521</v>
      </c>
    </row>
    <row r="2" customFormat="false" ht="15" hidden="false" customHeight="false" outlineLevel="0" collapsed="false">
      <c r="A2" s="15" t="s">
        <v>1522</v>
      </c>
    </row>
    <row r="4" customFormat="false" ht="15" hidden="false" customHeight="false" outlineLevel="0" collapsed="false">
      <c r="A4" s="24" t="s">
        <v>1523</v>
      </c>
      <c r="B4" s="24" t="s">
        <v>1524</v>
      </c>
      <c r="C4" s="24" t="s">
        <v>1525</v>
      </c>
      <c r="D4" s="24" t="s">
        <v>1526</v>
      </c>
      <c r="E4" s="24" t="s">
        <v>1527</v>
      </c>
      <c r="F4" s="24" t="s">
        <v>1528</v>
      </c>
      <c r="G4" s="24" t="s">
        <v>1529</v>
      </c>
      <c r="H4" s="24" t="s">
        <v>1530</v>
      </c>
      <c r="I4" s="24" t="s">
        <v>1531</v>
      </c>
      <c r="J4" s="24" t="s">
        <v>1532</v>
      </c>
      <c r="K4" s="24" t="s">
        <v>1533</v>
      </c>
      <c r="L4" s="24" t="s">
        <v>1534</v>
      </c>
      <c r="M4" s="24" t="s">
        <v>1535</v>
      </c>
    </row>
    <row r="5" customFormat="false" ht="15" hidden="false" customHeight="false" outlineLevel="0" collapsed="false">
      <c r="A5" s="13" t="s">
        <v>610</v>
      </c>
      <c r="B5" s="13" t="s">
        <v>609</v>
      </c>
      <c r="C5" s="13" t="s">
        <v>1536</v>
      </c>
      <c r="D5" s="13" t="s">
        <v>57</v>
      </c>
      <c r="E5" s="13" t="s">
        <v>627</v>
      </c>
      <c r="F5" s="13" t="s">
        <v>628</v>
      </c>
      <c r="G5" s="61" t="n">
        <v>1283798609174</v>
      </c>
      <c r="H5" s="13" t="s">
        <v>1537</v>
      </c>
      <c r="I5" s="13"/>
      <c r="J5" s="13" t="s">
        <v>1538</v>
      </c>
      <c r="K5" s="13" t="s">
        <v>1538</v>
      </c>
      <c r="L5" s="13" t="s">
        <v>1539</v>
      </c>
      <c r="M5" s="13"/>
    </row>
    <row r="6" customFormat="false" ht="15" hidden="false" customHeight="false" outlineLevel="0" collapsed="false">
      <c r="A6" s="13" t="s">
        <v>610</v>
      </c>
      <c r="B6" s="13" t="s">
        <v>609</v>
      </c>
      <c r="C6" s="13" t="s">
        <v>1540</v>
      </c>
      <c r="D6" s="13" t="s">
        <v>57</v>
      </c>
      <c r="E6" s="13" t="s">
        <v>627</v>
      </c>
      <c r="F6" s="13" t="s">
        <v>628</v>
      </c>
      <c r="G6" s="61" t="n">
        <v>1924453140978</v>
      </c>
      <c r="H6" s="13" t="s">
        <v>1537</v>
      </c>
      <c r="I6" s="13"/>
      <c r="J6" s="13" t="s">
        <v>1541</v>
      </c>
      <c r="K6" s="13" t="s">
        <v>1541</v>
      </c>
      <c r="L6" s="13" t="s">
        <v>1542</v>
      </c>
      <c r="M6" s="13"/>
    </row>
    <row r="7" customFormat="false" ht="15" hidden="false" customHeight="false" outlineLevel="0" collapsed="false">
      <c r="A7" s="13" t="s">
        <v>610</v>
      </c>
      <c r="B7" s="13" t="s">
        <v>609</v>
      </c>
      <c r="C7" s="13" t="s">
        <v>1543</v>
      </c>
      <c r="D7" s="13" t="s">
        <v>57</v>
      </c>
      <c r="E7" s="13" t="s">
        <v>627</v>
      </c>
      <c r="F7" s="13" t="s">
        <v>628</v>
      </c>
      <c r="G7" s="61" t="n">
        <v>1934163680964</v>
      </c>
      <c r="H7" s="13" t="s">
        <v>1537</v>
      </c>
      <c r="I7" s="13"/>
      <c r="J7" s="13" t="s">
        <v>1544</v>
      </c>
      <c r="K7" s="13" t="s">
        <v>1544</v>
      </c>
      <c r="L7" s="13" t="s">
        <v>1539</v>
      </c>
      <c r="M7" s="13"/>
    </row>
    <row r="8" customFormat="false" ht="15" hidden="false" customHeight="false" outlineLevel="0" collapsed="false">
      <c r="A8" s="13" t="s">
        <v>610</v>
      </c>
      <c r="B8" s="13" t="s">
        <v>609</v>
      </c>
      <c r="C8" s="13" t="s">
        <v>1545</v>
      </c>
      <c r="D8" s="13" t="s">
        <v>57</v>
      </c>
      <c r="E8" s="13" t="s">
        <v>627</v>
      </c>
      <c r="F8" s="13" t="s">
        <v>628</v>
      </c>
      <c r="G8" s="61" t="n">
        <v>2503174000000</v>
      </c>
      <c r="H8" s="13" t="s">
        <v>1537</v>
      </c>
      <c r="I8" s="13"/>
      <c r="J8" s="13" t="s">
        <v>622</v>
      </c>
      <c r="K8" s="13" t="s">
        <v>622</v>
      </c>
      <c r="L8" s="13" t="s">
        <v>1539</v>
      </c>
      <c r="M8" s="13"/>
    </row>
    <row r="9" customFormat="false" ht="15" hidden="false" customHeight="false" outlineLevel="0" collapsed="false">
      <c r="A9" s="13" t="s">
        <v>610</v>
      </c>
      <c r="B9" s="13" t="s">
        <v>609</v>
      </c>
      <c r="C9" s="13" t="s">
        <v>1546</v>
      </c>
      <c r="D9" s="13" t="s">
        <v>57</v>
      </c>
      <c r="E9" s="13" t="s">
        <v>627</v>
      </c>
      <c r="F9" s="13" t="s">
        <v>628</v>
      </c>
      <c r="G9" s="61" t="n">
        <v>2340431000000</v>
      </c>
      <c r="H9" s="13" t="s">
        <v>1537</v>
      </c>
      <c r="I9" s="13"/>
      <c r="J9" s="13" t="s">
        <v>1547</v>
      </c>
      <c r="K9" s="13" t="s">
        <v>1547</v>
      </c>
      <c r="L9" s="13" t="s">
        <v>1539</v>
      </c>
      <c r="M9" s="13"/>
    </row>
    <row r="10" customFormat="false" ht="15" hidden="false" customHeight="false" outlineLevel="0" collapsed="false">
      <c r="A10" s="13" t="s">
        <v>610</v>
      </c>
      <c r="B10" s="13" t="s">
        <v>609</v>
      </c>
      <c r="C10" s="13" t="s">
        <v>1548</v>
      </c>
      <c r="D10" s="13" t="s">
        <v>57</v>
      </c>
      <c r="E10" s="13" t="s">
        <v>627</v>
      </c>
      <c r="F10" s="13" t="s">
        <v>628</v>
      </c>
      <c r="G10" s="61" t="n">
        <v>2589440000000</v>
      </c>
      <c r="H10" s="13" t="s">
        <v>1537</v>
      </c>
      <c r="I10" s="13"/>
      <c r="J10" s="13" t="s">
        <v>624</v>
      </c>
      <c r="K10" s="13" t="s">
        <v>624</v>
      </c>
      <c r="L10" s="13" t="s">
        <v>1539</v>
      </c>
      <c r="M10" s="13"/>
    </row>
    <row r="11" customFormat="false" ht="15" hidden="false" customHeight="false" outlineLevel="0" collapsed="false">
      <c r="A11" s="13" t="s">
        <v>610</v>
      </c>
      <c r="B11" s="13" t="s">
        <v>609</v>
      </c>
      <c r="C11" s="13" t="s">
        <v>1536</v>
      </c>
      <c r="D11" s="13" t="s">
        <v>57</v>
      </c>
      <c r="E11" s="13" t="s">
        <v>630</v>
      </c>
      <c r="F11" s="13" t="s">
        <v>631</v>
      </c>
      <c r="G11" s="61" t="n">
        <v>-864698280519</v>
      </c>
      <c r="H11" s="13" t="s">
        <v>1537</v>
      </c>
      <c r="I11" s="13"/>
      <c r="J11" s="13" t="s">
        <v>1538</v>
      </c>
      <c r="K11" s="13" t="s">
        <v>1538</v>
      </c>
      <c r="L11" s="13" t="s">
        <v>1539</v>
      </c>
      <c r="M11" s="13"/>
    </row>
    <row r="12" customFormat="false" ht="15" hidden="false" customHeight="false" outlineLevel="0" collapsed="false">
      <c r="A12" s="13" t="s">
        <v>610</v>
      </c>
      <c r="B12" s="13" t="s">
        <v>609</v>
      </c>
      <c r="C12" s="13" t="s">
        <v>1540</v>
      </c>
      <c r="D12" s="13" t="s">
        <v>57</v>
      </c>
      <c r="E12" s="13" t="s">
        <v>630</v>
      </c>
      <c r="F12" s="13" t="s">
        <v>631</v>
      </c>
      <c r="G12" s="61" t="n">
        <v>-1219420404326</v>
      </c>
      <c r="H12" s="13" t="s">
        <v>1537</v>
      </c>
      <c r="I12" s="13"/>
      <c r="J12" s="13" t="s">
        <v>1541</v>
      </c>
      <c r="K12" s="13" t="s">
        <v>1541</v>
      </c>
      <c r="L12" s="13" t="s">
        <v>1542</v>
      </c>
      <c r="M12" s="13"/>
    </row>
    <row r="13" customFormat="false" ht="15" hidden="false" customHeight="false" outlineLevel="0" collapsed="false">
      <c r="A13" s="13" t="s">
        <v>610</v>
      </c>
      <c r="B13" s="13" t="s">
        <v>609</v>
      </c>
      <c r="C13" s="13" t="s">
        <v>1543</v>
      </c>
      <c r="D13" s="13" t="s">
        <v>57</v>
      </c>
      <c r="E13" s="13" t="s">
        <v>630</v>
      </c>
      <c r="F13" s="13" t="s">
        <v>631</v>
      </c>
      <c r="G13" s="61" t="n">
        <v>-1377109387379</v>
      </c>
      <c r="H13" s="13" t="s">
        <v>1537</v>
      </c>
      <c r="I13" s="13"/>
      <c r="J13" s="13" t="s">
        <v>1544</v>
      </c>
      <c r="K13" s="13" t="s">
        <v>1544</v>
      </c>
      <c r="L13" s="13" t="s">
        <v>1539</v>
      </c>
      <c r="M13" s="13"/>
    </row>
    <row r="14" customFormat="false" ht="15" hidden="false" customHeight="false" outlineLevel="0" collapsed="false">
      <c r="A14" s="13" t="s">
        <v>610</v>
      </c>
      <c r="B14" s="13" t="s">
        <v>609</v>
      </c>
      <c r="C14" s="13" t="s">
        <v>1545</v>
      </c>
      <c r="D14" s="13" t="s">
        <v>57</v>
      </c>
      <c r="E14" s="13" t="s">
        <v>630</v>
      </c>
      <c r="F14" s="13" t="s">
        <v>631</v>
      </c>
      <c r="G14" s="61" t="n">
        <v>-1785154000000</v>
      </c>
      <c r="H14" s="13" t="s">
        <v>1537</v>
      </c>
      <c r="I14" s="13"/>
      <c r="J14" s="13" t="s">
        <v>622</v>
      </c>
      <c r="K14" s="13" t="s">
        <v>622</v>
      </c>
      <c r="L14" s="13" t="s">
        <v>1539</v>
      </c>
      <c r="M14" s="13"/>
    </row>
    <row r="15" customFormat="false" ht="15" hidden="false" customHeight="false" outlineLevel="0" collapsed="false">
      <c r="A15" s="13" t="s">
        <v>610</v>
      </c>
      <c r="B15" s="13" t="s">
        <v>609</v>
      </c>
      <c r="C15" s="13" t="s">
        <v>1546</v>
      </c>
      <c r="D15" s="13" t="s">
        <v>57</v>
      </c>
      <c r="E15" s="13" t="s">
        <v>630</v>
      </c>
      <c r="F15" s="13" t="s">
        <v>631</v>
      </c>
      <c r="G15" s="61" t="n">
        <v>-1423988000000</v>
      </c>
      <c r="H15" s="13" t="s">
        <v>1537</v>
      </c>
      <c r="I15" s="13"/>
      <c r="J15" s="13" t="s">
        <v>1547</v>
      </c>
      <c r="K15" s="13" t="s">
        <v>1547</v>
      </c>
      <c r="L15" s="13" t="s">
        <v>1539</v>
      </c>
      <c r="M15" s="13"/>
    </row>
    <row r="16" customFormat="false" ht="15" hidden="false" customHeight="false" outlineLevel="0" collapsed="false">
      <c r="A16" s="13" t="s">
        <v>610</v>
      </c>
      <c r="B16" s="13" t="s">
        <v>609</v>
      </c>
      <c r="C16" s="13" t="s">
        <v>1548</v>
      </c>
      <c r="D16" s="13" t="s">
        <v>57</v>
      </c>
      <c r="E16" s="13" t="s">
        <v>630</v>
      </c>
      <c r="F16" s="13" t="s">
        <v>631</v>
      </c>
      <c r="G16" s="61" t="n">
        <v>-1530564000000</v>
      </c>
      <c r="H16" s="13" t="s">
        <v>1537</v>
      </c>
      <c r="I16" s="13"/>
      <c r="J16" s="13" t="s">
        <v>624</v>
      </c>
      <c r="K16" s="13" t="s">
        <v>624</v>
      </c>
      <c r="L16" s="13" t="s">
        <v>1539</v>
      </c>
      <c r="M16" s="13"/>
    </row>
    <row r="17" customFormat="false" ht="15" hidden="false" customHeight="false" outlineLevel="0" collapsed="false">
      <c r="A17" s="13" t="s">
        <v>610</v>
      </c>
      <c r="B17" s="13" t="s">
        <v>609</v>
      </c>
      <c r="C17" s="13" t="s">
        <v>1536</v>
      </c>
      <c r="D17" s="13" t="s">
        <v>57</v>
      </c>
      <c r="E17" s="13" t="s">
        <v>633</v>
      </c>
      <c r="F17" s="13" t="s">
        <v>634</v>
      </c>
      <c r="G17" s="61" t="n">
        <v>419100328655</v>
      </c>
      <c r="H17" s="13" t="s">
        <v>1537</v>
      </c>
      <c r="I17" s="13"/>
      <c r="J17" s="13"/>
      <c r="K17" s="13" t="s">
        <v>1538</v>
      </c>
      <c r="L17" s="13" t="s">
        <v>1539</v>
      </c>
      <c r="M17" s="13" t="s">
        <v>1549</v>
      </c>
    </row>
    <row r="18" customFormat="false" ht="15" hidden="false" customHeight="false" outlineLevel="0" collapsed="false">
      <c r="A18" s="13" t="s">
        <v>610</v>
      </c>
      <c r="B18" s="13" t="s">
        <v>609</v>
      </c>
      <c r="C18" s="13" t="s">
        <v>1540</v>
      </c>
      <c r="D18" s="13" t="s">
        <v>57</v>
      </c>
      <c r="E18" s="13" t="s">
        <v>633</v>
      </c>
      <c r="F18" s="13" t="s">
        <v>634</v>
      </c>
      <c r="G18" s="61" t="n">
        <v>705032736652</v>
      </c>
      <c r="H18" s="13" t="s">
        <v>1537</v>
      </c>
      <c r="I18" s="13"/>
      <c r="J18" s="13"/>
      <c r="K18" s="13" t="s">
        <v>1541</v>
      </c>
      <c r="L18" s="13" t="s">
        <v>1542</v>
      </c>
      <c r="M18" s="13" t="s">
        <v>1549</v>
      </c>
    </row>
    <row r="19" customFormat="false" ht="15" hidden="false" customHeight="false" outlineLevel="0" collapsed="false">
      <c r="A19" s="13" t="s">
        <v>610</v>
      </c>
      <c r="B19" s="13" t="s">
        <v>609</v>
      </c>
      <c r="C19" s="13" t="s">
        <v>1543</v>
      </c>
      <c r="D19" s="13" t="s">
        <v>57</v>
      </c>
      <c r="E19" s="13" t="s">
        <v>633</v>
      </c>
      <c r="F19" s="13" t="s">
        <v>634</v>
      </c>
      <c r="G19" s="61" t="n">
        <v>557054293585</v>
      </c>
      <c r="H19" s="13" t="s">
        <v>1537</v>
      </c>
      <c r="I19" s="13"/>
      <c r="J19" s="13"/>
      <c r="K19" s="13" t="s">
        <v>1544</v>
      </c>
      <c r="L19" s="13" t="s">
        <v>1539</v>
      </c>
      <c r="M19" s="13" t="s">
        <v>1549</v>
      </c>
    </row>
    <row r="20" customFormat="false" ht="15" hidden="false" customHeight="false" outlineLevel="0" collapsed="false">
      <c r="A20" s="13" t="s">
        <v>610</v>
      </c>
      <c r="B20" s="13" t="s">
        <v>609</v>
      </c>
      <c r="C20" s="13" t="s">
        <v>1545</v>
      </c>
      <c r="D20" s="13" t="s">
        <v>57</v>
      </c>
      <c r="E20" s="13" t="s">
        <v>633</v>
      </c>
      <c r="F20" s="13" t="s">
        <v>634</v>
      </c>
      <c r="G20" s="61" t="n">
        <v>718020000000</v>
      </c>
      <c r="H20" s="13" t="s">
        <v>1537</v>
      </c>
      <c r="I20" s="13"/>
      <c r="J20" s="13"/>
      <c r="K20" s="13" t="s">
        <v>622</v>
      </c>
      <c r="L20" s="13" t="s">
        <v>1539</v>
      </c>
      <c r="M20" s="13" t="s">
        <v>1549</v>
      </c>
    </row>
    <row r="21" customFormat="false" ht="15" hidden="false" customHeight="false" outlineLevel="0" collapsed="false">
      <c r="A21" s="13" t="s">
        <v>610</v>
      </c>
      <c r="B21" s="13" t="s">
        <v>609</v>
      </c>
      <c r="C21" s="13" t="s">
        <v>1546</v>
      </c>
      <c r="D21" s="13" t="s">
        <v>57</v>
      </c>
      <c r="E21" s="13" t="s">
        <v>633</v>
      </c>
      <c r="F21" s="13" t="s">
        <v>634</v>
      </c>
      <c r="G21" s="61" t="n">
        <v>916443000000</v>
      </c>
      <c r="H21" s="13" t="s">
        <v>1537</v>
      </c>
      <c r="I21" s="13"/>
      <c r="J21" s="13"/>
      <c r="K21" s="13" t="s">
        <v>1547</v>
      </c>
      <c r="L21" s="13" t="s">
        <v>1539</v>
      </c>
      <c r="M21" s="13" t="s">
        <v>1549</v>
      </c>
    </row>
    <row r="22" customFormat="false" ht="15" hidden="false" customHeight="false" outlineLevel="0" collapsed="false">
      <c r="A22" s="13" t="s">
        <v>610</v>
      </c>
      <c r="B22" s="13" t="s">
        <v>609</v>
      </c>
      <c r="C22" s="13" t="s">
        <v>1548</v>
      </c>
      <c r="D22" s="13" t="s">
        <v>57</v>
      </c>
      <c r="E22" s="13" t="s">
        <v>633</v>
      </c>
      <c r="F22" s="13" t="s">
        <v>634</v>
      </c>
      <c r="G22" s="61" t="n">
        <v>1058876000000</v>
      </c>
      <c r="H22" s="13" t="s">
        <v>1537</v>
      </c>
      <c r="I22" s="13"/>
      <c r="J22" s="13"/>
      <c r="K22" s="13" t="s">
        <v>624</v>
      </c>
      <c r="L22" s="13" t="s">
        <v>1539</v>
      </c>
      <c r="M22" s="13" t="s">
        <v>1549</v>
      </c>
    </row>
    <row r="23" customFormat="false" ht="15" hidden="false" customHeight="false" outlineLevel="0" collapsed="false">
      <c r="A23" s="13" t="s">
        <v>610</v>
      </c>
      <c r="B23" s="13" t="s">
        <v>609</v>
      </c>
      <c r="C23" s="13" t="s">
        <v>1536</v>
      </c>
      <c r="D23" s="13" t="s">
        <v>57</v>
      </c>
      <c r="E23" s="13" t="s">
        <v>635</v>
      </c>
      <c r="F23" s="13" t="s">
        <v>636</v>
      </c>
      <c r="G23" s="61" t="n">
        <v>-10542219731</v>
      </c>
      <c r="H23" s="13" t="s">
        <v>1537</v>
      </c>
      <c r="I23" s="13"/>
      <c r="J23" s="13" t="s">
        <v>1538</v>
      </c>
      <c r="K23" s="13" t="s">
        <v>1538</v>
      </c>
      <c r="L23" s="13" t="s">
        <v>1539</v>
      </c>
      <c r="M23" s="13"/>
    </row>
    <row r="24" customFormat="false" ht="15" hidden="false" customHeight="false" outlineLevel="0" collapsed="false">
      <c r="A24" s="13" t="s">
        <v>610</v>
      </c>
      <c r="B24" s="13" t="s">
        <v>609</v>
      </c>
      <c r="C24" s="13" t="s">
        <v>1540</v>
      </c>
      <c r="D24" s="13" t="s">
        <v>57</v>
      </c>
      <c r="E24" s="13" t="s">
        <v>635</v>
      </c>
      <c r="F24" s="13" t="s">
        <v>636</v>
      </c>
      <c r="G24" s="61" t="n">
        <v>-16138644007</v>
      </c>
      <c r="H24" s="13" t="s">
        <v>1537</v>
      </c>
      <c r="I24" s="13"/>
      <c r="J24" s="13" t="s">
        <v>1541</v>
      </c>
      <c r="K24" s="13" t="s">
        <v>1541</v>
      </c>
      <c r="L24" s="13" t="s">
        <v>1542</v>
      </c>
      <c r="M24" s="13"/>
    </row>
    <row r="25" customFormat="false" ht="15" hidden="false" customHeight="false" outlineLevel="0" collapsed="false">
      <c r="A25" s="13" t="s">
        <v>610</v>
      </c>
      <c r="B25" s="13" t="s">
        <v>609</v>
      </c>
      <c r="C25" s="13" t="s">
        <v>1543</v>
      </c>
      <c r="D25" s="13" t="s">
        <v>57</v>
      </c>
      <c r="E25" s="13" t="s">
        <v>635</v>
      </c>
      <c r="F25" s="13" t="s">
        <v>636</v>
      </c>
      <c r="G25" s="61" t="n">
        <v>-24027267689</v>
      </c>
      <c r="H25" s="13" t="s">
        <v>1537</v>
      </c>
      <c r="I25" s="13"/>
      <c r="J25" s="13" t="s">
        <v>1544</v>
      </c>
      <c r="K25" s="13" t="s">
        <v>1544</v>
      </c>
      <c r="L25" s="13" t="s">
        <v>1539</v>
      </c>
      <c r="M25" s="13"/>
    </row>
    <row r="26" customFormat="false" ht="15" hidden="false" customHeight="false" outlineLevel="0" collapsed="false">
      <c r="A26" s="13" t="s">
        <v>610</v>
      </c>
      <c r="B26" s="13" t="s">
        <v>609</v>
      </c>
      <c r="C26" s="13" t="s">
        <v>1545</v>
      </c>
      <c r="D26" s="13" t="s">
        <v>57</v>
      </c>
      <c r="E26" s="13" t="s">
        <v>635</v>
      </c>
      <c r="F26" s="13" t="s">
        <v>636</v>
      </c>
      <c r="G26" s="61" t="n">
        <v>-34839000000</v>
      </c>
      <c r="H26" s="13" t="s">
        <v>1537</v>
      </c>
      <c r="I26" s="13"/>
      <c r="J26" s="13" t="s">
        <v>622</v>
      </c>
      <c r="K26" s="13" t="s">
        <v>622</v>
      </c>
      <c r="L26" s="13" t="s">
        <v>1539</v>
      </c>
      <c r="M26" s="13"/>
    </row>
    <row r="27" customFormat="false" ht="15" hidden="false" customHeight="false" outlineLevel="0" collapsed="false">
      <c r="A27" s="13" t="s">
        <v>610</v>
      </c>
      <c r="B27" s="13" t="s">
        <v>609</v>
      </c>
      <c r="C27" s="13" t="s">
        <v>1546</v>
      </c>
      <c r="D27" s="13" t="s">
        <v>57</v>
      </c>
      <c r="E27" s="13" t="s">
        <v>635</v>
      </c>
      <c r="F27" s="13" t="s">
        <v>636</v>
      </c>
      <c r="G27" s="61" t="n">
        <v>-44779000000</v>
      </c>
      <c r="H27" s="13" t="s">
        <v>1537</v>
      </c>
      <c r="I27" s="13"/>
      <c r="J27" s="13" t="s">
        <v>1547</v>
      </c>
      <c r="K27" s="13" t="s">
        <v>1547</v>
      </c>
      <c r="L27" s="13" t="s">
        <v>1539</v>
      </c>
      <c r="M27" s="13"/>
    </row>
    <row r="28" customFormat="false" ht="15" hidden="false" customHeight="false" outlineLevel="0" collapsed="false">
      <c r="A28" s="13" t="s">
        <v>610</v>
      </c>
      <c r="B28" s="13" t="s">
        <v>609</v>
      </c>
      <c r="C28" s="13" t="s">
        <v>1548</v>
      </c>
      <c r="D28" s="13" t="s">
        <v>57</v>
      </c>
      <c r="E28" s="13" t="s">
        <v>635</v>
      </c>
      <c r="F28" s="13" t="s">
        <v>636</v>
      </c>
      <c r="G28" s="61" t="n">
        <v>-53940000000</v>
      </c>
      <c r="H28" s="13" t="s">
        <v>1537</v>
      </c>
      <c r="I28" s="13"/>
      <c r="J28" s="13" t="s">
        <v>624</v>
      </c>
      <c r="K28" s="13" t="s">
        <v>624</v>
      </c>
      <c r="L28" s="13" t="s">
        <v>1539</v>
      </c>
      <c r="M28" s="13"/>
    </row>
    <row r="29" customFormat="false" ht="15" hidden="false" customHeight="false" outlineLevel="0" collapsed="false">
      <c r="A29" s="13" t="s">
        <v>610</v>
      </c>
      <c r="B29" s="13" t="s">
        <v>609</v>
      </c>
      <c r="C29" s="13" t="s">
        <v>1536</v>
      </c>
      <c r="D29" s="13" t="s">
        <v>57</v>
      </c>
      <c r="E29" s="13" t="s">
        <v>638</v>
      </c>
      <c r="F29" s="13" t="s">
        <v>639</v>
      </c>
      <c r="G29" s="61" t="n">
        <v>-392704802139</v>
      </c>
      <c r="H29" s="13" t="s">
        <v>1537</v>
      </c>
      <c r="I29" s="13"/>
      <c r="J29" s="13" t="s">
        <v>1538</v>
      </c>
      <c r="K29" s="13" t="s">
        <v>1538</v>
      </c>
      <c r="L29" s="13" t="s">
        <v>1539</v>
      </c>
      <c r="M29" s="13"/>
    </row>
    <row r="30" customFormat="false" ht="15" hidden="false" customHeight="false" outlineLevel="0" collapsed="false">
      <c r="A30" s="13" t="s">
        <v>610</v>
      </c>
      <c r="B30" s="13" t="s">
        <v>609</v>
      </c>
      <c r="C30" s="13" t="s">
        <v>1540</v>
      </c>
      <c r="D30" s="13" t="s">
        <v>57</v>
      </c>
      <c r="E30" s="13" t="s">
        <v>638</v>
      </c>
      <c r="F30" s="13" t="s">
        <v>639</v>
      </c>
      <c r="G30" s="61" t="n">
        <v>-462409623024</v>
      </c>
      <c r="H30" s="13" t="s">
        <v>1537</v>
      </c>
      <c r="I30" s="13"/>
      <c r="J30" s="13" t="s">
        <v>1541</v>
      </c>
      <c r="K30" s="13" t="s">
        <v>1541</v>
      </c>
      <c r="L30" s="13" t="s">
        <v>1542</v>
      </c>
      <c r="M30" s="13"/>
    </row>
    <row r="31" customFormat="false" ht="15" hidden="false" customHeight="false" outlineLevel="0" collapsed="false">
      <c r="A31" s="13" t="s">
        <v>610</v>
      </c>
      <c r="B31" s="13" t="s">
        <v>609</v>
      </c>
      <c r="C31" s="13" t="s">
        <v>1543</v>
      </c>
      <c r="D31" s="13" t="s">
        <v>57</v>
      </c>
      <c r="E31" s="13" t="s">
        <v>638</v>
      </c>
      <c r="F31" s="13" t="s">
        <v>639</v>
      </c>
      <c r="G31" s="61" t="n">
        <v>-502013236172</v>
      </c>
      <c r="H31" s="13" t="s">
        <v>1537</v>
      </c>
      <c r="I31" s="13"/>
      <c r="J31" s="13" t="s">
        <v>1544</v>
      </c>
      <c r="K31" s="13" t="s">
        <v>1544</v>
      </c>
      <c r="L31" s="13" t="s">
        <v>1539</v>
      </c>
      <c r="M31" s="13"/>
    </row>
    <row r="32" customFormat="false" ht="15" hidden="false" customHeight="false" outlineLevel="0" collapsed="false">
      <c r="A32" s="13" t="s">
        <v>610</v>
      </c>
      <c r="B32" s="13" t="s">
        <v>609</v>
      </c>
      <c r="C32" s="13" t="s">
        <v>1545</v>
      </c>
      <c r="D32" s="13" t="s">
        <v>57</v>
      </c>
      <c r="E32" s="13" t="s">
        <v>638</v>
      </c>
      <c r="F32" s="13" t="s">
        <v>639</v>
      </c>
      <c r="G32" s="61" t="n">
        <v>-576920000000</v>
      </c>
      <c r="H32" s="13" t="s">
        <v>1537</v>
      </c>
      <c r="I32" s="13"/>
      <c r="J32" s="13" t="s">
        <v>622</v>
      </c>
      <c r="K32" s="13" t="s">
        <v>622</v>
      </c>
      <c r="L32" s="13" t="s">
        <v>1539</v>
      </c>
      <c r="M32" s="13"/>
    </row>
    <row r="33" customFormat="false" ht="15" hidden="false" customHeight="false" outlineLevel="0" collapsed="false">
      <c r="A33" s="13" t="s">
        <v>610</v>
      </c>
      <c r="B33" s="13" t="s">
        <v>609</v>
      </c>
      <c r="C33" s="13" t="s">
        <v>1546</v>
      </c>
      <c r="D33" s="13" t="s">
        <v>57</v>
      </c>
      <c r="E33" s="13" t="s">
        <v>638</v>
      </c>
      <c r="F33" s="13" t="s">
        <v>639</v>
      </c>
      <c r="G33" s="61" t="n">
        <v>-689147000000</v>
      </c>
      <c r="H33" s="13" t="s">
        <v>1537</v>
      </c>
      <c r="I33" s="13"/>
      <c r="J33" s="13" t="s">
        <v>1547</v>
      </c>
      <c r="K33" s="13" t="s">
        <v>1547</v>
      </c>
      <c r="L33" s="13" t="s">
        <v>1539</v>
      </c>
      <c r="M33" s="13"/>
    </row>
    <row r="34" customFormat="false" ht="15" hidden="false" customHeight="false" outlineLevel="0" collapsed="false">
      <c r="A34" s="13" t="s">
        <v>610</v>
      </c>
      <c r="B34" s="13" t="s">
        <v>609</v>
      </c>
      <c r="C34" s="13" t="s">
        <v>1548</v>
      </c>
      <c r="D34" s="13" t="s">
        <v>57</v>
      </c>
      <c r="E34" s="13" t="s">
        <v>638</v>
      </c>
      <c r="F34" s="13" t="s">
        <v>639</v>
      </c>
      <c r="G34" s="61" t="n">
        <v>-922332000000</v>
      </c>
      <c r="H34" s="13" t="s">
        <v>1537</v>
      </c>
      <c r="I34" s="13"/>
      <c r="J34" s="13" t="s">
        <v>624</v>
      </c>
      <c r="K34" s="13" t="s">
        <v>624</v>
      </c>
      <c r="L34" s="13" t="s">
        <v>1539</v>
      </c>
      <c r="M34" s="13"/>
    </row>
    <row r="35" customFormat="false" ht="15" hidden="false" customHeight="false" outlineLevel="0" collapsed="false">
      <c r="A35" s="13" t="s">
        <v>610</v>
      </c>
      <c r="B35" s="13" t="s">
        <v>609</v>
      </c>
      <c r="C35" s="13" t="s">
        <v>1536</v>
      </c>
      <c r="D35" s="13" t="s">
        <v>57</v>
      </c>
      <c r="E35" s="13" t="s">
        <v>641</v>
      </c>
      <c r="F35" s="13" t="s">
        <v>642</v>
      </c>
      <c r="G35" s="61" t="n">
        <v>-403247021870</v>
      </c>
      <c r="H35" s="13" t="s">
        <v>1537</v>
      </c>
      <c r="I35" s="13"/>
      <c r="J35" s="13"/>
      <c r="K35" s="13" t="s">
        <v>1538</v>
      </c>
      <c r="L35" s="13" t="s">
        <v>1539</v>
      </c>
      <c r="M35" s="13" t="s">
        <v>1549</v>
      </c>
    </row>
    <row r="36" customFormat="false" ht="15" hidden="false" customHeight="false" outlineLevel="0" collapsed="false">
      <c r="A36" s="13" t="s">
        <v>610</v>
      </c>
      <c r="B36" s="13" t="s">
        <v>609</v>
      </c>
      <c r="C36" s="13" t="s">
        <v>1540</v>
      </c>
      <c r="D36" s="13" t="s">
        <v>57</v>
      </c>
      <c r="E36" s="13" t="s">
        <v>641</v>
      </c>
      <c r="F36" s="13" t="s">
        <v>642</v>
      </c>
      <c r="G36" s="61" t="n">
        <v>-478548267031</v>
      </c>
      <c r="H36" s="13" t="s">
        <v>1537</v>
      </c>
      <c r="I36" s="13"/>
      <c r="J36" s="13"/>
      <c r="K36" s="13" t="s">
        <v>1541</v>
      </c>
      <c r="L36" s="13" t="s">
        <v>1542</v>
      </c>
      <c r="M36" s="13" t="s">
        <v>1549</v>
      </c>
    </row>
    <row r="37" customFormat="false" ht="15" hidden="false" customHeight="false" outlineLevel="0" collapsed="false">
      <c r="A37" s="13" t="s">
        <v>610</v>
      </c>
      <c r="B37" s="13" t="s">
        <v>609</v>
      </c>
      <c r="C37" s="13" t="s">
        <v>1543</v>
      </c>
      <c r="D37" s="13" t="s">
        <v>57</v>
      </c>
      <c r="E37" s="13" t="s">
        <v>641</v>
      </c>
      <c r="F37" s="13" t="s">
        <v>642</v>
      </c>
      <c r="G37" s="61" t="n">
        <v>-526040503861</v>
      </c>
      <c r="H37" s="13" t="s">
        <v>1537</v>
      </c>
      <c r="I37" s="13"/>
      <c r="J37" s="13"/>
      <c r="K37" s="13" t="s">
        <v>1544</v>
      </c>
      <c r="L37" s="13" t="s">
        <v>1539</v>
      </c>
      <c r="M37" s="13" t="s">
        <v>1549</v>
      </c>
    </row>
    <row r="38" customFormat="false" ht="15" hidden="false" customHeight="false" outlineLevel="0" collapsed="false">
      <c r="A38" s="13" t="s">
        <v>610</v>
      </c>
      <c r="B38" s="13" t="s">
        <v>609</v>
      </c>
      <c r="C38" s="13" t="s">
        <v>1545</v>
      </c>
      <c r="D38" s="13" t="s">
        <v>57</v>
      </c>
      <c r="E38" s="13" t="s">
        <v>641</v>
      </c>
      <c r="F38" s="13" t="s">
        <v>642</v>
      </c>
      <c r="G38" s="61" t="n">
        <v>-611759000000</v>
      </c>
      <c r="H38" s="13" t="s">
        <v>1537</v>
      </c>
      <c r="I38" s="13"/>
      <c r="J38" s="13"/>
      <c r="K38" s="13" t="s">
        <v>622</v>
      </c>
      <c r="L38" s="13" t="s">
        <v>1539</v>
      </c>
      <c r="M38" s="13" t="s">
        <v>1549</v>
      </c>
    </row>
    <row r="39" customFormat="false" ht="15" hidden="false" customHeight="false" outlineLevel="0" collapsed="false">
      <c r="A39" s="13" t="s">
        <v>610</v>
      </c>
      <c r="B39" s="13" t="s">
        <v>609</v>
      </c>
      <c r="C39" s="13" t="s">
        <v>1546</v>
      </c>
      <c r="D39" s="13" t="s">
        <v>57</v>
      </c>
      <c r="E39" s="13" t="s">
        <v>641</v>
      </c>
      <c r="F39" s="13" t="s">
        <v>642</v>
      </c>
      <c r="G39" s="61" t="n">
        <v>-733926000000</v>
      </c>
      <c r="H39" s="13" t="s">
        <v>1537</v>
      </c>
      <c r="I39" s="13"/>
      <c r="J39" s="13"/>
      <c r="K39" s="13" t="s">
        <v>1547</v>
      </c>
      <c r="L39" s="13" t="s">
        <v>1539</v>
      </c>
      <c r="M39" s="13" t="s">
        <v>1549</v>
      </c>
    </row>
    <row r="40" customFormat="false" ht="15" hidden="false" customHeight="false" outlineLevel="0" collapsed="false">
      <c r="A40" s="13" t="s">
        <v>610</v>
      </c>
      <c r="B40" s="13" t="s">
        <v>609</v>
      </c>
      <c r="C40" s="13" t="s">
        <v>1548</v>
      </c>
      <c r="D40" s="13" t="s">
        <v>57</v>
      </c>
      <c r="E40" s="13" t="s">
        <v>641</v>
      </c>
      <c r="F40" s="13" t="s">
        <v>642</v>
      </c>
      <c r="G40" s="61" t="n">
        <v>-976272000000</v>
      </c>
      <c r="H40" s="13" t="s">
        <v>1537</v>
      </c>
      <c r="I40" s="13"/>
      <c r="J40" s="13"/>
      <c r="K40" s="13" t="s">
        <v>624</v>
      </c>
      <c r="L40" s="13" t="s">
        <v>1539</v>
      </c>
      <c r="M40" s="13" t="s">
        <v>1549</v>
      </c>
    </row>
    <row r="41" customFormat="false" ht="15" hidden="false" customHeight="false" outlineLevel="0" collapsed="false">
      <c r="A41" s="13" t="s">
        <v>610</v>
      </c>
      <c r="B41" s="13" t="s">
        <v>609</v>
      </c>
      <c r="C41" s="13" t="s">
        <v>1536</v>
      </c>
      <c r="D41" s="13" t="s">
        <v>57</v>
      </c>
      <c r="E41" s="13" t="s">
        <v>643</v>
      </c>
      <c r="F41" s="13" t="s">
        <v>644</v>
      </c>
      <c r="G41" s="61" t="n">
        <v>28429533228</v>
      </c>
      <c r="H41" s="13" t="s">
        <v>1537</v>
      </c>
      <c r="I41" s="13"/>
      <c r="J41" s="13" t="s">
        <v>1538</v>
      </c>
      <c r="K41" s="13" t="s">
        <v>1538</v>
      </c>
      <c r="L41" s="13" t="s">
        <v>1539</v>
      </c>
      <c r="M41" s="13"/>
    </row>
    <row r="42" customFormat="false" ht="15" hidden="false" customHeight="false" outlineLevel="0" collapsed="false">
      <c r="A42" s="13" t="s">
        <v>610</v>
      </c>
      <c r="B42" s="13" t="s">
        <v>609</v>
      </c>
      <c r="C42" s="13" t="s">
        <v>1540</v>
      </c>
      <c r="D42" s="13" t="s">
        <v>57</v>
      </c>
      <c r="E42" s="13" t="s">
        <v>643</v>
      </c>
      <c r="F42" s="13" t="s">
        <v>644</v>
      </c>
      <c r="G42" s="61" t="n">
        <v>24028154926</v>
      </c>
      <c r="H42" s="13" t="s">
        <v>1537</v>
      </c>
      <c r="I42" s="13"/>
      <c r="J42" s="13" t="s">
        <v>1541</v>
      </c>
      <c r="K42" s="13" t="s">
        <v>1541</v>
      </c>
      <c r="L42" s="13" t="s">
        <v>1542</v>
      </c>
      <c r="M42" s="13"/>
    </row>
    <row r="43" customFormat="false" ht="15" hidden="false" customHeight="false" outlineLevel="0" collapsed="false">
      <c r="A43" s="13" t="s">
        <v>610</v>
      </c>
      <c r="B43" s="13" t="s">
        <v>609</v>
      </c>
      <c r="C43" s="13" t="s">
        <v>1543</v>
      </c>
      <c r="D43" s="13" t="s">
        <v>57</v>
      </c>
      <c r="E43" s="13" t="s">
        <v>643</v>
      </c>
      <c r="F43" s="13" t="s">
        <v>644</v>
      </c>
      <c r="G43" s="61" t="n">
        <v>4159861446</v>
      </c>
      <c r="H43" s="13" t="s">
        <v>1537</v>
      </c>
      <c r="I43" s="13"/>
      <c r="J43" s="13" t="s">
        <v>1544</v>
      </c>
      <c r="K43" s="13" t="s">
        <v>1544</v>
      </c>
      <c r="L43" s="13" t="s">
        <v>1539</v>
      </c>
      <c r="M43" s="13"/>
    </row>
    <row r="44" customFormat="false" ht="15" hidden="false" customHeight="false" outlineLevel="0" collapsed="false">
      <c r="A44" s="13" t="s">
        <v>610</v>
      </c>
      <c r="B44" s="13" t="s">
        <v>609</v>
      </c>
      <c r="C44" s="13" t="s">
        <v>1545</v>
      </c>
      <c r="D44" s="13" t="s">
        <v>57</v>
      </c>
      <c r="E44" s="13" t="s">
        <v>643</v>
      </c>
      <c r="F44" s="13" t="s">
        <v>644</v>
      </c>
      <c r="G44" s="61" t="n">
        <v>7014000000</v>
      </c>
      <c r="H44" s="13" t="s">
        <v>1537</v>
      </c>
      <c r="I44" s="13"/>
      <c r="J44" s="13" t="s">
        <v>622</v>
      </c>
      <c r="K44" s="13" t="s">
        <v>622</v>
      </c>
      <c r="L44" s="13" t="s">
        <v>1539</v>
      </c>
      <c r="M44" s="13"/>
    </row>
    <row r="45" customFormat="false" ht="15" hidden="false" customHeight="false" outlineLevel="0" collapsed="false">
      <c r="A45" s="13" t="s">
        <v>610</v>
      </c>
      <c r="B45" s="13" t="s">
        <v>609</v>
      </c>
      <c r="C45" s="13" t="s">
        <v>1546</v>
      </c>
      <c r="D45" s="13" t="s">
        <v>57</v>
      </c>
      <c r="E45" s="13" t="s">
        <v>643</v>
      </c>
      <c r="F45" s="13" t="s">
        <v>644</v>
      </c>
      <c r="G45" s="61" t="n">
        <v>-24777000000</v>
      </c>
      <c r="H45" s="13" t="s">
        <v>1537</v>
      </c>
      <c r="I45" s="13"/>
      <c r="J45" s="13" t="s">
        <v>1550</v>
      </c>
      <c r="K45" s="13" t="s">
        <v>1547</v>
      </c>
      <c r="L45" s="13" t="s">
        <v>1539</v>
      </c>
      <c r="M45" s="13"/>
    </row>
    <row r="46" customFormat="false" ht="15" hidden="false" customHeight="false" outlineLevel="0" collapsed="false">
      <c r="A46" s="13" t="s">
        <v>610</v>
      </c>
      <c r="B46" s="13" t="s">
        <v>609</v>
      </c>
      <c r="C46" s="13" t="s">
        <v>1548</v>
      </c>
      <c r="D46" s="13" t="s">
        <v>57</v>
      </c>
      <c r="E46" s="13" t="s">
        <v>643</v>
      </c>
      <c r="F46" s="13" t="s">
        <v>644</v>
      </c>
      <c r="G46" s="61" t="n">
        <v>2883000000</v>
      </c>
      <c r="H46" s="13" t="s">
        <v>1537</v>
      </c>
      <c r="I46" s="13"/>
      <c r="J46" s="13" t="s">
        <v>1551</v>
      </c>
      <c r="K46" s="13" t="s">
        <v>624</v>
      </c>
      <c r="L46" s="13" t="s">
        <v>1539</v>
      </c>
      <c r="M46" s="13"/>
    </row>
    <row r="47" customFormat="false" ht="15" hidden="false" customHeight="false" outlineLevel="0" collapsed="false">
      <c r="A47" s="13" t="s">
        <v>610</v>
      </c>
      <c r="B47" s="13" t="s">
        <v>609</v>
      </c>
      <c r="C47" s="13" t="s">
        <v>1536</v>
      </c>
      <c r="D47" s="13" t="s">
        <v>57</v>
      </c>
      <c r="E47" s="13" t="s">
        <v>646</v>
      </c>
      <c r="F47" s="13" t="s">
        <v>353</v>
      </c>
      <c r="G47" s="61" t="n">
        <v>28429533228</v>
      </c>
      <c r="H47" s="13" t="s">
        <v>1537</v>
      </c>
      <c r="I47" s="13"/>
      <c r="J47" s="13"/>
      <c r="K47" s="13" t="s">
        <v>1538</v>
      </c>
      <c r="L47" s="13" t="s">
        <v>1539</v>
      </c>
      <c r="M47" s="13" t="s">
        <v>1549</v>
      </c>
    </row>
    <row r="48" customFormat="false" ht="15" hidden="false" customHeight="false" outlineLevel="0" collapsed="false">
      <c r="A48" s="13" t="s">
        <v>610</v>
      </c>
      <c r="B48" s="13" t="s">
        <v>609</v>
      </c>
      <c r="C48" s="13" t="s">
        <v>1540</v>
      </c>
      <c r="D48" s="13" t="s">
        <v>57</v>
      </c>
      <c r="E48" s="13" t="s">
        <v>646</v>
      </c>
      <c r="F48" s="13" t="s">
        <v>353</v>
      </c>
      <c r="G48" s="61" t="n">
        <v>24028154926</v>
      </c>
      <c r="H48" s="13" t="s">
        <v>1537</v>
      </c>
      <c r="I48" s="13"/>
      <c r="J48" s="13"/>
      <c r="K48" s="13" t="s">
        <v>1541</v>
      </c>
      <c r="L48" s="13" t="s">
        <v>1542</v>
      </c>
      <c r="M48" s="13" t="s">
        <v>1549</v>
      </c>
    </row>
    <row r="49" customFormat="false" ht="15" hidden="false" customHeight="false" outlineLevel="0" collapsed="false">
      <c r="A49" s="13" t="s">
        <v>610</v>
      </c>
      <c r="B49" s="13" t="s">
        <v>609</v>
      </c>
      <c r="C49" s="13" t="s">
        <v>1543</v>
      </c>
      <c r="D49" s="13" t="s">
        <v>57</v>
      </c>
      <c r="E49" s="13" t="s">
        <v>646</v>
      </c>
      <c r="F49" s="13" t="s">
        <v>353</v>
      </c>
      <c r="G49" s="61" t="n">
        <v>4159861446</v>
      </c>
      <c r="H49" s="13" t="s">
        <v>1537</v>
      </c>
      <c r="I49" s="13"/>
      <c r="J49" s="13"/>
      <c r="K49" s="13" t="s">
        <v>1544</v>
      </c>
      <c r="L49" s="13" t="s">
        <v>1539</v>
      </c>
      <c r="M49" s="13" t="s">
        <v>1549</v>
      </c>
    </row>
    <row r="50" customFormat="false" ht="15" hidden="false" customHeight="false" outlineLevel="0" collapsed="false">
      <c r="A50" s="13" t="s">
        <v>610</v>
      </c>
      <c r="B50" s="13" t="s">
        <v>609</v>
      </c>
      <c r="C50" s="13" t="s">
        <v>1545</v>
      </c>
      <c r="D50" s="13" t="s">
        <v>57</v>
      </c>
      <c r="E50" s="13" t="s">
        <v>646</v>
      </c>
      <c r="F50" s="13" t="s">
        <v>353</v>
      </c>
      <c r="G50" s="61" t="n">
        <v>7014000000</v>
      </c>
      <c r="H50" s="13" t="s">
        <v>1537</v>
      </c>
      <c r="I50" s="13"/>
      <c r="J50" s="13"/>
      <c r="K50" s="13" t="s">
        <v>622</v>
      </c>
      <c r="L50" s="13" t="s">
        <v>1539</v>
      </c>
      <c r="M50" s="13" t="s">
        <v>1549</v>
      </c>
    </row>
    <row r="51" customFormat="false" ht="15" hidden="false" customHeight="false" outlineLevel="0" collapsed="false">
      <c r="A51" s="13" t="s">
        <v>610</v>
      </c>
      <c r="B51" s="13" t="s">
        <v>609</v>
      </c>
      <c r="C51" s="13" t="s">
        <v>1546</v>
      </c>
      <c r="D51" s="13" t="s">
        <v>57</v>
      </c>
      <c r="E51" s="13" t="s">
        <v>646</v>
      </c>
      <c r="F51" s="13" t="s">
        <v>353</v>
      </c>
      <c r="G51" s="61" t="n">
        <v>-24777000000</v>
      </c>
      <c r="H51" s="13" t="s">
        <v>1537</v>
      </c>
      <c r="I51" s="13"/>
      <c r="J51" s="13"/>
      <c r="K51" s="13" t="s">
        <v>1547</v>
      </c>
      <c r="L51" s="13" t="s">
        <v>1539</v>
      </c>
      <c r="M51" s="13" t="s">
        <v>1549</v>
      </c>
    </row>
    <row r="52" customFormat="false" ht="15" hidden="false" customHeight="false" outlineLevel="0" collapsed="false">
      <c r="A52" s="13" t="s">
        <v>610</v>
      </c>
      <c r="B52" s="13" t="s">
        <v>609</v>
      </c>
      <c r="C52" s="13" t="s">
        <v>1548</v>
      </c>
      <c r="D52" s="13" t="s">
        <v>57</v>
      </c>
      <c r="E52" s="13" t="s">
        <v>646</v>
      </c>
      <c r="F52" s="13" t="s">
        <v>353</v>
      </c>
      <c r="G52" s="61" t="n">
        <v>2883000000</v>
      </c>
      <c r="H52" s="13" t="s">
        <v>1537</v>
      </c>
      <c r="I52" s="13"/>
      <c r="J52" s="13"/>
      <c r="K52" s="13" t="s">
        <v>624</v>
      </c>
      <c r="L52" s="13" t="s">
        <v>1539</v>
      </c>
      <c r="M52" s="13" t="s">
        <v>1549</v>
      </c>
    </row>
    <row r="53" customFormat="false" ht="15" hidden="false" customHeight="false" outlineLevel="0" collapsed="false">
      <c r="A53" s="13" t="s">
        <v>610</v>
      </c>
      <c r="B53" s="13" t="s">
        <v>609</v>
      </c>
      <c r="C53" s="13" t="s">
        <v>1536</v>
      </c>
      <c r="D53" s="13" t="s">
        <v>57</v>
      </c>
      <c r="E53" s="13" t="s">
        <v>647</v>
      </c>
      <c r="F53" s="13" t="s">
        <v>648</v>
      </c>
      <c r="G53" s="61" t="n">
        <v>44282840013</v>
      </c>
      <c r="H53" s="13" t="s">
        <v>1537</v>
      </c>
      <c r="I53" s="13"/>
      <c r="J53" s="13"/>
      <c r="K53" s="13" t="s">
        <v>1538</v>
      </c>
      <c r="L53" s="13" t="s">
        <v>1539</v>
      </c>
      <c r="M53" s="13" t="s">
        <v>1549</v>
      </c>
    </row>
    <row r="54" customFormat="false" ht="15" hidden="false" customHeight="false" outlineLevel="0" collapsed="false">
      <c r="A54" s="13" t="s">
        <v>610</v>
      </c>
      <c r="B54" s="13" t="s">
        <v>609</v>
      </c>
      <c r="C54" s="13" t="s">
        <v>1540</v>
      </c>
      <c r="D54" s="13" t="s">
        <v>57</v>
      </c>
      <c r="E54" s="13" t="s">
        <v>647</v>
      </c>
      <c r="F54" s="13" t="s">
        <v>648</v>
      </c>
      <c r="G54" s="61" t="n">
        <v>250512624547</v>
      </c>
      <c r="H54" s="13" t="s">
        <v>1537</v>
      </c>
      <c r="I54" s="13"/>
      <c r="J54" s="13"/>
      <c r="K54" s="13" t="s">
        <v>1541</v>
      </c>
      <c r="L54" s="13" t="s">
        <v>1542</v>
      </c>
      <c r="M54" s="13" t="s">
        <v>1549</v>
      </c>
    </row>
    <row r="55" customFormat="false" ht="15" hidden="false" customHeight="false" outlineLevel="0" collapsed="false">
      <c r="A55" s="13" t="s">
        <v>610</v>
      </c>
      <c r="B55" s="13" t="s">
        <v>609</v>
      </c>
      <c r="C55" s="13" t="s">
        <v>1543</v>
      </c>
      <c r="D55" s="13" t="s">
        <v>57</v>
      </c>
      <c r="E55" s="13" t="s">
        <v>647</v>
      </c>
      <c r="F55" s="13" t="s">
        <v>648</v>
      </c>
      <c r="G55" s="61" t="n">
        <v>35173651170</v>
      </c>
      <c r="H55" s="13" t="s">
        <v>1537</v>
      </c>
      <c r="I55" s="13"/>
      <c r="J55" s="13"/>
      <c r="K55" s="13" t="s">
        <v>1544</v>
      </c>
      <c r="L55" s="13" t="s">
        <v>1539</v>
      </c>
      <c r="M55" s="13" t="s">
        <v>1549</v>
      </c>
    </row>
    <row r="56" customFormat="false" ht="15" hidden="false" customHeight="false" outlineLevel="0" collapsed="false">
      <c r="A56" s="13" t="s">
        <v>610</v>
      </c>
      <c r="B56" s="13" t="s">
        <v>609</v>
      </c>
      <c r="C56" s="13" t="s">
        <v>1545</v>
      </c>
      <c r="D56" s="13" t="s">
        <v>57</v>
      </c>
      <c r="E56" s="13" t="s">
        <v>647</v>
      </c>
      <c r="F56" s="13" t="s">
        <v>648</v>
      </c>
      <c r="G56" s="61" t="n">
        <v>113275000000</v>
      </c>
      <c r="H56" s="13" t="s">
        <v>1537</v>
      </c>
      <c r="I56" s="13"/>
      <c r="J56" s="13"/>
      <c r="K56" s="13" t="s">
        <v>622</v>
      </c>
      <c r="L56" s="13" t="s">
        <v>1539</v>
      </c>
      <c r="M56" s="13" t="s">
        <v>1549</v>
      </c>
    </row>
    <row r="57" customFormat="false" ht="15" hidden="false" customHeight="false" outlineLevel="0" collapsed="false">
      <c r="A57" s="13" t="s">
        <v>610</v>
      </c>
      <c r="B57" s="13" t="s">
        <v>609</v>
      </c>
      <c r="C57" s="13" t="s">
        <v>1546</v>
      </c>
      <c r="D57" s="13" t="s">
        <v>57</v>
      </c>
      <c r="E57" s="13" t="s">
        <v>647</v>
      </c>
      <c r="F57" s="13" t="s">
        <v>648</v>
      </c>
      <c r="G57" s="61" t="n">
        <v>157740000000</v>
      </c>
      <c r="H57" s="13" t="s">
        <v>1537</v>
      </c>
      <c r="I57" s="13"/>
      <c r="J57" s="13"/>
      <c r="K57" s="13" t="s">
        <v>1547</v>
      </c>
      <c r="L57" s="13" t="s">
        <v>1539</v>
      </c>
      <c r="M57" s="13" t="s">
        <v>1549</v>
      </c>
    </row>
    <row r="58" customFormat="false" ht="15" hidden="false" customHeight="false" outlineLevel="0" collapsed="false">
      <c r="A58" s="13" t="s">
        <v>610</v>
      </c>
      <c r="B58" s="13" t="s">
        <v>609</v>
      </c>
      <c r="C58" s="13" t="s">
        <v>1548</v>
      </c>
      <c r="D58" s="13" t="s">
        <v>57</v>
      </c>
      <c r="E58" s="13" t="s">
        <v>647</v>
      </c>
      <c r="F58" s="13" t="s">
        <v>648</v>
      </c>
      <c r="G58" s="61" t="n">
        <v>85487000000</v>
      </c>
      <c r="H58" s="13" t="s">
        <v>1537</v>
      </c>
      <c r="I58" s="13"/>
      <c r="J58" s="13"/>
      <c r="K58" s="13" t="s">
        <v>624</v>
      </c>
      <c r="L58" s="13" t="s">
        <v>1539</v>
      </c>
      <c r="M58" s="13" t="s">
        <v>1549</v>
      </c>
    </row>
    <row r="59" customFormat="false" ht="15" hidden="false" customHeight="false" outlineLevel="0" collapsed="false">
      <c r="A59" s="13" t="s">
        <v>610</v>
      </c>
      <c r="B59" s="13" t="s">
        <v>609</v>
      </c>
      <c r="C59" s="13" t="s">
        <v>1536</v>
      </c>
      <c r="D59" s="13" t="s">
        <v>57</v>
      </c>
      <c r="E59" s="13" t="s">
        <v>649</v>
      </c>
      <c r="F59" s="13" t="s">
        <v>365</v>
      </c>
      <c r="G59" s="61" t="n">
        <v>-70561549474</v>
      </c>
      <c r="H59" s="13" t="s">
        <v>1537</v>
      </c>
      <c r="I59" s="13"/>
      <c r="J59" s="13" t="s">
        <v>1538</v>
      </c>
      <c r="K59" s="13" t="s">
        <v>1538</v>
      </c>
      <c r="L59" s="13" t="s">
        <v>1539</v>
      </c>
      <c r="M59" s="13"/>
    </row>
    <row r="60" customFormat="false" ht="15" hidden="false" customHeight="false" outlineLevel="0" collapsed="false">
      <c r="A60" s="13" t="s">
        <v>610</v>
      </c>
      <c r="B60" s="13" t="s">
        <v>609</v>
      </c>
      <c r="C60" s="13" t="s">
        <v>1540</v>
      </c>
      <c r="D60" s="13" t="s">
        <v>57</v>
      </c>
      <c r="E60" s="13" t="s">
        <v>649</v>
      </c>
      <c r="F60" s="13" t="s">
        <v>365</v>
      </c>
      <c r="G60" s="61" t="n">
        <v>-118034051135</v>
      </c>
      <c r="H60" s="13" t="s">
        <v>1537</v>
      </c>
      <c r="I60" s="13"/>
      <c r="J60" s="13" t="s">
        <v>1541</v>
      </c>
      <c r="K60" s="13" t="s">
        <v>1541</v>
      </c>
      <c r="L60" s="13" t="s">
        <v>1542</v>
      </c>
      <c r="M60" s="13"/>
    </row>
    <row r="61" customFormat="false" ht="15" hidden="false" customHeight="false" outlineLevel="0" collapsed="false">
      <c r="A61" s="13" t="s">
        <v>610</v>
      </c>
      <c r="B61" s="13" t="s">
        <v>609</v>
      </c>
      <c r="C61" s="13" t="s">
        <v>1543</v>
      </c>
      <c r="D61" s="13" t="s">
        <v>57</v>
      </c>
      <c r="E61" s="13" t="s">
        <v>649</v>
      </c>
      <c r="F61" s="13" t="s">
        <v>365</v>
      </c>
      <c r="G61" s="61" t="n">
        <v>-96665120830</v>
      </c>
      <c r="H61" s="13" t="s">
        <v>1537</v>
      </c>
      <c r="I61" s="13"/>
      <c r="J61" s="13" t="s">
        <v>1544</v>
      </c>
      <c r="K61" s="13" t="s">
        <v>1544</v>
      </c>
      <c r="L61" s="13" t="s">
        <v>1539</v>
      </c>
      <c r="M61" s="13"/>
    </row>
    <row r="62" customFormat="false" ht="15" hidden="false" customHeight="false" outlineLevel="0" collapsed="false">
      <c r="A62" s="13" t="s">
        <v>610</v>
      </c>
      <c r="B62" s="13" t="s">
        <v>609</v>
      </c>
      <c r="C62" s="13" t="s">
        <v>1545</v>
      </c>
      <c r="D62" s="13" t="s">
        <v>57</v>
      </c>
      <c r="E62" s="13" t="s">
        <v>649</v>
      </c>
      <c r="F62" s="13" t="s">
        <v>365</v>
      </c>
      <c r="G62" s="61" t="n">
        <v>-173685000000</v>
      </c>
      <c r="H62" s="13" t="s">
        <v>1537</v>
      </c>
      <c r="I62" s="13"/>
      <c r="J62" s="13" t="s">
        <v>622</v>
      </c>
      <c r="K62" s="13" t="s">
        <v>622</v>
      </c>
      <c r="L62" s="13" t="s">
        <v>1539</v>
      </c>
      <c r="M62" s="13"/>
    </row>
    <row r="63" customFormat="false" ht="15" hidden="false" customHeight="false" outlineLevel="0" collapsed="false">
      <c r="A63" s="13" t="s">
        <v>610</v>
      </c>
      <c r="B63" s="13" t="s">
        <v>609</v>
      </c>
      <c r="C63" s="13" t="s">
        <v>1546</v>
      </c>
      <c r="D63" s="13" t="s">
        <v>57</v>
      </c>
      <c r="E63" s="13" t="s">
        <v>649</v>
      </c>
      <c r="F63" s="13" t="s">
        <v>365</v>
      </c>
      <c r="G63" s="61" t="n">
        <v>-173863000000</v>
      </c>
      <c r="H63" s="13" t="s">
        <v>1537</v>
      </c>
      <c r="I63" s="13"/>
      <c r="J63" s="13" t="s">
        <v>1547</v>
      </c>
      <c r="K63" s="13" t="s">
        <v>1547</v>
      </c>
      <c r="L63" s="13" t="s">
        <v>1539</v>
      </c>
      <c r="M63" s="13"/>
    </row>
    <row r="64" customFormat="false" ht="15" hidden="false" customHeight="false" outlineLevel="0" collapsed="false">
      <c r="A64" s="13" t="s">
        <v>610</v>
      </c>
      <c r="B64" s="13" t="s">
        <v>609</v>
      </c>
      <c r="C64" s="13" t="s">
        <v>1548</v>
      </c>
      <c r="D64" s="13" t="s">
        <v>57</v>
      </c>
      <c r="E64" s="13" t="s">
        <v>649</v>
      </c>
      <c r="F64" s="13" t="s">
        <v>365</v>
      </c>
      <c r="G64" s="61" t="n">
        <v>-387554000000</v>
      </c>
      <c r="H64" s="13" t="s">
        <v>1537</v>
      </c>
      <c r="I64" s="13"/>
      <c r="J64" s="13" t="s">
        <v>1552</v>
      </c>
      <c r="K64" s="13" t="s">
        <v>624</v>
      </c>
      <c r="L64" s="13" t="s">
        <v>1539</v>
      </c>
      <c r="M64" s="13"/>
    </row>
    <row r="65" customFormat="false" ht="15" hidden="false" customHeight="false" outlineLevel="0" collapsed="false">
      <c r="A65" s="13" t="s">
        <v>610</v>
      </c>
      <c r="B65" s="13" t="s">
        <v>609</v>
      </c>
      <c r="C65" s="13" t="s">
        <v>1536</v>
      </c>
      <c r="D65" s="13" t="s">
        <v>57</v>
      </c>
      <c r="E65" s="13" t="s">
        <v>651</v>
      </c>
      <c r="F65" s="13" t="s">
        <v>362</v>
      </c>
      <c r="G65" s="61" t="n">
        <v>26470099827</v>
      </c>
      <c r="H65" s="13" t="s">
        <v>1537</v>
      </c>
      <c r="I65" s="13"/>
      <c r="J65" s="13" t="s">
        <v>1538</v>
      </c>
      <c r="K65" s="13" t="s">
        <v>1538</v>
      </c>
      <c r="L65" s="13" t="s">
        <v>1539</v>
      </c>
      <c r="M65" s="13"/>
    </row>
    <row r="66" customFormat="false" ht="15" hidden="false" customHeight="false" outlineLevel="0" collapsed="false">
      <c r="A66" s="13" t="s">
        <v>610</v>
      </c>
      <c r="B66" s="13" t="s">
        <v>609</v>
      </c>
      <c r="C66" s="13" t="s">
        <v>1540</v>
      </c>
      <c r="D66" s="13" t="s">
        <v>57</v>
      </c>
      <c r="E66" s="13" t="s">
        <v>651</v>
      </c>
      <c r="F66" s="13" t="s">
        <v>362</v>
      </c>
      <c r="G66" s="61" t="n">
        <v>23940936423</v>
      </c>
      <c r="H66" s="13" t="s">
        <v>1537</v>
      </c>
      <c r="I66" s="13"/>
      <c r="J66" s="13" t="s">
        <v>1541</v>
      </c>
      <c r="K66" s="13" t="s">
        <v>1541</v>
      </c>
      <c r="L66" s="13" t="s">
        <v>1542</v>
      </c>
      <c r="M66" s="13"/>
    </row>
    <row r="67" customFormat="false" ht="15" hidden="false" customHeight="false" outlineLevel="0" collapsed="false">
      <c r="A67" s="13" t="s">
        <v>610</v>
      </c>
      <c r="B67" s="13" t="s">
        <v>609</v>
      </c>
      <c r="C67" s="13" t="s">
        <v>1543</v>
      </c>
      <c r="D67" s="13" t="s">
        <v>57</v>
      </c>
      <c r="E67" s="13" t="s">
        <v>651</v>
      </c>
      <c r="F67" s="13" t="s">
        <v>362</v>
      </c>
      <c r="G67" s="61" t="n">
        <v>19404583424</v>
      </c>
      <c r="H67" s="13" t="s">
        <v>1537</v>
      </c>
      <c r="I67" s="13"/>
      <c r="J67" s="13" t="s">
        <v>1544</v>
      </c>
      <c r="K67" s="13" t="s">
        <v>1544</v>
      </c>
      <c r="L67" s="13" t="s">
        <v>1539</v>
      </c>
      <c r="M67" s="13"/>
    </row>
    <row r="68" customFormat="false" ht="15" hidden="false" customHeight="false" outlineLevel="0" collapsed="false">
      <c r="A68" s="13" t="s">
        <v>610</v>
      </c>
      <c r="B68" s="13" t="s">
        <v>609</v>
      </c>
      <c r="C68" s="13" t="s">
        <v>1545</v>
      </c>
      <c r="D68" s="13" t="s">
        <v>57</v>
      </c>
      <c r="E68" s="13" t="s">
        <v>651</v>
      </c>
      <c r="F68" s="13" t="s">
        <v>362</v>
      </c>
      <c r="G68" s="61" t="n">
        <v>29119000000</v>
      </c>
      <c r="H68" s="13" t="s">
        <v>1537</v>
      </c>
      <c r="I68" s="13"/>
      <c r="J68" s="13" t="s">
        <v>622</v>
      </c>
      <c r="K68" s="13" t="s">
        <v>622</v>
      </c>
      <c r="L68" s="13" t="s">
        <v>1539</v>
      </c>
      <c r="M68" s="13"/>
    </row>
    <row r="69" customFormat="false" ht="15" hidden="false" customHeight="false" outlineLevel="0" collapsed="false">
      <c r="A69" s="13" t="s">
        <v>610</v>
      </c>
      <c r="B69" s="13" t="s">
        <v>609</v>
      </c>
      <c r="C69" s="13" t="s">
        <v>1546</v>
      </c>
      <c r="D69" s="13" t="s">
        <v>57</v>
      </c>
      <c r="E69" s="13" t="s">
        <v>651</v>
      </c>
      <c r="F69" s="13" t="s">
        <v>362</v>
      </c>
      <c r="G69" s="61" t="n">
        <v>13483000000</v>
      </c>
      <c r="H69" s="13" t="s">
        <v>1537</v>
      </c>
      <c r="I69" s="13"/>
      <c r="J69" s="13" t="s">
        <v>1547</v>
      </c>
      <c r="K69" s="13" t="s">
        <v>1547</v>
      </c>
      <c r="L69" s="13" t="s">
        <v>1539</v>
      </c>
      <c r="M69" s="13"/>
    </row>
    <row r="70" customFormat="false" ht="15" hidden="false" customHeight="false" outlineLevel="0" collapsed="false">
      <c r="A70" s="13" t="s">
        <v>610</v>
      </c>
      <c r="B70" s="13" t="s">
        <v>609</v>
      </c>
      <c r="C70" s="13" t="s">
        <v>1548</v>
      </c>
      <c r="D70" s="13" t="s">
        <v>57</v>
      </c>
      <c r="E70" s="13" t="s">
        <v>651</v>
      </c>
      <c r="F70" s="13" t="s">
        <v>362</v>
      </c>
      <c r="G70" s="61" t="n">
        <v>66897000000</v>
      </c>
      <c r="H70" s="13" t="s">
        <v>1537</v>
      </c>
      <c r="I70" s="13"/>
      <c r="J70" s="13" t="s">
        <v>624</v>
      </c>
      <c r="K70" s="13" t="s">
        <v>624</v>
      </c>
      <c r="L70" s="13" t="s">
        <v>1539</v>
      </c>
      <c r="M70" s="13"/>
    </row>
    <row r="71" customFormat="false" ht="15" hidden="false" customHeight="false" outlineLevel="0" collapsed="false">
      <c r="A71" s="13" t="s">
        <v>610</v>
      </c>
      <c r="B71" s="13" t="s">
        <v>609</v>
      </c>
      <c r="C71" s="13" t="s">
        <v>1536</v>
      </c>
      <c r="D71" s="13" t="s">
        <v>57</v>
      </c>
      <c r="E71" s="13" t="s">
        <v>653</v>
      </c>
      <c r="F71" s="13" t="s">
        <v>654</v>
      </c>
      <c r="G71" s="61" t="n">
        <v>191390366</v>
      </c>
      <c r="H71" s="13" t="s">
        <v>1537</v>
      </c>
      <c r="I71" s="13"/>
      <c r="J71" s="13"/>
      <c r="K71" s="13" t="s">
        <v>1538</v>
      </c>
      <c r="L71" s="13" t="s">
        <v>1539</v>
      </c>
      <c r="M71" s="13" t="s">
        <v>1549</v>
      </c>
    </row>
    <row r="72" customFormat="false" ht="15" hidden="false" customHeight="false" outlineLevel="0" collapsed="false">
      <c r="A72" s="13" t="s">
        <v>610</v>
      </c>
      <c r="B72" s="13" t="s">
        <v>609</v>
      </c>
      <c r="C72" s="13" t="s">
        <v>1540</v>
      </c>
      <c r="D72" s="13" t="s">
        <v>57</v>
      </c>
      <c r="E72" s="13" t="s">
        <v>653</v>
      </c>
      <c r="F72" s="13" t="s">
        <v>654</v>
      </c>
      <c r="G72" s="61" t="n">
        <v>156419509835</v>
      </c>
      <c r="H72" s="13" t="s">
        <v>1537</v>
      </c>
      <c r="I72" s="13"/>
      <c r="J72" s="13"/>
      <c r="K72" s="13" t="s">
        <v>1541</v>
      </c>
      <c r="L72" s="13" t="s">
        <v>1542</v>
      </c>
      <c r="M72" s="13" t="s">
        <v>1549</v>
      </c>
    </row>
    <row r="73" customFormat="false" ht="15" hidden="false" customHeight="false" outlineLevel="0" collapsed="false">
      <c r="A73" s="13" t="s">
        <v>610</v>
      </c>
      <c r="B73" s="13" t="s">
        <v>609</v>
      </c>
      <c r="C73" s="13" t="s">
        <v>1543</v>
      </c>
      <c r="D73" s="13" t="s">
        <v>57</v>
      </c>
      <c r="E73" s="13" t="s">
        <v>653</v>
      </c>
      <c r="F73" s="13" t="s">
        <v>654</v>
      </c>
      <c r="G73" s="61" t="n">
        <v>-42086886236</v>
      </c>
      <c r="H73" s="13" t="s">
        <v>1537</v>
      </c>
      <c r="I73" s="13"/>
      <c r="J73" s="13"/>
      <c r="K73" s="13" t="s">
        <v>1544</v>
      </c>
      <c r="L73" s="13" t="s">
        <v>1539</v>
      </c>
      <c r="M73" s="13" t="s">
        <v>1549</v>
      </c>
    </row>
    <row r="74" customFormat="false" ht="15" hidden="false" customHeight="false" outlineLevel="0" collapsed="false">
      <c r="A74" s="13" t="s">
        <v>610</v>
      </c>
      <c r="B74" s="13" t="s">
        <v>609</v>
      </c>
      <c r="C74" s="13" t="s">
        <v>1545</v>
      </c>
      <c r="D74" s="13" t="s">
        <v>57</v>
      </c>
      <c r="E74" s="13" t="s">
        <v>653</v>
      </c>
      <c r="F74" s="13" t="s">
        <v>654</v>
      </c>
      <c r="G74" s="61" t="n">
        <v>-31291000000</v>
      </c>
      <c r="H74" s="13" t="s">
        <v>1537</v>
      </c>
      <c r="I74" s="13"/>
      <c r="J74" s="13"/>
      <c r="K74" s="13" t="s">
        <v>622</v>
      </c>
      <c r="L74" s="13" t="s">
        <v>1539</v>
      </c>
      <c r="M74" s="13" t="s">
        <v>1549</v>
      </c>
    </row>
    <row r="75" customFormat="false" ht="15" hidden="false" customHeight="false" outlineLevel="0" collapsed="false">
      <c r="A75" s="13" t="s">
        <v>610</v>
      </c>
      <c r="B75" s="13" t="s">
        <v>609</v>
      </c>
      <c r="C75" s="13" t="s">
        <v>1546</v>
      </c>
      <c r="D75" s="13" t="s">
        <v>57</v>
      </c>
      <c r="E75" s="13" t="s">
        <v>653</v>
      </c>
      <c r="F75" s="13" t="s">
        <v>654</v>
      </c>
      <c r="G75" s="61" t="n">
        <v>-2640000000</v>
      </c>
      <c r="H75" s="13" t="s">
        <v>1537</v>
      </c>
      <c r="I75" s="13"/>
      <c r="J75" s="13"/>
      <c r="K75" s="13" t="s">
        <v>1547</v>
      </c>
      <c r="L75" s="13" t="s">
        <v>1539</v>
      </c>
      <c r="M75" s="13" t="s">
        <v>1549</v>
      </c>
    </row>
    <row r="76" customFormat="false" ht="15" hidden="false" customHeight="false" outlineLevel="0" collapsed="false">
      <c r="A76" s="13" t="s">
        <v>610</v>
      </c>
      <c r="B76" s="13" t="s">
        <v>609</v>
      </c>
      <c r="C76" s="13" t="s">
        <v>1548</v>
      </c>
      <c r="D76" s="13" t="s">
        <v>57</v>
      </c>
      <c r="E76" s="13" t="s">
        <v>653</v>
      </c>
      <c r="F76" s="13" t="s">
        <v>654</v>
      </c>
      <c r="G76" s="61" t="n">
        <v>-235170000000</v>
      </c>
      <c r="H76" s="13" t="s">
        <v>1537</v>
      </c>
      <c r="I76" s="13"/>
      <c r="J76" s="13"/>
      <c r="K76" s="13" t="s">
        <v>624</v>
      </c>
      <c r="L76" s="13" t="s">
        <v>1539</v>
      </c>
      <c r="M76" s="13" t="s">
        <v>1549</v>
      </c>
    </row>
    <row r="77" customFormat="false" ht="15" hidden="false" customHeight="false" outlineLevel="0" collapsed="false">
      <c r="A77" s="13" t="s">
        <v>610</v>
      </c>
      <c r="B77" s="13" t="s">
        <v>609</v>
      </c>
      <c r="C77" s="13" t="s">
        <v>1536</v>
      </c>
      <c r="D77" s="13" t="s">
        <v>57</v>
      </c>
      <c r="E77" s="13" t="s">
        <v>655</v>
      </c>
      <c r="F77" s="13" t="s">
        <v>656</v>
      </c>
      <c r="G77" s="61" t="n">
        <v>-14689448354</v>
      </c>
      <c r="H77" s="13" t="s">
        <v>1537</v>
      </c>
      <c r="I77" s="13"/>
      <c r="J77" s="13" t="s">
        <v>1538</v>
      </c>
      <c r="K77" s="13" t="s">
        <v>1538</v>
      </c>
      <c r="L77" s="13" t="s">
        <v>1539</v>
      </c>
      <c r="M77" s="13"/>
    </row>
    <row r="78" customFormat="false" ht="15" hidden="false" customHeight="false" outlineLevel="0" collapsed="false">
      <c r="A78" s="13" t="s">
        <v>610</v>
      </c>
      <c r="B78" s="13" t="s">
        <v>609</v>
      </c>
      <c r="C78" s="13" t="s">
        <v>1540</v>
      </c>
      <c r="D78" s="13" t="s">
        <v>57</v>
      </c>
      <c r="E78" s="13" t="s">
        <v>655</v>
      </c>
      <c r="F78" s="13" t="s">
        <v>656</v>
      </c>
      <c r="G78" s="61" t="n">
        <v>9184536739</v>
      </c>
      <c r="H78" s="13" t="s">
        <v>1537</v>
      </c>
      <c r="I78" s="13"/>
      <c r="J78" s="13" t="s">
        <v>1541</v>
      </c>
      <c r="K78" s="13" t="s">
        <v>1541</v>
      </c>
      <c r="L78" s="13" t="s">
        <v>1542</v>
      </c>
      <c r="M78" s="13"/>
    </row>
    <row r="79" customFormat="false" ht="15" hidden="false" customHeight="false" outlineLevel="0" collapsed="false">
      <c r="A79" s="13" t="s">
        <v>610</v>
      </c>
      <c r="B79" s="13" t="s">
        <v>609</v>
      </c>
      <c r="C79" s="13" t="s">
        <v>1543</v>
      </c>
      <c r="D79" s="13" t="s">
        <v>57</v>
      </c>
      <c r="E79" s="13" t="s">
        <v>655</v>
      </c>
      <c r="F79" s="13" t="s">
        <v>656</v>
      </c>
      <c r="G79" s="61" t="n">
        <v>-2100344487</v>
      </c>
      <c r="H79" s="13" t="s">
        <v>1537</v>
      </c>
      <c r="I79" s="13"/>
      <c r="J79" s="13" t="s">
        <v>1544</v>
      </c>
      <c r="K79" s="13" t="s">
        <v>1544</v>
      </c>
      <c r="L79" s="13" t="s">
        <v>1539</v>
      </c>
      <c r="M79" s="13"/>
    </row>
    <row r="80" customFormat="false" ht="15" hidden="false" customHeight="false" outlineLevel="0" collapsed="false">
      <c r="A80" s="13" t="s">
        <v>610</v>
      </c>
      <c r="B80" s="13" t="s">
        <v>609</v>
      </c>
      <c r="C80" s="13" t="s">
        <v>1545</v>
      </c>
      <c r="D80" s="13" t="s">
        <v>57</v>
      </c>
      <c r="E80" s="13" t="s">
        <v>655</v>
      </c>
      <c r="F80" s="13" t="s">
        <v>656</v>
      </c>
      <c r="G80" s="61" t="n">
        <v>-7022000000</v>
      </c>
      <c r="H80" s="13" t="s">
        <v>1537</v>
      </c>
      <c r="I80" s="13"/>
      <c r="J80" s="13" t="s">
        <v>622</v>
      </c>
      <c r="K80" s="13" t="s">
        <v>622</v>
      </c>
      <c r="L80" s="13" t="s">
        <v>1539</v>
      </c>
      <c r="M80" s="13"/>
    </row>
    <row r="81" customFormat="false" ht="15" hidden="false" customHeight="false" outlineLevel="0" collapsed="false">
      <c r="A81" s="13" t="s">
        <v>610</v>
      </c>
      <c r="B81" s="13" t="s">
        <v>609</v>
      </c>
      <c r="C81" s="13" t="s">
        <v>1546</v>
      </c>
      <c r="D81" s="13" t="s">
        <v>57</v>
      </c>
      <c r="E81" s="13" t="s">
        <v>655</v>
      </c>
      <c r="F81" s="13" t="s">
        <v>656</v>
      </c>
      <c r="G81" s="61" t="n">
        <v>-20704000000</v>
      </c>
      <c r="H81" s="13" t="s">
        <v>1537</v>
      </c>
      <c r="I81" s="13"/>
      <c r="J81" s="13" t="s">
        <v>1547</v>
      </c>
      <c r="K81" s="13" t="s">
        <v>1547</v>
      </c>
      <c r="L81" s="13" t="s">
        <v>1539</v>
      </c>
      <c r="M81" s="13"/>
    </row>
    <row r="82" customFormat="false" ht="15" hidden="false" customHeight="false" outlineLevel="0" collapsed="false">
      <c r="A82" s="13" t="s">
        <v>610</v>
      </c>
      <c r="B82" s="13" t="s">
        <v>609</v>
      </c>
      <c r="C82" s="13" t="s">
        <v>1548</v>
      </c>
      <c r="D82" s="13" t="s">
        <v>57</v>
      </c>
      <c r="E82" s="13" t="s">
        <v>655</v>
      </c>
      <c r="F82" s="13" t="s">
        <v>656</v>
      </c>
      <c r="G82" s="61" t="n">
        <v>36380000000</v>
      </c>
      <c r="H82" s="13" t="s">
        <v>1537</v>
      </c>
      <c r="I82" s="13"/>
      <c r="J82" s="13" t="s">
        <v>624</v>
      </c>
      <c r="K82" s="13" t="s">
        <v>624</v>
      </c>
      <c r="L82" s="13" t="s">
        <v>1539</v>
      </c>
      <c r="M82" s="13"/>
    </row>
    <row r="83" customFormat="false" ht="15" hidden="false" customHeight="false" outlineLevel="0" collapsed="false">
      <c r="A83" s="13" t="s">
        <v>610</v>
      </c>
      <c r="B83" s="13" t="s">
        <v>609</v>
      </c>
      <c r="C83" s="13" t="s">
        <v>1536</v>
      </c>
      <c r="D83" s="13" t="s">
        <v>57</v>
      </c>
      <c r="E83" s="13" t="s">
        <v>658</v>
      </c>
      <c r="F83" s="13" t="s">
        <v>659</v>
      </c>
      <c r="G83" s="61" t="n">
        <v>-14498057988</v>
      </c>
      <c r="H83" s="13" t="s">
        <v>1537</v>
      </c>
      <c r="I83" s="13"/>
      <c r="J83" s="13"/>
      <c r="K83" s="13" t="s">
        <v>1538</v>
      </c>
      <c r="L83" s="13" t="s">
        <v>1539</v>
      </c>
      <c r="M83" s="13" t="s">
        <v>1549</v>
      </c>
    </row>
    <row r="84" customFormat="false" ht="15" hidden="false" customHeight="false" outlineLevel="0" collapsed="false">
      <c r="A84" s="13" t="s">
        <v>610</v>
      </c>
      <c r="B84" s="13" t="s">
        <v>609</v>
      </c>
      <c r="C84" s="13" t="s">
        <v>1540</v>
      </c>
      <c r="D84" s="13" t="s">
        <v>57</v>
      </c>
      <c r="E84" s="13" t="s">
        <v>658</v>
      </c>
      <c r="F84" s="13" t="s">
        <v>659</v>
      </c>
      <c r="G84" s="61" t="n">
        <v>165604046574</v>
      </c>
      <c r="H84" s="13" t="s">
        <v>1537</v>
      </c>
      <c r="I84" s="13"/>
      <c r="J84" s="13"/>
      <c r="K84" s="13" t="s">
        <v>1541</v>
      </c>
      <c r="L84" s="13" t="s">
        <v>1542</v>
      </c>
      <c r="M84" s="13" t="s">
        <v>1549</v>
      </c>
    </row>
    <row r="85" customFormat="false" ht="15" hidden="false" customHeight="false" outlineLevel="0" collapsed="false">
      <c r="A85" s="13" t="s">
        <v>610</v>
      </c>
      <c r="B85" s="13" t="s">
        <v>609</v>
      </c>
      <c r="C85" s="13" t="s">
        <v>1543</v>
      </c>
      <c r="D85" s="13" t="s">
        <v>57</v>
      </c>
      <c r="E85" s="13" t="s">
        <v>658</v>
      </c>
      <c r="F85" s="13" t="s">
        <v>659</v>
      </c>
      <c r="G85" s="61" t="n">
        <v>-44187230723</v>
      </c>
      <c r="H85" s="13" t="s">
        <v>1537</v>
      </c>
      <c r="I85" s="13"/>
      <c r="J85" s="13"/>
      <c r="K85" s="13" t="s">
        <v>1544</v>
      </c>
      <c r="L85" s="13" t="s">
        <v>1539</v>
      </c>
      <c r="M85" s="13" t="s">
        <v>1549</v>
      </c>
    </row>
    <row r="86" customFormat="false" ht="15" hidden="false" customHeight="false" outlineLevel="0" collapsed="false">
      <c r="A86" s="13" t="s">
        <v>610</v>
      </c>
      <c r="B86" s="13" t="s">
        <v>609</v>
      </c>
      <c r="C86" s="13" t="s">
        <v>1545</v>
      </c>
      <c r="D86" s="13" t="s">
        <v>57</v>
      </c>
      <c r="E86" s="13" t="s">
        <v>658</v>
      </c>
      <c r="F86" s="13" t="s">
        <v>659</v>
      </c>
      <c r="G86" s="61" t="n">
        <v>-38313000000</v>
      </c>
      <c r="H86" s="13" t="s">
        <v>1537</v>
      </c>
      <c r="I86" s="13"/>
      <c r="J86" s="13"/>
      <c r="K86" s="13" t="s">
        <v>622</v>
      </c>
      <c r="L86" s="13" t="s">
        <v>1539</v>
      </c>
      <c r="M86" s="13" t="s">
        <v>1549</v>
      </c>
    </row>
    <row r="87" customFormat="false" ht="15" hidden="false" customHeight="false" outlineLevel="0" collapsed="false">
      <c r="A87" s="13" t="s">
        <v>610</v>
      </c>
      <c r="B87" s="13" t="s">
        <v>609</v>
      </c>
      <c r="C87" s="13" t="s">
        <v>1546</v>
      </c>
      <c r="D87" s="13" t="s">
        <v>57</v>
      </c>
      <c r="E87" s="13" t="s">
        <v>658</v>
      </c>
      <c r="F87" s="13" t="s">
        <v>659</v>
      </c>
      <c r="G87" s="61" t="n">
        <v>-23344000000</v>
      </c>
      <c r="H87" s="13" t="s">
        <v>1537</v>
      </c>
      <c r="I87" s="13"/>
      <c r="J87" s="13"/>
      <c r="K87" s="13" t="s">
        <v>1547</v>
      </c>
      <c r="L87" s="13" t="s">
        <v>1539</v>
      </c>
      <c r="M87" s="13" t="s">
        <v>1549</v>
      </c>
    </row>
    <row r="88" customFormat="false" ht="15" hidden="false" customHeight="false" outlineLevel="0" collapsed="false">
      <c r="A88" s="13" t="s">
        <v>610</v>
      </c>
      <c r="B88" s="13" t="s">
        <v>609</v>
      </c>
      <c r="C88" s="13" t="s">
        <v>1548</v>
      </c>
      <c r="D88" s="13" t="s">
        <v>57</v>
      </c>
      <c r="E88" s="13" t="s">
        <v>658</v>
      </c>
      <c r="F88" s="13" t="s">
        <v>659</v>
      </c>
      <c r="G88" s="61" t="n">
        <v>-198790000000</v>
      </c>
      <c r="H88" s="13" t="s">
        <v>1537</v>
      </c>
      <c r="I88" s="13"/>
      <c r="J88" s="13"/>
      <c r="K88" s="13" t="s">
        <v>624</v>
      </c>
      <c r="L88" s="13" t="s">
        <v>1539</v>
      </c>
      <c r="M88" s="13" t="s">
        <v>1549</v>
      </c>
    </row>
    <row r="89" customFormat="false" ht="15" hidden="false" customHeight="false" outlineLevel="0" collapsed="false">
      <c r="A89" s="13" t="s">
        <v>610</v>
      </c>
      <c r="B89" s="13" t="s">
        <v>609</v>
      </c>
      <c r="C89" s="13" t="s">
        <v>1536</v>
      </c>
      <c r="D89" s="13" t="s">
        <v>57</v>
      </c>
      <c r="E89" s="13" t="s">
        <v>661</v>
      </c>
      <c r="F89" s="13" t="s">
        <v>662</v>
      </c>
      <c r="G89" s="61" t="n">
        <v>7358311173</v>
      </c>
      <c r="H89" s="13" t="s">
        <v>1537</v>
      </c>
      <c r="I89" s="13"/>
      <c r="J89" s="13" t="s">
        <v>1538</v>
      </c>
      <c r="K89" s="13" t="s">
        <v>1538</v>
      </c>
      <c r="L89" s="13" t="s">
        <v>1539</v>
      </c>
      <c r="M89" s="13"/>
    </row>
    <row r="90" customFormat="false" ht="15" hidden="false" customHeight="false" outlineLevel="0" collapsed="false">
      <c r="A90" s="13" t="s">
        <v>610</v>
      </c>
      <c r="B90" s="13" t="s">
        <v>609</v>
      </c>
      <c r="C90" s="13" t="s">
        <v>1540</v>
      </c>
      <c r="D90" s="13" t="s">
        <v>57</v>
      </c>
      <c r="E90" s="13" t="s">
        <v>661</v>
      </c>
      <c r="F90" s="13" t="s">
        <v>662</v>
      </c>
      <c r="G90" s="61" t="n">
        <v>9054136342</v>
      </c>
      <c r="H90" s="13" t="s">
        <v>1537</v>
      </c>
      <c r="I90" s="13"/>
      <c r="J90" s="13" t="s">
        <v>1541</v>
      </c>
      <c r="K90" s="13" t="s">
        <v>1541</v>
      </c>
      <c r="L90" s="13" t="s">
        <v>1542</v>
      </c>
      <c r="M90" s="13"/>
    </row>
    <row r="91" customFormat="false" ht="15" hidden="false" customHeight="false" outlineLevel="0" collapsed="false">
      <c r="A91" s="13" t="s">
        <v>610</v>
      </c>
      <c r="B91" s="13" t="s">
        <v>609</v>
      </c>
      <c r="C91" s="13" t="s">
        <v>1543</v>
      </c>
      <c r="D91" s="13" t="s">
        <v>57</v>
      </c>
      <c r="E91" s="13" t="s">
        <v>661</v>
      </c>
      <c r="F91" s="13" t="s">
        <v>662</v>
      </c>
      <c r="G91" s="61" t="n">
        <v>15285648917</v>
      </c>
      <c r="H91" s="13" t="s">
        <v>1537</v>
      </c>
      <c r="I91" s="13"/>
      <c r="J91" s="13" t="s">
        <v>1544</v>
      </c>
      <c r="K91" s="13" t="s">
        <v>1544</v>
      </c>
      <c r="L91" s="13" t="s">
        <v>1539</v>
      </c>
      <c r="M91" s="13"/>
    </row>
    <row r="92" customFormat="false" ht="15" hidden="false" customHeight="false" outlineLevel="0" collapsed="false">
      <c r="A92" s="13" t="s">
        <v>610</v>
      </c>
      <c r="B92" s="13" t="s">
        <v>609</v>
      </c>
      <c r="C92" s="13" t="s">
        <v>1545</v>
      </c>
      <c r="D92" s="13" t="s">
        <v>57</v>
      </c>
      <c r="E92" s="13" t="s">
        <v>661</v>
      </c>
      <c r="F92" s="13" t="s">
        <v>662</v>
      </c>
      <c r="G92" s="61" t="n">
        <v>810000000</v>
      </c>
      <c r="H92" s="13" t="s">
        <v>1537</v>
      </c>
      <c r="I92" s="13"/>
      <c r="J92" s="13" t="s">
        <v>622</v>
      </c>
      <c r="K92" s="13" t="s">
        <v>622</v>
      </c>
      <c r="L92" s="13" t="s">
        <v>1539</v>
      </c>
      <c r="M92" s="13"/>
    </row>
    <row r="93" customFormat="false" ht="15" hidden="false" customHeight="false" outlineLevel="0" collapsed="false">
      <c r="A93" s="13" t="s">
        <v>610</v>
      </c>
      <c r="B93" s="13" t="s">
        <v>609</v>
      </c>
      <c r="C93" s="13" t="s">
        <v>1546</v>
      </c>
      <c r="D93" s="13" t="s">
        <v>57</v>
      </c>
      <c r="E93" s="13" t="s">
        <v>661</v>
      </c>
      <c r="F93" s="13" t="s">
        <v>662</v>
      </c>
      <c r="G93" s="61" t="n">
        <v>-1037000000</v>
      </c>
      <c r="H93" s="13" t="s">
        <v>1537</v>
      </c>
      <c r="I93" s="13"/>
      <c r="J93" s="13" t="s">
        <v>1547</v>
      </c>
      <c r="K93" s="13" t="s">
        <v>1547</v>
      </c>
      <c r="L93" s="13" t="s">
        <v>1539</v>
      </c>
      <c r="M93" s="13"/>
    </row>
    <row r="94" customFormat="false" ht="15" hidden="false" customHeight="false" outlineLevel="0" collapsed="false">
      <c r="A94" s="13" t="s">
        <v>610</v>
      </c>
      <c r="B94" s="13" t="s">
        <v>609</v>
      </c>
      <c r="C94" s="13" t="s">
        <v>1548</v>
      </c>
      <c r="D94" s="13" t="s">
        <v>57</v>
      </c>
      <c r="E94" s="13" t="s">
        <v>661</v>
      </c>
      <c r="F94" s="13" t="s">
        <v>662</v>
      </c>
      <c r="G94" s="61" t="n">
        <v>-5373000000</v>
      </c>
      <c r="H94" s="13" t="s">
        <v>1537</v>
      </c>
      <c r="I94" s="13"/>
      <c r="J94" s="13" t="s">
        <v>624</v>
      </c>
      <c r="K94" s="13" t="s">
        <v>624</v>
      </c>
      <c r="L94" s="13" t="s">
        <v>1539</v>
      </c>
      <c r="M94" s="13"/>
    </row>
    <row r="95" customFormat="false" ht="15" hidden="false" customHeight="false" outlineLevel="0" collapsed="false">
      <c r="A95" s="13" t="s">
        <v>610</v>
      </c>
      <c r="B95" s="13" t="s">
        <v>609</v>
      </c>
      <c r="C95" s="13" t="s">
        <v>1536</v>
      </c>
      <c r="D95" s="13" t="s">
        <v>57</v>
      </c>
      <c r="E95" s="13" t="s">
        <v>664</v>
      </c>
      <c r="F95" s="13" t="s">
        <v>665</v>
      </c>
      <c r="G95" s="61" t="n">
        <v>-2361493433</v>
      </c>
      <c r="H95" s="13" t="s">
        <v>1537</v>
      </c>
      <c r="I95" s="13"/>
      <c r="J95" s="13" t="s">
        <v>1538</v>
      </c>
      <c r="K95" s="13" t="s">
        <v>1538</v>
      </c>
      <c r="L95" s="13" t="s">
        <v>1539</v>
      </c>
      <c r="M95" s="13"/>
    </row>
    <row r="96" customFormat="false" ht="15" hidden="false" customHeight="false" outlineLevel="0" collapsed="false">
      <c r="A96" s="13" t="s">
        <v>610</v>
      </c>
      <c r="B96" s="13" t="s">
        <v>609</v>
      </c>
      <c r="C96" s="13" t="s">
        <v>1540</v>
      </c>
      <c r="D96" s="13" t="s">
        <v>57</v>
      </c>
      <c r="E96" s="13" t="s">
        <v>664</v>
      </c>
      <c r="F96" s="13" t="s">
        <v>665</v>
      </c>
      <c r="G96" s="61" t="n">
        <v>-1991909997</v>
      </c>
      <c r="H96" s="13" t="s">
        <v>1537</v>
      </c>
      <c r="I96" s="13"/>
      <c r="J96" s="13" t="s">
        <v>1541</v>
      </c>
      <c r="K96" s="13" t="s">
        <v>1541</v>
      </c>
      <c r="L96" s="13" t="s">
        <v>1542</v>
      </c>
      <c r="M96" s="13"/>
    </row>
    <row r="97" customFormat="false" ht="15" hidden="false" customHeight="false" outlineLevel="0" collapsed="false">
      <c r="A97" s="13" t="s">
        <v>610</v>
      </c>
      <c r="B97" s="13" t="s">
        <v>609</v>
      </c>
      <c r="C97" s="13" t="s">
        <v>1543</v>
      </c>
      <c r="D97" s="13" t="s">
        <v>57</v>
      </c>
      <c r="E97" s="13" t="s">
        <v>664</v>
      </c>
      <c r="F97" s="13" t="s">
        <v>665</v>
      </c>
      <c r="G97" s="61" t="n">
        <v>-3362842761</v>
      </c>
      <c r="H97" s="13" t="s">
        <v>1537</v>
      </c>
      <c r="I97" s="13"/>
      <c r="J97" s="13" t="s">
        <v>1544</v>
      </c>
      <c r="K97" s="13" t="s">
        <v>1544</v>
      </c>
      <c r="L97" s="13" t="s">
        <v>1539</v>
      </c>
      <c r="M97" s="13"/>
    </row>
    <row r="98" customFormat="false" ht="15" hidden="false" customHeight="false" outlineLevel="0" collapsed="false">
      <c r="A98" s="13" t="s">
        <v>610</v>
      </c>
      <c r="B98" s="13" t="s">
        <v>609</v>
      </c>
      <c r="C98" s="13" t="s">
        <v>1545</v>
      </c>
      <c r="D98" s="13" t="s">
        <v>57</v>
      </c>
      <c r="E98" s="13" t="s">
        <v>664</v>
      </c>
      <c r="F98" s="13" t="s">
        <v>665</v>
      </c>
      <c r="G98" s="61" t="n">
        <v>-178000000</v>
      </c>
      <c r="H98" s="13" t="s">
        <v>1537</v>
      </c>
      <c r="I98" s="13"/>
      <c r="J98" s="13" t="s">
        <v>622</v>
      </c>
      <c r="K98" s="13" t="s">
        <v>622</v>
      </c>
      <c r="L98" s="13" t="s">
        <v>1539</v>
      </c>
      <c r="M98" s="13"/>
    </row>
    <row r="99" customFormat="false" ht="15" hidden="false" customHeight="false" outlineLevel="0" collapsed="false">
      <c r="A99" s="13" t="s">
        <v>610</v>
      </c>
      <c r="B99" s="13" t="s">
        <v>609</v>
      </c>
      <c r="C99" s="13" t="s">
        <v>1546</v>
      </c>
      <c r="D99" s="13" t="s">
        <v>57</v>
      </c>
      <c r="E99" s="13" t="s">
        <v>664</v>
      </c>
      <c r="F99" s="13" t="s">
        <v>665</v>
      </c>
      <c r="G99" s="61" t="n">
        <v>228000000</v>
      </c>
      <c r="H99" s="13" t="s">
        <v>1537</v>
      </c>
      <c r="I99" s="13"/>
      <c r="J99" s="13" t="s">
        <v>1547</v>
      </c>
      <c r="K99" s="13" t="s">
        <v>1547</v>
      </c>
      <c r="L99" s="13" t="s">
        <v>1539</v>
      </c>
      <c r="M99" s="13"/>
    </row>
    <row r="100" customFormat="false" ht="15" hidden="false" customHeight="false" outlineLevel="0" collapsed="false">
      <c r="A100" s="13" t="s">
        <v>610</v>
      </c>
      <c r="B100" s="13" t="s">
        <v>609</v>
      </c>
      <c r="C100" s="13" t="s">
        <v>1548</v>
      </c>
      <c r="D100" s="13" t="s">
        <v>57</v>
      </c>
      <c r="E100" s="13" t="s">
        <v>664</v>
      </c>
      <c r="F100" s="13" t="s">
        <v>665</v>
      </c>
      <c r="G100" s="61" t="n">
        <v>1182000000</v>
      </c>
      <c r="H100" s="13" t="s">
        <v>1537</v>
      </c>
      <c r="I100" s="13"/>
      <c r="J100" s="13" t="s">
        <v>624</v>
      </c>
      <c r="K100" s="13" t="s">
        <v>624</v>
      </c>
      <c r="L100" s="13" t="s">
        <v>1539</v>
      </c>
      <c r="M100" s="13"/>
    </row>
    <row r="101" customFormat="false" ht="15" hidden="false" customHeight="false" outlineLevel="0" collapsed="false">
      <c r="A101" s="13" t="s">
        <v>610</v>
      </c>
      <c r="B101" s="13" t="s">
        <v>609</v>
      </c>
      <c r="C101" s="13" t="s">
        <v>1536</v>
      </c>
      <c r="D101" s="13" t="s">
        <v>57</v>
      </c>
      <c r="E101" s="13" t="s">
        <v>667</v>
      </c>
      <c r="F101" s="13" t="s">
        <v>668</v>
      </c>
      <c r="G101" s="61" t="n">
        <v>4996817740</v>
      </c>
      <c r="H101" s="13" t="s">
        <v>1537</v>
      </c>
      <c r="I101" s="13"/>
      <c r="J101" s="13"/>
      <c r="K101" s="13" t="s">
        <v>1538</v>
      </c>
      <c r="L101" s="13" t="s">
        <v>1539</v>
      </c>
      <c r="M101" s="13" t="s">
        <v>1549</v>
      </c>
    </row>
    <row r="102" customFormat="false" ht="15" hidden="false" customHeight="false" outlineLevel="0" collapsed="false">
      <c r="A102" s="13" t="s">
        <v>610</v>
      </c>
      <c r="B102" s="13" t="s">
        <v>609</v>
      </c>
      <c r="C102" s="13" t="s">
        <v>1540</v>
      </c>
      <c r="D102" s="13" t="s">
        <v>57</v>
      </c>
      <c r="E102" s="13" t="s">
        <v>667</v>
      </c>
      <c r="F102" s="13" t="s">
        <v>668</v>
      </c>
      <c r="G102" s="61" t="n">
        <v>7062226345</v>
      </c>
      <c r="H102" s="13" t="s">
        <v>1537</v>
      </c>
      <c r="I102" s="13"/>
      <c r="J102" s="13"/>
      <c r="K102" s="13" t="s">
        <v>1541</v>
      </c>
      <c r="L102" s="13" t="s">
        <v>1542</v>
      </c>
      <c r="M102" s="13" t="s">
        <v>1549</v>
      </c>
    </row>
    <row r="103" customFormat="false" ht="15" hidden="false" customHeight="false" outlineLevel="0" collapsed="false">
      <c r="A103" s="13" t="s">
        <v>610</v>
      </c>
      <c r="B103" s="13" t="s">
        <v>609</v>
      </c>
      <c r="C103" s="13" t="s">
        <v>1543</v>
      </c>
      <c r="D103" s="13" t="s">
        <v>57</v>
      </c>
      <c r="E103" s="13" t="s">
        <v>667</v>
      </c>
      <c r="F103" s="13" t="s">
        <v>668</v>
      </c>
      <c r="G103" s="61" t="n">
        <v>11922806156</v>
      </c>
      <c r="H103" s="13" t="s">
        <v>1537</v>
      </c>
      <c r="I103" s="13"/>
      <c r="J103" s="13"/>
      <c r="K103" s="13" t="s">
        <v>1544</v>
      </c>
      <c r="L103" s="13" t="s">
        <v>1539</v>
      </c>
      <c r="M103" s="13" t="s">
        <v>1549</v>
      </c>
    </row>
    <row r="104" customFormat="false" ht="15" hidden="false" customHeight="false" outlineLevel="0" collapsed="false">
      <c r="A104" s="13" t="s">
        <v>610</v>
      </c>
      <c r="B104" s="13" t="s">
        <v>609</v>
      </c>
      <c r="C104" s="13" t="s">
        <v>1545</v>
      </c>
      <c r="D104" s="13" t="s">
        <v>57</v>
      </c>
      <c r="E104" s="13" t="s">
        <v>667</v>
      </c>
      <c r="F104" s="13" t="s">
        <v>668</v>
      </c>
      <c r="G104" s="61" t="n">
        <v>632000000</v>
      </c>
      <c r="H104" s="13" t="s">
        <v>1537</v>
      </c>
      <c r="I104" s="13"/>
      <c r="J104" s="13"/>
      <c r="K104" s="13" t="s">
        <v>622</v>
      </c>
      <c r="L104" s="13" t="s">
        <v>1539</v>
      </c>
      <c r="M104" s="13" t="s">
        <v>1549</v>
      </c>
    </row>
    <row r="105" customFormat="false" ht="15" hidden="false" customHeight="false" outlineLevel="0" collapsed="false">
      <c r="A105" s="13" t="s">
        <v>610</v>
      </c>
      <c r="B105" s="13" t="s">
        <v>609</v>
      </c>
      <c r="C105" s="13" t="s">
        <v>1546</v>
      </c>
      <c r="D105" s="13" t="s">
        <v>57</v>
      </c>
      <c r="E105" s="13" t="s">
        <v>667</v>
      </c>
      <c r="F105" s="13" t="s">
        <v>668</v>
      </c>
      <c r="G105" s="61" t="n">
        <v>-809000000</v>
      </c>
      <c r="H105" s="13" t="s">
        <v>1537</v>
      </c>
      <c r="I105" s="13"/>
      <c r="J105" s="13"/>
      <c r="K105" s="13" t="s">
        <v>1547</v>
      </c>
      <c r="L105" s="13" t="s">
        <v>1539</v>
      </c>
      <c r="M105" s="13" t="s">
        <v>1549</v>
      </c>
    </row>
    <row r="106" customFormat="false" ht="15" hidden="false" customHeight="false" outlineLevel="0" collapsed="false">
      <c r="A106" s="13" t="s">
        <v>610</v>
      </c>
      <c r="B106" s="13" t="s">
        <v>609</v>
      </c>
      <c r="C106" s="13" t="s">
        <v>1548</v>
      </c>
      <c r="D106" s="13" t="s">
        <v>57</v>
      </c>
      <c r="E106" s="13" t="s">
        <v>667</v>
      </c>
      <c r="F106" s="13" t="s">
        <v>668</v>
      </c>
      <c r="G106" s="61" t="n">
        <v>-4191000000</v>
      </c>
      <c r="H106" s="13" t="s">
        <v>1537</v>
      </c>
      <c r="I106" s="13"/>
      <c r="J106" s="13"/>
      <c r="K106" s="13" t="s">
        <v>624</v>
      </c>
      <c r="L106" s="13" t="s">
        <v>1539</v>
      </c>
      <c r="M106" s="13" t="s">
        <v>1549</v>
      </c>
    </row>
    <row r="107" customFormat="false" ht="15" hidden="false" customHeight="false" outlineLevel="0" collapsed="false">
      <c r="A107" s="13" t="s">
        <v>610</v>
      </c>
      <c r="B107" s="13" t="s">
        <v>609</v>
      </c>
      <c r="C107" s="13" t="s">
        <v>1536</v>
      </c>
      <c r="D107" s="13" t="s">
        <v>57</v>
      </c>
      <c r="E107" s="13" t="s">
        <v>669</v>
      </c>
      <c r="F107" s="13" t="s">
        <v>670</v>
      </c>
      <c r="G107" s="61" t="n">
        <v>-9501240248</v>
      </c>
      <c r="H107" s="13" t="s">
        <v>1537</v>
      </c>
      <c r="I107" s="13"/>
      <c r="J107" s="13"/>
      <c r="K107" s="13" t="s">
        <v>1538</v>
      </c>
      <c r="L107" s="13" t="s">
        <v>1539</v>
      </c>
      <c r="M107" s="13" t="s">
        <v>1549</v>
      </c>
    </row>
    <row r="108" customFormat="false" ht="15" hidden="false" customHeight="false" outlineLevel="0" collapsed="false">
      <c r="A108" s="13" t="s">
        <v>610</v>
      </c>
      <c r="B108" s="13" t="s">
        <v>609</v>
      </c>
      <c r="C108" s="13" t="s">
        <v>1540</v>
      </c>
      <c r="D108" s="13" t="s">
        <v>57</v>
      </c>
      <c r="E108" s="13" t="s">
        <v>669</v>
      </c>
      <c r="F108" s="13" t="s">
        <v>670</v>
      </c>
      <c r="G108" s="61" t="n">
        <v>172666272919</v>
      </c>
      <c r="H108" s="13" t="s">
        <v>1537</v>
      </c>
      <c r="I108" s="13"/>
      <c r="J108" s="13"/>
      <c r="K108" s="13" t="s">
        <v>1541</v>
      </c>
      <c r="L108" s="13" t="s">
        <v>1542</v>
      </c>
      <c r="M108" s="13" t="s">
        <v>1549</v>
      </c>
    </row>
    <row r="109" customFormat="false" ht="15" hidden="false" customHeight="false" outlineLevel="0" collapsed="false">
      <c r="A109" s="13" t="s">
        <v>610</v>
      </c>
      <c r="B109" s="13" t="s">
        <v>609</v>
      </c>
      <c r="C109" s="13" t="s">
        <v>1543</v>
      </c>
      <c r="D109" s="13" t="s">
        <v>57</v>
      </c>
      <c r="E109" s="13" t="s">
        <v>669</v>
      </c>
      <c r="F109" s="13" t="s">
        <v>670</v>
      </c>
      <c r="G109" s="61" t="n">
        <v>-32264424567</v>
      </c>
      <c r="H109" s="13" t="s">
        <v>1537</v>
      </c>
      <c r="I109" s="13"/>
      <c r="J109" s="13"/>
      <c r="K109" s="13" t="s">
        <v>1544</v>
      </c>
      <c r="L109" s="13" t="s">
        <v>1539</v>
      </c>
      <c r="M109" s="13" t="s">
        <v>1549</v>
      </c>
    </row>
    <row r="110" customFormat="false" ht="15" hidden="false" customHeight="false" outlineLevel="0" collapsed="false">
      <c r="A110" s="13" t="s">
        <v>610</v>
      </c>
      <c r="B110" s="13" t="s">
        <v>609</v>
      </c>
      <c r="C110" s="13" t="s">
        <v>1545</v>
      </c>
      <c r="D110" s="13" t="s">
        <v>57</v>
      </c>
      <c r="E110" s="13" t="s">
        <v>669</v>
      </c>
      <c r="F110" s="13" t="s">
        <v>670</v>
      </c>
      <c r="G110" s="61" t="n">
        <v>-37681000000</v>
      </c>
      <c r="H110" s="13" t="s">
        <v>1537</v>
      </c>
      <c r="I110" s="13"/>
      <c r="J110" s="13"/>
      <c r="K110" s="13" t="s">
        <v>622</v>
      </c>
      <c r="L110" s="13" t="s">
        <v>1539</v>
      </c>
      <c r="M110" s="13" t="s">
        <v>1549</v>
      </c>
    </row>
    <row r="111" customFormat="false" ht="15" hidden="false" customHeight="false" outlineLevel="0" collapsed="false">
      <c r="A111" s="13" t="s">
        <v>610</v>
      </c>
      <c r="B111" s="13" t="s">
        <v>609</v>
      </c>
      <c r="C111" s="13" t="s">
        <v>1546</v>
      </c>
      <c r="D111" s="13" t="s">
        <v>57</v>
      </c>
      <c r="E111" s="13" t="s">
        <v>669</v>
      </c>
      <c r="F111" s="13" t="s">
        <v>670</v>
      </c>
      <c r="G111" s="61" t="n">
        <v>-24153000000</v>
      </c>
      <c r="H111" s="13" t="s">
        <v>1537</v>
      </c>
      <c r="I111" s="13"/>
      <c r="J111" s="13"/>
      <c r="K111" s="13" t="s">
        <v>1547</v>
      </c>
      <c r="L111" s="13" t="s">
        <v>1539</v>
      </c>
      <c r="M111" s="13" t="s">
        <v>1549</v>
      </c>
    </row>
    <row r="112" customFormat="false" ht="15" hidden="false" customHeight="false" outlineLevel="0" collapsed="false">
      <c r="A112" s="13" t="s">
        <v>610</v>
      </c>
      <c r="B112" s="13" t="s">
        <v>609</v>
      </c>
      <c r="C112" s="13" t="s">
        <v>1548</v>
      </c>
      <c r="D112" s="13" t="s">
        <v>57</v>
      </c>
      <c r="E112" s="13" t="s">
        <v>669</v>
      </c>
      <c r="F112" s="13" t="s">
        <v>670</v>
      </c>
      <c r="G112" s="61" t="n">
        <v>-202981000000</v>
      </c>
      <c r="H112" s="13" t="s">
        <v>1537</v>
      </c>
      <c r="I112" s="13"/>
      <c r="J112" s="13"/>
      <c r="K112" s="13" t="s">
        <v>624</v>
      </c>
      <c r="L112" s="13" t="s">
        <v>1539</v>
      </c>
      <c r="M112" s="13" t="s">
        <v>1549</v>
      </c>
    </row>
    <row r="113" customFormat="false" ht="15" hidden="false" customHeight="false" outlineLevel="0" collapsed="false">
      <c r="A113" s="13" t="s">
        <v>610</v>
      </c>
      <c r="B113" s="13" t="s">
        <v>609</v>
      </c>
      <c r="C113" s="13" t="s">
        <v>1536</v>
      </c>
      <c r="D113" s="13" t="s">
        <v>57</v>
      </c>
      <c r="E113" s="13" t="s">
        <v>672</v>
      </c>
      <c r="F113" s="13" t="s">
        <v>673</v>
      </c>
      <c r="G113" s="61" t="n">
        <v>-14380627056</v>
      </c>
      <c r="H113" s="13" t="s">
        <v>1537</v>
      </c>
      <c r="I113" s="13"/>
      <c r="J113" s="13" t="s">
        <v>1538</v>
      </c>
      <c r="K113" s="13" t="s">
        <v>1538</v>
      </c>
      <c r="L113" s="13" t="s">
        <v>1539</v>
      </c>
      <c r="M113" s="13"/>
    </row>
    <row r="114" customFormat="false" ht="15" hidden="false" customHeight="false" outlineLevel="0" collapsed="false">
      <c r="A114" s="13" t="s">
        <v>610</v>
      </c>
      <c r="B114" s="13" t="s">
        <v>609</v>
      </c>
      <c r="C114" s="13" t="s">
        <v>1540</v>
      </c>
      <c r="D114" s="13" t="s">
        <v>57</v>
      </c>
      <c r="E114" s="13" t="s">
        <v>672</v>
      </c>
      <c r="F114" s="13" t="s">
        <v>673</v>
      </c>
      <c r="G114" s="61" t="n">
        <v>165308238619</v>
      </c>
      <c r="H114" s="13" t="s">
        <v>1537</v>
      </c>
      <c r="I114" s="13"/>
      <c r="J114" s="13" t="s">
        <v>1541</v>
      </c>
      <c r="K114" s="13" t="s">
        <v>1541</v>
      </c>
      <c r="L114" s="13" t="s">
        <v>1542</v>
      </c>
      <c r="M114" s="13"/>
    </row>
    <row r="115" customFormat="false" ht="15" hidden="false" customHeight="false" outlineLevel="0" collapsed="false">
      <c r="A115" s="13" t="s">
        <v>610</v>
      </c>
      <c r="B115" s="13" t="s">
        <v>609</v>
      </c>
      <c r="C115" s="13" t="s">
        <v>1543</v>
      </c>
      <c r="D115" s="13" t="s">
        <v>57</v>
      </c>
      <c r="E115" s="13" t="s">
        <v>672</v>
      </c>
      <c r="F115" s="13" t="s">
        <v>673</v>
      </c>
      <c r="G115" s="61" t="n">
        <v>-44314949025</v>
      </c>
      <c r="H115" s="13" t="s">
        <v>1537</v>
      </c>
      <c r="I115" s="13"/>
      <c r="J115" s="13" t="s">
        <v>1544</v>
      </c>
      <c r="K115" s="13" t="s">
        <v>1544</v>
      </c>
      <c r="L115" s="13" t="s">
        <v>1539</v>
      </c>
      <c r="M115" s="13"/>
    </row>
    <row r="116" customFormat="false" ht="15" hidden="false" customHeight="false" outlineLevel="0" collapsed="false">
      <c r="A116" s="13" t="s">
        <v>610</v>
      </c>
      <c r="B116" s="13" t="s">
        <v>609</v>
      </c>
      <c r="C116" s="13" t="s">
        <v>1545</v>
      </c>
      <c r="D116" s="13" t="s">
        <v>57</v>
      </c>
      <c r="E116" s="13" t="s">
        <v>672</v>
      </c>
      <c r="F116" s="13" t="s">
        <v>673</v>
      </c>
      <c r="G116" s="61" t="n">
        <v>-38490000000</v>
      </c>
      <c r="H116" s="13" t="s">
        <v>1537</v>
      </c>
      <c r="I116" s="13"/>
      <c r="J116" s="13" t="s">
        <v>622</v>
      </c>
      <c r="K116" s="13" t="s">
        <v>622</v>
      </c>
      <c r="L116" s="13" t="s">
        <v>1539</v>
      </c>
      <c r="M116" s="13"/>
    </row>
    <row r="117" customFormat="false" ht="15" hidden="false" customHeight="false" outlineLevel="0" collapsed="false">
      <c r="A117" s="13" t="s">
        <v>610</v>
      </c>
      <c r="B117" s="13" t="s">
        <v>609</v>
      </c>
      <c r="C117" s="13" t="s">
        <v>1546</v>
      </c>
      <c r="D117" s="13" t="s">
        <v>57</v>
      </c>
      <c r="E117" s="13" t="s">
        <v>672</v>
      </c>
      <c r="F117" s="13" t="s">
        <v>673</v>
      </c>
      <c r="G117" s="61" t="n">
        <v>-23513000000</v>
      </c>
      <c r="H117" s="13" t="s">
        <v>1537</v>
      </c>
      <c r="I117" s="13"/>
      <c r="J117" s="13" t="s">
        <v>1547</v>
      </c>
      <c r="K117" s="13" t="s">
        <v>1547</v>
      </c>
      <c r="L117" s="13" t="s">
        <v>1539</v>
      </c>
      <c r="M117" s="13"/>
    </row>
    <row r="118" customFormat="false" ht="15" hidden="false" customHeight="false" outlineLevel="0" collapsed="false">
      <c r="A118" s="13" t="s">
        <v>610</v>
      </c>
      <c r="B118" s="13" t="s">
        <v>609</v>
      </c>
      <c r="C118" s="13" t="s">
        <v>1548</v>
      </c>
      <c r="D118" s="13" t="s">
        <v>57</v>
      </c>
      <c r="E118" s="13" t="s">
        <v>672</v>
      </c>
      <c r="F118" s="13" t="s">
        <v>673</v>
      </c>
      <c r="G118" s="61" t="n">
        <v>-199000000000</v>
      </c>
      <c r="H118" s="13" t="s">
        <v>1537</v>
      </c>
      <c r="I118" s="13"/>
      <c r="J118" s="13" t="s">
        <v>624</v>
      </c>
      <c r="K118" s="13" t="s">
        <v>624</v>
      </c>
      <c r="L118" s="13" t="s">
        <v>1539</v>
      </c>
      <c r="M118" s="13"/>
    </row>
    <row r="119" customFormat="false" ht="15" hidden="false" customHeight="false" outlineLevel="0" collapsed="false">
      <c r="A119" s="13" t="s">
        <v>610</v>
      </c>
      <c r="B119" s="13" t="s">
        <v>609</v>
      </c>
      <c r="C119" s="13" t="s">
        <v>1536</v>
      </c>
      <c r="D119" s="13" t="s">
        <v>57</v>
      </c>
      <c r="E119" s="13" t="s">
        <v>675</v>
      </c>
      <c r="F119" s="13" t="s">
        <v>676</v>
      </c>
      <c r="G119" s="61" t="n">
        <v>-117430932</v>
      </c>
      <c r="H119" s="13" t="s">
        <v>1537</v>
      </c>
      <c r="I119" s="13"/>
      <c r="J119" s="13" t="s">
        <v>1538</v>
      </c>
      <c r="K119" s="13" t="s">
        <v>1538</v>
      </c>
      <c r="L119" s="13" t="s">
        <v>1539</v>
      </c>
      <c r="M119" s="13"/>
    </row>
    <row r="120" customFormat="false" ht="15" hidden="false" customHeight="false" outlineLevel="0" collapsed="false">
      <c r="A120" s="13" t="s">
        <v>610</v>
      </c>
      <c r="B120" s="13" t="s">
        <v>609</v>
      </c>
      <c r="C120" s="13" t="s">
        <v>1540</v>
      </c>
      <c r="D120" s="13" t="s">
        <v>57</v>
      </c>
      <c r="E120" s="13" t="s">
        <v>675</v>
      </c>
      <c r="F120" s="13" t="s">
        <v>676</v>
      </c>
      <c r="G120" s="61" t="n">
        <v>295807955</v>
      </c>
      <c r="H120" s="13" t="s">
        <v>1537</v>
      </c>
      <c r="I120" s="13"/>
      <c r="J120" s="13" t="s">
        <v>1541</v>
      </c>
      <c r="K120" s="13" t="s">
        <v>1541</v>
      </c>
      <c r="L120" s="13" t="s">
        <v>1542</v>
      </c>
      <c r="M120" s="13"/>
    </row>
    <row r="121" customFormat="false" ht="15" hidden="false" customHeight="false" outlineLevel="0" collapsed="false">
      <c r="A121" s="13" t="s">
        <v>610</v>
      </c>
      <c r="B121" s="13" t="s">
        <v>609</v>
      </c>
      <c r="C121" s="13" t="s">
        <v>1543</v>
      </c>
      <c r="D121" s="13" t="s">
        <v>57</v>
      </c>
      <c r="E121" s="13" t="s">
        <v>675</v>
      </c>
      <c r="F121" s="13" t="s">
        <v>676</v>
      </c>
      <c r="G121" s="61" t="n">
        <v>127718302</v>
      </c>
      <c r="H121" s="13" t="s">
        <v>1537</v>
      </c>
      <c r="I121" s="13"/>
      <c r="J121" s="13" t="s">
        <v>1544</v>
      </c>
      <c r="K121" s="13" t="s">
        <v>1544</v>
      </c>
      <c r="L121" s="13" t="s">
        <v>1539</v>
      </c>
      <c r="M121" s="13"/>
    </row>
    <row r="122" customFormat="false" ht="15" hidden="false" customHeight="false" outlineLevel="0" collapsed="false">
      <c r="A122" s="13" t="s">
        <v>610</v>
      </c>
      <c r="B122" s="13" t="s">
        <v>609</v>
      </c>
      <c r="C122" s="13" t="s">
        <v>1545</v>
      </c>
      <c r="D122" s="13" t="s">
        <v>57</v>
      </c>
      <c r="E122" s="13" t="s">
        <v>675</v>
      </c>
      <c r="F122" s="13" t="s">
        <v>676</v>
      </c>
      <c r="G122" s="61" t="n">
        <v>177000000</v>
      </c>
      <c r="H122" s="13" t="s">
        <v>1537</v>
      </c>
      <c r="I122" s="13"/>
      <c r="J122" s="13" t="s">
        <v>622</v>
      </c>
      <c r="K122" s="13" t="s">
        <v>622</v>
      </c>
      <c r="L122" s="13" t="s">
        <v>1539</v>
      </c>
      <c r="M122" s="13"/>
    </row>
    <row r="123" customFormat="false" ht="15" hidden="false" customHeight="false" outlineLevel="0" collapsed="false">
      <c r="A123" s="13" t="s">
        <v>610</v>
      </c>
      <c r="B123" s="13" t="s">
        <v>609</v>
      </c>
      <c r="C123" s="13" t="s">
        <v>1546</v>
      </c>
      <c r="D123" s="13" t="s">
        <v>57</v>
      </c>
      <c r="E123" s="13" t="s">
        <v>675</v>
      </c>
      <c r="F123" s="13" t="s">
        <v>676</v>
      </c>
      <c r="G123" s="61" t="n">
        <v>169000000</v>
      </c>
      <c r="H123" s="13" t="s">
        <v>1537</v>
      </c>
      <c r="I123" s="13"/>
      <c r="J123" s="13" t="s">
        <v>1547</v>
      </c>
      <c r="K123" s="13" t="s">
        <v>1547</v>
      </c>
      <c r="L123" s="13" t="s">
        <v>1539</v>
      </c>
      <c r="M123" s="13"/>
    </row>
    <row r="124" customFormat="false" ht="15" hidden="false" customHeight="false" outlineLevel="0" collapsed="false">
      <c r="A124" s="13" t="s">
        <v>610</v>
      </c>
      <c r="B124" s="13" t="s">
        <v>609</v>
      </c>
      <c r="C124" s="13" t="s">
        <v>1548</v>
      </c>
      <c r="D124" s="13" t="s">
        <v>57</v>
      </c>
      <c r="E124" s="13" t="s">
        <v>675</v>
      </c>
      <c r="F124" s="13" t="s">
        <v>676</v>
      </c>
      <c r="G124" s="61" t="n">
        <v>210000000</v>
      </c>
      <c r="H124" s="13" t="s">
        <v>1537</v>
      </c>
      <c r="I124" s="13"/>
      <c r="J124" s="13" t="s">
        <v>624</v>
      </c>
      <c r="K124" s="13" t="s">
        <v>624</v>
      </c>
      <c r="L124" s="13" t="s">
        <v>1539</v>
      </c>
      <c r="M124" s="13"/>
    </row>
    <row r="125" customFormat="false" ht="15" hidden="false" customHeight="false" outlineLevel="0" collapsed="false">
      <c r="A125" s="13" t="s">
        <v>610</v>
      </c>
      <c r="B125" s="13" t="s">
        <v>609</v>
      </c>
      <c r="C125" s="13" t="s">
        <v>1536</v>
      </c>
      <c r="D125" s="13" t="s">
        <v>57</v>
      </c>
      <c r="E125" s="13" t="s">
        <v>678</v>
      </c>
      <c r="F125" s="13" t="s">
        <v>679</v>
      </c>
      <c r="G125" s="61" t="n">
        <v>-9387214298</v>
      </c>
      <c r="H125" s="13" t="s">
        <v>1537</v>
      </c>
      <c r="I125" s="13"/>
      <c r="J125" s="13" t="s">
        <v>1538</v>
      </c>
      <c r="K125" s="13" t="s">
        <v>1538</v>
      </c>
      <c r="L125" s="13" t="s">
        <v>1539</v>
      </c>
      <c r="M125" s="13"/>
    </row>
    <row r="126" customFormat="false" ht="15" hidden="false" customHeight="false" outlineLevel="0" collapsed="false">
      <c r="A126" s="13" t="s">
        <v>610</v>
      </c>
      <c r="B126" s="13" t="s">
        <v>609</v>
      </c>
      <c r="C126" s="13" t="s">
        <v>1540</v>
      </c>
      <c r="D126" s="13" t="s">
        <v>57</v>
      </c>
      <c r="E126" s="13" t="s">
        <v>678</v>
      </c>
      <c r="F126" s="13" t="s">
        <v>679</v>
      </c>
      <c r="G126" s="61" t="n">
        <v>172365197898</v>
      </c>
      <c r="H126" s="13" t="s">
        <v>1537</v>
      </c>
      <c r="I126" s="13"/>
      <c r="J126" s="13" t="s">
        <v>1541</v>
      </c>
      <c r="K126" s="13" t="s">
        <v>1541</v>
      </c>
      <c r="L126" s="13" t="s">
        <v>1542</v>
      </c>
      <c r="M126" s="13"/>
    </row>
    <row r="127" customFormat="false" ht="15" hidden="false" customHeight="false" outlineLevel="0" collapsed="false">
      <c r="A127" s="13" t="s">
        <v>610</v>
      </c>
      <c r="B127" s="13" t="s">
        <v>609</v>
      </c>
      <c r="C127" s="13" t="s">
        <v>1543</v>
      </c>
      <c r="D127" s="13" t="s">
        <v>57</v>
      </c>
      <c r="E127" s="13" t="s">
        <v>678</v>
      </c>
      <c r="F127" s="13" t="s">
        <v>679</v>
      </c>
      <c r="G127" s="61" t="n">
        <v>-32399970547</v>
      </c>
      <c r="H127" s="13" t="s">
        <v>1537</v>
      </c>
      <c r="I127" s="13"/>
      <c r="J127" s="13" t="s">
        <v>1544</v>
      </c>
      <c r="K127" s="13" t="s">
        <v>1544</v>
      </c>
      <c r="L127" s="13" t="s">
        <v>1539</v>
      </c>
      <c r="M127" s="13"/>
    </row>
    <row r="128" customFormat="false" ht="15" hidden="false" customHeight="false" outlineLevel="0" collapsed="false">
      <c r="A128" s="13" t="s">
        <v>610</v>
      </c>
      <c r="B128" s="13" t="s">
        <v>609</v>
      </c>
      <c r="C128" s="13" t="s">
        <v>1545</v>
      </c>
      <c r="D128" s="13" t="s">
        <v>57</v>
      </c>
      <c r="E128" s="13" t="s">
        <v>678</v>
      </c>
      <c r="F128" s="13" t="s">
        <v>679</v>
      </c>
      <c r="G128" s="61" t="n">
        <v>-37858000000</v>
      </c>
      <c r="H128" s="13" t="s">
        <v>1537</v>
      </c>
      <c r="I128" s="13"/>
      <c r="J128" s="13" t="s">
        <v>622</v>
      </c>
      <c r="K128" s="13" t="s">
        <v>622</v>
      </c>
      <c r="L128" s="13" t="s">
        <v>1539</v>
      </c>
      <c r="M128" s="13"/>
    </row>
    <row r="129" customFormat="false" ht="15" hidden="false" customHeight="false" outlineLevel="0" collapsed="false">
      <c r="A129" s="13" t="s">
        <v>610</v>
      </c>
      <c r="B129" s="13" t="s">
        <v>609</v>
      </c>
      <c r="C129" s="13" t="s">
        <v>1546</v>
      </c>
      <c r="D129" s="13" t="s">
        <v>57</v>
      </c>
      <c r="E129" s="13" t="s">
        <v>678</v>
      </c>
      <c r="F129" s="13" t="s">
        <v>679</v>
      </c>
      <c r="G129" s="61" t="n">
        <v>-24323000000</v>
      </c>
      <c r="H129" s="13" t="s">
        <v>1537</v>
      </c>
      <c r="I129" s="13"/>
      <c r="J129" s="13" t="s">
        <v>1547</v>
      </c>
      <c r="K129" s="13" t="s">
        <v>1547</v>
      </c>
      <c r="L129" s="13" t="s">
        <v>1539</v>
      </c>
      <c r="M129" s="13"/>
    </row>
    <row r="130" customFormat="false" ht="15" hidden="false" customHeight="false" outlineLevel="0" collapsed="false">
      <c r="A130" s="13" t="s">
        <v>610</v>
      </c>
      <c r="B130" s="13" t="s">
        <v>609</v>
      </c>
      <c r="C130" s="13" t="s">
        <v>1548</v>
      </c>
      <c r="D130" s="13" t="s">
        <v>57</v>
      </c>
      <c r="E130" s="13" t="s">
        <v>678</v>
      </c>
      <c r="F130" s="13" t="s">
        <v>679</v>
      </c>
      <c r="G130" s="61" t="n">
        <v>-203188000000</v>
      </c>
      <c r="H130" s="13" t="s">
        <v>1537</v>
      </c>
      <c r="I130" s="13"/>
      <c r="J130" s="13" t="s">
        <v>624</v>
      </c>
      <c r="K130" s="13" t="s">
        <v>624</v>
      </c>
      <c r="L130" s="13" t="s">
        <v>1539</v>
      </c>
      <c r="M130" s="13"/>
    </row>
    <row r="131" customFormat="false" ht="15" hidden="false" customHeight="false" outlineLevel="0" collapsed="false">
      <c r="A131" s="13" t="s">
        <v>610</v>
      </c>
      <c r="B131" s="13" t="s">
        <v>609</v>
      </c>
      <c r="C131" s="13" t="s">
        <v>1536</v>
      </c>
      <c r="D131" s="13" t="s">
        <v>57</v>
      </c>
      <c r="E131" s="13" t="s">
        <v>681</v>
      </c>
      <c r="F131" s="13" t="s">
        <v>682</v>
      </c>
      <c r="G131" s="61" t="n">
        <v>-114025950</v>
      </c>
      <c r="H131" s="13" t="s">
        <v>1537</v>
      </c>
      <c r="I131" s="13"/>
      <c r="J131" s="13" t="s">
        <v>1538</v>
      </c>
      <c r="K131" s="13" t="s">
        <v>1538</v>
      </c>
      <c r="L131" s="13" t="s">
        <v>1539</v>
      </c>
      <c r="M131" s="13"/>
    </row>
    <row r="132" customFormat="false" ht="15" hidden="false" customHeight="false" outlineLevel="0" collapsed="false">
      <c r="A132" s="13" t="s">
        <v>610</v>
      </c>
      <c r="B132" s="13" t="s">
        <v>609</v>
      </c>
      <c r="C132" s="13" t="s">
        <v>1540</v>
      </c>
      <c r="D132" s="13" t="s">
        <v>57</v>
      </c>
      <c r="E132" s="13" t="s">
        <v>681</v>
      </c>
      <c r="F132" s="13" t="s">
        <v>682</v>
      </c>
      <c r="G132" s="61" t="n">
        <v>301075021</v>
      </c>
      <c r="H132" s="13" t="s">
        <v>1537</v>
      </c>
      <c r="I132" s="13"/>
      <c r="J132" s="13" t="s">
        <v>1541</v>
      </c>
      <c r="K132" s="13" t="s">
        <v>1541</v>
      </c>
      <c r="L132" s="13" t="s">
        <v>1542</v>
      </c>
      <c r="M132" s="13"/>
    </row>
    <row r="133" customFormat="false" ht="15" hidden="false" customHeight="false" outlineLevel="0" collapsed="false">
      <c r="A133" s="13" t="s">
        <v>610</v>
      </c>
      <c r="B133" s="13" t="s">
        <v>609</v>
      </c>
      <c r="C133" s="13" t="s">
        <v>1543</v>
      </c>
      <c r="D133" s="13" t="s">
        <v>57</v>
      </c>
      <c r="E133" s="13" t="s">
        <v>681</v>
      </c>
      <c r="F133" s="13" t="s">
        <v>682</v>
      </c>
      <c r="G133" s="61" t="n">
        <v>135545980</v>
      </c>
      <c r="H133" s="13" t="s">
        <v>1537</v>
      </c>
      <c r="I133" s="13"/>
      <c r="J133" s="13" t="s">
        <v>1544</v>
      </c>
      <c r="K133" s="13" t="s">
        <v>1544</v>
      </c>
      <c r="L133" s="13" t="s">
        <v>1539</v>
      </c>
      <c r="M133" s="13"/>
    </row>
    <row r="134" customFormat="false" ht="15" hidden="false" customHeight="false" outlineLevel="0" collapsed="false">
      <c r="A134" s="13" t="s">
        <v>610</v>
      </c>
      <c r="B134" s="13" t="s">
        <v>609</v>
      </c>
      <c r="C134" s="13" t="s">
        <v>1545</v>
      </c>
      <c r="D134" s="13" t="s">
        <v>57</v>
      </c>
      <c r="E134" s="13" t="s">
        <v>681</v>
      </c>
      <c r="F134" s="13" t="s">
        <v>682</v>
      </c>
      <c r="G134" s="61" t="n">
        <v>177000000</v>
      </c>
      <c r="H134" s="13" t="s">
        <v>1537</v>
      </c>
      <c r="I134" s="13"/>
      <c r="J134" s="13" t="s">
        <v>622</v>
      </c>
      <c r="K134" s="13" t="s">
        <v>622</v>
      </c>
      <c r="L134" s="13" t="s">
        <v>1539</v>
      </c>
      <c r="M134" s="13"/>
    </row>
    <row r="135" customFormat="false" ht="15" hidden="false" customHeight="false" outlineLevel="0" collapsed="false">
      <c r="A135" s="13" t="s">
        <v>610</v>
      </c>
      <c r="B135" s="13" t="s">
        <v>609</v>
      </c>
      <c r="C135" s="13" t="s">
        <v>1546</v>
      </c>
      <c r="D135" s="13" t="s">
        <v>57</v>
      </c>
      <c r="E135" s="13" t="s">
        <v>681</v>
      </c>
      <c r="F135" s="13" t="s">
        <v>682</v>
      </c>
      <c r="G135" s="61" t="n">
        <v>170000000</v>
      </c>
      <c r="H135" s="13" t="s">
        <v>1537</v>
      </c>
      <c r="I135" s="13"/>
      <c r="J135" s="13" t="s">
        <v>1547</v>
      </c>
      <c r="K135" s="13" t="s">
        <v>1547</v>
      </c>
      <c r="L135" s="13" t="s">
        <v>1539</v>
      </c>
      <c r="M135" s="13"/>
    </row>
    <row r="136" customFormat="false" ht="15" hidden="false" customHeight="false" outlineLevel="0" collapsed="false">
      <c r="A136" s="13" t="s">
        <v>610</v>
      </c>
      <c r="B136" s="13" t="s">
        <v>609</v>
      </c>
      <c r="C136" s="13" t="s">
        <v>1548</v>
      </c>
      <c r="D136" s="13" t="s">
        <v>57</v>
      </c>
      <c r="E136" s="13" t="s">
        <v>681</v>
      </c>
      <c r="F136" s="13" t="s">
        <v>682</v>
      </c>
      <c r="G136" s="61" t="n">
        <v>207000000</v>
      </c>
      <c r="H136" s="13" t="s">
        <v>1537</v>
      </c>
      <c r="I136" s="13"/>
      <c r="J136" s="13" t="s">
        <v>624</v>
      </c>
      <c r="K136" s="13" t="s">
        <v>624</v>
      </c>
      <c r="L136" s="13" t="s">
        <v>1539</v>
      </c>
      <c r="M136" s="13"/>
    </row>
    <row r="137" customFormat="false" ht="15" hidden="false" customHeight="false" outlineLevel="0" collapsed="false">
      <c r="A137" s="13" t="s">
        <v>610</v>
      </c>
      <c r="B137" s="13" t="s">
        <v>609</v>
      </c>
      <c r="C137" s="13" t="s">
        <v>1536</v>
      </c>
      <c r="D137" s="13" t="s">
        <v>57</v>
      </c>
      <c r="E137" s="13" t="s">
        <v>684</v>
      </c>
      <c r="F137" s="13" t="s">
        <v>685</v>
      </c>
      <c r="G137" s="107" t="n">
        <v>-1.2</v>
      </c>
      <c r="H137" s="13" t="s">
        <v>1537</v>
      </c>
      <c r="I137" s="13"/>
      <c r="J137" s="13" t="s">
        <v>1538</v>
      </c>
      <c r="K137" s="13" t="s">
        <v>1538</v>
      </c>
      <c r="L137" s="13" t="s">
        <v>1539</v>
      </c>
      <c r="M137" s="13"/>
    </row>
    <row r="138" customFormat="false" ht="15" hidden="false" customHeight="false" outlineLevel="0" collapsed="false">
      <c r="A138" s="13" t="s">
        <v>610</v>
      </c>
      <c r="B138" s="13" t="s">
        <v>609</v>
      </c>
      <c r="C138" s="13" t="s">
        <v>1540</v>
      </c>
      <c r="D138" s="13" t="s">
        <v>57</v>
      </c>
      <c r="E138" s="13" t="s">
        <v>684</v>
      </c>
      <c r="F138" s="13" t="s">
        <v>685</v>
      </c>
      <c r="G138" s="107" t="n">
        <v>13.77</v>
      </c>
      <c r="H138" s="13" t="s">
        <v>1537</v>
      </c>
      <c r="I138" s="13"/>
      <c r="J138" s="13" t="s">
        <v>1541</v>
      </c>
      <c r="K138" s="13" t="s">
        <v>1541</v>
      </c>
      <c r="L138" s="13" t="s">
        <v>1542</v>
      </c>
      <c r="M138" s="13"/>
    </row>
    <row r="139" customFormat="false" ht="15" hidden="false" customHeight="false" outlineLevel="0" collapsed="false">
      <c r="A139" s="13" t="s">
        <v>610</v>
      </c>
      <c r="B139" s="13" t="s">
        <v>609</v>
      </c>
      <c r="C139" s="13" t="s">
        <v>1543</v>
      </c>
      <c r="D139" s="13" t="s">
        <v>57</v>
      </c>
      <c r="E139" s="13" t="s">
        <v>684</v>
      </c>
      <c r="F139" s="13" t="s">
        <v>685</v>
      </c>
      <c r="G139" s="107" t="n">
        <v>-3.69</v>
      </c>
      <c r="H139" s="13" t="s">
        <v>1537</v>
      </c>
      <c r="I139" s="13"/>
      <c r="J139" s="13" t="s">
        <v>1544</v>
      </c>
      <c r="K139" s="13" t="s">
        <v>1544</v>
      </c>
      <c r="L139" s="13" t="s">
        <v>1539</v>
      </c>
      <c r="M139" s="13"/>
    </row>
    <row r="140" customFormat="false" ht="15" hidden="false" customHeight="false" outlineLevel="0" collapsed="false">
      <c r="A140" s="13" t="s">
        <v>610</v>
      </c>
      <c r="B140" s="13" t="s">
        <v>609</v>
      </c>
      <c r="C140" s="13" t="s">
        <v>1545</v>
      </c>
      <c r="D140" s="13" t="s">
        <v>57</v>
      </c>
      <c r="E140" s="13" t="s">
        <v>684</v>
      </c>
      <c r="F140" s="13" t="s">
        <v>685</v>
      </c>
      <c r="G140" s="107" t="n">
        <v>-3.21</v>
      </c>
      <c r="H140" s="13" t="s">
        <v>1537</v>
      </c>
      <c r="I140" s="13"/>
      <c r="J140" s="13" t="s">
        <v>622</v>
      </c>
      <c r="K140" s="13" t="s">
        <v>622</v>
      </c>
      <c r="L140" s="13" t="s">
        <v>1539</v>
      </c>
      <c r="M140" s="13"/>
    </row>
    <row r="141" customFormat="false" ht="15" hidden="false" customHeight="false" outlineLevel="0" collapsed="false">
      <c r="A141" s="13" t="s">
        <v>610</v>
      </c>
      <c r="B141" s="13" t="s">
        <v>609</v>
      </c>
      <c r="C141" s="13" t="s">
        <v>1546</v>
      </c>
      <c r="D141" s="13" t="s">
        <v>57</v>
      </c>
      <c r="E141" s="13" t="s">
        <v>684</v>
      </c>
      <c r="F141" s="13" t="s">
        <v>685</v>
      </c>
      <c r="G141" s="107" t="n">
        <v>-1.96</v>
      </c>
      <c r="H141" s="13" t="s">
        <v>1537</v>
      </c>
      <c r="I141" s="13"/>
      <c r="J141" s="13" t="s">
        <v>1547</v>
      </c>
      <c r="K141" s="13" t="s">
        <v>1547</v>
      </c>
      <c r="L141" s="13" t="s">
        <v>1539</v>
      </c>
      <c r="M141" s="13"/>
    </row>
    <row r="142" customFormat="false" ht="15" hidden="false" customHeight="false" outlineLevel="0" collapsed="false">
      <c r="A142" s="13" t="s">
        <v>610</v>
      </c>
      <c r="B142" s="13" t="s">
        <v>609</v>
      </c>
      <c r="C142" s="13" t="s">
        <v>1548</v>
      </c>
      <c r="D142" s="13" t="s">
        <v>57</v>
      </c>
      <c r="E142" s="13" t="s">
        <v>684</v>
      </c>
      <c r="F142" s="13" t="s">
        <v>685</v>
      </c>
      <c r="G142" s="107" t="n">
        <v>-16.31</v>
      </c>
      <c r="H142" s="13" t="s">
        <v>1537</v>
      </c>
      <c r="I142" s="13"/>
      <c r="J142" s="13" t="s">
        <v>624</v>
      </c>
      <c r="K142" s="13" t="s">
        <v>624</v>
      </c>
      <c r="L142" s="13" t="s">
        <v>1539</v>
      </c>
      <c r="M142" s="13"/>
    </row>
    <row r="143" customFormat="false" ht="15" hidden="false" customHeight="false" outlineLevel="0" collapsed="false">
      <c r="A143" s="13" t="s">
        <v>610</v>
      </c>
      <c r="B143" s="13" t="s">
        <v>609</v>
      </c>
      <c r="C143" s="13" t="s">
        <v>1536</v>
      </c>
      <c r="D143" s="13" t="s">
        <v>57</v>
      </c>
      <c r="E143" s="13" t="s">
        <v>688</v>
      </c>
      <c r="F143" s="13" t="s">
        <v>689</v>
      </c>
      <c r="G143" s="61" t="n">
        <v>419100328655</v>
      </c>
      <c r="H143" s="13" t="s">
        <v>1537</v>
      </c>
      <c r="I143" s="13"/>
      <c r="J143" s="13" t="s">
        <v>1538</v>
      </c>
      <c r="K143" s="13" t="s">
        <v>1538</v>
      </c>
      <c r="L143" s="13" t="s">
        <v>1539</v>
      </c>
      <c r="M143" s="13"/>
    </row>
    <row r="144" customFormat="false" ht="15" hidden="false" customHeight="false" outlineLevel="0" collapsed="false">
      <c r="A144" s="13" t="s">
        <v>610</v>
      </c>
      <c r="B144" s="13" t="s">
        <v>609</v>
      </c>
      <c r="C144" s="13" t="s">
        <v>1540</v>
      </c>
      <c r="D144" s="13" t="s">
        <v>57</v>
      </c>
      <c r="E144" s="13" t="s">
        <v>688</v>
      </c>
      <c r="F144" s="13" t="s">
        <v>689</v>
      </c>
      <c r="G144" s="61" t="n">
        <v>705032736652</v>
      </c>
      <c r="H144" s="13" t="s">
        <v>1537</v>
      </c>
      <c r="I144" s="13"/>
      <c r="J144" s="13" t="s">
        <v>1541</v>
      </c>
      <c r="K144" s="13" t="s">
        <v>1541</v>
      </c>
      <c r="L144" s="13" t="s">
        <v>1542</v>
      </c>
      <c r="M144" s="13"/>
    </row>
    <row r="145" customFormat="false" ht="15" hidden="false" customHeight="false" outlineLevel="0" collapsed="false">
      <c r="A145" s="13" t="s">
        <v>610</v>
      </c>
      <c r="B145" s="13" t="s">
        <v>609</v>
      </c>
      <c r="C145" s="13" t="s">
        <v>1543</v>
      </c>
      <c r="D145" s="13" t="s">
        <v>57</v>
      </c>
      <c r="E145" s="13" t="s">
        <v>688</v>
      </c>
      <c r="F145" s="13" t="s">
        <v>689</v>
      </c>
      <c r="G145" s="61" t="n">
        <v>557054293585</v>
      </c>
      <c r="H145" s="13" t="s">
        <v>1537</v>
      </c>
      <c r="I145" s="13"/>
      <c r="J145" s="13" t="s">
        <v>1544</v>
      </c>
      <c r="K145" s="13" t="s">
        <v>1544</v>
      </c>
      <c r="L145" s="13" t="s">
        <v>1539</v>
      </c>
      <c r="M145" s="13"/>
    </row>
    <row r="146" customFormat="false" ht="15" hidden="false" customHeight="false" outlineLevel="0" collapsed="false">
      <c r="A146" s="13" t="s">
        <v>610</v>
      </c>
      <c r="B146" s="13" t="s">
        <v>609</v>
      </c>
      <c r="C146" s="13" t="s">
        <v>1545</v>
      </c>
      <c r="D146" s="13" t="s">
        <v>57</v>
      </c>
      <c r="E146" s="13" t="s">
        <v>688</v>
      </c>
      <c r="F146" s="13" t="s">
        <v>689</v>
      </c>
      <c r="G146" s="61" t="n">
        <v>718020000000</v>
      </c>
      <c r="H146" s="13" t="s">
        <v>1537</v>
      </c>
      <c r="I146" s="13"/>
      <c r="J146" s="13" t="s">
        <v>622</v>
      </c>
      <c r="K146" s="13" t="s">
        <v>622</v>
      </c>
      <c r="L146" s="13" t="s">
        <v>1539</v>
      </c>
      <c r="M146" s="13"/>
    </row>
    <row r="147" customFormat="false" ht="15" hidden="false" customHeight="false" outlineLevel="0" collapsed="false">
      <c r="A147" s="13" t="s">
        <v>610</v>
      </c>
      <c r="B147" s="13" t="s">
        <v>609</v>
      </c>
      <c r="C147" s="13" t="s">
        <v>1546</v>
      </c>
      <c r="D147" s="13" t="s">
        <v>57</v>
      </c>
      <c r="E147" s="13" t="s">
        <v>688</v>
      </c>
      <c r="F147" s="13" t="s">
        <v>689</v>
      </c>
      <c r="G147" s="61" t="n">
        <v>916443000000</v>
      </c>
      <c r="H147" s="13" t="s">
        <v>1537</v>
      </c>
      <c r="I147" s="13"/>
      <c r="J147" s="13" t="s">
        <v>1547</v>
      </c>
      <c r="K147" s="13" t="s">
        <v>1547</v>
      </c>
      <c r="L147" s="13" t="s">
        <v>1539</v>
      </c>
      <c r="M147" s="13"/>
    </row>
    <row r="148" customFormat="false" ht="15" hidden="false" customHeight="false" outlineLevel="0" collapsed="false">
      <c r="A148" s="13" t="s">
        <v>610</v>
      </c>
      <c r="B148" s="13" t="s">
        <v>609</v>
      </c>
      <c r="C148" s="13" t="s">
        <v>1548</v>
      </c>
      <c r="D148" s="13" t="s">
        <v>57</v>
      </c>
      <c r="E148" s="13" t="s">
        <v>688</v>
      </c>
      <c r="F148" s="13" t="s">
        <v>689</v>
      </c>
      <c r="G148" s="61" t="n">
        <v>1058876000000</v>
      </c>
      <c r="H148" s="13" t="s">
        <v>1537</v>
      </c>
      <c r="I148" s="13"/>
      <c r="J148" s="13" t="s">
        <v>624</v>
      </c>
      <c r="K148" s="13" t="s">
        <v>624</v>
      </c>
      <c r="L148" s="13" t="s">
        <v>1539</v>
      </c>
      <c r="M148" s="13"/>
    </row>
    <row r="149" customFormat="false" ht="15" hidden="false" customHeight="false" outlineLevel="0" collapsed="false">
      <c r="A149" s="13" t="s">
        <v>610</v>
      </c>
      <c r="B149" s="13" t="s">
        <v>609</v>
      </c>
      <c r="C149" s="13" t="s">
        <v>1536</v>
      </c>
      <c r="D149" s="13" t="s">
        <v>57</v>
      </c>
      <c r="E149" s="13" t="s">
        <v>691</v>
      </c>
      <c r="F149" s="13" t="s">
        <v>692</v>
      </c>
      <c r="G149" s="61" t="n">
        <v>191390366</v>
      </c>
      <c r="H149" s="13" t="s">
        <v>1537</v>
      </c>
      <c r="I149" s="13"/>
      <c r="J149" s="13" t="s">
        <v>1538</v>
      </c>
      <c r="K149" s="13" t="s">
        <v>1538</v>
      </c>
      <c r="L149" s="13" t="s">
        <v>1539</v>
      </c>
      <c r="M149" s="13"/>
    </row>
    <row r="150" customFormat="false" ht="15" hidden="false" customHeight="false" outlineLevel="0" collapsed="false">
      <c r="A150" s="13" t="s">
        <v>610</v>
      </c>
      <c r="B150" s="13" t="s">
        <v>609</v>
      </c>
      <c r="C150" s="13" t="s">
        <v>1540</v>
      </c>
      <c r="D150" s="13" t="s">
        <v>57</v>
      </c>
      <c r="E150" s="13" t="s">
        <v>691</v>
      </c>
      <c r="F150" s="13" t="s">
        <v>692</v>
      </c>
      <c r="G150" s="61" t="n">
        <v>156419509835</v>
      </c>
      <c r="H150" s="13" t="s">
        <v>1537</v>
      </c>
      <c r="I150" s="13"/>
      <c r="J150" s="13" t="s">
        <v>1541</v>
      </c>
      <c r="K150" s="13" t="s">
        <v>1541</v>
      </c>
      <c r="L150" s="13" t="s">
        <v>1542</v>
      </c>
      <c r="M150" s="13"/>
    </row>
    <row r="151" customFormat="false" ht="15" hidden="false" customHeight="false" outlineLevel="0" collapsed="false">
      <c r="A151" s="13" t="s">
        <v>610</v>
      </c>
      <c r="B151" s="13" t="s">
        <v>609</v>
      </c>
      <c r="C151" s="13" t="s">
        <v>1543</v>
      </c>
      <c r="D151" s="13" t="s">
        <v>57</v>
      </c>
      <c r="E151" s="13" t="s">
        <v>691</v>
      </c>
      <c r="F151" s="13" t="s">
        <v>692</v>
      </c>
      <c r="G151" s="61" t="n">
        <v>-42086886236</v>
      </c>
      <c r="H151" s="13" t="s">
        <v>1537</v>
      </c>
      <c r="I151" s="13"/>
      <c r="J151" s="13" t="s">
        <v>1544</v>
      </c>
      <c r="K151" s="13" t="s">
        <v>1544</v>
      </c>
      <c r="L151" s="13" t="s">
        <v>1539</v>
      </c>
      <c r="M151" s="13"/>
    </row>
    <row r="152" customFormat="false" ht="15" hidden="false" customHeight="false" outlineLevel="0" collapsed="false">
      <c r="A152" s="13" t="s">
        <v>610</v>
      </c>
      <c r="B152" s="13" t="s">
        <v>609</v>
      </c>
      <c r="C152" s="13" t="s">
        <v>1545</v>
      </c>
      <c r="D152" s="13" t="s">
        <v>57</v>
      </c>
      <c r="E152" s="13" t="s">
        <v>691</v>
      </c>
      <c r="F152" s="13" t="s">
        <v>692</v>
      </c>
      <c r="G152" s="61" t="n">
        <v>-31291000000</v>
      </c>
      <c r="H152" s="13" t="s">
        <v>1537</v>
      </c>
      <c r="I152" s="13"/>
      <c r="J152" s="13" t="s">
        <v>622</v>
      </c>
      <c r="K152" s="13" t="s">
        <v>622</v>
      </c>
      <c r="L152" s="13" t="s">
        <v>1539</v>
      </c>
      <c r="M152" s="13"/>
    </row>
    <row r="153" customFormat="false" ht="15" hidden="false" customHeight="false" outlineLevel="0" collapsed="false">
      <c r="A153" s="13" t="s">
        <v>610</v>
      </c>
      <c r="B153" s="13" t="s">
        <v>609</v>
      </c>
      <c r="C153" s="13" t="s">
        <v>1546</v>
      </c>
      <c r="D153" s="13" t="s">
        <v>57</v>
      </c>
      <c r="E153" s="13" t="s">
        <v>691</v>
      </c>
      <c r="F153" s="13" t="s">
        <v>692</v>
      </c>
      <c r="G153" s="61" t="n">
        <v>-2640000000</v>
      </c>
      <c r="H153" s="13" t="s">
        <v>1537</v>
      </c>
      <c r="I153" s="13"/>
      <c r="J153" s="13" t="s">
        <v>1547</v>
      </c>
      <c r="K153" s="13" t="s">
        <v>1547</v>
      </c>
      <c r="L153" s="13" t="s">
        <v>1539</v>
      </c>
      <c r="M153" s="13"/>
    </row>
    <row r="154" customFormat="false" ht="15" hidden="false" customHeight="false" outlineLevel="0" collapsed="false">
      <c r="A154" s="13" t="s">
        <v>610</v>
      </c>
      <c r="B154" s="13" t="s">
        <v>609</v>
      </c>
      <c r="C154" s="13" t="s">
        <v>1548</v>
      </c>
      <c r="D154" s="13" t="s">
        <v>57</v>
      </c>
      <c r="E154" s="13" t="s">
        <v>691</v>
      </c>
      <c r="F154" s="13" t="s">
        <v>692</v>
      </c>
      <c r="G154" s="61" t="n">
        <v>-235170000000</v>
      </c>
      <c r="H154" s="13" t="s">
        <v>1537</v>
      </c>
      <c r="I154" s="13"/>
      <c r="J154" s="13" t="s">
        <v>624</v>
      </c>
      <c r="K154" s="13" t="s">
        <v>624</v>
      </c>
      <c r="L154" s="13" t="s">
        <v>1539</v>
      </c>
      <c r="M154" s="13"/>
    </row>
    <row r="155" customFormat="false" ht="15" hidden="false" customHeight="false" outlineLevel="0" collapsed="false">
      <c r="A155" s="13" t="s">
        <v>610</v>
      </c>
      <c r="B155" s="13" t="s">
        <v>609</v>
      </c>
      <c r="C155" s="13" t="s">
        <v>1536</v>
      </c>
      <c r="D155" s="13" t="s">
        <v>57</v>
      </c>
      <c r="E155" s="13" t="s">
        <v>694</v>
      </c>
      <c r="F155" s="13" t="s">
        <v>695</v>
      </c>
      <c r="G155" s="61" t="n">
        <v>-14498057988</v>
      </c>
      <c r="H155" s="13" t="s">
        <v>1537</v>
      </c>
      <c r="I155" s="13"/>
      <c r="J155" s="13" t="s">
        <v>1538</v>
      </c>
      <c r="K155" s="13" t="s">
        <v>1538</v>
      </c>
      <c r="L155" s="13" t="s">
        <v>1539</v>
      </c>
      <c r="M155" s="13"/>
    </row>
    <row r="156" customFormat="false" ht="15" hidden="false" customHeight="false" outlineLevel="0" collapsed="false">
      <c r="A156" s="13" t="s">
        <v>610</v>
      </c>
      <c r="B156" s="13" t="s">
        <v>609</v>
      </c>
      <c r="C156" s="13" t="s">
        <v>1540</v>
      </c>
      <c r="D156" s="13" t="s">
        <v>57</v>
      </c>
      <c r="E156" s="13" t="s">
        <v>694</v>
      </c>
      <c r="F156" s="13" t="s">
        <v>695</v>
      </c>
      <c r="G156" s="61" t="n">
        <v>165604046574</v>
      </c>
      <c r="H156" s="13" t="s">
        <v>1537</v>
      </c>
      <c r="I156" s="13"/>
      <c r="J156" s="13" t="s">
        <v>1541</v>
      </c>
      <c r="K156" s="13" t="s">
        <v>1541</v>
      </c>
      <c r="L156" s="13" t="s">
        <v>1542</v>
      </c>
      <c r="M156" s="13"/>
    </row>
    <row r="157" customFormat="false" ht="15" hidden="false" customHeight="false" outlineLevel="0" collapsed="false">
      <c r="A157" s="13" t="s">
        <v>610</v>
      </c>
      <c r="B157" s="13" t="s">
        <v>609</v>
      </c>
      <c r="C157" s="13" t="s">
        <v>1543</v>
      </c>
      <c r="D157" s="13" t="s">
        <v>57</v>
      </c>
      <c r="E157" s="13" t="s">
        <v>694</v>
      </c>
      <c r="F157" s="13" t="s">
        <v>695</v>
      </c>
      <c r="G157" s="61" t="n">
        <v>-44187230723</v>
      </c>
      <c r="H157" s="13" t="s">
        <v>1537</v>
      </c>
      <c r="I157" s="13"/>
      <c r="J157" s="13" t="s">
        <v>1544</v>
      </c>
      <c r="K157" s="13" t="s">
        <v>1544</v>
      </c>
      <c r="L157" s="13" t="s">
        <v>1539</v>
      </c>
      <c r="M157" s="13"/>
    </row>
    <row r="158" customFormat="false" ht="15" hidden="false" customHeight="false" outlineLevel="0" collapsed="false">
      <c r="A158" s="13" t="s">
        <v>610</v>
      </c>
      <c r="B158" s="13" t="s">
        <v>609</v>
      </c>
      <c r="C158" s="13" t="s">
        <v>1545</v>
      </c>
      <c r="D158" s="13" t="s">
        <v>57</v>
      </c>
      <c r="E158" s="13" t="s">
        <v>694</v>
      </c>
      <c r="F158" s="13" t="s">
        <v>695</v>
      </c>
      <c r="G158" s="61" t="n">
        <v>-38313000000</v>
      </c>
      <c r="H158" s="13" t="s">
        <v>1537</v>
      </c>
      <c r="I158" s="13"/>
      <c r="J158" s="13" t="s">
        <v>622</v>
      </c>
      <c r="K158" s="13" t="s">
        <v>622</v>
      </c>
      <c r="L158" s="13" t="s">
        <v>1539</v>
      </c>
      <c r="M158" s="13"/>
    </row>
    <row r="159" customFormat="false" ht="15" hidden="false" customHeight="false" outlineLevel="0" collapsed="false">
      <c r="A159" s="13" t="s">
        <v>610</v>
      </c>
      <c r="B159" s="13" t="s">
        <v>609</v>
      </c>
      <c r="C159" s="13" t="s">
        <v>1546</v>
      </c>
      <c r="D159" s="13" t="s">
        <v>57</v>
      </c>
      <c r="E159" s="13" t="s">
        <v>694</v>
      </c>
      <c r="F159" s="13" t="s">
        <v>695</v>
      </c>
      <c r="G159" s="61" t="n">
        <v>-23344000000</v>
      </c>
      <c r="H159" s="13" t="s">
        <v>1537</v>
      </c>
      <c r="I159" s="13"/>
      <c r="J159" s="13" t="s">
        <v>1547</v>
      </c>
      <c r="K159" s="13" t="s">
        <v>1547</v>
      </c>
      <c r="L159" s="13" t="s">
        <v>1539</v>
      </c>
      <c r="M159" s="13"/>
    </row>
    <row r="160" customFormat="false" ht="15" hidden="false" customHeight="false" outlineLevel="0" collapsed="false">
      <c r="A160" s="13" t="s">
        <v>610</v>
      </c>
      <c r="B160" s="13" t="s">
        <v>609</v>
      </c>
      <c r="C160" s="13" t="s">
        <v>1548</v>
      </c>
      <c r="D160" s="13" t="s">
        <v>57</v>
      </c>
      <c r="E160" s="13" t="s">
        <v>694</v>
      </c>
      <c r="F160" s="13" t="s">
        <v>695</v>
      </c>
      <c r="G160" s="61" t="n">
        <v>-198790000000</v>
      </c>
      <c r="H160" s="13" t="s">
        <v>1537</v>
      </c>
      <c r="I160" s="13"/>
      <c r="J160" s="13" t="s">
        <v>624</v>
      </c>
      <c r="K160" s="13" t="s">
        <v>624</v>
      </c>
      <c r="L160" s="13" t="s">
        <v>1539</v>
      </c>
      <c r="M160" s="13"/>
    </row>
    <row r="161" customFormat="false" ht="15" hidden="false" customHeight="false" outlineLevel="0" collapsed="false">
      <c r="A161" s="13" t="s">
        <v>610</v>
      </c>
      <c r="B161" s="13" t="s">
        <v>609</v>
      </c>
      <c r="C161" s="13" t="s">
        <v>1536</v>
      </c>
      <c r="D161" s="13" t="s">
        <v>57</v>
      </c>
      <c r="E161" s="13" t="s">
        <v>697</v>
      </c>
      <c r="F161" s="13" t="s">
        <v>698</v>
      </c>
      <c r="G161" s="61" t="n">
        <v>4996817740</v>
      </c>
      <c r="H161" s="13" t="s">
        <v>1537</v>
      </c>
      <c r="I161" s="13"/>
      <c r="J161" s="13" t="s">
        <v>1538</v>
      </c>
      <c r="K161" s="13" t="s">
        <v>1538</v>
      </c>
      <c r="L161" s="13" t="s">
        <v>1539</v>
      </c>
      <c r="M161" s="13"/>
    </row>
    <row r="162" customFormat="false" ht="15" hidden="false" customHeight="false" outlineLevel="0" collapsed="false">
      <c r="A162" s="13" t="s">
        <v>610</v>
      </c>
      <c r="B162" s="13" t="s">
        <v>609</v>
      </c>
      <c r="C162" s="13" t="s">
        <v>1540</v>
      </c>
      <c r="D162" s="13" t="s">
        <v>57</v>
      </c>
      <c r="E162" s="13" t="s">
        <v>697</v>
      </c>
      <c r="F162" s="13" t="s">
        <v>698</v>
      </c>
      <c r="G162" s="61" t="n">
        <v>7062226345</v>
      </c>
      <c r="H162" s="13" t="s">
        <v>1537</v>
      </c>
      <c r="I162" s="13"/>
      <c r="J162" s="13" t="s">
        <v>1541</v>
      </c>
      <c r="K162" s="13" t="s">
        <v>1541</v>
      </c>
      <c r="L162" s="13" t="s">
        <v>1542</v>
      </c>
      <c r="M162" s="13"/>
    </row>
    <row r="163" customFormat="false" ht="15" hidden="false" customHeight="false" outlineLevel="0" collapsed="false">
      <c r="A163" s="13" t="s">
        <v>610</v>
      </c>
      <c r="B163" s="13" t="s">
        <v>609</v>
      </c>
      <c r="C163" s="13" t="s">
        <v>1543</v>
      </c>
      <c r="D163" s="13" t="s">
        <v>57</v>
      </c>
      <c r="E163" s="13" t="s">
        <v>697</v>
      </c>
      <c r="F163" s="13" t="s">
        <v>698</v>
      </c>
      <c r="G163" s="61" t="n">
        <v>11922806156</v>
      </c>
      <c r="H163" s="13" t="s">
        <v>1537</v>
      </c>
      <c r="I163" s="13"/>
      <c r="J163" s="13" t="s">
        <v>1544</v>
      </c>
      <c r="K163" s="13" t="s">
        <v>1544</v>
      </c>
      <c r="L163" s="13" t="s">
        <v>1539</v>
      </c>
      <c r="M163" s="13"/>
    </row>
    <row r="164" customFormat="false" ht="15" hidden="false" customHeight="false" outlineLevel="0" collapsed="false">
      <c r="A164" s="13" t="s">
        <v>610</v>
      </c>
      <c r="B164" s="13" t="s">
        <v>609</v>
      </c>
      <c r="C164" s="13" t="s">
        <v>1545</v>
      </c>
      <c r="D164" s="13" t="s">
        <v>57</v>
      </c>
      <c r="E164" s="13" t="s">
        <v>697</v>
      </c>
      <c r="F164" s="13" t="s">
        <v>698</v>
      </c>
      <c r="G164" s="61" t="n">
        <v>632000000</v>
      </c>
      <c r="H164" s="13" t="s">
        <v>1537</v>
      </c>
      <c r="I164" s="13"/>
      <c r="J164" s="13" t="s">
        <v>622</v>
      </c>
      <c r="K164" s="13" t="s">
        <v>622</v>
      </c>
      <c r="L164" s="13" t="s">
        <v>1539</v>
      </c>
      <c r="M164" s="13"/>
    </row>
    <row r="165" customFormat="false" ht="15" hidden="false" customHeight="false" outlineLevel="0" collapsed="false">
      <c r="A165" s="13" t="s">
        <v>610</v>
      </c>
      <c r="B165" s="13" t="s">
        <v>609</v>
      </c>
      <c r="C165" s="13" t="s">
        <v>1546</v>
      </c>
      <c r="D165" s="13" t="s">
        <v>57</v>
      </c>
      <c r="E165" s="13" t="s">
        <v>697</v>
      </c>
      <c r="F165" s="13" t="s">
        <v>698</v>
      </c>
      <c r="G165" s="61" t="n">
        <v>-809000000</v>
      </c>
      <c r="H165" s="13" t="s">
        <v>1537</v>
      </c>
      <c r="I165" s="13"/>
      <c r="J165" s="13" t="s">
        <v>1547</v>
      </c>
      <c r="K165" s="13" t="s">
        <v>1547</v>
      </c>
      <c r="L165" s="13" t="s">
        <v>1539</v>
      </c>
      <c r="M165" s="13"/>
    </row>
    <row r="166" customFormat="false" ht="15" hidden="false" customHeight="false" outlineLevel="0" collapsed="false">
      <c r="A166" s="13" t="s">
        <v>610</v>
      </c>
      <c r="B166" s="13" t="s">
        <v>609</v>
      </c>
      <c r="C166" s="13" t="s">
        <v>1548</v>
      </c>
      <c r="D166" s="13" t="s">
        <v>57</v>
      </c>
      <c r="E166" s="13" t="s">
        <v>697</v>
      </c>
      <c r="F166" s="13" t="s">
        <v>698</v>
      </c>
      <c r="G166" s="61" t="n">
        <v>-4191000000</v>
      </c>
      <c r="H166" s="13" t="s">
        <v>1537</v>
      </c>
      <c r="I166" s="13"/>
      <c r="J166" s="13" t="s">
        <v>624</v>
      </c>
      <c r="K166" s="13" t="s">
        <v>624</v>
      </c>
      <c r="L166" s="13" t="s">
        <v>1539</v>
      </c>
      <c r="M166" s="13"/>
    </row>
    <row r="167" customFormat="false" ht="15" hidden="false" customHeight="false" outlineLevel="0" collapsed="false">
      <c r="A167" s="13" t="s">
        <v>610</v>
      </c>
      <c r="B167" s="13" t="s">
        <v>609</v>
      </c>
      <c r="C167" s="13" t="s">
        <v>1536</v>
      </c>
      <c r="D167" s="13" t="s">
        <v>57</v>
      </c>
      <c r="E167" s="13" t="s">
        <v>700</v>
      </c>
      <c r="F167" s="13" t="s">
        <v>701</v>
      </c>
      <c r="G167" s="61" t="n">
        <v>-9501240248</v>
      </c>
      <c r="H167" s="13" t="s">
        <v>1537</v>
      </c>
      <c r="I167" s="13"/>
      <c r="J167" s="13" t="s">
        <v>1538</v>
      </c>
      <c r="K167" s="13" t="s">
        <v>1538</v>
      </c>
      <c r="L167" s="13" t="s">
        <v>1539</v>
      </c>
      <c r="M167" s="13"/>
    </row>
    <row r="168" customFormat="false" ht="15" hidden="false" customHeight="false" outlineLevel="0" collapsed="false">
      <c r="A168" s="13" t="s">
        <v>610</v>
      </c>
      <c r="B168" s="13" t="s">
        <v>609</v>
      </c>
      <c r="C168" s="13" t="s">
        <v>1540</v>
      </c>
      <c r="D168" s="13" t="s">
        <v>57</v>
      </c>
      <c r="E168" s="13" t="s">
        <v>700</v>
      </c>
      <c r="F168" s="13" t="s">
        <v>701</v>
      </c>
      <c r="G168" s="61" t="n">
        <v>172666272919</v>
      </c>
      <c r="H168" s="13" t="s">
        <v>1537</v>
      </c>
      <c r="I168" s="13"/>
      <c r="J168" s="13" t="s">
        <v>1541</v>
      </c>
      <c r="K168" s="13" t="s">
        <v>1541</v>
      </c>
      <c r="L168" s="13" t="s">
        <v>1542</v>
      </c>
      <c r="M168" s="13"/>
    </row>
    <row r="169" customFormat="false" ht="15" hidden="false" customHeight="false" outlineLevel="0" collapsed="false">
      <c r="A169" s="13" t="s">
        <v>610</v>
      </c>
      <c r="B169" s="13" t="s">
        <v>609</v>
      </c>
      <c r="C169" s="13" t="s">
        <v>1543</v>
      </c>
      <c r="D169" s="13" t="s">
        <v>57</v>
      </c>
      <c r="E169" s="13" t="s">
        <v>700</v>
      </c>
      <c r="F169" s="13" t="s">
        <v>701</v>
      </c>
      <c r="G169" s="61" t="n">
        <v>-32264424567</v>
      </c>
      <c r="H169" s="13" t="s">
        <v>1537</v>
      </c>
      <c r="I169" s="13"/>
      <c r="J169" s="13" t="s">
        <v>1544</v>
      </c>
      <c r="K169" s="13" t="s">
        <v>1544</v>
      </c>
      <c r="L169" s="13" t="s">
        <v>1539</v>
      </c>
      <c r="M169" s="13"/>
    </row>
    <row r="170" customFormat="false" ht="15" hidden="false" customHeight="false" outlineLevel="0" collapsed="false">
      <c r="A170" s="13" t="s">
        <v>610</v>
      </c>
      <c r="B170" s="13" t="s">
        <v>609</v>
      </c>
      <c r="C170" s="13" t="s">
        <v>1545</v>
      </c>
      <c r="D170" s="13" t="s">
        <v>57</v>
      </c>
      <c r="E170" s="13" t="s">
        <v>700</v>
      </c>
      <c r="F170" s="13" t="s">
        <v>701</v>
      </c>
      <c r="G170" s="61" t="n">
        <v>-37681000000</v>
      </c>
      <c r="H170" s="13" t="s">
        <v>1537</v>
      </c>
      <c r="I170" s="13"/>
      <c r="J170" s="13" t="s">
        <v>622</v>
      </c>
      <c r="K170" s="13" t="s">
        <v>622</v>
      </c>
      <c r="L170" s="13" t="s">
        <v>1539</v>
      </c>
      <c r="M170" s="13"/>
    </row>
    <row r="171" customFormat="false" ht="15" hidden="false" customHeight="false" outlineLevel="0" collapsed="false">
      <c r="A171" s="13" t="s">
        <v>610</v>
      </c>
      <c r="B171" s="13" t="s">
        <v>609</v>
      </c>
      <c r="C171" s="13" t="s">
        <v>1546</v>
      </c>
      <c r="D171" s="13" t="s">
        <v>57</v>
      </c>
      <c r="E171" s="13" t="s">
        <v>700</v>
      </c>
      <c r="F171" s="13" t="s">
        <v>701</v>
      </c>
      <c r="G171" s="61" t="n">
        <v>-24153000000</v>
      </c>
      <c r="H171" s="13" t="s">
        <v>1537</v>
      </c>
      <c r="I171" s="13"/>
      <c r="J171" s="13" t="s">
        <v>1547</v>
      </c>
      <c r="K171" s="13" t="s">
        <v>1547</v>
      </c>
      <c r="L171" s="13" t="s">
        <v>1539</v>
      </c>
      <c r="M171" s="13"/>
    </row>
    <row r="172" customFormat="false" ht="15" hidden="false" customHeight="false" outlineLevel="0" collapsed="false">
      <c r="A172" s="13" t="s">
        <v>610</v>
      </c>
      <c r="B172" s="13" t="s">
        <v>609</v>
      </c>
      <c r="C172" s="13" t="s">
        <v>1548</v>
      </c>
      <c r="D172" s="13" t="s">
        <v>57</v>
      </c>
      <c r="E172" s="13" t="s">
        <v>700</v>
      </c>
      <c r="F172" s="13" t="s">
        <v>701</v>
      </c>
      <c r="G172" s="61" t="n">
        <v>-202981000000</v>
      </c>
      <c r="H172" s="13" t="s">
        <v>1537</v>
      </c>
      <c r="I172" s="13"/>
      <c r="J172" s="13" t="s">
        <v>624</v>
      </c>
      <c r="K172" s="13" t="s">
        <v>624</v>
      </c>
      <c r="L172" s="13" t="s">
        <v>1539</v>
      </c>
      <c r="M172" s="13"/>
    </row>
    <row r="173" customFormat="false" ht="15" hidden="false" customHeight="false" outlineLevel="0" collapsed="false">
      <c r="A173" s="13" t="s">
        <v>610</v>
      </c>
      <c r="B173" s="13" t="s">
        <v>609</v>
      </c>
      <c r="C173" s="13" t="s">
        <v>1536</v>
      </c>
      <c r="D173" s="13" t="s">
        <v>59</v>
      </c>
      <c r="E173" s="13" t="s">
        <v>704</v>
      </c>
      <c r="F173" s="13" t="s">
        <v>390</v>
      </c>
      <c r="G173" s="61" t="n">
        <v>629608688874</v>
      </c>
      <c r="H173" s="13" t="s">
        <v>1537</v>
      </c>
      <c r="I173" s="13"/>
      <c r="J173" s="13" t="s">
        <v>1538</v>
      </c>
      <c r="K173" s="13" t="s">
        <v>1538</v>
      </c>
      <c r="L173" s="13" t="s">
        <v>1539</v>
      </c>
      <c r="M173" s="13"/>
    </row>
    <row r="174" customFormat="false" ht="15" hidden="false" customHeight="false" outlineLevel="0" collapsed="false">
      <c r="A174" s="13" t="s">
        <v>610</v>
      </c>
      <c r="B174" s="13" t="s">
        <v>609</v>
      </c>
      <c r="C174" s="13" t="s">
        <v>1540</v>
      </c>
      <c r="D174" s="13" t="s">
        <v>59</v>
      </c>
      <c r="E174" s="13" t="s">
        <v>704</v>
      </c>
      <c r="F174" s="13" t="s">
        <v>390</v>
      </c>
      <c r="G174" s="61" t="n">
        <v>700922359619</v>
      </c>
      <c r="H174" s="13" t="s">
        <v>1537</v>
      </c>
      <c r="I174" s="13"/>
      <c r="J174" s="13" t="s">
        <v>1541</v>
      </c>
      <c r="K174" s="13" t="s">
        <v>1541</v>
      </c>
      <c r="L174" s="13" t="s">
        <v>1542</v>
      </c>
      <c r="M174" s="13"/>
    </row>
    <row r="175" customFormat="false" ht="15" hidden="false" customHeight="false" outlineLevel="0" collapsed="false">
      <c r="A175" s="13" t="s">
        <v>610</v>
      </c>
      <c r="B175" s="13" t="s">
        <v>609</v>
      </c>
      <c r="C175" s="13" t="s">
        <v>1543</v>
      </c>
      <c r="D175" s="13" t="s">
        <v>59</v>
      </c>
      <c r="E175" s="13" t="s">
        <v>704</v>
      </c>
      <c r="F175" s="13" t="s">
        <v>390</v>
      </c>
      <c r="G175" s="61" t="n">
        <v>1118254250664</v>
      </c>
      <c r="H175" s="13" t="s">
        <v>1537</v>
      </c>
      <c r="I175" s="13"/>
      <c r="J175" s="13" t="s">
        <v>1544</v>
      </c>
      <c r="K175" s="13" t="s">
        <v>1544</v>
      </c>
      <c r="L175" s="13" t="s">
        <v>1539</v>
      </c>
      <c r="M175" s="13"/>
    </row>
    <row r="176" customFormat="false" ht="15" hidden="false" customHeight="false" outlineLevel="0" collapsed="false">
      <c r="A176" s="13" t="s">
        <v>610</v>
      </c>
      <c r="B176" s="13" t="s">
        <v>609</v>
      </c>
      <c r="C176" s="13" t="s">
        <v>1545</v>
      </c>
      <c r="D176" s="13" t="s">
        <v>59</v>
      </c>
      <c r="E176" s="13" t="s">
        <v>704</v>
      </c>
      <c r="F176" s="13" t="s">
        <v>390</v>
      </c>
      <c r="G176" s="61" t="n">
        <v>515185000000</v>
      </c>
      <c r="H176" s="13" t="s">
        <v>1537</v>
      </c>
      <c r="I176" s="13"/>
      <c r="J176" s="13" t="s">
        <v>622</v>
      </c>
      <c r="K176" s="13" t="s">
        <v>622</v>
      </c>
      <c r="L176" s="13" t="s">
        <v>1539</v>
      </c>
      <c r="M176" s="13"/>
    </row>
    <row r="177" customFormat="false" ht="15" hidden="false" customHeight="false" outlineLevel="0" collapsed="false">
      <c r="A177" s="13" t="s">
        <v>610</v>
      </c>
      <c r="B177" s="13" t="s">
        <v>609</v>
      </c>
      <c r="C177" s="13" t="s">
        <v>1546</v>
      </c>
      <c r="D177" s="13" t="s">
        <v>59</v>
      </c>
      <c r="E177" s="13" t="s">
        <v>704</v>
      </c>
      <c r="F177" s="13" t="s">
        <v>390</v>
      </c>
      <c r="G177" s="61" t="n">
        <v>277208000000</v>
      </c>
      <c r="H177" s="13" t="s">
        <v>1537</v>
      </c>
      <c r="I177" s="13"/>
      <c r="J177" s="13" t="s">
        <v>1547</v>
      </c>
      <c r="K177" s="13" t="s">
        <v>1547</v>
      </c>
      <c r="L177" s="13" t="s">
        <v>1539</v>
      </c>
      <c r="M177" s="13"/>
    </row>
    <row r="178" customFormat="false" ht="15" hidden="false" customHeight="false" outlineLevel="0" collapsed="false">
      <c r="A178" s="13" t="s">
        <v>610</v>
      </c>
      <c r="B178" s="13" t="s">
        <v>609</v>
      </c>
      <c r="C178" s="13" t="s">
        <v>1548</v>
      </c>
      <c r="D178" s="13" t="s">
        <v>59</v>
      </c>
      <c r="E178" s="13" t="s">
        <v>704</v>
      </c>
      <c r="F178" s="13" t="s">
        <v>390</v>
      </c>
      <c r="G178" s="61" t="n">
        <v>1826263000000</v>
      </c>
      <c r="H178" s="13" t="s">
        <v>1537</v>
      </c>
      <c r="I178" s="13"/>
      <c r="J178" s="13" t="s">
        <v>624</v>
      </c>
      <c r="K178" s="13" t="s">
        <v>624</v>
      </c>
      <c r="L178" s="13" t="s">
        <v>1539</v>
      </c>
      <c r="M178" s="13"/>
    </row>
    <row r="179" customFormat="false" ht="15" hidden="false" customHeight="false" outlineLevel="0" collapsed="false">
      <c r="A179" s="13" t="s">
        <v>610</v>
      </c>
      <c r="B179" s="13" t="s">
        <v>609</v>
      </c>
      <c r="C179" s="13" t="s">
        <v>1545</v>
      </c>
      <c r="D179" s="13" t="s">
        <v>59</v>
      </c>
      <c r="E179" s="13" t="s">
        <v>706</v>
      </c>
      <c r="F179" s="13" t="s">
        <v>707</v>
      </c>
      <c r="G179" s="61" t="n">
        <v>6517000000</v>
      </c>
      <c r="H179" s="13" t="s">
        <v>1537</v>
      </c>
      <c r="I179" s="13"/>
      <c r="J179" s="13" t="s">
        <v>622</v>
      </c>
      <c r="K179" s="13" t="s">
        <v>622</v>
      </c>
      <c r="L179" s="13" t="s">
        <v>1539</v>
      </c>
      <c r="M179" s="13"/>
    </row>
    <row r="180" customFormat="false" ht="15" hidden="false" customHeight="false" outlineLevel="0" collapsed="false">
      <c r="A180" s="13" t="s">
        <v>610</v>
      </c>
      <c r="B180" s="13" t="s">
        <v>609</v>
      </c>
      <c r="C180" s="13" t="s">
        <v>1546</v>
      </c>
      <c r="D180" s="13" t="s">
        <v>59</v>
      </c>
      <c r="E180" s="13" t="s">
        <v>706</v>
      </c>
      <c r="F180" s="13" t="s">
        <v>707</v>
      </c>
      <c r="G180" s="61" t="n">
        <v>6532000000</v>
      </c>
      <c r="H180" s="13" t="s">
        <v>1537</v>
      </c>
      <c r="I180" s="13"/>
      <c r="J180" s="13" t="s">
        <v>1547</v>
      </c>
      <c r="K180" s="13" t="s">
        <v>1547</v>
      </c>
      <c r="L180" s="13" t="s">
        <v>1539</v>
      </c>
      <c r="M180" s="13"/>
    </row>
    <row r="181" customFormat="false" ht="15" hidden="false" customHeight="false" outlineLevel="0" collapsed="false">
      <c r="A181" s="13" t="s">
        <v>610</v>
      </c>
      <c r="B181" s="13" t="s">
        <v>609</v>
      </c>
      <c r="C181" s="13" t="s">
        <v>1548</v>
      </c>
      <c r="D181" s="13" t="s">
        <v>59</v>
      </c>
      <c r="E181" s="13" t="s">
        <v>706</v>
      </c>
      <c r="F181" s="13" t="s">
        <v>707</v>
      </c>
      <c r="G181" s="61" t="n">
        <v>24842000000</v>
      </c>
      <c r="H181" s="13" t="s">
        <v>1537</v>
      </c>
      <c r="I181" s="13"/>
      <c r="J181" s="13" t="s">
        <v>624</v>
      </c>
      <c r="K181" s="13" t="s">
        <v>624</v>
      </c>
      <c r="L181" s="13" t="s">
        <v>1539</v>
      </c>
      <c r="M181" s="13"/>
    </row>
    <row r="182" customFormat="false" ht="15" hidden="false" customHeight="false" outlineLevel="0" collapsed="false">
      <c r="A182" s="13" t="s">
        <v>610</v>
      </c>
      <c r="B182" s="13" t="s">
        <v>609</v>
      </c>
      <c r="C182" s="13" t="s">
        <v>1536</v>
      </c>
      <c r="D182" s="13" t="s">
        <v>59</v>
      </c>
      <c r="E182" s="13" t="s">
        <v>709</v>
      </c>
      <c r="F182" s="13" t="s">
        <v>710</v>
      </c>
      <c r="G182" s="61" t="n">
        <v>220460304910</v>
      </c>
      <c r="H182" s="13" t="s">
        <v>1537</v>
      </c>
      <c r="I182" s="13"/>
      <c r="J182" s="13" t="s">
        <v>1538</v>
      </c>
      <c r="K182" s="13" t="s">
        <v>1538</v>
      </c>
      <c r="L182" s="13" t="s">
        <v>1539</v>
      </c>
      <c r="M182" s="13"/>
    </row>
    <row r="183" customFormat="false" ht="15" hidden="false" customHeight="false" outlineLevel="0" collapsed="false">
      <c r="A183" s="13" t="s">
        <v>610</v>
      </c>
      <c r="B183" s="13" t="s">
        <v>609</v>
      </c>
      <c r="C183" s="13" t="s">
        <v>1540</v>
      </c>
      <c r="D183" s="13" t="s">
        <v>59</v>
      </c>
      <c r="E183" s="13" t="s">
        <v>709</v>
      </c>
      <c r="F183" s="13" t="s">
        <v>710</v>
      </c>
      <c r="G183" s="61" t="n">
        <v>220052635242</v>
      </c>
      <c r="H183" s="13" t="s">
        <v>1537</v>
      </c>
      <c r="I183" s="13"/>
      <c r="J183" s="13" t="s">
        <v>1541</v>
      </c>
      <c r="K183" s="13" t="s">
        <v>1541</v>
      </c>
      <c r="L183" s="13" t="s">
        <v>1542</v>
      </c>
      <c r="M183" s="13"/>
    </row>
    <row r="184" customFormat="false" ht="15" hidden="false" customHeight="false" outlineLevel="0" collapsed="false">
      <c r="A184" s="13" t="s">
        <v>610</v>
      </c>
      <c r="B184" s="13" t="s">
        <v>609</v>
      </c>
      <c r="C184" s="13" t="s">
        <v>1543</v>
      </c>
      <c r="D184" s="13" t="s">
        <v>59</v>
      </c>
      <c r="E184" s="13" t="s">
        <v>709</v>
      </c>
      <c r="F184" s="13" t="s">
        <v>710</v>
      </c>
      <c r="G184" s="61" t="n">
        <v>236288599157</v>
      </c>
      <c r="H184" s="13" t="s">
        <v>1537</v>
      </c>
      <c r="I184" s="13"/>
      <c r="J184" s="13" t="s">
        <v>1544</v>
      </c>
      <c r="K184" s="13" t="s">
        <v>1544</v>
      </c>
      <c r="L184" s="13" t="s">
        <v>1539</v>
      </c>
      <c r="M184" s="13"/>
    </row>
    <row r="185" customFormat="false" ht="15" hidden="false" customHeight="false" outlineLevel="0" collapsed="false">
      <c r="A185" s="13" t="s">
        <v>610</v>
      </c>
      <c r="B185" s="13" t="s">
        <v>609</v>
      </c>
      <c r="C185" s="13" t="s">
        <v>1545</v>
      </c>
      <c r="D185" s="13" t="s">
        <v>59</v>
      </c>
      <c r="E185" s="13" t="s">
        <v>709</v>
      </c>
      <c r="F185" s="13" t="s">
        <v>710</v>
      </c>
      <c r="G185" s="61" t="n">
        <v>386346000000</v>
      </c>
      <c r="H185" s="13" t="s">
        <v>1537</v>
      </c>
      <c r="I185" s="13"/>
      <c r="J185" s="13" t="s">
        <v>622</v>
      </c>
      <c r="K185" s="13" t="s">
        <v>622</v>
      </c>
      <c r="L185" s="13" t="s">
        <v>1539</v>
      </c>
      <c r="M185" s="13"/>
    </row>
    <row r="186" customFormat="false" ht="15" hidden="false" customHeight="false" outlineLevel="0" collapsed="false">
      <c r="A186" s="13" t="s">
        <v>610</v>
      </c>
      <c r="B186" s="13" t="s">
        <v>609</v>
      </c>
      <c r="C186" s="13" t="s">
        <v>1546</v>
      </c>
      <c r="D186" s="13" t="s">
        <v>59</v>
      </c>
      <c r="E186" s="13" t="s">
        <v>709</v>
      </c>
      <c r="F186" s="13" t="s">
        <v>710</v>
      </c>
      <c r="G186" s="61" t="n">
        <v>414860000000</v>
      </c>
      <c r="H186" s="13" t="s">
        <v>1537</v>
      </c>
      <c r="I186" s="13"/>
      <c r="J186" s="13" t="s">
        <v>1547</v>
      </c>
      <c r="K186" s="13" t="s">
        <v>1547</v>
      </c>
      <c r="L186" s="13" t="s">
        <v>1539</v>
      </c>
      <c r="M186" s="13"/>
    </row>
    <row r="187" customFormat="false" ht="15" hidden="false" customHeight="false" outlineLevel="0" collapsed="false">
      <c r="A187" s="13" t="s">
        <v>610</v>
      </c>
      <c r="B187" s="13" t="s">
        <v>609</v>
      </c>
      <c r="C187" s="13" t="s">
        <v>1548</v>
      </c>
      <c r="D187" s="13" t="s">
        <v>59</v>
      </c>
      <c r="E187" s="13" t="s">
        <v>709</v>
      </c>
      <c r="F187" s="13" t="s">
        <v>710</v>
      </c>
      <c r="G187" s="61" t="n">
        <v>547368000000</v>
      </c>
      <c r="H187" s="13" t="s">
        <v>1537</v>
      </c>
      <c r="I187" s="13"/>
      <c r="J187" s="13" t="s">
        <v>624</v>
      </c>
      <c r="K187" s="13" t="s">
        <v>624</v>
      </c>
      <c r="L187" s="13" t="s">
        <v>1539</v>
      </c>
      <c r="M187" s="13"/>
    </row>
    <row r="188" customFormat="false" ht="15" hidden="false" customHeight="false" outlineLevel="0" collapsed="false">
      <c r="A188" s="13" t="s">
        <v>610</v>
      </c>
      <c r="B188" s="13" t="s">
        <v>609</v>
      </c>
      <c r="C188" s="13" t="s">
        <v>1536</v>
      </c>
      <c r="D188" s="13" t="s">
        <v>59</v>
      </c>
      <c r="E188" s="13" t="s">
        <v>712</v>
      </c>
      <c r="F188" s="13" t="s">
        <v>713</v>
      </c>
      <c r="G188" s="61" t="n">
        <v>4962516770</v>
      </c>
      <c r="H188" s="13" t="s">
        <v>1537</v>
      </c>
      <c r="I188" s="13"/>
      <c r="J188" s="13" t="s">
        <v>1538</v>
      </c>
      <c r="K188" s="13" t="s">
        <v>1538</v>
      </c>
      <c r="L188" s="13" t="s">
        <v>1539</v>
      </c>
      <c r="M188" s="13"/>
    </row>
    <row r="189" customFormat="false" ht="15" hidden="false" customHeight="false" outlineLevel="0" collapsed="false">
      <c r="A189" s="13" t="s">
        <v>610</v>
      </c>
      <c r="B189" s="13" t="s">
        <v>609</v>
      </c>
      <c r="C189" s="13" t="s">
        <v>1540</v>
      </c>
      <c r="D189" s="13" t="s">
        <v>59</v>
      </c>
      <c r="E189" s="13" t="s">
        <v>712</v>
      </c>
      <c r="F189" s="13" t="s">
        <v>713</v>
      </c>
      <c r="G189" s="61" t="n">
        <v>13848726036</v>
      </c>
      <c r="H189" s="13" t="s">
        <v>1537</v>
      </c>
      <c r="I189" s="13"/>
      <c r="J189" s="13" t="s">
        <v>1541</v>
      </c>
      <c r="K189" s="13" t="s">
        <v>1541</v>
      </c>
      <c r="L189" s="13" t="s">
        <v>1542</v>
      </c>
      <c r="M189" s="13"/>
    </row>
    <row r="190" customFormat="false" ht="15" hidden="false" customHeight="false" outlineLevel="0" collapsed="false">
      <c r="A190" s="13" t="s">
        <v>610</v>
      </c>
      <c r="B190" s="13" t="s">
        <v>609</v>
      </c>
      <c r="C190" s="13" t="s">
        <v>1543</v>
      </c>
      <c r="D190" s="13" t="s">
        <v>59</v>
      </c>
      <c r="E190" s="13" t="s">
        <v>712</v>
      </c>
      <c r="F190" s="13" t="s">
        <v>713</v>
      </c>
      <c r="G190" s="61" t="n">
        <v>6692759161</v>
      </c>
      <c r="H190" s="13" t="s">
        <v>1537</v>
      </c>
      <c r="I190" s="13"/>
      <c r="J190" s="13" t="s">
        <v>1544</v>
      </c>
      <c r="K190" s="13" t="s">
        <v>1544</v>
      </c>
      <c r="L190" s="13" t="s">
        <v>1539</v>
      </c>
      <c r="M190" s="13"/>
    </row>
    <row r="191" customFormat="false" ht="15" hidden="false" customHeight="false" outlineLevel="0" collapsed="false">
      <c r="A191" s="13" t="s">
        <v>610</v>
      </c>
      <c r="B191" s="13" t="s">
        <v>609</v>
      </c>
      <c r="C191" s="13" t="s">
        <v>1545</v>
      </c>
      <c r="D191" s="13" t="s">
        <v>59</v>
      </c>
      <c r="E191" s="13" t="s">
        <v>712</v>
      </c>
      <c r="F191" s="13" t="s">
        <v>713</v>
      </c>
      <c r="G191" s="61" t="n">
        <v>8975000000</v>
      </c>
      <c r="H191" s="13" t="s">
        <v>1537</v>
      </c>
      <c r="I191" s="13"/>
      <c r="J191" s="13" t="s">
        <v>622</v>
      </c>
      <c r="K191" s="13" t="s">
        <v>622</v>
      </c>
      <c r="L191" s="13" t="s">
        <v>1539</v>
      </c>
      <c r="M191" s="13"/>
    </row>
    <row r="192" customFormat="false" ht="15" hidden="false" customHeight="false" outlineLevel="0" collapsed="false">
      <c r="A192" s="13" t="s">
        <v>610</v>
      </c>
      <c r="B192" s="13" t="s">
        <v>609</v>
      </c>
      <c r="C192" s="13" t="s">
        <v>1546</v>
      </c>
      <c r="D192" s="13" t="s">
        <v>59</v>
      </c>
      <c r="E192" s="13" t="s">
        <v>712</v>
      </c>
      <c r="F192" s="13" t="s">
        <v>713</v>
      </c>
      <c r="G192" s="61" t="n">
        <v>9438000000</v>
      </c>
      <c r="H192" s="13" t="s">
        <v>1537</v>
      </c>
      <c r="I192" s="13"/>
      <c r="J192" s="13" t="s">
        <v>1547</v>
      </c>
      <c r="K192" s="13" t="s">
        <v>1547</v>
      </c>
      <c r="L192" s="13" t="s">
        <v>1539</v>
      </c>
      <c r="M192" s="13"/>
    </row>
    <row r="193" customFormat="false" ht="15" hidden="false" customHeight="false" outlineLevel="0" collapsed="false">
      <c r="A193" s="13" t="s">
        <v>610</v>
      </c>
      <c r="B193" s="13" t="s">
        <v>609</v>
      </c>
      <c r="C193" s="13" t="s">
        <v>1548</v>
      </c>
      <c r="D193" s="13" t="s">
        <v>59</v>
      </c>
      <c r="E193" s="13" t="s">
        <v>712</v>
      </c>
      <c r="F193" s="13" t="s">
        <v>713</v>
      </c>
      <c r="G193" s="61" t="n">
        <v>10565000000</v>
      </c>
      <c r="H193" s="13" t="s">
        <v>1537</v>
      </c>
      <c r="I193" s="13"/>
      <c r="J193" s="13" t="s">
        <v>624</v>
      </c>
      <c r="K193" s="13" t="s">
        <v>624</v>
      </c>
      <c r="L193" s="13" t="s">
        <v>1539</v>
      </c>
      <c r="M193" s="13"/>
    </row>
    <row r="194" customFormat="false" ht="15" hidden="false" customHeight="false" outlineLevel="0" collapsed="false">
      <c r="A194" s="13" t="s">
        <v>610</v>
      </c>
      <c r="B194" s="13" t="s">
        <v>609</v>
      </c>
      <c r="C194" s="13" t="s">
        <v>1536</v>
      </c>
      <c r="D194" s="13" t="s">
        <v>59</v>
      </c>
      <c r="E194" s="13" t="s">
        <v>715</v>
      </c>
      <c r="F194" s="13" t="s">
        <v>716</v>
      </c>
      <c r="G194" s="61" t="n">
        <v>5236876642</v>
      </c>
      <c r="H194" s="13" t="s">
        <v>1537</v>
      </c>
      <c r="I194" s="13"/>
      <c r="J194" s="13" t="s">
        <v>1538</v>
      </c>
      <c r="K194" s="13" t="s">
        <v>1538</v>
      </c>
      <c r="L194" s="13" t="s">
        <v>1539</v>
      </c>
      <c r="M194" s="13"/>
    </row>
    <row r="195" customFormat="false" ht="15" hidden="false" customHeight="false" outlineLevel="0" collapsed="false">
      <c r="A195" s="13" t="s">
        <v>610</v>
      </c>
      <c r="B195" s="13" t="s">
        <v>609</v>
      </c>
      <c r="C195" s="13" t="s">
        <v>1540</v>
      </c>
      <c r="D195" s="13" t="s">
        <v>59</v>
      </c>
      <c r="E195" s="13" t="s">
        <v>715</v>
      </c>
      <c r="F195" s="13" t="s">
        <v>716</v>
      </c>
      <c r="G195" s="61" t="n">
        <v>6793936211</v>
      </c>
      <c r="H195" s="13" t="s">
        <v>1537</v>
      </c>
      <c r="I195" s="13"/>
      <c r="J195" s="13" t="s">
        <v>1541</v>
      </c>
      <c r="K195" s="13" t="s">
        <v>1541</v>
      </c>
      <c r="L195" s="13" t="s">
        <v>1542</v>
      </c>
      <c r="M195" s="13"/>
    </row>
    <row r="196" customFormat="false" ht="15" hidden="false" customHeight="false" outlineLevel="0" collapsed="false">
      <c r="A196" s="13" t="s">
        <v>610</v>
      </c>
      <c r="B196" s="13" t="s">
        <v>609</v>
      </c>
      <c r="C196" s="13" t="s">
        <v>1543</v>
      </c>
      <c r="D196" s="13" t="s">
        <v>59</v>
      </c>
      <c r="E196" s="13" t="s">
        <v>715</v>
      </c>
      <c r="F196" s="13" t="s">
        <v>716</v>
      </c>
      <c r="G196" s="61" t="n">
        <v>7310678172</v>
      </c>
      <c r="H196" s="13" t="s">
        <v>1537</v>
      </c>
      <c r="I196" s="13"/>
      <c r="J196" s="13" t="s">
        <v>1544</v>
      </c>
      <c r="K196" s="13" t="s">
        <v>1544</v>
      </c>
      <c r="L196" s="13" t="s">
        <v>1539</v>
      </c>
      <c r="M196" s="13"/>
    </row>
    <row r="197" customFormat="false" ht="15" hidden="false" customHeight="false" outlineLevel="0" collapsed="false">
      <c r="A197" s="13" t="s">
        <v>610</v>
      </c>
      <c r="B197" s="13" t="s">
        <v>609</v>
      </c>
      <c r="C197" s="13" t="s">
        <v>1545</v>
      </c>
      <c r="D197" s="13" t="s">
        <v>59</v>
      </c>
      <c r="E197" s="13" t="s">
        <v>715</v>
      </c>
      <c r="F197" s="13" t="s">
        <v>716</v>
      </c>
      <c r="G197" s="61" t="n">
        <v>8852000000</v>
      </c>
      <c r="H197" s="13" t="s">
        <v>1537</v>
      </c>
      <c r="I197" s="13"/>
      <c r="J197" s="13" t="s">
        <v>622</v>
      </c>
      <c r="K197" s="13" t="s">
        <v>622</v>
      </c>
      <c r="L197" s="13" t="s">
        <v>1539</v>
      </c>
      <c r="M197" s="13"/>
    </row>
    <row r="198" customFormat="false" ht="15" hidden="false" customHeight="false" outlineLevel="0" collapsed="false">
      <c r="A198" s="13" t="s">
        <v>610</v>
      </c>
      <c r="B198" s="13" t="s">
        <v>609</v>
      </c>
      <c r="C198" s="13" t="s">
        <v>1546</v>
      </c>
      <c r="D198" s="13" t="s">
        <v>59</v>
      </c>
      <c r="E198" s="13" t="s">
        <v>715</v>
      </c>
      <c r="F198" s="13" t="s">
        <v>716</v>
      </c>
      <c r="G198" s="61" t="n">
        <v>10458000000</v>
      </c>
      <c r="H198" s="13" t="s">
        <v>1537</v>
      </c>
      <c r="I198" s="13"/>
      <c r="J198" s="13" t="s">
        <v>1547</v>
      </c>
      <c r="K198" s="13" t="s">
        <v>1547</v>
      </c>
      <c r="L198" s="13" t="s">
        <v>1539</v>
      </c>
      <c r="M198" s="13"/>
    </row>
    <row r="199" customFormat="false" ht="15" hidden="false" customHeight="false" outlineLevel="0" collapsed="false">
      <c r="A199" s="13" t="s">
        <v>610</v>
      </c>
      <c r="B199" s="13" t="s">
        <v>609</v>
      </c>
      <c r="C199" s="13" t="s">
        <v>1548</v>
      </c>
      <c r="D199" s="13" t="s">
        <v>59</v>
      </c>
      <c r="E199" s="13" t="s">
        <v>715</v>
      </c>
      <c r="F199" s="13" t="s">
        <v>716</v>
      </c>
      <c r="G199" s="61" t="n">
        <v>12256000000</v>
      </c>
      <c r="H199" s="13" t="s">
        <v>1537</v>
      </c>
      <c r="I199" s="13"/>
      <c r="J199" s="13" t="s">
        <v>624</v>
      </c>
      <c r="K199" s="13" t="s">
        <v>624</v>
      </c>
      <c r="L199" s="13" t="s">
        <v>1539</v>
      </c>
      <c r="M199" s="13"/>
    </row>
    <row r="200" customFormat="false" ht="15" hidden="false" customHeight="false" outlineLevel="0" collapsed="false">
      <c r="A200" s="13" t="s">
        <v>610</v>
      </c>
      <c r="B200" s="13" t="s">
        <v>609</v>
      </c>
      <c r="C200" s="13" t="s">
        <v>1540</v>
      </c>
      <c r="D200" s="13" t="s">
        <v>59</v>
      </c>
      <c r="E200" s="13" t="s">
        <v>718</v>
      </c>
      <c r="F200" s="13" t="s">
        <v>719</v>
      </c>
      <c r="G200" s="61" t="n">
        <v>1404495936</v>
      </c>
      <c r="H200" s="13" t="s">
        <v>1537</v>
      </c>
      <c r="I200" s="13"/>
      <c r="J200" s="13" t="s">
        <v>1541</v>
      </c>
      <c r="K200" s="13" t="s">
        <v>1541</v>
      </c>
      <c r="L200" s="13" t="s">
        <v>1542</v>
      </c>
      <c r="M200" s="13"/>
    </row>
    <row r="201" customFormat="false" ht="15" hidden="false" customHeight="false" outlineLevel="0" collapsed="false">
      <c r="A201" s="13" t="s">
        <v>610</v>
      </c>
      <c r="B201" s="13" t="s">
        <v>609</v>
      </c>
      <c r="C201" s="13" t="s">
        <v>1543</v>
      </c>
      <c r="D201" s="13" t="s">
        <v>59</v>
      </c>
      <c r="E201" s="13" t="s">
        <v>718</v>
      </c>
      <c r="F201" s="13" t="s">
        <v>719</v>
      </c>
      <c r="G201" s="61" t="n">
        <v>18626561484</v>
      </c>
      <c r="H201" s="13" t="s">
        <v>1537</v>
      </c>
      <c r="I201" s="13"/>
      <c r="J201" s="13" t="s">
        <v>1544</v>
      </c>
      <c r="K201" s="13" t="s">
        <v>1544</v>
      </c>
      <c r="L201" s="13" t="s">
        <v>1539</v>
      </c>
      <c r="M201" s="13"/>
    </row>
    <row r="202" customFormat="false" ht="15" hidden="false" customHeight="false" outlineLevel="0" collapsed="false">
      <c r="A202" s="13" t="s">
        <v>610</v>
      </c>
      <c r="B202" s="13" t="s">
        <v>609</v>
      </c>
      <c r="C202" s="13" t="s">
        <v>1545</v>
      </c>
      <c r="D202" s="13" t="s">
        <v>59</v>
      </c>
      <c r="E202" s="13" t="s">
        <v>718</v>
      </c>
      <c r="F202" s="13" t="s">
        <v>719</v>
      </c>
      <c r="G202" s="61" t="n">
        <v>90000000</v>
      </c>
      <c r="H202" s="13" t="s">
        <v>1537</v>
      </c>
      <c r="I202" s="13"/>
      <c r="J202" s="13" t="s">
        <v>622</v>
      </c>
      <c r="K202" s="13" t="s">
        <v>622</v>
      </c>
      <c r="L202" s="13" t="s">
        <v>1539</v>
      </c>
      <c r="M202" s="13"/>
    </row>
    <row r="203" customFormat="false" ht="15" hidden="false" customHeight="false" outlineLevel="0" collapsed="false">
      <c r="A203" s="13" t="s">
        <v>610</v>
      </c>
      <c r="B203" s="13" t="s">
        <v>609</v>
      </c>
      <c r="C203" s="13" t="s">
        <v>1546</v>
      </c>
      <c r="D203" s="13" t="s">
        <v>59</v>
      </c>
      <c r="E203" s="13" t="s">
        <v>718</v>
      </c>
      <c r="F203" s="13" t="s">
        <v>719</v>
      </c>
      <c r="G203" s="61" t="n">
        <v>23876000000</v>
      </c>
      <c r="H203" s="13" t="s">
        <v>1537</v>
      </c>
      <c r="I203" s="13"/>
      <c r="J203" s="13" t="s">
        <v>1547</v>
      </c>
      <c r="K203" s="13" t="s">
        <v>1547</v>
      </c>
      <c r="L203" s="13" t="s">
        <v>1539</v>
      </c>
      <c r="M203" s="13"/>
    </row>
    <row r="204" customFormat="false" ht="15" hidden="false" customHeight="false" outlineLevel="0" collapsed="false">
      <c r="A204" s="13" t="s">
        <v>610</v>
      </c>
      <c r="B204" s="13" t="s">
        <v>609</v>
      </c>
      <c r="C204" s="13" t="s">
        <v>1548</v>
      </c>
      <c r="D204" s="13" t="s">
        <v>59</v>
      </c>
      <c r="E204" s="13" t="s">
        <v>718</v>
      </c>
      <c r="F204" s="13" t="s">
        <v>719</v>
      </c>
      <c r="G204" s="61" t="n">
        <v>165000000</v>
      </c>
      <c r="H204" s="13" t="s">
        <v>1537</v>
      </c>
      <c r="I204" s="13"/>
      <c r="J204" s="13" t="s">
        <v>624</v>
      </c>
      <c r="K204" s="13" t="s">
        <v>624</v>
      </c>
      <c r="L204" s="13" t="s">
        <v>1539</v>
      </c>
      <c r="M204" s="13"/>
    </row>
    <row r="205" customFormat="false" ht="15" hidden="false" customHeight="false" outlineLevel="0" collapsed="false">
      <c r="A205" s="13" t="s">
        <v>610</v>
      </c>
      <c r="B205" s="13" t="s">
        <v>609</v>
      </c>
      <c r="C205" s="13" t="s">
        <v>1536</v>
      </c>
      <c r="D205" s="13" t="s">
        <v>59</v>
      </c>
      <c r="E205" s="13" t="s">
        <v>721</v>
      </c>
      <c r="F205" s="13" t="s">
        <v>395</v>
      </c>
      <c r="G205" s="61" t="n">
        <v>74691220678</v>
      </c>
      <c r="H205" s="13" t="s">
        <v>1537</v>
      </c>
      <c r="I205" s="13"/>
      <c r="J205" s="13" t="s">
        <v>1538</v>
      </c>
      <c r="K205" s="13" t="s">
        <v>1538</v>
      </c>
      <c r="L205" s="13" t="s">
        <v>1539</v>
      </c>
      <c r="M205" s="13"/>
    </row>
    <row r="206" customFormat="false" ht="15" hidden="false" customHeight="false" outlineLevel="0" collapsed="false">
      <c r="A206" s="13" t="s">
        <v>610</v>
      </c>
      <c r="B206" s="13" t="s">
        <v>609</v>
      </c>
      <c r="C206" s="13" t="s">
        <v>1540</v>
      </c>
      <c r="D206" s="13" t="s">
        <v>59</v>
      </c>
      <c r="E206" s="13" t="s">
        <v>721</v>
      </c>
      <c r="F206" s="13" t="s">
        <v>395</v>
      </c>
      <c r="G206" s="61" t="n">
        <v>70409082280</v>
      </c>
      <c r="H206" s="13" t="s">
        <v>1537</v>
      </c>
      <c r="I206" s="13"/>
      <c r="J206" s="13" t="s">
        <v>1541</v>
      </c>
      <c r="K206" s="13" t="s">
        <v>1541</v>
      </c>
      <c r="L206" s="13" t="s">
        <v>1542</v>
      </c>
      <c r="M206" s="13"/>
    </row>
    <row r="207" customFormat="false" ht="15" hidden="false" customHeight="false" outlineLevel="0" collapsed="false">
      <c r="A207" s="13" t="s">
        <v>610</v>
      </c>
      <c r="B207" s="13" t="s">
        <v>609</v>
      </c>
      <c r="C207" s="13" t="s">
        <v>1543</v>
      </c>
      <c r="D207" s="13" t="s">
        <v>59</v>
      </c>
      <c r="E207" s="13" t="s">
        <v>721</v>
      </c>
      <c r="F207" s="13" t="s">
        <v>395</v>
      </c>
      <c r="G207" s="61" t="n">
        <v>49621868590</v>
      </c>
      <c r="H207" s="13" t="s">
        <v>1537</v>
      </c>
      <c r="I207" s="13"/>
      <c r="J207" s="13" t="s">
        <v>1544</v>
      </c>
      <c r="K207" s="13" t="s">
        <v>1544</v>
      </c>
      <c r="L207" s="13" t="s">
        <v>1539</v>
      </c>
      <c r="M207" s="13"/>
    </row>
    <row r="208" customFormat="false" ht="15" hidden="false" customHeight="false" outlineLevel="0" collapsed="false">
      <c r="A208" s="13" t="s">
        <v>610</v>
      </c>
      <c r="B208" s="13" t="s">
        <v>609</v>
      </c>
      <c r="C208" s="13" t="s">
        <v>1545</v>
      </c>
      <c r="D208" s="13" t="s">
        <v>59</v>
      </c>
      <c r="E208" s="13" t="s">
        <v>721</v>
      </c>
      <c r="F208" s="13" t="s">
        <v>395</v>
      </c>
      <c r="G208" s="61" t="n">
        <v>48940000000</v>
      </c>
      <c r="H208" s="13" t="s">
        <v>1537</v>
      </c>
      <c r="I208" s="13"/>
      <c r="J208" s="13" t="s">
        <v>622</v>
      </c>
      <c r="K208" s="13" t="s">
        <v>622</v>
      </c>
      <c r="L208" s="13" t="s">
        <v>1539</v>
      </c>
      <c r="M208" s="13"/>
    </row>
    <row r="209" customFormat="false" ht="15" hidden="false" customHeight="false" outlineLevel="0" collapsed="false">
      <c r="A209" s="13" t="s">
        <v>610</v>
      </c>
      <c r="B209" s="13" t="s">
        <v>609</v>
      </c>
      <c r="C209" s="13" t="s">
        <v>1546</v>
      </c>
      <c r="D209" s="13" t="s">
        <v>59</v>
      </c>
      <c r="E209" s="13" t="s">
        <v>721</v>
      </c>
      <c r="F209" s="13" t="s">
        <v>395</v>
      </c>
      <c r="G209" s="61" t="n">
        <v>61316000000</v>
      </c>
      <c r="H209" s="13" t="s">
        <v>1537</v>
      </c>
      <c r="I209" s="13"/>
      <c r="J209" s="13" t="s">
        <v>1547</v>
      </c>
      <c r="K209" s="13" t="s">
        <v>1547</v>
      </c>
      <c r="L209" s="13" t="s">
        <v>1539</v>
      </c>
      <c r="M209" s="13"/>
    </row>
    <row r="210" customFormat="false" ht="15" hidden="false" customHeight="false" outlineLevel="0" collapsed="false">
      <c r="A210" s="13" t="s">
        <v>610</v>
      </c>
      <c r="B210" s="13" t="s">
        <v>609</v>
      </c>
      <c r="C210" s="13" t="s">
        <v>1548</v>
      </c>
      <c r="D210" s="13" t="s">
        <v>59</v>
      </c>
      <c r="E210" s="13" t="s">
        <v>721</v>
      </c>
      <c r="F210" s="13" t="s">
        <v>395</v>
      </c>
      <c r="G210" s="61" t="n">
        <v>73323000000</v>
      </c>
      <c r="H210" s="13" t="s">
        <v>1537</v>
      </c>
      <c r="I210" s="13"/>
      <c r="J210" s="13" t="s">
        <v>624</v>
      </c>
      <c r="K210" s="13" t="s">
        <v>624</v>
      </c>
      <c r="L210" s="13" t="s">
        <v>1539</v>
      </c>
      <c r="M210" s="13"/>
    </row>
    <row r="211" customFormat="false" ht="15" hidden="false" customHeight="false" outlineLevel="0" collapsed="false">
      <c r="A211" s="13" t="s">
        <v>610</v>
      </c>
      <c r="B211" s="13" t="s">
        <v>609</v>
      </c>
      <c r="C211" s="13" t="s">
        <v>1536</v>
      </c>
      <c r="D211" s="13" t="s">
        <v>59</v>
      </c>
      <c r="E211" s="13" t="s">
        <v>723</v>
      </c>
      <c r="F211" s="13" t="s">
        <v>724</v>
      </c>
      <c r="G211" s="61" t="n">
        <v>2034924128</v>
      </c>
      <c r="H211" s="13" t="s">
        <v>1537</v>
      </c>
      <c r="I211" s="13"/>
      <c r="J211" s="13" t="s">
        <v>1538</v>
      </c>
      <c r="K211" s="13" t="s">
        <v>1538</v>
      </c>
      <c r="L211" s="13" t="s">
        <v>1539</v>
      </c>
      <c r="M211" s="13"/>
    </row>
    <row r="212" customFormat="false" ht="15" hidden="false" customHeight="false" outlineLevel="0" collapsed="false">
      <c r="A212" s="13" t="s">
        <v>610</v>
      </c>
      <c r="B212" s="13" t="s">
        <v>609</v>
      </c>
      <c r="C212" s="13" t="s">
        <v>1540</v>
      </c>
      <c r="D212" s="13" t="s">
        <v>59</v>
      </c>
      <c r="E212" s="13" t="s">
        <v>723</v>
      </c>
      <c r="F212" s="13" t="s">
        <v>724</v>
      </c>
      <c r="G212" s="61" t="n">
        <v>2900786193</v>
      </c>
      <c r="H212" s="13" t="s">
        <v>1537</v>
      </c>
      <c r="I212" s="13"/>
      <c r="J212" s="13" t="s">
        <v>1541</v>
      </c>
      <c r="K212" s="13" t="s">
        <v>1541</v>
      </c>
      <c r="L212" s="13" t="s">
        <v>1542</v>
      </c>
      <c r="M212" s="13"/>
    </row>
    <row r="213" customFormat="false" ht="15" hidden="false" customHeight="false" outlineLevel="0" collapsed="false">
      <c r="A213" s="13" t="s">
        <v>610</v>
      </c>
      <c r="B213" s="13" t="s">
        <v>609</v>
      </c>
      <c r="C213" s="13" t="s">
        <v>1543</v>
      </c>
      <c r="D213" s="13" t="s">
        <v>59</v>
      </c>
      <c r="E213" s="13" t="s">
        <v>723</v>
      </c>
      <c r="F213" s="13" t="s">
        <v>724</v>
      </c>
      <c r="G213" s="61" t="n">
        <v>4312304352</v>
      </c>
      <c r="H213" s="13" t="s">
        <v>1537</v>
      </c>
      <c r="I213" s="13"/>
      <c r="J213" s="13" t="s">
        <v>1544</v>
      </c>
      <c r="K213" s="13" t="s">
        <v>1544</v>
      </c>
      <c r="L213" s="13" t="s">
        <v>1539</v>
      </c>
      <c r="M213" s="13"/>
    </row>
    <row r="214" customFormat="false" ht="15" hidden="false" customHeight="false" outlineLevel="0" collapsed="false">
      <c r="A214" s="13" t="s">
        <v>610</v>
      </c>
      <c r="B214" s="13" t="s">
        <v>609</v>
      </c>
      <c r="C214" s="13" t="s">
        <v>1545</v>
      </c>
      <c r="D214" s="13" t="s">
        <v>59</v>
      </c>
      <c r="E214" s="13" t="s">
        <v>723</v>
      </c>
      <c r="F214" s="13" t="s">
        <v>724</v>
      </c>
      <c r="G214" s="61" t="n">
        <v>14564000000</v>
      </c>
      <c r="H214" s="13" t="s">
        <v>1537</v>
      </c>
      <c r="I214" s="13"/>
      <c r="J214" s="13" t="s">
        <v>622</v>
      </c>
      <c r="K214" s="13" t="s">
        <v>622</v>
      </c>
      <c r="L214" s="13" t="s">
        <v>1539</v>
      </c>
      <c r="M214" s="13"/>
    </row>
    <row r="215" customFormat="false" ht="15" hidden="false" customHeight="false" outlineLevel="0" collapsed="false">
      <c r="A215" s="13" t="s">
        <v>610</v>
      </c>
      <c r="B215" s="13" t="s">
        <v>609</v>
      </c>
      <c r="C215" s="13" t="s">
        <v>1546</v>
      </c>
      <c r="D215" s="13" t="s">
        <v>59</v>
      </c>
      <c r="E215" s="13" t="s">
        <v>723</v>
      </c>
      <c r="F215" s="13" t="s">
        <v>724</v>
      </c>
      <c r="G215" s="61" t="n">
        <v>16299000000</v>
      </c>
      <c r="H215" s="13" t="s">
        <v>1537</v>
      </c>
      <c r="I215" s="13"/>
      <c r="J215" s="13" t="s">
        <v>1547</v>
      </c>
      <c r="K215" s="13" t="s">
        <v>1547</v>
      </c>
      <c r="L215" s="13" t="s">
        <v>1539</v>
      </c>
      <c r="M215" s="13"/>
    </row>
    <row r="216" customFormat="false" ht="15" hidden="false" customHeight="false" outlineLevel="0" collapsed="false">
      <c r="A216" s="13" t="s">
        <v>610</v>
      </c>
      <c r="B216" s="13" t="s">
        <v>609</v>
      </c>
      <c r="C216" s="13" t="s">
        <v>1548</v>
      </c>
      <c r="D216" s="13" t="s">
        <v>59</v>
      </c>
      <c r="E216" s="13" t="s">
        <v>723</v>
      </c>
      <c r="F216" s="13" t="s">
        <v>724</v>
      </c>
      <c r="G216" s="61" t="n">
        <v>4624000000</v>
      </c>
      <c r="H216" s="13" t="s">
        <v>1537</v>
      </c>
      <c r="I216" s="13"/>
      <c r="J216" s="13" t="s">
        <v>624</v>
      </c>
      <c r="K216" s="13" t="s">
        <v>624</v>
      </c>
      <c r="L216" s="13" t="s">
        <v>1539</v>
      </c>
      <c r="M216" s="13"/>
    </row>
    <row r="217" customFormat="false" ht="15" hidden="false" customHeight="false" outlineLevel="0" collapsed="false">
      <c r="A217" s="13" t="s">
        <v>610</v>
      </c>
      <c r="B217" s="13" t="s">
        <v>609</v>
      </c>
      <c r="C217" s="13" t="s">
        <v>1536</v>
      </c>
      <c r="D217" s="13" t="s">
        <v>59</v>
      </c>
      <c r="E217" s="13" t="s">
        <v>726</v>
      </c>
      <c r="F217" s="13" t="s">
        <v>727</v>
      </c>
      <c r="G217" s="61" t="n">
        <v>2833681995</v>
      </c>
      <c r="H217" s="13" t="s">
        <v>1537</v>
      </c>
      <c r="I217" s="13"/>
      <c r="J217" s="13" t="s">
        <v>1538</v>
      </c>
      <c r="K217" s="13" t="s">
        <v>1538</v>
      </c>
      <c r="L217" s="13" t="s">
        <v>1539</v>
      </c>
      <c r="M217" s="13"/>
    </row>
    <row r="218" customFormat="false" ht="15" hidden="false" customHeight="false" outlineLevel="0" collapsed="false">
      <c r="A218" s="13" t="s">
        <v>610</v>
      </c>
      <c r="B218" s="13" t="s">
        <v>609</v>
      </c>
      <c r="C218" s="13" t="s">
        <v>1540</v>
      </c>
      <c r="D218" s="13" t="s">
        <v>59</v>
      </c>
      <c r="E218" s="13" t="s">
        <v>726</v>
      </c>
      <c r="F218" s="13" t="s">
        <v>727</v>
      </c>
      <c r="G218" s="61" t="n">
        <v>3822885889</v>
      </c>
      <c r="H218" s="13" t="s">
        <v>1537</v>
      </c>
      <c r="I218" s="13"/>
      <c r="J218" s="13" t="s">
        <v>1541</v>
      </c>
      <c r="K218" s="13" t="s">
        <v>1541</v>
      </c>
      <c r="L218" s="13" t="s">
        <v>1542</v>
      </c>
      <c r="M218" s="13"/>
    </row>
    <row r="219" customFormat="false" ht="15" hidden="false" customHeight="false" outlineLevel="0" collapsed="false">
      <c r="A219" s="13" t="s">
        <v>610</v>
      </c>
      <c r="B219" s="13" t="s">
        <v>609</v>
      </c>
      <c r="C219" s="13" t="s">
        <v>1543</v>
      </c>
      <c r="D219" s="13" t="s">
        <v>59</v>
      </c>
      <c r="E219" s="13" t="s">
        <v>726</v>
      </c>
      <c r="F219" s="13" t="s">
        <v>727</v>
      </c>
      <c r="G219" s="61" t="n">
        <v>4402483862</v>
      </c>
      <c r="H219" s="13" t="s">
        <v>1537</v>
      </c>
      <c r="I219" s="13"/>
      <c r="J219" s="13" t="s">
        <v>1544</v>
      </c>
      <c r="K219" s="13" t="s">
        <v>1544</v>
      </c>
      <c r="L219" s="13" t="s">
        <v>1539</v>
      </c>
      <c r="M219" s="13"/>
    </row>
    <row r="220" customFormat="false" ht="15" hidden="false" customHeight="false" outlineLevel="0" collapsed="false">
      <c r="A220" s="13" t="s">
        <v>610</v>
      </c>
      <c r="B220" s="13" t="s">
        <v>609</v>
      </c>
      <c r="C220" s="13" t="s">
        <v>1545</v>
      </c>
      <c r="D220" s="13" t="s">
        <v>59</v>
      </c>
      <c r="E220" s="13" t="s">
        <v>726</v>
      </c>
      <c r="F220" s="13" t="s">
        <v>727</v>
      </c>
      <c r="G220" s="61" t="n">
        <v>8381000000</v>
      </c>
      <c r="H220" s="13" t="s">
        <v>1537</v>
      </c>
      <c r="I220" s="13"/>
      <c r="J220" s="13" t="s">
        <v>622</v>
      </c>
      <c r="K220" s="13" t="s">
        <v>622</v>
      </c>
      <c r="L220" s="13" t="s">
        <v>1539</v>
      </c>
      <c r="M220" s="13"/>
    </row>
    <row r="221" customFormat="false" ht="15" hidden="false" customHeight="false" outlineLevel="0" collapsed="false">
      <c r="A221" s="13" t="s">
        <v>610</v>
      </c>
      <c r="B221" s="13" t="s">
        <v>609</v>
      </c>
      <c r="C221" s="13" t="s">
        <v>1546</v>
      </c>
      <c r="D221" s="13" t="s">
        <v>59</v>
      </c>
      <c r="E221" s="13" t="s">
        <v>726</v>
      </c>
      <c r="F221" s="13" t="s">
        <v>727</v>
      </c>
      <c r="G221" s="61" t="n">
        <v>11258000000</v>
      </c>
      <c r="H221" s="13" t="s">
        <v>1537</v>
      </c>
      <c r="I221" s="13"/>
      <c r="J221" s="13" t="s">
        <v>1547</v>
      </c>
      <c r="K221" s="13" t="s">
        <v>1547</v>
      </c>
      <c r="L221" s="13" t="s">
        <v>1539</v>
      </c>
      <c r="M221" s="13"/>
    </row>
    <row r="222" customFormat="false" ht="15" hidden="false" customHeight="false" outlineLevel="0" collapsed="false">
      <c r="A222" s="13" t="s">
        <v>610</v>
      </c>
      <c r="B222" s="13" t="s">
        <v>609</v>
      </c>
      <c r="C222" s="13" t="s">
        <v>1548</v>
      </c>
      <c r="D222" s="13" t="s">
        <v>59</v>
      </c>
      <c r="E222" s="13" t="s">
        <v>726</v>
      </c>
      <c r="F222" s="13" t="s">
        <v>727</v>
      </c>
      <c r="G222" s="61" t="n">
        <v>26770000000</v>
      </c>
      <c r="H222" s="13" t="s">
        <v>1537</v>
      </c>
      <c r="I222" s="13"/>
      <c r="J222" s="13" t="s">
        <v>624</v>
      </c>
      <c r="K222" s="13" t="s">
        <v>624</v>
      </c>
      <c r="L222" s="13" t="s">
        <v>1539</v>
      </c>
      <c r="M222" s="13"/>
    </row>
    <row r="223" customFormat="false" ht="15" hidden="false" customHeight="false" outlineLevel="0" collapsed="false">
      <c r="A223" s="13" t="s">
        <v>610</v>
      </c>
      <c r="B223" s="13" t="s">
        <v>609</v>
      </c>
      <c r="C223" s="13" t="s">
        <v>1536</v>
      </c>
      <c r="D223" s="13" t="s">
        <v>59</v>
      </c>
      <c r="E223" s="13" t="s">
        <v>729</v>
      </c>
      <c r="F223" s="13" t="s">
        <v>730</v>
      </c>
      <c r="G223" s="61" t="n">
        <v>7292745</v>
      </c>
      <c r="H223" s="13" t="s">
        <v>1537</v>
      </c>
      <c r="I223" s="13"/>
      <c r="J223" s="13" t="s">
        <v>1538</v>
      </c>
      <c r="K223" s="13" t="s">
        <v>1538</v>
      </c>
      <c r="L223" s="13" t="s">
        <v>1539</v>
      </c>
      <c r="M223" s="13"/>
    </row>
    <row r="224" customFormat="false" ht="15" hidden="false" customHeight="false" outlineLevel="0" collapsed="false">
      <c r="A224" s="13" t="s">
        <v>610</v>
      </c>
      <c r="B224" s="13" t="s">
        <v>609</v>
      </c>
      <c r="C224" s="13" t="s">
        <v>1540</v>
      </c>
      <c r="D224" s="13" t="s">
        <v>59</v>
      </c>
      <c r="E224" s="13" t="s">
        <v>729</v>
      </c>
      <c r="F224" s="13" t="s">
        <v>730</v>
      </c>
      <c r="G224" s="61" t="n">
        <v>1299629966</v>
      </c>
      <c r="H224" s="13" t="s">
        <v>1537</v>
      </c>
      <c r="I224" s="13"/>
      <c r="J224" s="13" t="s">
        <v>1541</v>
      </c>
      <c r="K224" s="13" t="s">
        <v>1541</v>
      </c>
      <c r="L224" s="13" t="s">
        <v>1542</v>
      </c>
      <c r="M224" s="13"/>
    </row>
    <row r="225" customFormat="false" ht="15" hidden="false" customHeight="false" outlineLevel="0" collapsed="false">
      <c r="A225" s="13" t="s">
        <v>610</v>
      </c>
      <c r="B225" s="13" t="s">
        <v>609</v>
      </c>
      <c r="C225" s="13" t="s">
        <v>1543</v>
      </c>
      <c r="D225" s="13" t="s">
        <v>59</v>
      </c>
      <c r="E225" s="13" t="s">
        <v>729</v>
      </c>
      <c r="F225" s="13" t="s">
        <v>730</v>
      </c>
      <c r="G225" s="61" t="n">
        <v>104093150</v>
      </c>
      <c r="H225" s="13" t="s">
        <v>1537</v>
      </c>
      <c r="I225" s="13"/>
      <c r="J225" s="13" t="s">
        <v>1544</v>
      </c>
      <c r="K225" s="13" t="s">
        <v>1544</v>
      </c>
      <c r="L225" s="13" t="s">
        <v>1539</v>
      </c>
      <c r="M225" s="13"/>
    </row>
    <row r="226" customFormat="false" ht="15" hidden="false" customHeight="false" outlineLevel="0" collapsed="false">
      <c r="A226" s="13" t="s">
        <v>610</v>
      </c>
      <c r="B226" s="13" t="s">
        <v>609</v>
      </c>
      <c r="C226" s="13" t="s">
        <v>1545</v>
      </c>
      <c r="D226" s="13" t="s">
        <v>59</v>
      </c>
      <c r="E226" s="13" t="s">
        <v>729</v>
      </c>
      <c r="F226" s="13" t="s">
        <v>730</v>
      </c>
      <c r="G226" s="61" t="n">
        <v>399000000</v>
      </c>
      <c r="H226" s="13" t="s">
        <v>1537</v>
      </c>
      <c r="I226" s="13"/>
      <c r="J226" s="13" t="s">
        <v>622</v>
      </c>
      <c r="K226" s="13" t="s">
        <v>622</v>
      </c>
      <c r="L226" s="13" t="s">
        <v>1539</v>
      </c>
      <c r="M226" s="13"/>
    </row>
    <row r="227" customFormat="false" ht="15" hidden="false" customHeight="false" outlineLevel="0" collapsed="false">
      <c r="A227" s="13" t="s">
        <v>610</v>
      </c>
      <c r="B227" s="13" t="s">
        <v>609</v>
      </c>
      <c r="C227" s="13" t="s">
        <v>1546</v>
      </c>
      <c r="D227" s="13" t="s">
        <v>59</v>
      </c>
      <c r="E227" s="13" t="s">
        <v>729</v>
      </c>
      <c r="F227" s="13" t="s">
        <v>730</v>
      </c>
      <c r="G227" s="61" t="n">
        <v>1557000000</v>
      </c>
      <c r="H227" s="13" t="s">
        <v>1537</v>
      </c>
      <c r="I227" s="13"/>
      <c r="J227" s="13" t="s">
        <v>1547</v>
      </c>
      <c r="K227" s="13" t="s">
        <v>1547</v>
      </c>
      <c r="L227" s="13" t="s">
        <v>1539</v>
      </c>
      <c r="M227" s="13"/>
    </row>
    <row r="228" customFormat="false" ht="15" hidden="false" customHeight="false" outlineLevel="0" collapsed="false">
      <c r="A228" s="13" t="s">
        <v>610</v>
      </c>
      <c r="B228" s="13" t="s">
        <v>609</v>
      </c>
      <c r="C228" s="13" t="s">
        <v>1548</v>
      </c>
      <c r="D228" s="13" t="s">
        <v>59</v>
      </c>
      <c r="E228" s="13" t="s">
        <v>729</v>
      </c>
      <c r="F228" s="13" t="s">
        <v>730</v>
      </c>
      <c r="G228" s="61" t="n">
        <v>1741000000</v>
      </c>
      <c r="H228" s="13" t="s">
        <v>1537</v>
      </c>
      <c r="I228" s="13"/>
      <c r="J228" s="13" t="s">
        <v>624</v>
      </c>
      <c r="K228" s="13" t="s">
        <v>624</v>
      </c>
      <c r="L228" s="13" t="s">
        <v>1539</v>
      </c>
      <c r="M228" s="13"/>
    </row>
    <row r="229" customFormat="false" ht="15" hidden="false" customHeight="false" outlineLevel="0" collapsed="false">
      <c r="A229" s="13" t="s">
        <v>610</v>
      </c>
      <c r="B229" s="13" t="s">
        <v>609</v>
      </c>
      <c r="C229" s="13" t="s">
        <v>1536</v>
      </c>
      <c r="D229" s="13" t="s">
        <v>59</v>
      </c>
      <c r="E229" s="13" t="s">
        <v>732</v>
      </c>
      <c r="F229" s="13" t="s">
        <v>400</v>
      </c>
      <c r="G229" s="61" t="n">
        <v>939835506742</v>
      </c>
      <c r="H229" s="13" t="s">
        <v>1537</v>
      </c>
      <c r="I229" s="13"/>
      <c r="J229" s="13"/>
      <c r="K229" s="13" t="s">
        <v>1538</v>
      </c>
      <c r="L229" s="13" t="s">
        <v>1539</v>
      </c>
      <c r="M229" s="13" t="s">
        <v>1549</v>
      </c>
    </row>
    <row r="230" customFormat="false" ht="15" hidden="false" customHeight="false" outlineLevel="0" collapsed="false">
      <c r="A230" s="13" t="s">
        <v>610</v>
      </c>
      <c r="B230" s="13" t="s">
        <v>609</v>
      </c>
      <c r="C230" s="13" t="s">
        <v>1540</v>
      </c>
      <c r="D230" s="13" t="s">
        <v>59</v>
      </c>
      <c r="E230" s="13" t="s">
        <v>732</v>
      </c>
      <c r="F230" s="13" t="s">
        <v>400</v>
      </c>
      <c r="G230" s="61" t="n">
        <v>1021454537372</v>
      </c>
      <c r="H230" s="13" t="s">
        <v>1537</v>
      </c>
      <c r="I230" s="13"/>
      <c r="J230" s="13"/>
      <c r="K230" s="13" t="s">
        <v>1541</v>
      </c>
      <c r="L230" s="13" t="s">
        <v>1542</v>
      </c>
      <c r="M230" s="13" t="s">
        <v>1549</v>
      </c>
    </row>
    <row r="231" customFormat="false" ht="15" hidden="false" customHeight="false" outlineLevel="0" collapsed="false">
      <c r="A231" s="13" t="s">
        <v>610</v>
      </c>
      <c r="B231" s="13" t="s">
        <v>609</v>
      </c>
      <c r="C231" s="13" t="s">
        <v>1543</v>
      </c>
      <c r="D231" s="13" t="s">
        <v>59</v>
      </c>
      <c r="E231" s="13" t="s">
        <v>732</v>
      </c>
      <c r="F231" s="13" t="s">
        <v>400</v>
      </c>
      <c r="G231" s="61" t="n">
        <v>1445613598592</v>
      </c>
      <c r="H231" s="13" t="s">
        <v>1537</v>
      </c>
      <c r="I231" s="13"/>
      <c r="J231" s="13"/>
      <c r="K231" s="13" t="s">
        <v>1544</v>
      </c>
      <c r="L231" s="13" t="s">
        <v>1539</v>
      </c>
      <c r="M231" s="13" t="s">
        <v>1549</v>
      </c>
    </row>
    <row r="232" customFormat="false" ht="15" hidden="false" customHeight="false" outlineLevel="0" collapsed="false">
      <c r="A232" s="13" t="s">
        <v>610</v>
      </c>
      <c r="B232" s="13" t="s">
        <v>609</v>
      </c>
      <c r="C232" s="13" t="s">
        <v>1545</v>
      </c>
      <c r="D232" s="13" t="s">
        <v>59</v>
      </c>
      <c r="E232" s="13" t="s">
        <v>732</v>
      </c>
      <c r="F232" s="13" t="s">
        <v>400</v>
      </c>
      <c r="G232" s="61" t="n">
        <v>998249000000</v>
      </c>
      <c r="H232" s="13" t="s">
        <v>1537</v>
      </c>
      <c r="I232" s="13"/>
      <c r="J232" s="13"/>
      <c r="K232" s="13" t="s">
        <v>622</v>
      </c>
      <c r="L232" s="13" t="s">
        <v>1539</v>
      </c>
      <c r="M232" s="13" t="s">
        <v>1549</v>
      </c>
    </row>
    <row r="233" customFormat="false" ht="15" hidden="false" customHeight="false" outlineLevel="0" collapsed="false">
      <c r="A233" s="13" t="s">
        <v>610</v>
      </c>
      <c r="B233" s="13" t="s">
        <v>609</v>
      </c>
      <c r="C233" s="13" t="s">
        <v>1546</v>
      </c>
      <c r="D233" s="13" t="s">
        <v>59</v>
      </c>
      <c r="E233" s="13" t="s">
        <v>732</v>
      </c>
      <c r="F233" s="13" t="s">
        <v>400</v>
      </c>
      <c r="G233" s="61" t="n">
        <v>832802000000</v>
      </c>
      <c r="H233" s="13" t="s">
        <v>1537</v>
      </c>
      <c r="I233" s="13"/>
      <c r="J233" s="13"/>
      <c r="K233" s="13" t="s">
        <v>1547</v>
      </c>
      <c r="L233" s="13" t="s">
        <v>1539</v>
      </c>
      <c r="M233" s="13" t="s">
        <v>1549</v>
      </c>
    </row>
    <row r="234" customFormat="false" ht="15" hidden="false" customHeight="false" outlineLevel="0" collapsed="false">
      <c r="A234" s="13" t="s">
        <v>610</v>
      </c>
      <c r="B234" s="13" t="s">
        <v>609</v>
      </c>
      <c r="C234" s="13" t="s">
        <v>1548</v>
      </c>
      <c r="D234" s="13" t="s">
        <v>59</v>
      </c>
      <c r="E234" s="13" t="s">
        <v>732</v>
      </c>
      <c r="F234" s="13" t="s">
        <v>400</v>
      </c>
      <c r="G234" s="61" t="n">
        <v>2527917000000</v>
      </c>
      <c r="H234" s="13" t="s">
        <v>1537</v>
      </c>
      <c r="I234" s="13"/>
      <c r="J234" s="13"/>
      <c r="K234" s="13" t="s">
        <v>624</v>
      </c>
      <c r="L234" s="13" t="s">
        <v>1539</v>
      </c>
      <c r="M234" s="13" t="s">
        <v>1549</v>
      </c>
    </row>
    <row r="235" customFormat="false" ht="15" hidden="false" customHeight="false" outlineLevel="0" collapsed="false">
      <c r="A235" s="13" t="s">
        <v>610</v>
      </c>
      <c r="B235" s="13" t="s">
        <v>609</v>
      </c>
      <c r="C235" s="13" t="s">
        <v>1536</v>
      </c>
      <c r="D235" s="13" t="s">
        <v>59</v>
      </c>
      <c r="E235" s="13" t="s">
        <v>733</v>
      </c>
      <c r="F235" s="13" t="s">
        <v>734</v>
      </c>
      <c r="G235" s="61" t="n">
        <v>104654187444</v>
      </c>
      <c r="H235" s="13" t="s">
        <v>1537</v>
      </c>
      <c r="I235" s="13"/>
      <c r="J235" s="13" t="s">
        <v>1553</v>
      </c>
      <c r="K235" s="13" t="s">
        <v>1538</v>
      </c>
      <c r="L235" s="13" t="s">
        <v>1539</v>
      </c>
      <c r="M235" s="13"/>
    </row>
    <row r="236" customFormat="false" ht="15" hidden="false" customHeight="false" outlineLevel="0" collapsed="false">
      <c r="A236" s="13" t="s">
        <v>610</v>
      </c>
      <c r="B236" s="13" t="s">
        <v>609</v>
      </c>
      <c r="C236" s="13" t="s">
        <v>1545</v>
      </c>
      <c r="D236" s="13" t="s">
        <v>59</v>
      </c>
      <c r="E236" s="13" t="s">
        <v>733</v>
      </c>
      <c r="F236" s="13" t="s">
        <v>734</v>
      </c>
      <c r="G236" s="61" t="n">
        <v>1581000000</v>
      </c>
      <c r="H236" s="13" t="s">
        <v>1537</v>
      </c>
      <c r="I236" s="13"/>
      <c r="J236" s="13" t="s">
        <v>622</v>
      </c>
      <c r="K236" s="13" t="s">
        <v>622</v>
      </c>
      <c r="L236" s="13" t="s">
        <v>1539</v>
      </c>
      <c r="M236" s="13"/>
    </row>
    <row r="237" customFormat="false" ht="15" hidden="false" customHeight="false" outlineLevel="0" collapsed="false">
      <c r="A237" s="13" t="s">
        <v>610</v>
      </c>
      <c r="B237" s="13" t="s">
        <v>609</v>
      </c>
      <c r="C237" s="13" t="s">
        <v>1546</v>
      </c>
      <c r="D237" s="13" t="s">
        <v>59</v>
      </c>
      <c r="E237" s="13" t="s">
        <v>733</v>
      </c>
      <c r="F237" s="13" t="s">
        <v>734</v>
      </c>
      <c r="G237" s="61" t="n">
        <v>1569000000</v>
      </c>
      <c r="H237" s="13" t="s">
        <v>1537</v>
      </c>
      <c r="I237" s="13"/>
      <c r="J237" s="13" t="s">
        <v>1547</v>
      </c>
      <c r="K237" s="13" t="s">
        <v>1547</v>
      </c>
      <c r="L237" s="13" t="s">
        <v>1539</v>
      </c>
      <c r="M237" s="13"/>
    </row>
    <row r="238" customFormat="false" ht="15" hidden="false" customHeight="false" outlineLevel="0" collapsed="false">
      <c r="A238" s="13" t="s">
        <v>610</v>
      </c>
      <c r="B238" s="13" t="s">
        <v>609</v>
      </c>
      <c r="C238" s="13" t="s">
        <v>1548</v>
      </c>
      <c r="D238" s="13" t="s">
        <v>59</v>
      </c>
      <c r="E238" s="13" t="s">
        <v>733</v>
      </c>
      <c r="F238" s="13" t="s">
        <v>734</v>
      </c>
      <c r="G238" s="61" t="n">
        <v>101000000</v>
      </c>
      <c r="H238" s="13" t="s">
        <v>1537</v>
      </c>
      <c r="I238" s="13"/>
      <c r="J238" s="13" t="s">
        <v>624</v>
      </c>
      <c r="K238" s="13" t="s">
        <v>624</v>
      </c>
      <c r="L238" s="13" t="s">
        <v>1539</v>
      </c>
      <c r="M238" s="13"/>
    </row>
    <row r="239" customFormat="false" ht="15" hidden="false" customHeight="false" outlineLevel="0" collapsed="false">
      <c r="A239" s="13" t="s">
        <v>610</v>
      </c>
      <c r="B239" s="13" t="s">
        <v>609</v>
      </c>
      <c r="C239" s="13" t="s">
        <v>1536</v>
      </c>
      <c r="D239" s="13" t="s">
        <v>59</v>
      </c>
      <c r="E239" s="13" t="s">
        <v>736</v>
      </c>
      <c r="F239" s="13" t="s">
        <v>737</v>
      </c>
      <c r="G239" s="61" t="n">
        <v>16208296660</v>
      </c>
      <c r="H239" s="13" t="s">
        <v>1537</v>
      </c>
      <c r="I239" s="13"/>
      <c r="J239" s="13" t="s">
        <v>1538</v>
      </c>
      <c r="K239" s="13" t="s">
        <v>1538</v>
      </c>
      <c r="L239" s="13" t="s">
        <v>1539</v>
      </c>
      <c r="M239" s="13"/>
    </row>
    <row r="240" customFormat="false" ht="15" hidden="false" customHeight="false" outlineLevel="0" collapsed="false">
      <c r="A240" s="13" t="s">
        <v>610</v>
      </c>
      <c r="B240" s="13" t="s">
        <v>609</v>
      </c>
      <c r="C240" s="13" t="s">
        <v>1540</v>
      </c>
      <c r="D240" s="13" t="s">
        <v>59</v>
      </c>
      <c r="E240" s="13" t="s">
        <v>736</v>
      </c>
      <c r="F240" s="13" t="s">
        <v>737</v>
      </c>
      <c r="G240" s="61" t="n">
        <v>36491564325</v>
      </c>
      <c r="H240" s="13" t="s">
        <v>1537</v>
      </c>
      <c r="I240" s="13"/>
      <c r="J240" s="13" t="s">
        <v>1541</v>
      </c>
      <c r="K240" s="13" t="s">
        <v>1541</v>
      </c>
      <c r="L240" s="13" t="s">
        <v>1542</v>
      </c>
      <c r="M240" s="13"/>
    </row>
    <row r="241" customFormat="false" ht="15" hidden="false" customHeight="false" outlineLevel="0" collapsed="false">
      <c r="A241" s="13" t="s">
        <v>610</v>
      </c>
      <c r="B241" s="13" t="s">
        <v>609</v>
      </c>
      <c r="C241" s="13" t="s">
        <v>1543</v>
      </c>
      <c r="D241" s="13" t="s">
        <v>59</v>
      </c>
      <c r="E241" s="13" t="s">
        <v>736</v>
      </c>
      <c r="F241" s="13" t="s">
        <v>737</v>
      </c>
      <c r="G241" s="61" t="n">
        <v>58126636520</v>
      </c>
      <c r="H241" s="13" t="s">
        <v>1537</v>
      </c>
      <c r="I241" s="13"/>
      <c r="J241" s="13" t="s">
        <v>1544</v>
      </c>
      <c r="K241" s="13" t="s">
        <v>1544</v>
      </c>
      <c r="L241" s="13" t="s">
        <v>1539</v>
      </c>
      <c r="M241" s="13"/>
    </row>
    <row r="242" customFormat="false" ht="15" hidden="false" customHeight="false" outlineLevel="0" collapsed="false">
      <c r="A242" s="13" t="s">
        <v>610</v>
      </c>
      <c r="B242" s="13" t="s">
        <v>609</v>
      </c>
      <c r="C242" s="13" t="s">
        <v>1545</v>
      </c>
      <c r="D242" s="13" t="s">
        <v>59</v>
      </c>
      <c r="E242" s="13" t="s">
        <v>736</v>
      </c>
      <c r="F242" s="13" t="s">
        <v>737</v>
      </c>
      <c r="G242" s="61" t="n">
        <v>17269000000</v>
      </c>
      <c r="H242" s="13" t="s">
        <v>1537</v>
      </c>
      <c r="I242" s="13"/>
      <c r="J242" s="13" t="s">
        <v>622</v>
      </c>
      <c r="K242" s="13" t="s">
        <v>622</v>
      </c>
      <c r="L242" s="13" t="s">
        <v>1539</v>
      </c>
      <c r="M242" s="13"/>
    </row>
    <row r="243" customFormat="false" ht="15" hidden="false" customHeight="false" outlineLevel="0" collapsed="false">
      <c r="A243" s="13" t="s">
        <v>610</v>
      </c>
      <c r="B243" s="13" t="s">
        <v>609</v>
      </c>
      <c r="C243" s="13" t="s">
        <v>1546</v>
      </c>
      <c r="D243" s="13" t="s">
        <v>59</v>
      </c>
      <c r="E243" s="13" t="s">
        <v>736</v>
      </c>
      <c r="F243" s="13" t="s">
        <v>737</v>
      </c>
      <c r="G243" s="61" t="n">
        <v>62164000000</v>
      </c>
      <c r="H243" s="13" t="s">
        <v>1537</v>
      </c>
      <c r="I243" s="13"/>
      <c r="J243" s="13" t="s">
        <v>1547</v>
      </c>
      <c r="K243" s="13" t="s">
        <v>1547</v>
      </c>
      <c r="L243" s="13" t="s">
        <v>1539</v>
      </c>
      <c r="M243" s="13"/>
    </row>
    <row r="244" customFormat="false" ht="15" hidden="false" customHeight="false" outlineLevel="0" collapsed="false">
      <c r="A244" s="13" t="s">
        <v>610</v>
      </c>
      <c r="B244" s="13" t="s">
        <v>609</v>
      </c>
      <c r="C244" s="13" t="s">
        <v>1548</v>
      </c>
      <c r="D244" s="13" t="s">
        <v>59</v>
      </c>
      <c r="E244" s="13" t="s">
        <v>736</v>
      </c>
      <c r="F244" s="13" t="s">
        <v>737</v>
      </c>
      <c r="G244" s="61" t="n">
        <v>131298000000</v>
      </c>
      <c r="H244" s="13" t="s">
        <v>1537</v>
      </c>
      <c r="I244" s="13"/>
      <c r="J244" s="13" t="s">
        <v>624</v>
      </c>
      <c r="K244" s="13" t="s">
        <v>624</v>
      </c>
      <c r="L244" s="13" t="s">
        <v>1539</v>
      </c>
      <c r="M244" s="13"/>
    </row>
    <row r="245" customFormat="false" ht="15" hidden="false" customHeight="false" outlineLevel="0" collapsed="false">
      <c r="A245" s="13" t="s">
        <v>610</v>
      </c>
      <c r="B245" s="13" t="s">
        <v>609</v>
      </c>
      <c r="C245" s="13" t="s">
        <v>1536</v>
      </c>
      <c r="D245" s="13" t="s">
        <v>59</v>
      </c>
      <c r="E245" s="13" t="s">
        <v>739</v>
      </c>
      <c r="F245" s="13" t="s">
        <v>740</v>
      </c>
      <c r="G245" s="61" t="n">
        <v>2641613456689</v>
      </c>
      <c r="H245" s="13" t="s">
        <v>1537</v>
      </c>
      <c r="I245" s="13"/>
      <c r="J245" s="13" t="s">
        <v>1538</v>
      </c>
      <c r="K245" s="13" t="s">
        <v>1538</v>
      </c>
      <c r="L245" s="13" t="s">
        <v>1539</v>
      </c>
      <c r="M245" s="13"/>
    </row>
    <row r="246" customFormat="false" ht="15" hidden="false" customHeight="false" outlineLevel="0" collapsed="false">
      <c r="A246" s="13" t="s">
        <v>610</v>
      </c>
      <c r="B246" s="13" t="s">
        <v>609</v>
      </c>
      <c r="C246" s="13" t="s">
        <v>1540</v>
      </c>
      <c r="D246" s="13" t="s">
        <v>59</v>
      </c>
      <c r="E246" s="13" t="s">
        <v>739</v>
      </c>
      <c r="F246" s="13" t="s">
        <v>740</v>
      </c>
      <c r="G246" s="61" t="n">
        <v>3169775593830</v>
      </c>
      <c r="H246" s="13" t="s">
        <v>1537</v>
      </c>
      <c r="I246" s="13"/>
      <c r="J246" s="13" t="s">
        <v>1541</v>
      </c>
      <c r="K246" s="13" t="s">
        <v>1541</v>
      </c>
      <c r="L246" s="13" t="s">
        <v>1542</v>
      </c>
      <c r="M246" s="13"/>
    </row>
    <row r="247" customFormat="false" ht="15" hidden="false" customHeight="false" outlineLevel="0" collapsed="false">
      <c r="A247" s="13" t="s">
        <v>610</v>
      </c>
      <c r="B247" s="13" t="s">
        <v>609</v>
      </c>
      <c r="C247" s="13" t="s">
        <v>1543</v>
      </c>
      <c r="D247" s="13" t="s">
        <v>59</v>
      </c>
      <c r="E247" s="13" t="s">
        <v>739</v>
      </c>
      <c r="F247" s="13" t="s">
        <v>740</v>
      </c>
      <c r="G247" s="61" t="n">
        <v>3607142163990</v>
      </c>
      <c r="H247" s="13" t="s">
        <v>1537</v>
      </c>
      <c r="I247" s="13"/>
      <c r="J247" s="13" t="s">
        <v>1544</v>
      </c>
      <c r="K247" s="13" t="s">
        <v>1544</v>
      </c>
      <c r="L247" s="13" t="s">
        <v>1539</v>
      </c>
      <c r="M247" s="13"/>
    </row>
    <row r="248" customFormat="false" ht="15" hidden="false" customHeight="false" outlineLevel="0" collapsed="false">
      <c r="A248" s="13" t="s">
        <v>610</v>
      </c>
      <c r="B248" s="13" t="s">
        <v>609</v>
      </c>
      <c r="C248" s="13" t="s">
        <v>1545</v>
      </c>
      <c r="D248" s="13" t="s">
        <v>59</v>
      </c>
      <c r="E248" s="13" t="s">
        <v>739</v>
      </c>
      <c r="F248" s="13" t="s">
        <v>740</v>
      </c>
      <c r="G248" s="61" t="n">
        <v>3952312000000</v>
      </c>
      <c r="H248" s="13" t="s">
        <v>1537</v>
      </c>
      <c r="I248" s="13"/>
      <c r="J248" s="13" t="s">
        <v>622</v>
      </c>
      <c r="K248" s="13" t="s">
        <v>622</v>
      </c>
      <c r="L248" s="13" t="s">
        <v>1539</v>
      </c>
      <c r="M248" s="13"/>
    </row>
    <row r="249" customFormat="false" ht="15" hidden="false" customHeight="false" outlineLevel="0" collapsed="false">
      <c r="A249" s="13" t="s">
        <v>610</v>
      </c>
      <c r="B249" s="13" t="s">
        <v>609</v>
      </c>
      <c r="C249" s="13" t="s">
        <v>1546</v>
      </c>
      <c r="D249" s="13" t="s">
        <v>59</v>
      </c>
      <c r="E249" s="13" t="s">
        <v>739</v>
      </c>
      <c r="F249" s="13" t="s">
        <v>740</v>
      </c>
      <c r="G249" s="61" t="n">
        <v>4164140000000</v>
      </c>
      <c r="H249" s="13" t="s">
        <v>1537</v>
      </c>
      <c r="I249" s="13"/>
      <c r="J249" s="13" t="s">
        <v>1547</v>
      </c>
      <c r="K249" s="13" t="s">
        <v>1547</v>
      </c>
      <c r="L249" s="13" t="s">
        <v>1539</v>
      </c>
      <c r="M249" s="13"/>
    </row>
    <row r="250" customFormat="false" ht="15" hidden="false" customHeight="false" outlineLevel="0" collapsed="false">
      <c r="A250" s="13" t="s">
        <v>610</v>
      </c>
      <c r="B250" s="13" t="s">
        <v>609</v>
      </c>
      <c r="C250" s="13" t="s">
        <v>1548</v>
      </c>
      <c r="D250" s="13" t="s">
        <v>59</v>
      </c>
      <c r="E250" s="13" t="s">
        <v>739</v>
      </c>
      <c r="F250" s="13" t="s">
        <v>740</v>
      </c>
      <c r="G250" s="61" t="n">
        <v>4286327000000</v>
      </c>
      <c r="H250" s="13" t="s">
        <v>1537</v>
      </c>
      <c r="I250" s="13"/>
      <c r="J250" s="13" t="s">
        <v>624</v>
      </c>
      <c r="K250" s="13" t="s">
        <v>624</v>
      </c>
      <c r="L250" s="13" t="s">
        <v>1539</v>
      </c>
      <c r="M250" s="13"/>
    </row>
    <row r="251" customFormat="false" ht="15" hidden="false" customHeight="false" outlineLevel="0" collapsed="false">
      <c r="A251" s="13" t="s">
        <v>610</v>
      </c>
      <c r="B251" s="13" t="s">
        <v>609</v>
      </c>
      <c r="C251" s="13" t="s">
        <v>1536</v>
      </c>
      <c r="D251" s="13" t="s">
        <v>59</v>
      </c>
      <c r="E251" s="13" t="s">
        <v>742</v>
      </c>
      <c r="F251" s="13" t="s">
        <v>743</v>
      </c>
      <c r="G251" s="61" t="n">
        <v>40010000000</v>
      </c>
      <c r="H251" s="13" t="s">
        <v>1537</v>
      </c>
      <c r="I251" s="13"/>
      <c r="J251" s="13" t="s">
        <v>1538</v>
      </c>
      <c r="K251" s="13" t="s">
        <v>1538</v>
      </c>
      <c r="L251" s="13" t="s">
        <v>1539</v>
      </c>
      <c r="M251" s="13"/>
    </row>
    <row r="252" customFormat="false" ht="15" hidden="false" customHeight="false" outlineLevel="0" collapsed="false">
      <c r="A252" s="13" t="s">
        <v>610</v>
      </c>
      <c r="B252" s="13" t="s">
        <v>609</v>
      </c>
      <c r="C252" s="13" t="s">
        <v>1540</v>
      </c>
      <c r="D252" s="13" t="s">
        <v>59</v>
      </c>
      <c r="E252" s="13" t="s">
        <v>742</v>
      </c>
      <c r="F252" s="13" t="s">
        <v>743</v>
      </c>
      <c r="G252" s="61" t="n">
        <v>40010000000</v>
      </c>
      <c r="H252" s="13" t="s">
        <v>1537</v>
      </c>
      <c r="I252" s="13"/>
      <c r="J252" s="13" t="s">
        <v>1541</v>
      </c>
      <c r="K252" s="13" t="s">
        <v>1541</v>
      </c>
      <c r="L252" s="13" t="s">
        <v>1542</v>
      </c>
      <c r="M252" s="13"/>
    </row>
    <row r="253" customFormat="false" ht="15" hidden="false" customHeight="false" outlineLevel="0" collapsed="false">
      <c r="A253" s="13" t="s">
        <v>610</v>
      </c>
      <c r="B253" s="13" t="s">
        <v>609</v>
      </c>
      <c r="C253" s="13" t="s">
        <v>1543</v>
      </c>
      <c r="D253" s="13" t="s">
        <v>59</v>
      </c>
      <c r="E253" s="13" t="s">
        <v>742</v>
      </c>
      <c r="F253" s="13" t="s">
        <v>743</v>
      </c>
      <c r="G253" s="61" t="n">
        <v>40010000000</v>
      </c>
      <c r="H253" s="13" t="s">
        <v>1537</v>
      </c>
      <c r="I253" s="13"/>
      <c r="J253" s="13" t="s">
        <v>1544</v>
      </c>
      <c r="K253" s="13" t="s">
        <v>1544</v>
      </c>
      <c r="L253" s="13" t="s">
        <v>1539</v>
      </c>
      <c r="M253" s="13"/>
    </row>
    <row r="254" customFormat="false" ht="15" hidden="false" customHeight="false" outlineLevel="0" collapsed="false">
      <c r="A254" s="13" t="s">
        <v>610</v>
      </c>
      <c r="B254" s="13" t="s">
        <v>609</v>
      </c>
      <c r="C254" s="13" t="s">
        <v>1545</v>
      </c>
      <c r="D254" s="13" t="s">
        <v>59</v>
      </c>
      <c r="E254" s="13" t="s">
        <v>742</v>
      </c>
      <c r="F254" s="13" t="s">
        <v>743</v>
      </c>
      <c r="G254" s="61" t="n">
        <v>40010000000</v>
      </c>
      <c r="H254" s="13" t="s">
        <v>1537</v>
      </c>
      <c r="I254" s="13"/>
      <c r="J254" s="13" t="s">
        <v>622</v>
      </c>
      <c r="K254" s="13" t="s">
        <v>622</v>
      </c>
      <c r="L254" s="13" t="s">
        <v>1539</v>
      </c>
      <c r="M254" s="13"/>
    </row>
    <row r="255" customFormat="false" ht="15" hidden="false" customHeight="false" outlineLevel="0" collapsed="false">
      <c r="A255" s="13" t="s">
        <v>610</v>
      </c>
      <c r="B255" s="13" t="s">
        <v>609</v>
      </c>
      <c r="C255" s="13" t="s">
        <v>1546</v>
      </c>
      <c r="D255" s="13" t="s">
        <v>59</v>
      </c>
      <c r="E255" s="13" t="s">
        <v>742</v>
      </c>
      <c r="F255" s="13" t="s">
        <v>743</v>
      </c>
      <c r="G255" s="61" t="n">
        <v>40010000000</v>
      </c>
      <c r="H255" s="13" t="s">
        <v>1537</v>
      </c>
      <c r="I255" s="13"/>
      <c r="J255" s="13" t="s">
        <v>1547</v>
      </c>
      <c r="K255" s="13" t="s">
        <v>1547</v>
      </c>
      <c r="L255" s="13" t="s">
        <v>1539</v>
      </c>
      <c r="M255" s="13"/>
    </row>
    <row r="256" customFormat="false" ht="15" hidden="false" customHeight="false" outlineLevel="0" collapsed="false">
      <c r="A256" s="13" t="s">
        <v>610</v>
      </c>
      <c r="B256" s="13" t="s">
        <v>609</v>
      </c>
      <c r="C256" s="13" t="s">
        <v>1548</v>
      </c>
      <c r="D256" s="13" t="s">
        <v>59</v>
      </c>
      <c r="E256" s="13" t="s">
        <v>742</v>
      </c>
      <c r="F256" s="13" t="s">
        <v>743</v>
      </c>
      <c r="G256" s="61" t="n">
        <v>44695000000</v>
      </c>
      <c r="H256" s="13" t="s">
        <v>1537</v>
      </c>
      <c r="I256" s="13"/>
      <c r="J256" s="13" t="s">
        <v>624</v>
      </c>
      <c r="K256" s="13" t="s">
        <v>624</v>
      </c>
      <c r="L256" s="13" t="s">
        <v>1539</v>
      </c>
      <c r="M256" s="13"/>
    </row>
    <row r="257" customFormat="false" ht="15" hidden="false" customHeight="false" outlineLevel="0" collapsed="false">
      <c r="A257" s="13" t="s">
        <v>610</v>
      </c>
      <c r="B257" s="13" t="s">
        <v>609</v>
      </c>
      <c r="C257" s="13" t="s">
        <v>1536</v>
      </c>
      <c r="D257" s="13" t="s">
        <v>59</v>
      </c>
      <c r="E257" s="13" t="s">
        <v>745</v>
      </c>
      <c r="F257" s="13" t="s">
        <v>746</v>
      </c>
      <c r="G257" s="61" t="n">
        <v>308029359532</v>
      </c>
      <c r="H257" s="13" t="s">
        <v>1537</v>
      </c>
      <c r="I257" s="13"/>
      <c r="J257" s="13" t="s">
        <v>1538</v>
      </c>
      <c r="K257" s="13" t="s">
        <v>1538</v>
      </c>
      <c r="L257" s="13" t="s">
        <v>1539</v>
      </c>
      <c r="M257" s="13"/>
    </row>
    <row r="258" customFormat="false" ht="15" hidden="false" customHeight="false" outlineLevel="0" collapsed="false">
      <c r="A258" s="13" t="s">
        <v>610</v>
      </c>
      <c r="B258" s="13" t="s">
        <v>609</v>
      </c>
      <c r="C258" s="13" t="s">
        <v>1540</v>
      </c>
      <c r="D258" s="13" t="s">
        <v>59</v>
      </c>
      <c r="E258" s="13" t="s">
        <v>745</v>
      </c>
      <c r="F258" s="13" t="s">
        <v>746</v>
      </c>
      <c r="G258" s="61" t="n">
        <v>280850298397</v>
      </c>
      <c r="H258" s="13" t="s">
        <v>1537</v>
      </c>
      <c r="I258" s="13"/>
      <c r="J258" s="13" t="s">
        <v>1541</v>
      </c>
      <c r="K258" s="13" t="s">
        <v>1541</v>
      </c>
      <c r="L258" s="13" t="s">
        <v>1542</v>
      </c>
      <c r="M258" s="13"/>
    </row>
    <row r="259" customFormat="false" ht="15" hidden="false" customHeight="false" outlineLevel="0" collapsed="false">
      <c r="A259" s="13" t="s">
        <v>610</v>
      </c>
      <c r="B259" s="13" t="s">
        <v>609</v>
      </c>
      <c r="C259" s="13" t="s">
        <v>1543</v>
      </c>
      <c r="D259" s="13" t="s">
        <v>59</v>
      </c>
      <c r="E259" s="13" t="s">
        <v>745</v>
      </c>
      <c r="F259" s="13" t="s">
        <v>746</v>
      </c>
      <c r="G259" s="61" t="n">
        <v>253671237262</v>
      </c>
      <c r="H259" s="13" t="s">
        <v>1537</v>
      </c>
      <c r="I259" s="13"/>
      <c r="J259" s="13" t="s">
        <v>1544</v>
      </c>
      <c r="K259" s="13" t="s">
        <v>1544</v>
      </c>
      <c r="L259" s="13" t="s">
        <v>1539</v>
      </c>
      <c r="M259" s="13"/>
    </row>
    <row r="260" customFormat="false" ht="15" hidden="false" customHeight="false" outlineLevel="0" collapsed="false">
      <c r="A260" s="13" t="s">
        <v>610</v>
      </c>
      <c r="B260" s="13" t="s">
        <v>609</v>
      </c>
      <c r="C260" s="13" t="s">
        <v>1545</v>
      </c>
      <c r="D260" s="13" t="s">
        <v>59</v>
      </c>
      <c r="E260" s="13" t="s">
        <v>745</v>
      </c>
      <c r="F260" s="13" t="s">
        <v>746</v>
      </c>
      <c r="G260" s="61" t="n">
        <v>227253000000</v>
      </c>
      <c r="H260" s="13" t="s">
        <v>1537</v>
      </c>
      <c r="I260" s="13"/>
      <c r="J260" s="13" t="s">
        <v>622</v>
      </c>
      <c r="K260" s="13" t="s">
        <v>622</v>
      </c>
      <c r="L260" s="13" t="s">
        <v>1539</v>
      </c>
      <c r="M260" s="13"/>
    </row>
    <row r="261" customFormat="false" ht="15" hidden="false" customHeight="false" outlineLevel="0" collapsed="false">
      <c r="A261" s="13" t="s">
        <v>610</v>
      </c>
      <c r="B261" s="13" t="s">
        <v>609</v>
      </c>
      <c r="C261" s="13" t="s">
        <v>1546</v>
      </c>
      <c r="D261" s="13" t="s">
        <v>59</v>
      </c>
      <c r="E261" s="13" t="s">
        <v>745</v>
      </c>
      <c r="F261" s="13" t="s">
        <v>746</v>
      </c>
      <c r="G261" s="61" t="n">
        <v>199858000000</v>
      </c>
      <c r="H261" s="13" t="s">
        <v>1537</v>
      </c>
      <c r="I261" s="13"/>
      <c r="J261" s="13" t="s">
        <v>1547</v>
      </c>
      <c r="K261" s="13" t="s">
        <v>1547</v>
      </c>
      <c r="L261" s="13" t="s">
        <v>1539</v>
      </c>
      <c r="M261" s="13"/>
    </row>
    <row r="262" customFormat="false" ht="15" hidden="false" customHeight="false" outlineLevel="0" collapsed="false">
      <c r="A262" s="13" t="s">
        <v>610</v>
      </c>
      <c r="B262" s="13" t="s">
        <v>609</v>
      </c>
      <c r="C262" s="13" t="s">
        <v>1548</v>
      </c>
      <c r="D262" s="13" t="s">
        <v>59</v>
      </c>
      <c r="E262" s="13" t="s">
        <v>745</v>
      </c>
      <c r="F262" s="13" t="s">
        <v>746</v>
      </c>
      <c r="G262" s="61" t="n">
        <v>177145000000</v>
      </c>
      <c r="H262" s="13" t="s">
        <v>1537</v>
      </c>
      <c r="I262" s="13"/>
      <c r="J262" s="13" t="s">
        <v>624</v>
      </c>
      <c r="K262" s="13" t="s">
        <v>624</v>
      </c>
      <c r="L262" s="13" t="s">
        <v>1539</v>
      </c>
      <c r="M262" s="13"/>
    </row>
    <row r="263" customFormat="false" ht="15" hidden="false" customHeight="false" outlineLevel="0" collapsed="false">
      <c r="A263" s="13" t="s">
        <v>610</v>
      </c>
      <c r="B263" s="13" t="s">
        <v>609</v>
      </c>
      <c r="C263" s="13" t="s">
        <v>1536</v>
      </c>
      <c r="D263" s="13" t="s">
        <v>59</v>
      </c>
      <c r="E263" s="13" t="s">
        <v>748</v>
      </c>
      <c r="F263" s="13" t="s">
        <v>404</v>
      </c>
      <c r="G263" s="61" t="n">
        <v>10032147719</v>
      </c>
      <c r="H263" s="13" t="s">
        <v>1537</v>
      </c>
      <c r="I263" s="13"/>
      <c r="J263" s="13" t="s">
        <v>1538</v>
      </c>
      <c r="K263" s="13" t="s">
        <v>1538</v>
      </c>
      <c r="L263" s="13" t="s">
        <v>1539</v>
      </c>
      <c r="M263" s="13"/>
    </row>
    <row r="264" customFormat="false" ht="15" hidden="false" customHeight="false" outlineLevel="0" collapsed="false">
      <c r="A264" s="13" t="s">
        <v>610</v>
      </c>
      <c r="B264" s="13" t="s">
        <v>609</v>
      </c>
      <c r="C264" s="13" t="s">
        <v>1540</v>
      </c>
      <c r="D264" s="13" t="s">
        <v>59</v>
      </c>
      <c r="E264" s="13" t="s">
        <v>748</v>
      </c>
      <c r="F264" s="13" t="s">
        <v>404</v>
      </c>
      <c r="G264" s="61" t="n">
        <v>18016628295</v>
      </c>
      <c r="H264" s="13" t="s">
        <v>1537</v>
      </c>
      <c r="I264" s="13"/>
      <c r="J264" s="13" t="s">
        <v>1541</v>
      </c>
      <c r="K264" s="13" t="s">
        <v>1541</v>
      </c>
      <c r="L264" s="13" t="s">
        <v>1542</v>
      </c>
      <c r="M264" s="13"/>
    </row>
    <row r="265" customFormat="false" ht="15" hidden="false" customHeight="false" outlineLevel="0" collapsed="false">
      <c r="A265" s="13" t="s">
        <v>610</v>
      </c>
      <c r="B265" s="13" t="s">
        <v>609</v>
      </c>
      <c r="C265" s="13" t="s">
        <v>1543</v>
      </c>
      <c r="D265" s="13" t="s">
        <v>59</v>
      </c>
      <c r="E265" s="13" t="s">
        <v>748</v>
      </c>
      <c r="F265" s="13" t="s">
        <v>404</v>
      </c>
      <c r="G265" s="61" t="n">
        <v>12824038513</v>
      </c>
      <c r="H265" s="13" t="s">
        <v>1537</v>
      </c>
      <c r="I265" s="13"/>
      <c r="J265" s="13" t="s">
        <v>1544</v>
      </c>
      <c r="K265" s="13" t="s">
        <v>1544</v>
      </c>
      <c r="L265" s="13" t="s">
        <v>1539</v>
      </c>
      <c r="M265" s="13"/>
    </row>
    <row r="266" customFormat="false" ht="15" hidden="false" customHeight="false" outlineLevel="0" collapsed="false">
      <c r="A266" s="13" t="s">
        <v>610</v>
      </c>
      <c r="B266" s="13" t="s">
        <v>609</v>
      </c>
      <c r="C266" s="13" t="s">
        <v>1545</v>
      </c>
      <c r="D266" s="13" t="s">
        <v>59</v>
      </c>
      <c r="E266" s="13" t="s">
        <v>748</v>
      </c>
      <c r="F266" s="13" t="s">
        <v>404</v>
      </c>
      <c r="G266" s="61" t="n">
        <v>11773000000</v>
      </c>
      <c r="H266" s="13" t="s">
        <v>1537</v>
      </c>
      <c r="I266" s="13"/>
      <c r="J266" s="13" t="s">
        <v>622</v>
      </c>
      <c r="K266" s="13" t="s">
        <v>622</v>
      </c>
      <c r="L266" s="13" t="s">
        <v>1539</v>
      </c>
      <c r="M266" s="13"/>
    </row>
    <row r="267" customFormat="false" ht="15" hidden="false" customHeight="false" outlineLevel="0" collapsed="false">
      <c r="A267" s="13" t="s">
        <v>610</v>
      </c>
      <c r="B267" s="13" t="s">
        <v>609</v>
      </c>
      <c r="C267" s="13" t="s">
        <v>1546</v>
      </c>
      <c r="D267" s="13" t="s">
        <v>59</v>
      </c>
      <c r="E267" s="13" t="s">
        <v>748</v>
      </c>
      <c r="F267" s="13" t="s">
        <v>404</v>
      </c>
      <c r="G267" s="61" t="n">
        <v>11616000000</v>
      </c>
      <c r="H267" s="13" t="s">
        <v>1537</v>
      </c>
      <c r="I267" s="13"/>
      <c r="J267" s="13" t="s">
        <v>1547</v>
      </c>
      <c r="K267" s="13" t="s">
        <v>1547</v>
      </c>
      <c r="L267" s="13" t="s">
        <v>1539</v>
      </c>
      <c r="M267" s="13"/>
    </row>
    <row r="268" customFormat="false" ht="15" hidden="false" customHeight="false" outlineLevel="0" collapsed="false">
      <c r="A268" s="13" t="s">
        <v>610</v>
      </c>
      <c r="B268" s="13" t="s">
        <v>609</v>
      </c>
      <c r="C268" s="13" t="s">
        <v>1548</v>
      </c>
      <c r="D268" s="13" t="s">
        <v>59</v>
      </c>
      <c r="E268" s="13" t="s">
        <v>748</v>
      </c>
      <c r="F268" s="13" t="s">
        <v>404</v>
      </c>
      <c r="G268" s="61" t="n">
        <v>26642000000</v>
      </c>
      <c r="H268" s="13" t="s">
        <v>1537</v>
      </c>
      <c r="I268" s="13"/>
      <c r="J268" s="13" t="s">
        <v>624</v>
      </c>
      <c r="K268" s="13" t="s">
        <v>624</v>
      </c>
      <c r="L268" s="13" t="s">
        <v>1539</v>
      </c>
      <c r="M268" s="13"/>
    </row>
    <row r="269" customFormat="false" ht="15" hidden="false" customHeight="false" outlineLevel="0" collapsed="false">
      <c r="A269" s="13" t="s">
        <v>610</v>
      </c>
      <c r="B269" s="13" t="s">
        <v>609</v>
      </c>
      <c r="C269" s="13" t="s">
        <v>1536</v>
      </c>
      <c r="D269" s="13" t="s">
        <v>59</v>
      </c>
      <c r="E269" s="13" t="s">
        <v>750</v>
      </c>
      <c r="F269" s="13" t="s">
        <v>751</v>
      </c>
      <c r="G269" s="61" t="n">
        <v>1292381206</v>
      </c>
      <c r="H269" s="13" t="s">
        <v>1537</v>
      </c>
      <c r="I269" s="13"/>
      <c r="J269" s="13" t="s">
        <v>1538</v>
      </c>
      <c r="K269" s="13" t="s">
        <v>1538</v>
      </c>
      <c r="L269" s="13" t="s">
        <v>1539</v>
      </c>
      <c r="M269" s="13"/>
    </row>
    <row r="270" customFormat="false" ht="15" hidden="false" customHeight="false" outlineLevel="0" collapsed="false">
      <c r="A270" s="13" t="s">
        <v>610</v>
      </c>
      <c r="B270" s="13" t="s">
        <v>609</v>
      </c>
      <c r="C270" s="13" t="s">
        <v>1540</v>
      </c>
      <c r="D270" s="13" t="s">
        <v>59</v>
      </c>
      <c r="E270" s="13" t="s">
        <v>750</v>
      </c>
      <c r="F270" s="13" t="s">
        <v>751</v>
      </c>
      <c r="G270" s="61" t="n">
        <v>1292381206</v>
      </c>
      <c r="H270" s="13" t="s">
        <v>1537</v>
      </c>
      <c r="I270" s="13"/>
      <c r="J270" s="13" t="s">
        <v>1541</v>
      </c>
      <c r="K270" s="13" t="s">
        <v>1541</v>
      </c>
      <c r="L270" s="13" t="s">
        <v>1542</v>
      </c>
      <c r="M270" s="13"/>
    </row>
    <row r="271" customFormat="false" ht="15" hidden="false" customHeight="false" outlineLevel="0" collapsed="false">
      <c r="A271" s="13" t="s">
        <v>610</v>
      </c>
      <c r="B271" s="13" t="s">
        <v>609</v>
      </c>
      <c r="C271" s="13" t="s">
        <v>1543</v>
      </c>
      <c r="D271" s="13" t="s">
        <v>59</v>
      </c>
      <c r="E271" s="13" t="s">
        <v>750</v>
      </c>
      <c r="F271" s="13" t="s">
        <v>751</v>
      </c>
      <c r="G271" s="61" t="n">
        <v>7436614727</v>
      </c>
      <c r="H271" s="13" t="s">
        <v>1537</v>
      </c>
      <c r="I271" s="13"/>
      <c r="J271" s="13" t="s">
        <v>1544</v>
      </c>
      <c r="K271" s="13" t="s">
        <v>1544</v>
      </c>
      <c r="L271" s="13" t="s">
        <v>1539</v>
      </c>
      <c r="M271" s="13"/>
    </row>
    <row r="272" customFormat="false" ht="15" hidden="false" customHeight="false" outlineLevel="0" collapsed="false">
      <c r="A272" s="13" t="s">
        <v>610</v>
      </c>
      <c r="B272" s="13" t="s">
        <v>609</v>
      </c>
      <c r="C272" s="13" t="s">
        <v>1545</v>
      </c>
      <c r="D272" s="13" t="s">
        <v>59</v>
      </c>
      <c r="E272" s="13" t="s">
        <v>750</v>
      </c>
      <c r="F272" s="13" t="s">
        <v>751</v>
      </c>
      <c r="G272" s="61" t="n">
        <v>12673000000</v>
      </c>
      <c r="H272" s="13" t="s">
        <v>1537</v>
      </c>
      <c r="I272" s="13"/>
      <c r="J272" s="13" t="s">
        <v>622</v>
      </c>
      <c r="K272" s="13" t="s">
        <v>622</v>
      </c>
      <c r="L272" s="13" t="s">
        <v>1539</v>
      </c>
      <c r="M272" s="13"/>
    </row>
    <row r="273" customFormat="false" ht="15" hidden="false" customHeight="false" outlineLevel="0" collapsed="false">
      <c r="A273" s="13" t="s">
        <v>610</v>
      </c>
      <c r="B273" s="13" t="s">
        <v>609</v>
      </c>
      <c r="C273" s="13" t="s">
        <v>1546</v>
      </c>
      <c r="D273" s="13" t="s">
        <v>59</v>
      </c>
      <c r="E273" s="13" t="s">
        <v>750</v>
      </c>
      <c r="F273" s="13" t="s">
        <v>751</v>
      </c>
      <c r="G273" s="61" t="n">
        <v>11645000000</v>
      </c>
      <c r="H273" s="13" t="s">
        <v>1537</v>
      </c>
      <c r="I273" s="13"/>
      <c r="J273" s="13" t="s">
        <v>1547</v>
      </c>
      <c r="K273" s="13" t="s">
        <v>1547</v>
      </c>
      <c r="L273" s="13" t="s">
        <v>1539</v>
      </c>
      <c r="M273" s="13"/>
    </row>
    <row r="274" customFormat="false" ht="15" hidden="false" customHeight="false" outlineLevel="0" collapsed="false">
      <c r="A274" s="13" t="s">
        <v>610</v>
      </c>
      <c r="B274" s="13" t="s">
        <v>609</v>
      </c>
      <c r="C274" s="13" t="s">
        <v>1548</v>
      </c>
      <c r="D274" s="13" t="s">
        <v>59</v>
      </c>
      <c r="E274" s="13" t="s">
        <v>750</v>
      </c>
      <c r="F274" s="13" t="s">
        <v>751</v>
      </c>
      <c r="G274" s="61" t="n">
        <v>11151000000</v>
      </c>
      <c r="H274" s="13" t="s">
        <v>1537</v>
      </c>
      <c r="I274" s="13"/>
      <c r="J274" s="13" t="s">
        <v>624</v>
      </c>
      <c r="K274" s="13" t="s">
        <v>624</v>
      </c>
      <c r="L274" s="13" t="s">
        <v>1539</v>
      </c>
      <c r="M274" s="13"/>
    </row>
    <row r="275" customFormat="false" ht="15" hidden="false" customHeight="false" outlineLevel="0" collapsed="false">
      <c r="A275" s="13" t="s">
        <v>610</v>
      </c>
      <c r="B275" s="13" t="s">
        <v>609</v>
      </c>
      <c r="C275" s="13" t="s">
        <v>1536</v>
      </c>
      <c r="D275" s="13" t="s">
        <v>59</v>
      </c>
      <c r="E275" s="13" t="s">
        <v>753</v>
      </c>
      <c r="F275" s="13" t="s">
        <v>754</v>
      </c>
      <c r="G275" s="61" t="n">
        <v>46883177777</v>
      </c>
      <c r="H275" s="13" t="s">
        <v>1537</v>
      </c>
      <c r="I275" s="13"/>
      <c r="J275" s="13" t="s">
        <v>1538</v>
      </c>
      <c r="K275" s="13" t="s">
        <v>1538</v>
      </c>
      <c r="L275" s="13" t="s">
        <v>1539</v>
      </c>
      <c r="M275" s="13"/>
    </row>
    <row r="276" customFormat="false" ht="15" hidden="false" customHeight="false" outlineLevel="0" collapsed="false">
      <c r="A276" s="13" t="s">
        <v>610</v>
      </c>
      <c r="B276" s="13" t="s">
        <v>609</v>
      </c>
      <c r="C276" s="13" t="s">
        <v>1540</v>
      </c>
      <c r="D276" s="13" t="s">
        <v>59</v>
      </c>
      <c r="E276" s="13" t="s">
        <v>753</v>
      </c>
      <c r="F276" s="13" t="s">
        <v>754</v>
      </c>
      <c r="G276" s="61" t="n">
        <v>66145030699</v>
      </c>
      <c r="H276" s="13" t="s">
        <v>1537</v>
      </c>
      <c r="I276" s="13"/>
      <c r="J276" s="13" t="s">
        <v>1541</v>
      </c>
      <c r="K276" s="13" t="s">
        <v>1541</v>
      </c>
      <c r="L276" s="13" t="s">
        <v>1542</v>
      </c>
      <c r="M276" s="13"/>
    </row>
    <row r="277" customFormat="false" ht="15" hidden="false" customHeight="false" outlineLevel="0" collapsed="false">
      <c r="A277" s="13" t="s">
        <v>610</v>
      </c>
      <c r="B277" s="13" t="s">
        <v>609</v>
      </c>
      <c r="C277" s="13" t="s">
        <v>1543</v>
      </c>
      <c r="D277" s="13" t="s">
        <v>59</v>
      </c>
      <c r="E277" s="13" t="s">
        <v>753</v>
      </c>
      <c r="F277" s="13" t="s">
        <v>754</v>
      </c>
      <c r="G277" s="61" t="n">
        <v>87004383911</v>
      </c>
      <c r="H277" s="13" t="s">
        <v>1537</v>
      </c>
      <c r="I277" s="13"/>
      <c r="J277" s="13" t="s">
        <v>1544</v>
      </c>
      <c r="K277" s="13" t="s">
        <v>1544</v>
      </c>
      <c r="L277" s="13" t="s">
        <v>1539</v>
      </c>
      <c r="M277" s="13"/>
    </row>
    <row r="278" customFormat="false" ht="15" hidden="false" customHeight="false" outlineLevel="0" collapsed="false">
      <c r="A278" s="13" t="s">
        <v>610</v>
      </c>
      <c r="B278" s="13" t="s">
        <v>609</v>
      </c>
      <c r="C278" s="13" t="s">
        <v>1545</v>
      </c>
      <c r="D278" s="13" t="s">
        <v>59</v>
      </c>
      <c r="E278" s="13" t="s">
        <v>753</v>
      </c>
      <c r="F278" s="13" t="s">
        <v>754</v>
      </c>
      <c r="G278" s="61" t="n">
        <v>107400000000</v>
      </c>
      <c r="H278" s="13" t="s">
        <v>1537</v>
      </c>
      <c r="I278" s="13"/>
      <c r="J278" s="13" t="s">
        <v>622</v>
      </c>
      <c r="K278" s="13" t="s">
        <v>622</v>
      </c>
      <c r="L278" s="13" t="s">
        <v>1539</v>
      </c>
      <c r="M278" s="13"/>
    </row>
    <row r="279" customFormat="false" ht="15" hidden="false" customHeight="false" outlineLevel="0" collapsed="false">
      <c r="A279" s="13" t="s">
        <v>610</v>
      </c>
      <c r="B279" s="13" t="s">
        <v>609</v>
      </c>
      <c r="C279" s="13" t="s">
        <v>1546</v>
      </c>
      <c r="D279" s="13" t="s">
        <v>59</v>
      </c>
      <c r="E279" s="13" t="s">
        <v>753</v>
      </c>
      <c r="F279" s="13" t="s">
        <v>754</v>
      </c>
      <c r="G279" s="61" t="n">
        <v>121447000000</v>
      </c>
      <c r="H279" s="13" t="s">
        <v>1537</v>
      </c>
      <c r="I279" s="13"/>
      <c r="J279" s="13" t="s">
        <v>1547</v>
      </c>
      <c r="K279" s="13" t="s">
        <v>1547</v>
      </c>
      <c r="L279" s="13" t="s">
        <v>1539</v>
      </c>
      <c r="M279" s="13"/>
    </row>
    <row r="280" customFormat="false" ht="15" hidden="false" customHeight="false" outlineLevel="0" collapsed="false">
      <c r="A280" s="13" t="s">
        <v>610</v>
      </c>
      <c r="B280" s="13" t="s">
        <v>609</v>
      </c>
      <c r="C280" s="13" t="s">
        <v>1548</v>
      </c>
      <c r="D280" s="13" t="s">
        <v>59</v>
      </c>
      <c r="E280" s="13" t="s">
        <v>753</v>
      </c>
      <c r="F280" s="13" t="s">
        <v>754</v>
      </c>
      <c r="G280" s="61" t="n">
        <v>180863000000</v>
      </c>
      <c r="H280" s="13" t="s">
        <v>1537</v>
      </c>
      <c r="I280" s="13"/>
      <c r="J280" s="13" t="s">
        <v>624</v>
      </c>
      <c r="K280" s="13" t="s">
        <v>624</v>
      </c>
      <c r="L280" s="13" t="s">
        <v>1539</v>
      </c>
      <c r="M280" s="13"/>
    </row>
    <row r="281" customFormat="false" ht="15" hidden="false" customHeight="false" outlineLevel="0" collapsed="false">
      <c r="A281" s="13" t="s">
        <v>610</v>
      </c>
      <c r="B281" s="13" t="s">
        <v>609</v>
      </c>
      <c r="C281" s="13" t="s">
        <v>1536</v>
      </c>
      <c r="D281" s="13" t="s">
        <v>59</v>
      </c>
      <c r="E281" s="13" t="s">
        <v>756</v>
      </c>
      <c r="F281" s="13" t="s">
        <v>757</v>
      </c>
      <c r="G281" s="61" t="n">
        <v>237770574237</v>
      </c>
      <c r="H281" s="13" t="s">
        <v>1537</v>
      </c>
      <c r="I281" s="13"/>
      <c r="J281" s="13" t="s">
        <v>1538</v>
      </c>
      <c r="K281" s="13" t="s">
        <v>1538</v>
      </c>
      <c r="L281" s="13" t="s">
        <v>1539</v>
      </c>
      <c r="M281" s="13"/>
    </row>
    <row r="282" customFormat="false" ht="15" hidden="false" customHeight="false" outlineLevel="0" collapsed="false">
      <c r="A282" s="13" t="s">
        <v>610</v>
      </c>
      <c r="B282" s="13" t="s">
        <v>609</v>
      </c>
      <c r="C282" s="13" t="s">
        <v>1540</v>
      </c>
      <c r="D282" s="13" t="s">
        <v>59</v>
      </c>
      <c r="E282" s="13" t="s">
        <v>756</v>
      </c>
      <c r="F282" s="13" t="s">
        <v>757</v>
      </c>
      <c r="G282" s="61" t="n">
        <v>237770574237</v>
      </c>
      <c r="H282" s="13" t="s">
        <v>1537</v>
      </c>
      <c r="I282" s="13"/>
      <c r="J282" s="13" t="s">
        <v>1541</v>
      </c>
      <c r="K282" s="13" t="s">
        <v>1541</v>
      </c>
      <c r="L282" s="13" t="s">
        <v>1542</v>
      </c>
      <c r="M282" s="13"/>
    </row>
    <row r="283" customFormat="false" ht="15" hidden="false" customHeight="false" outlineLevel="0" collapsed="false">
      <c r="A283" s="13" t="s">
        <v>610</v>
      </c>
      <c r="B283" s="13" t="s">
        <v>609</v>
      </c>
      <c r="C283" s="13" t="s">
        <v>1543</v>
      </c>
      <c r="D283" s="13" t="s">
        <v>59</v>
      </c>
      <c r="E283" s="13" t="s">
        <v>756</v>
      </c>
      <c r="F283" s="13" t="s">
        <v>757</v>
      </c>
      <c r="G283" s="61" t="n">
        <v>237770574237</v>
      </c>
      <c r="H283" s="13" t="s">
        <v>1537</v>
      </c>
      <c r="I283" s="13"/>
      <c r="J283" s="13" t="s">
        <v>1544</v>
      </c>
      <c r="K283" s="13" t="s">
        <v>1544</v>
      </c>
      <c r="L283" s="13" t="s">
        <v>1539</v>
      </c>
      <c r="M283" s="13"/>
    </row>
    <row r="284" customFormat="false" ht="15" hidden="false" customHeight="false" outlineLevel="0" collapsed="false">
      <c r="A284" s="13" t="s">
        <v>610</v>
      </c>
      <c r="B284" s="13" t="s">
        <v>609</v>
      </c>
      <c r="C284" s="13" t="s">
        <v>1545</v>
      </c>
      <c r="D284" s="13" t="s">
        <v>59</v>
      </c>
      <c r="E284" s="13" t="s">
        <v>756</v>
      </c>
      <c r="F284" s="13" t="s">
        <v>757</v>
      </c>
      <c r="G284" s="61" t="n">
        <v>237771000000</v>
      </c>
      <c r="H284" s="13" t="s">
        <v>1537</v>
      </c>
      <c r="I284" s="13"/>
      <c r="J284" s="13" t="s">
        <v>622</v>
      </c>
      <c r="K284" s="13" t="s">
        <v>622</v>
      </c>
      <c r="L284" s="13" t="s">
        <v>1539</v>
      </c>
      <c r="M284" s="13"/>
    </row>
    <row r="285" customFormat="false" ht="15" hidden="false" customHeight="false" outlineLevel="0" collapsed="false">
      <c r="A285" s="13" t="s">
        <v>610</v>
      </c>
      <c r="B285" s="13" t="s">
        <v>609</v>
      </c>
      <c r="C285" s="13" t="s">
        <v>1546</v>
      </c>
      <c r="D285" s="13" t="s">
        <v>59</v>
      </c>
      <c r="E285" s="13" t="s">
        <v>756</v>
      </c>
      <c r="F285" s="13" t="s">
        <v>757</v>
      </c>
      <c r="G285" s="61" t="n">
        <v>237771000000</v>
      </c>
      <c r="H285" s="13" t="s">
        <v>1537</v>
      </c>
      <c r="I285" s="13"/>
      <c r="J285" s="13" t="s">
        <v>1547</v>
      </c>
      <c r="K285" s="13" t="s">
        <v>1547</v>
      </c>
      <c r="L285" s="13" t="s">
        <v>1539</v>
      </c>
      <c r="M285" s="13"/>
    </row>
    <row r="286" customFormat="false" ht="15" hidden="false" customHeight="false" outlineLevel="0" collapsed="false">
      <c r="A286" s="13" t="s">
        <v>610</v>
      </c>
      <c r="B286" s="13" t="s">
        <v>609</v>
      </c>
      <c r="C286" s="13" t="s">
        <v>1548</v>
      </c>
      <c r="D286" s="13" t="s">
        <v>59</v>
      </c>
      <c r="E286" s="13" t="s">
        <v>756</v>
      </c>
      <c r="F286" s="13" t="s">
        <v>757</v>
      </c>
      <c r="G286" s="61" t="n">
        <v>237771000000</v>
      </c>
      <c r="H286" s="13" t="s">
        <v>1537</v>
      </c>
      <c r="I286" s="13"/>
      <c r="J286" s="13" t="s">
        <v>624</v>
      </c>
      <c r="K286" s="13" t="s">
        <v>624</v>
      </c>
      <c r="L286" s="13" t="s">
        <v>1539</v>
      </c>
      <c r="M286" s="13"/>
    </row>
    <row r="287" customFormat="false" ht="15" hidden="false" customHeight="false" outlineLevel="0" collapsed="false">
      <c r="A287" s="13" t="s">
        <v>610</v>
      </c>
      <c r="B287" s="13" t="s">
        <v>609</v>
      </c>
      <c r="C287" s="13" t="s">
        <v>1536</v>
      </c>
      <c r="D287" s="13" t="s">
        <v>59</v>
      </c>
      <c r="E287" s="13" t="s">
        <v>759</v>
      </c>
      <c r="F287" s="13" t="s">
        <v>408</v>
      </c>
      <c r="G287" s="61" t="n">
        <v>3406493581264</v>
      </c>
      <c r="H287" s="13" t="s">
        <v>1537</v>
      </c>
      <c r="I287" s="13"/>
      <c r="J287" s="13"/>
      <c r="K287" s="13" t="s">
        <v>1538</v>
      </c>
      <c r="L287" s="13" t="s">
        <v>1539</v>
      </c>
      <c r="M287" s="13" t="s">
        <v>1549</v>
      </c>
    </row>
    <row r="288" customFormat="false" ht="15" hidden="false" customHeight="false" outlineLevel="0" collapsed="false">
      <c r="A288" s="13" t="s">
        <v>610</v>
      </c>
      <c r="B288" s="13" t="s">
        <v>609</v>
      </c>
      <c r="C288" s="13" t="s">
        <v>1540</v>
      </c>
      <c r="D288" s="13" t="s">
        <v>59</v>
      </c>
      <c r="E288" s="13" t="s">
        <v>759</v>
      </c>
      <c r="F288" s="13" t="s">
        <v>408</v>
      </c>
      <c r="G288" s="61" t="n">
        <v>3850352070989</v>
      </c>
      <c r="H288" s="13" t="s">
        <v>1537</v>
      </c>
      <c r="I288" s="13"/>
      <c r="J288" s="13"/>
      <c r="K288" s="13" t="s">
        <v>1541</v>
      </c>
      <c r="L288" s="13" t="s">
        <v>1542</v>
      </c>
      <c r="M288" s="13" t="s">
        <v>1549</v>
      </c>
    </row>
    <row r="289" customFormat="false" ht="15" hidden="false" customHeight="false" outlineLevel="0" collapsed="false">
      <c r="A289" s="13" t="s">
        <v>610</v>
      </c>
      <c r="B289" s="13" t="s">
        <v>609</v>
      </c>
      <c r="C289" s="13" t="s">
        <v>1543</v>
      </c>
      <c r="D289" s="13" t="s">
        <v>59</v>
      </c>
      <c r="E289" s="13" t="s">
        <v>759</v>
      </c>
      <c r="F289" s="13" t="s">
        <v>408</v>
      </c>
      <c r="G289" s="61" t="n">
        <v>4303985649160</v>
      </c>
      <c r="H289" s="13" t="s">
        <v>1537</v>
      </c>
      <c r="I289" s="13"/>
      <c r="J289" s="13"/>
      <c r="K289" s="13" t="s">
        <v>1544</v>
      </c>
      <c r="L289" s="13" t="s">
        <v>1539</v>
      </c>
      <c r="M289" s="13" t="s">
        <v>1549</v>
      </c>
    </row>
    <row r="290" customFormat="false" ht="15" hidden="false" customHeight="false" outlineLevel="0" collapsed="false">
      <c r="A290" s="13" t="s">
        <v>610</v>
      </c>
      <c r="B290" s="13" t="s">
        <v>609</v>
      </c>
      <c r="C290" s="13" t="s">
        <v>1545</v>
      </c>
      <c r="D290" s="13" t="s">
        <v>59</v>
      </c>
      <c r="E290" s="13" t="s">
        <v>759</v>
      </c>
      <c r="F290" s="13" t="s">
        <v>408</v>
      </c>
      <c r="G290" s="61" t="n">
        <v>4608042000000</v>
      </c>
      <c r="H290" s="13" t="s">
        <v>1537</v>
      </c>
      <c r="I290" s="13"/>
      <c r="J290" s="13"/>
      <c r="K290" s="13" t="s">
        <v>622</v>
      </c>
      <c r="L290" s="13" t="s">
        <v>1539</v>
      </c>
      <c r="M290" s="13" t="s">
        <v>1549</v>
      </c>
    </row>
    <row r="291" customFormat="false" ht="15" hidden="false" customHeight="false" outlineLevel="0" collapsed="false">
      <c r="A291" s="13" t="s">
        <v>610</v>
      </c>
      <c r="B291" s="13" t="s">
        <v>609</v>
      </c>
      <c r="C291" s="13" t="s">
        <v>1546</v>
      </c>
      <c r="D291" s="13" t="s">
        <v>59</v>
      </c>
      <c r="E291" s="13" t="s">
        <v>759</v>
      </c>
      <c r="F291" s="13" t="s">
        <v>408</v>
      </c>
      <c r="G291" s="61" t="n">
        <v>4850220000000</v>
      </c>
      <c r="H291" s="13" t="s">
        <v>1537</v>
      </c>
      <c r="I291" s="13"/>
      <c r="J291" s="13"/>
      <c r="K291" s="13" t="s">
        <v>1547</v>
      </c>
      <c r="L291" s="13" t="s">
        <v>1539</v>
      </c>
      <c r="M291" s="13" t="s">
        <v>1549</v>
      </c>
    </row>
    <row r="292" customFormat="false" ht="15" hidden="false" customHeight="false" outlineLevel="0" collapsed="false">
      <c r="A292" s="13" t="s">
        <v>610</v>
      </c>
      <c r="B292" s="13" t="s">
        <v>609</v>
      </c>
      <c r="C292" s="13" t="s">
        <v>1548</v>
      </c>
      <c r="D292" s="13" t="s">
        <v>59</v>
      </c>
      <c r="E292" s="13" t="s">
        <v>759</v>
      </c>
      <c r="F292" s="13" t="s">
        <v>408</v>
      </c>
      <c r="G292" s="61" t="n">
        <v>5095993000000</v>
      </c>
      <c r="H292" s="13" t="s">
        <v>1537</v>
      </c>
      <c r="I292" s="13"/>
      <c r="J292" s="13"/>
      <c r="K292" s="13" t="s">
        <v>624</v>
      </c>
      <c r="L292" s="13" t="s">
        <v>1539</v>
      </c>
      <c r="M292" s="13" t="s">
        <v>1549</v>
      </c>
    </row>
    <row r="293" customFormat="false" ht="15" hidden="false" customHeight="false" outlineLevel="0" collapsed="false">
      <c r="A293" s="13" t="s">
        <v>610</v>
      </c>
      <c r="B293" s="13" t="s">
        <v>609</v>
      </c>
      <c r="C293" s="13" t="s">
        <v>1536</v>
      </c>
      <c r="D293" s="13" t="s">
        <v>59</v>
      </c>
      <c r="E293" s="13" t="s">
        <v>760</v>
      </c>
      <c r="F293" s="13" t="s">
        <v>410</v>
      </c>
      <c r="G293" s="61" t="n">
        <v>4346329088006</v>
      </c>
      <c r="H293" s="13" t="s">
        <v>1537</v>
      </c>
      <c r="I293" s="13"/>
      <c r="J293" s="13"/>
      <c r="K293" s="13" t="s">
        <v>1538</v>
      </c>
      <c r="L293" s="13" t="s">
        <v>1539</v>
      </c>
      <c r="M293" s="13" t="s">
        <v>1549</v>
      </c>
    </row>
    <row r="294" customFormat="false" ht="15" hidden="false" customHeight="false" outlineLevel="0" collapsed="false">
      <c r="A294" s="13" t="s">
        <v>610</v>
      </c>
      <c r="B294" s="13" t="s">
        <v>609</v>
      </c>
      <c r="C294" s="13" t="s">
        <v>1540</v>
      </c>
      <c r="D294" s="13" t="s">
        <v>59</v>
      </c>
      <c r="E294" s="13" t="s">
        <v>760</v>
      </c>
      <c r="F294" s="13" t="s">
        <v>410</v>
      </c>
      <c r="G294" s="61" t="n">
        <v>4871806608361</v>
      </c>
      <c r="H294" s="13" t="s">
        <v>1537</v>
      </c>
      <c r="I294" s="13"/>
      <c r="J294" s="13"/>
      <c r="K294" s="13" t="s">
        <v>1541</v>
      </c>
      <c r="L294" s="13" t="s">
        <v>1542</v>
      </c>
      <c r="M294" s="13" t="s">
        <v>1549</v>
      </c>
    </row>
    <row r="295" customFormat="false" ht="15" hidden="false" customHeight="false" outlineLevel="0" collapsed="false">
      <c r="A295" s="13" t="s">
        <v>610</v>
      </c>
      <c r="B295" s="13" t="s">
        <v>609</v>
      </c>
      <c r="C295" s="13" t="s">
        <v>1543</v>
      </c>
      <c r="D295" s="13" t="s">
        <v>59</v>
      </c>
      <c r="E295" s="13" t="s">
        <v>760</v>
      </c>
      <c r="F295" s="13" t="s">
        <v>410</v>
      </c>
      <c r="G295" s="61" t="n">
        <v>5749599247752</v>
      </c>
      <c r="H295" s="13" t="s">
        <v>1537</v>
      </c>
      <c r="I295" s="13"/>
      <c r="J295" s="13"/>
      <c r="K295" s="13" t="s">
        <v>1544</v>
      </c>
      <c r="L295" s="13" t="s">
        <v>1539</v>
      </c>
      <c r="M295" s="13" t="s">
        <v>1549</v>
      </c>
    </row>
    <row r="296" customFormat="false" ht="15" hidden="false" customHeight="false" outlineLevel="0" collapsed="false">
      <c r="A296" s="13" t="s">
        <v>610</v>
      </c>
      <c r="B296" s="13" t="s">
        <v>609</v>
      </c>
      <c r="C296" s="13" t="s">
        <v>1545</v>
      </c>
      <c r="D296" s="13" t="s">
        <v>59</v>
      </c>
      <c r="E296" s="13" t="s">
        <v>760</v>
      </c>
      <c r="F296" s="13" t="s">
        <v>410</v>
      </c>
      <c r="G296" s="61" t="n">
        <v>5606291000000</v>
      </c>
      <c r="H296" s="13" t="s">
        <v>1537</v>
      </c>
      <c r="I296" s="13"/>
      <c r="J296" s="13"/>
      <c r="K296" s="13" t="s">
        <v>622</v>
      </c>
      <c r="L296" s="13" t="s">
        <v>1539</v>
      </c>
      <c r="M296" s="13" t="s">
        <v>1549</v>
      </c>
    </row>
    <row r="297" customFormat="false" ht="15" hidden="false" customHeight="false" outlineLevel="0" collapsed="false">
      <c r="A297" s="13" t="s">
        <v>610</v>
      </c>
      <c r="B297" s="13" t="s">
        <v>609</v>
      </c>
      <c r="C297" s="13" t="s">
        <v>1546</v>
      </c>
      <c r="D297" s="13" t="s">
        <v>59</v>
      </c>
      <c r="E297" s="13" t="s">
        <v>760</v>
      </c>
      <c r="F297" s="13" t="s">
        <v>410</v>
      </c>
      <c r="G297" s="61" t="n">
        <v>5683022000000</v>
      </c>
      <c r="H297" s="13" t="s">
        <v>1537</v>
      </c>
      <c r="I297" s="13"/>
      <c r="J297" s="13"/>
      <c r="K297" s="13" t="s">
        <v>1547</v>
      </c>
      <c r="L297" s="13" t="s">
        <v>1539</v>
      </c>
      <c r="M297" s="13" t="s">
        <v>1549</v>
      </c>
    </row>
    <row r="298" customFormat="false" ht="15" hidden="false" customHeight="false" outlineLevel="0" collapsed="false">
      <c r="A298" s="13" t="s">
        <v>610</v>
      </c>
      <c r="B298" s="13" t="s">
        <v>609</v>
      </c>
      <c r="C298" s="13" t="s">
        <v>1548</v>
      </c>
      <c r="D298" s="13" t="s">
        <v>59</v>
      </c>
      <c r="E298" s="13" t="s">
        <v>760</v>
      </c>
      <c r="F298" s="13" t="s">
        <v>410</v>
      </c>
      <c r="G298" s="61" t="n">
        <v>7623910000000</v>
      </c>
      <c r="H298" s="13" t="s">
        <v>1537</v>
      </c>
      <c r="I298" s="13"/>
      <c r="J298" s="13"/>
      <c r="K298" s="13" t="s">
        <v>624</v>
      </c>
      <c r="L298" s="13" t="s">
        <v>1539</v>
      </c>
      <c r="M298" s="13" t="s">
        <v>1549</v>
      </c>
    </row>
    <row r="299" customFormat="false" ht="15" hidden="false" customHeight="false" outlineLevel="0" collapsed="false">
      <c r="A299" s="13" t="s">
        <v>610</v>
      </c>
      <c r="B299" s="13" t="s">
        <v>609</v>
      </c>
      <c r="C299" s="13" t="s">
        <v>1536</v>
      </c>
      <c r="D299" s="13" t="s">
        <v>59</v>
      </c>
      <c r="E299" s="13" t="s">
        <v>761</v>
      </c>
      <c r="F299" s="13" t="s">
        <v>762</v>
      </c>
      <c r="G299" s="61" t="n">
        <v>221000000000</v>
      </c>
      <c r="H299" s="13" t="s">
        <v>1537</v>
      </c>
      <c r="I299" s="13"/>
      <c r="J299" s="13" t="s">
        <v>1538</v>
      </c>
      <c r="K299" s="13" t="s">
        <v>1538</v>
      </c>
      <c r="L299" s="13" t="s">
        <v>1539</v>
      </c>
      <c r="M299" s="13"/>
    </row>
    <row r="300" customFormat="false" ht="15" hidden="false" customHeight="false" outlineLevel="0" collapsed="false">
      <c r="A300" s="13" t="s">
        <v>610</v>
      </c>
      <c r="B300" s="13" t="s">
        <v>609</v>
      </c>
      <c r="C300" s="13" t="s">
        <v>1540</v>
      </c>
      <c r="D300" s="13" t="s">
        <v>59</v>
      </c>
      <c r="E300" s="13" t="s">
        <v>761</v>
      </c>
      <c r="F300" s="13" t="s">
        <v>762</v>
      </c>
      <c r="G300" s="61" t="n">
        <v>589152777778</v>
      </c>
      <c r="H300" s="13" t="s">
        <v>1537</v>
      </c>
      <c r="I300" s="13"/>
      <c r="J300" s="13" t="s">
        <v>1541</v>
      </c>
      <c r="K300" s="13" t="s">
        <v>1541</v>
      </c>
      <c r="L300" s="13" t="s">
        <v>1542</v>
      </c>
      <c r="M300" s="13"/>
    </row>
    <row r="301" customFormat="false" ht="15" hidden="false" customHeight="false" outlineLevel="0" collapsed="false">
      <c r="A301" s="13" t="s">
        <v>610</v>
      </c>
      <c r="B301" s="13" t="s">
        <v>609</v>
      </c>
      <c r="C301" s="13" t="s">
        <v>1543</v>
      </c>
      <c r="D301" s="13" t="s">
        <v>59</v>
      </c>
      <c r="E301" s="13" t="s">
        <v>761</v>
      </c>
      <c r="F301" s="13" t="s">
        <v>762</v>
      </c>
      <c r="G301" s="61" t="n">
        <v>483535978780</v>
      </c>
      <c r="H301" s="13" t="s">
        <v>1537</v>
      </c>
      <c r="I301" s="13"/>
      <c r="J301" s="13" t="s">
        <v>1544</v>
      </c>
      <c r="K301" s="13" t="s">
        <v>1544</v>
      </c>
      <c r="L301" s="13" t="s">
        <v>1539</v>
      </c>
      <c r="M301" s="13"/>
    </row>
    <row r="302" customFormat="false" ht="15" hidden="false" customHeight="false" outlineLevel="0" collapsed="false">
      <c r="A302" s="13" t="s">
        <v>610</v>
      </c>
      <c r="B302" s="13" t="s">
        <v>609</v>
      </c>
      <c r="C302" s="13" t="s">
        <v>1545</v>
      </c>
      <c r="D302" s="13" t="s">
        <v>59</v>
      </c>
      <c r="E302" s="13" t="s">
        <v>761</v>
      </c>
      <c r="F302" s="13" t="s">
        <v>762</v>
      </c>
      <c r="G302" s="61" t="n">
        <v>17814000000</v>
      </c>
      <c r="H302" s="13" t="s">
        <v>1537</v>
      </c>
      <c r="I302" s="13"/>
      <c r="J302" s="13" t="s">
        <v>622</v>
      </c>
      <c r="K302" s="13" t="s">
        <v>622</v>
      </c>
      <c r="L302" s="13" t="s">
        <v>1539</v>
      </c>
      <c r="M302" s="13"/>
    </row>
    <row r="303" customFormat="false" ht="15" hidden="false" customHeight="false" outlineLevel="0" collapsed="false">
      <c r="A303" s="13" t="s">
        <v>610</v>
      </c>
      <c r="B303" s="13" t="s">
        <v>609</v>
      </c>
      <c r="C303" s="13" t="s">
        <v>1546</v>
      </c>
      <c r="D303" s="13" t="s">
        <v>59</v>
      </c>
      <c r="E303" s="13" t="s">
        <v>761</v>
      </c>
      <c r="F303" s="13" t="s">
        <v>762</v>
      </c>
      <c r="G303" s="61" t="n">
        <v>29169000000</v>
      </c>
      <c r="H303" s="13" t="s">
        <v>1537</v>
      </c>
      <c r="I303" s="13"/>
      <c r="J303" s="13" t="s">
        <v>1547</v>
      </c>
      <c r="K303" s="13" t="s">
        <v>1547</v>
      </c>
      <c r="L303" s="13" t="s">
        <v>1539</v>
      </c>
      <c r="M303" s="13"/>
    </row>
    <row r="304" customFormat="false" ht="15" hidden="false" customHeight="false" outlineLevel="0" collapsed="false">
      <c r="A304" s="13" t="s">
        <v>610</v>
      </c>
      <c r="B304" s="13" t="s">
        <v>609</v>
      </c>
      <c r="C304" s="13" t="s">
        <v>1536</v>
      </c>
      <c r="D304" s="13" t="s">
        <v>59</v>
      </c>
      <c r="E304" s="13" t="s">
        <v>764</v>
      </c>
      <c r="F304" s="13" t="s">
        <v>765</v>
      </c>
      <c r="G304" s="61" t="n">
        <v>175206597303</v>
      </c>
      <c r="H304" s="13" t="s">
        <v>1537</v>
      </c>
      <c r="I304" s="13"/>
      <c r="J304" s="13" t="s">
        <v>1538</v>
      </c>
      <c r="K304" s="13" t="s">
        <v>1538</v>
      </c>
      <c r="L304" s="13" t="s">
        <v>1539</v>
      </c>
      <c r="M304" s="13"/>
    </row>
    <row r="305" customFormat="false" ht="15" hidden="false" customHeight="false" outlineLevel="0" collapsed="false">
      <c r="A305" s="13" t="s">
        <v>610</v>
      </c>
      <c r="B305" s="13" t="s">
        <v>609</v>
      </c>
      <c r="C305" s="13" t="s">
        <v>1540</v>
      </c>
      <c r="D305" s="13" t="s">
        <v>59</v>
      </c>
      <c r="E305" s="13" t="s">
        <v>764</v>
      </c>
      <c r="F305" s="13" t="s">
        <v>765</v>
      </c>
      <c r="G305" s="61" t="n">
        <v>192301032210</v>
      </c>
      <c r="H305" s="13" t="s">
        <v>1537</v>
      </c>
      <c r="I305" s="13"/>
      <c r="J305" s="13" t="s">
        <v>1541</v>
      </c>
      <c r="K305" s="13" t="s">
        <v>1541</v>
      </c>
      <c r="L305" s="13" t="s">
        <v>1542</v>
      </c>
      <c r="M305" s="13"/>
    </row>
    <row r="306" customFormat="false" ht="15" hidden="false" customHeight="false" outlineLevel="0" collapsed="false">
      <c r="A306" s="13" t="s">
        <v>610</v>
      </c>
      <c r="B306" s="13" t="s">
        <v>609</v>
      </c>
      <c r="C306" s="13" t="s">
        <v>1543</v>
      </c>
      <c r="D306" s="13" t="s">
        <v>59</v>
      </c>
      <c r="E306" s="13" t="s">
        <v>764</v>
      </c>
      <c r="F306" s="13" t="s">
        <v>765</v>
      </c>
      <c r="G306" s="61" t="n">
        <v>161991239794</v>
      </c>
      <c r="H306" s="13" t="s">
        <v>1537</v>
      </c>
      <c r="I306" s="13"/>
      <c r="J306" s="13" t="s">
        <v>1544</v>
      </c>
      <c r="K306" s="13" t="s">
        <v>1544</v>
      </c>
      <c r="L306" s="13" t="s">
        <v>1539</v>
      </c>
      <c r="M306" s="13"/>
    </row>
    <row r="307" customFormat="false" ht="15" hidden="false" customHeight="false" outlineLevel="0" collapsed="false">
      <c r="A307" s="13" t="s">
        <v>610</v>
      </c>
      <c r="B307" s="13" t="s">
        <v>609</v>
      </c>
      <c r="C307" s="13" t="s">
        <v>1545</v>
      </c>
      <c r="D307" s="13" t="s">
        <v>59</v>
      </c>
      <c r="E307" s="13" t="s">
        <v>764</v>
      </c>
      <c r="F307" s="13" t="s">
        <v>765</v>
      </c>
      <c r="G307" s="61" t="n">
        <v>140702000000</v>
      </c>
      <c r="H307" s="13" t="s">
        <v>1537</v>
      </c>
      <c r="I307" s="13"/>
      <c r="J307" s="13" t="s">
        <v>622</v>
      </c>
      <c r="K307" s="13" t="s">
        <v>622</v>
      </c>
      <c r="L307" s="13" t="s">
        <v>1539</v>
      </c>
      <c r="M307" s="13"/>
    </row>
    <row r="308" customFormat="false" ht="15" hidden="false" customHeight="false" outlineLevel="0" collapsed="false">
      <c r="A308" s="13" t="s">
        <v>610</v>
      </c>
      <c r="B308" s="13" t="s">
        <v>609</v>
      </c>
      <c r="C308" s="13" t="s">
        <v>1546</v>
      </c>
      <c r="D308" s="13" t="s">
        <v>59</v>
      </c>
      <c r="E308" s="13" t="s">
        <v>764</v>
      </c>
      <c r="F308" s="13" t="s">
        <v>765</v>
      </c>
      <c r="G308" s="61" t="n">
        <v>156194000000</v>
      </c>
      <c r="H308" s="13" t="s">
        <v>1537</v>
      </c>
      <c r="I308" s="13"/>
      <c r="J308" s="13" t="s">
        <v>1547</v>
      </c>
      <c r="K308" s="13" t="s">
        <v>1547</v>
      </c>
      <c r="L308" s="13" t="s">
        <v>1539</v>
      </c>
      <c r="M308" s="13"/>
    </row>
    <row r="309" customFormat="false" ht="15" hidden="false" customHeight="false" outlineLevel="0" collapsed="false">
      <c r="A309" s="13" t="s">
        <v>610</v>
      </c>
      <c r="B309" s="13" t="s">
        <v>609</v>
      </c>
      <c r="C309" s="13" t="s">
        <v>1548</v>
      </c>
      <c r="D309" s="13" t="s">
        <v>59</v>
      </c>
      <c r="E309" s="13" t="s">
        <v>764</v>
      </c>
      <c r="F309" s="13" t="s">
        <v>765</v>
      </c>
      <c r="G309" s="61" t="n">
        <v>113840000000</v>
      </c>
      <c r="H309" s="13" t="s">
        <v>1537</v>
      </c>
      <c r="I309" s="13"/>
      <c r="J309" s="13" t="s">
        <v>624</v>
      </c>
      <c r="K309" s="13" t="s">
        <v>624</v>
      </c>
      <c r="L309" s="13" t="s">
        <v>1539</v>
      </c>
      <c r="M309" s="13"/>
    </row>
    <row r="310" customFormat="false" ht="15" hidden="false" customHeight="false" outlineLevel="0" collapsed="false">
      <c r="A310" s="13" t="s">
        <v>610</v>
      </c>
      <c r="B310" s="13" t="s">
        <v>609</v>
      </c>
      <c r="C310" s="13" t="s">
        <v>1536</v>
      </c>
      <c r="D310" s="13" t="s">
        <v>59</v>
      </c>
      <c r="E310" s="13" t="s">
        <v>770</v>
      </c>
      <c r="F310" s="13" t="s">
        <v>771</v>
      </c>
      <c r="G310" s="61" t="n">
        <v>66098090281</v>
      </c>
      <c r="H310" s="13" t="s">
        <v>1537</v>
      </c>
      <c r="I310" s="13"/>
      <c r="J310" s="13" t="s">
        <v>1554</v>
      </c>
      <c r="K310" s="13" t="s">
        <v>1538</v>
      </c>
      <c r="L310" s="13" t="s">
        <v>1539</v>
      </c>
      <c r="M310" s="13"/>
    </row>
    <row r="311" customFormat="false" ht="15" hidden="false" customHeight="false" outlineLevel="0" collapsed="false">
      <c r="A311" s="13" t="s">
        <v>610</v>
      </c>
      <c r="B311" s="13" t="s">
        <v>609</v>
      </c>
      <c r="C311" s="13" t="s">
        <v>1540</v>
      </c>
      <c r="D311" s="13" t="s">
        <v>59</v>
      </c>
      <c r="E311" s="13" t="s">
        <v>770</v>
      </c>
      <c r="F311" s="13" t="s">
        <v>771</v>
      </c>
      <c r="G311" s="61" t="n">
        <v>170509062467</v>
      </c>
      <c r="H311" s="13" t="s">
        <v>1537</v>
      </c>
      <c r="I311" s="13"/>
      <c r="J311" s="13" t="s">
        <v>1555</v>
      </c>
      <c r="K311" s="13" t="s">
        <v>1541</v>
      </c>
      <c r="L311" s="13" t="s">
        <v>1542</v>
      </c>
      <c r="M311" s="13"/>
    </row>
    <row r="312" customFormat="false" ht="15" hidden="false" customHeight="false" outlineLevel="0" collapsed="false">
      <c r="A312" s="13" t="s">
        <v>610</v>
      </c>
      <c r="B312" s="13" t="s">
        <v>609</v>
      </c>
      <c r="C312" s="13" t="s">
        <v>1543</v>
      </c>
      <c r="D312" s="13" t="s">
        <v>59</v>
      </c>
      <c r="E312" s="13" t="s">
        <v>770</v>
      </c>
      <c r="F312" s="13" t="s">
        <v>771</v>
      </c>
      <c r="G312" s="61" t="n">
        <v>201562330538</v>
      </c>
      <c r="H312" s="13" t="s">
        <v>1537</v>
      </c>
      <c r="I312" s="13"/>
      <c r="J312" s="13" t="s">
        <v>1556</v>
      </c>
      <c r="K312" s="13" t="s">
        <v>1544</v>
      </c>
      <c r="L312" s="13" t="s">
        <v>1539</v>
      </c>
      <c r="M312" s="13"/>
    </row>
    <row r="313" customFormat="false" ht="15" hidden="false" customHeight="false" outlineLevel="0" collapsed="false">
      <c r="A313" s="13" t="s">
        <v>610</v>
      </c>
      <c r="B313" s="13" t="s">
        <v>609</v>
      </c>
      <c r="C313" s="13" t="s">
        <v>1545</v>
      </c>
      <c r="D313" s="13" t="s">
        <v>59</v>
      </c>
      <c r="E313" s="13" t="s">
        <v>770</v>
      </c>
      <c r="F313" s="13" t="s">
        <v>771</v>
      </c>
      <c r="G313" s="61" t="n">
        <v>145827000000</v>
      </c>
      <c r="H313" s="13" t="s">
        <v>1537</v>
      </c>
      <c r="I313" s="13"/>
      <c r="J313" s="13" t="s">
        <v>1557</v>
      </c>
      <c r="K313" s="13" t="s">
        <v>622</v>
      </c>
      <c r="L313" s="13" t="s">
        <v>1539</v>
      </c>
      <c r="M313" s="13"/>
    </row>
    <row r="314" customFormat="false" ht="15" hidden="false" customHeight="false" outlineLevel="0" collapsed="false">
      <c r="A314" s="13" t="s">
        <v>610</v>
      </c>
      <c r="B314" s="13" t="s">
        <v>609</v>
      </c>
      <c r="C314" s="13" t="s">
        <v>1546</v>
      </c>
      <c r="D314" s="13" t="s">
        <v>59</v>
      </c>
      <c r="E314" s="13" t="s">
        <v>770</v>
      </c>
      <c r="F314" s="13" t="s">
        <v>771</v>
      </c>
      <c r="G314" s="61" t="n">
        <v>191476000000</v>
      </c>
      <c r="H314" s="13" t="s">
        <v>1537</v>
      </c>
      <c r="I314" s="13"/>
      <c r="J314" s="13" t="s">
        <v>1547</v>
      </c>
      <c r="K314" s="13" t="s">
        <v>1547</v>
      </c>
      <c r="L314" s="13" t="s">
        <v>1539</v>
      </c>
      <c r="M314" s="13"/>
    </row>
    <row r="315" customFormat="false" ht="15" hidden="false" customHeight="false" outlineLevel="0" collapsed="false">
      <c r="A315" s="13" t="s">
        <v>610</v>
      </c>
      <c r="B315" s="13" t="s">
        <v>609</v>
      </c>
      <c r="C315" s="13" t="s">
        <v>1548</v>
      </c>
      <c r="D315" s="13" t="s">
        <v>59</v>
      </c>
      <c r="E315" s="13" t="s">
        <v>770</v>
      </c>
      <c r="F315" s="13" t="s">
        <v>771</v>
      </c>
      <c r="G315" s="61" t="n">
        <v>118144000000</v>
      </c>
      <c r="H315" s="13" t="s">
        <v>1537</v>
      </c>
      <c r="I315" s="13"/>
      <c r="J315" s="13" t="s">
        <v>624</v>
      </c>
      <c r="K315" s="13" t="s">
        <v>624</v>
      </c>
      <c r="L315" s="13" t="s">
        <v>1539</v>
      </c>
      <c r="M315" s="13"/>
    </row>
    <row r="316" customFormat="false" ht="15" hidden="false" customHeight="false" outlineLevel="0" collapsed="false">
      <c r="A316" s="13" t="s">
        <v>610</v>
      </c>
      <c r="B316" s="13" t="s">
        <v>609</v>
      </c>
      <c r="C316" s="13" t="s">
        <v>1536</v>
      </c>
      <c r="D316" s="13" t="s">
        <v>59</v>
      </c>
      <c r="E316" s="13" t="s">
        <v>773</v>
      </c>
      <c r="F316" s="13" t="s">
        <v>774</v>
      </c>
      <c r="G316" s="61" t="n">
        <v>1085218611770</v>
      </c>
      <c r="H316" s="13" t="s">
        <v>1537</v>
      </c>
      <c r="I316" s="13"/>
      <c r="J316" s="13" t="s">
        <v>1538</v>
      </c>
      <c r="K316" s="13" t="s">
        <v>1538</v>
      </c>
      <c r="L316" s="13" t="s">
        <v>1539</v>
      </c>
      <c r="M316" s="13"/>
    </row>
    <row r="317" customFormat="false" ht="15" hidden="false" customHeight="false" outlineLevel="0" collapsed="false">
      <c r="A317" s="13" t="s">
        <v>610</v>
      </c>
      <c r="B317" s="13" t="s">
        <v>609</v>
      </c>
      <c r="C317" s="13" t="s">
        <v>1540</v>
      </c>
      <c r="D317" s="13" t="s">
        <v>59</v>
      </c>
      <c r="E317" s="13" t="s">
        <v>773</v>
      </c>
      <c r="F317" s="13" t="s">
        <v>774</v>
      </c>
      <c r="G317" s="61" t="n">
        <v>1514060364827</v>
      </c>
      <c r="H317" s="13" t="s">
        <v>1537</v>
      </c>
      <c r="I317" s="13"/>
      <c r="J317" s="13" t="s">
        <v>1541</v>
      </c>
      <c r="K317" s="13" t="s">
        <v>1541</v>
      </c>
      <c r="L317" s="13" t="s">
        <v>1542</v>
      </c>
      <c r="M317" s="13"/>
    </row>
    <row r="318" customFormat="false" ht="15" hidden="false" customHeight="false" outlineLevel="0" collapsed="false">
      <c r="A318" s="13" t="s">
        <v>610</v>
      </c>
      <c r="B318" s="13" t="s">
        <v>609</v>
      </c>
      <c r="C318" s="13" t="s">
        <v>1543</v>
      </c>
      <c r="D318" s="13" t="s">
        <v>59</v>
      </c>
      <c r="E318" s="13" t="s">
        <v>773</v>
      </c>
      <c r="F318" s="13" t="s">
        <v>774</v>
      </c>
      <c r="G318" s="61" t="n">
        <v>1512219212558</v>
      </c>
      <c r="H318" s="13" t="s">
        <v>1537</v>
      </c>
      <c r="I318" s="13"/>
      <c r="J318" s="13" t="s">
        <v>1544</v>
      </c>
      <c r="K318" s="13" t="s">
        <v>1544</v>
      </c>
      <c r="L318" s="13" t="s">
        <v>1539</v>
      </c>
      <c r="M318" s="13"/>
    </row>
    <row r="319" customFormat="false" ht="15" hidden="false" customHeight="false" outlineLevel="0" collapsed="false">
      <c r="A319" s="13" t="s">
        <v>610</v>
      </c>
      <c r="B319" s="13" t="s">
        <v>609</v>
      </c>
      <c r="C319" s="13" t="s">
        <v>1545</v>
      </c>
      <c r="D319" s="13" t="s">
        <v>59</v>
      </c>
      <c r="E319" s="13" t="s">
        <v>773</v>
      </c>
      <c r="F319" s="13" t="s">
        <v>774</v>
      </c>
      <c r="G319" s="61" t="n">
        <v>1512219000000</v>
      </c>
      <c r="H319" s="13" t="s">
        <v>1537</v>
      </c>
      <c r="I319" s="13"/>
      <c r="J319" s="13" t="s">
        <v>622</v>
      </c>
      <c r="K319" s="13" t="s">
        <v>622</v>
      </c>
      <c r="L319" s="13" t="s">
        <v>1539</v>
      </c>
      <c r="M319" s="13"/>
    </row>
    <row r="320" customFormat="false" ht="15" hidden="false" customHeight="false" outlineLevel="0" collapsed="false">
      <c r="A320" s="13" t="s">
        <v>610</v>
      </c>
      <c r="B320" s="13" t="s">
        <v>609</v>
      </c>
      <c r="C320" s="13" t="s">
        <v>1546</v>
      </c>
      <c r="D320" s="13" t="s">
        <v>59</v>
      </c>
      <c r="E320" s="13" t="s">
        <v>773</v>
      </c>
      <c r="F320" s="13" t="s">
        <v>774</v>
      </c>
      <c r="G320" s="61" t="n">
        <v>1512219000000</v>
      </c>
      <c r="H320" s="13" t="s">
        <v>1537</v>
      </c>
      <c r="I320" s="13"/>
      <c r="J320" s="13" t="s">
        <v>1547</v>
      </c>
      <c r="K320" s="13" t="s">
        <v>1547</v>
      </c>
      <c r="L320" s="13" t="s">
        <v>1539</v>
      </c>
      <c r="M320" s="13"/>
    </row>
    <row r="321" customFormat="false" ht="15" hidden="false" customHeight="false" outlineLevel="0" collapsed="false">
      <c r="A321" s="13" t="s">
        <v>610</v>
      </c>
      <c r="B321" s="13" t="s">
        <v>609</v>
      </c>
      <c r="C321" s="13" t="s">
        <v>1548</v>
      </c>
      <c r="D321" s="13" t="s">
        <v>59</v>
      </c>
      <c r="E321" s="13" t="s">
        <v>773</v>
      </c>
      <c r="F321" s="13" t="s">
        <v>774</v>
      </c>
      <c r="G321" s="61" t="n">
        <v>972118000000</v>
      </c>
      <c r="H321" s="13" t="s">
        <v>1537</v>
      </c>
      <c r="I321" s="13"/>
      <c r="J321" s="13" t="s">
        <v>624</v>
      </c>
      <c r="K321" s="13" t="s">
        <v>624</v>
      </c>
      <c r="L321" s="13" t="s">
        <v>1539</v>
      </c>
      <c r="M321" s="13"/>
    </row>
    <row r="322" customFormat="false" ht="15" hidden="false" customHeight="false" outlineLevel="0" collapsed="false">
      <c r="A322" s="13" t="s">
        <v>610</v>
      </c>
      <c r="B322" s="13" t="s">
        <v>609</v>
      </c>
      <c r="C322" s="13" t="s">
        <v>1536</v>
      </c>
      <c r="D322" s="13" t="s">
        <v>59</v>
      </c>
      <c r="E322" s="13" t="s">
        <v>776</v>
      </c>
      <c r="F322" s="13" t="s">
        <v>777</v>
      </c>
      <c r="G322" s="61" t="n">
        <v>5880237037</v>
      </c>
      <c r="H322" s="13" t="s">
        <v>1537</v>
      </c>
      <c r="I322" s="13"/>
      <c r="J322" s="13" t="s">
        <v>1538</v>
      </c>
      <c r="K322" s="13" t="s">
        <v>1538</v>
      </c>
      <c r="L322" s="13" t="s">
        <v>1539</v>
      </c>
      <c r="M322" s="13"/>
    </row>
    <row r="323" customFormat="false" ht="15" hidden="false" customHeight="false" outlineLevel="0" collapsed="false">
      <c r="A323" s="13" t="s">
        <v>610</v>
      </c>
      <c r="B323" s="13" t="s">
        <v>609</v>
      </c>
      <c r="C323" s="13" t="s">
        <v>1540</v>
      </c>
      <c r="D323" s="13" t="s">
        <v>59</v>
      </c>
      <c r="E323" s="13" t="s">
        <v>776</v>
      </c>
      <c r="F323" s="13" t="s">
        <v>777</v>
      </c>
      <c r="G323" s="61" t="n">
        <v>14970177592</v>
      </c>
      <c r="H323" s="13" t="s">
        <v>1537</v>
      </c>
      <c r="I323" s="13"/>
      <c r="J323" s="13" t="s">
        <v>1541</v>
      </c>
      <c r="K323" s="13" t="s">
        <v>1541</v>
      </c>
      <c r="L323" s="13" t="s">
        <v>1542</v>
      </c>
      <c r="M323" s="13"/>
    </row>
    <row r="324" customFormat="false" ht="15" hidden="false" customHeight="false" outlineLevel="0" collapsed="false">
      <c r="A324" s="13" t="s">
        <v>610</v>
      </c>
      <c r="B324" s="13" t="s">
        <v>609</v>
      </c>
      <c r="C324" s="13" t="s">
        <v>1543</v>
      </c>
      <c r="D324" s="13" t="s">
        <v>59</v>
      </c>
      <c r="E324" s="13" t="s">
        <v>776</v>
      </c>
      <c r="F324" s="13" t="s">
        <v>777</v>
      </c>
      <c r="G324" s="61" t="n">
        <v>25707571372</v>
      </c>
      <c r="H324" s="13" t="s">
        <v>1537</v>
      </c>
      <c r="I324" s="13"/>
      <c r="J324" s="13" t="s">
        <v>1544</v>
      </c>
      <c r="K324" s="13" t="s">
        <v>1544</v>
      </c>
      <c r="L324" s="13" t="s">
        <v>1539</v>
      </c>
      <c r="M324" s="13"/>
    </row>
    <row r="325" customFormat="false" ht="15" hidden="false" customHeight="false" outlineLevel="0" collapsed="false">
      <c r="A325" s="13" t="s">
        <v>610</v>
      </c>
      <c r="B325" s="13" t="s">
        <v>609</v>
      </c>
      <c r="C325" s="13" t="s">
        <v>1545</v>
      </c>
      <c r="D325" s="13" t="s">
        <v>59</v>
      </c>
      <c r="E325" s="13" t="s">
        <v>776</v>
      </c>
      <c r="F325" s="13" t="s">
        <v>777</v>
      </c>
      <c r="G325" s="61" t="n">
        <v>31481000000</v>
      </c>
      <c r="H325" s="13" t="s">
        <v>1537</v>
      </c>
      <c r="I325" s="13"/>
      <c r="J325" s="13" t="s">
        <v>622</v>
      </c>
      <c r="K325" s="13" t="s">
        <v>622</v>
      </c>
      <c r="L325" s="13" t="s">
        <v>1539</v>
      </c>
      <c r="M325" s="13"/>
    </row>
    <row r="326" customFormat="false" ht="15" hidden="false" customHeight="false" outlineLevel="0" collapsed="false">
      <c r="A326" s="13" t="s">
        <v>610</v>
      </c>
      <c r="B326" s="13" t="s">
        <v>609</v>
      </c>
      <c r="C326" s="13" t="s">
        <v>1546</v>
      </c>
      <c r="D326" s="13" t="s">
        <v>59</v>
      </c>
      <c r="E326" s="13" t="s">
        <v>776</v>
      </c>
      <c r="F326" s="13" t="s">
        <v>777</v>
      </c>
      <c r="G326" s="61" t="n">
        <v>15733000000</v>
      </c>
      <c r="H326" s="13" t="s">
        <v>1537</v>
      </c>
      <c r="I326" s="13"/>
      <c r="J326" s="13" t="s">
        <v>1547</v>
      </c>
      <c r="K326" s="13" t="s">
        <v>1547</v>
      </c>
      <c r="L326" s="13" t="s">
        <v>1539</v>
      </c>
      <c r="M326" s="13"/>
    </row>
    <row r="327" customFormat="false" ht="15" hidden="false" customHeight="false" outlineLevel="0" collapsed="false">
      <c r="A327" s="13" t="s">
        <v>610</v>
      </c>
      <c r="B327" s="13" t="s">
        <v>609</v>
      </c>
      <c r="C327" s="13" t="s">
        <v>1548</v>
      </c>
      <c r="D327" s="13" t="s">
        <v>59</v>
      </c>
      <c r="E327" s="13" t="s">
        <v>776</v>
      </c>
      <c r="F327" s="13" t="s">
        <v>777</v>
      </c>
      <c r="G327" s="61" t="n">
        <v>12818000000</v>
      </c>
      <c r="H327" s="13" t="s">
        <v>1537</v>
      </c>
      <c r="I327" s="13"/>
      <c r="J327" s="13" t="s">
        <v>624</v>
      </c>
      <c r="K327" s="13" t="s">
        <v>624</v>
      </c>
      <c r="L327" s="13" t="s">
        <v>1539</v>
      </c>
      <c r="M327" s="13"/>
    </row>
    <row r="328" customFormat="false" ht="15" hidden="false" customHeight="false" outlineLevel="0" collapsed="false">
      <c r="A328" s="13" t="s">
        <v>610</v>
      </c>
      <c r="B328" s="13" t="s">
        <v>609</v>
      </c>
      <c r="C328" s="13" t="s">
        <v>1536</v>
      </c>
      <c r="D328" s="13" t="s">
        <v>59</v>
      </c>
      <c r="E328" s="13" t="s">
        <v>779</v>
      </c>
      <c r="F328" s="13" t="s">
        <v>780</v>
      </c>
      <c r="G328" s="61" t="n">
        <v>95105436109</v>
      </c>
      <c r="H328" s="13" t="s">
        <v>1537</v>
      </c>
      <c r="I328" s="13"/>
      <c r="J328" s="13" t="s">
        <v>1538</v>
      </c>
      <c r="K328" s="13" t="s">
        <v>1538</v>
      </c>
      <c r="L328" s="13" t="s">
        <v>1539</v>
      </c>
      <c r="M328" s="13"/>
    </row>
    <row r="329" customFormat="false" ht="15" hidden="false" customHeight="false" outlineLevel="0" collapsed="false">
      <c r="A329" s="13" t="s">
        <v>610</v>
      </c>
      <c r="B329" s="13" t="s">
        <v>609</v>
      </c>
      <c r="C329" s="13" t="s">
        <v>1540</v>
      </c>
      <c r="D329" s="13" t="s">
        <v>59</v>
      </c>
      <c r="E329" s="13" t="s">
        <v>779</v>
      </c>
      <c r="F329" s="13" t="s">
        <v>780</v>
      </c>
      <c r="G329" s="61" t="n">
        <v>123381315476</v>
      </c>
      <c r="H329" s="13" t="s">
        <v>1537</v>
      </c>
      <c r="I329" s="13"/>
      <c r="J329" s="13" t="s">
        <v>1541</v>
      </c>
      <c r="K329" s="13" t="s">
        <v>1541</v>
      </c>
      <c r="L329" s="13" t="s">
        <v>1542</v>
      </c>
      <c r="M329" s="13"/>
    </row>
    <row r="330" customFormat="false" ht="15" hidden="false" customHeight="false" outlineLevel="0" collapsed="false">
      <c r="A330" s="13" t="s">
        <v>610</v>
      </c>
      <c r="B330" s="13" t="s">
        <v>609</v>
      </c>
      <c r="C330" s="13" t="s">
        <v>1543</v>
      </c>
      <c r="D330" s="13" t="s">
        <v>59</v>
      </c>
      <c r="E330" s="13" t="s">
        <v>779</v>
      </c>
      <c r="F330" s="13" t="s">
        <v>780</v>
      </c>
      <c r="G330" s="61" t="n">
        <v>139578855784</v>
      </c>
      <c r="H330" s="13" t="s">
        <v>1537</v>
      </c>
      <c r="I330" s="13"/>
      <c r="J330" s="13" t="s">
        <v>1544</v>
      </c>
      <c r="K330" s="13" t="s">
        <v>1544</v>
      </c>
      <c r="L330" s="13" t="s">
        <v>1539</v>
      </c>
      <c r="M330" s="13"/>
    </row>
    <row r="331" customFormat="false" ht="15" hidden="false" customHeight="false" outlineLevel="0" collapsed="false">
      <c r="A331" s="13" t="s">
        <v>610</v>
      </c>
      <c r="B331" s="13" t="s">
        <v>609</v>
      </c>
      <c r="C331" s="13" t="s">
        <v>1545</v>
      </c>
      <c r="D331" s="13" t="s">
        <v>59</v>
      </c>
      <c r="E331" s="13" t="s">
        <v>779</v>
      </c>
      <c r="F331" s="13" t="s">
        <v>780</v>
      </c>
      <c r="G331" s="61" t="n">
        <v>158668000000</v>
      </c>
      <c r="H331" s="13" t="s">
        <v>1537</v>
      </c>
      <c r="I331" s="13"/>
      <c r="J331" s="13" t="s">
        <v>622</v>
      </c>
      <c r="K331" s="13" t="s">
        <v>622</v>
      </c>
      <c r="L331" s="13" t="s">
        <v>1539</v>
      </c>
      <c r="M331" s="13"/>
    </row>
    <row r="332" customFormat="false" ht="15" hidden="false" customHeight="false" outlineLevel="0" collapsed="false">
      <c r="A332" s="13" t="s">
        <v>610</v>
      </c>
      <c r="B332" s="13" t="s">
        <v>609</v>
      </c>
      <c r="C332" s="13" t="s">
        <v>1546</v>
      </c>
      <c r="D332" s="13" t="s">
        <v>59</v>
      </c>
      <c r="E332" s="13" t="s">
        <v>779</v>
      </c>
      <c r="F332" s="13" t="s">
        <v>780</v>
      </c>
      <c r="G332" s="61" t="n">
        <v>143972000000</v>
      </c>
      <c r="H332" s="13" t="s">
        <v>1537</v>
      </c>
      <c r="I332" s="13"/>
      <c r="J332" s="13" t="s">
        <v>1547</v>
      </c>
      <c r="K332" s="13" t="s">
        <v>1547</v>
      </c>
      <c r="L332" s="13" t="s">
        <v>1539</v>
      </c>
      <c r="M332" s="13"/>
    </row>
    <row r="333" customFormat="false" ht="15" hidden="false" customHeight="false" outlineLevel="0" collapsed="false">
      <c r="A333" s="13" t="s">
        <v>610</v>
      </c>
      <c r="B333" s="13" t="s">
        <v>609</v>
      </c>
      <c r="C333" s="13" t="s">
        <v>1548</v>
      </c>
      <c r="D333" s="13" t="s">
        <v>59</v>
      </c>
      <c r="E333" s="13" t="s">
        <v>779</v>
      </c>
      <c r="F333" s="13" t="s">
        <v>780</v>
      </c>
      <c r="G333" s="61" t="n">
        <v>186564000000</v>
      </c>
      <c r="H333" s="13" t="s">
        <v>1537</v>
      </c>
      <c r="I333" s="13"/>
      <c r="J333" s="13" t="s">
        <v>624</v>
      </c>
      <c r="K333" s="13" t="s">
        <v>624</v>
      </c>
      <c r="L333" s="13" t="s">
        <v>1539</v>
      </c>
      <c r="M333" s="13"/>
    </row>
    <row r="334" customFormat="false" ht="15" hidden="false" customHeight="false" outlineLevel="0" collapsed="false">
      <c r="A334" s="13" t="s">
        <v>610</v>
      </c>
      <c r="B334" s="13" t="s">
        <v>609</v>
      </c>
      <c r="C334" s="13" t="s">
        <v>1536</v>
      </c>
      <c r="D334" s="13" t="s">
        <v>59</v>
      </c>
      <c r="E334" s="13" t="s">
        <v>782</v>
      </c>
      <c r="F334" s="13" t="s">
        <v>783</v>
      </c>
      <c r="G334" s="61" t="n">
        <v>1303280866</v>
      </c>
      <c r="H334" s="13" t="s">
        <v>1537</v>
      </c>
      <c r="I334" s="13"/>
      <c r="J334" s="13" t="s">
        <v>1558</v>
      </c>
      <c r="K334" s="13" t="s">
        <v>1538</v>
      </c>
      <c r="L334" s="13" t="s">
        <v>1539</v>
      </c>
      <c r="M334" s="13"/>
    </row>
    <row r="335" customFormat="false" ht="15" hidden="false" customHeight="false" outlineLevel="0" collapsed="false">
      <c r="A335" s="13" t="s">
        <v>610</v>
      </c>
      <c r="B335" s="13" t="s">
        <v>609</v>
      </c>
      <c r="C335" s="13" t="s">
        <v>1540</v>
      </c>
      <c r="D335" s="13" t="s">
        <v>59</v>
      </c>
      <c r="E335" s="13" t="s">
        <v>782</v>
      </c>
      <c r="F335" s="13" t="s">
        <v>783</v>
      </c>
      <c r="G335" s="61" t="n">
        <v>938125432</v>
      </c>
      <c r="H335" s="13" t="s">
        <v>1537</v>
      </c>
      <c r="I335" s="13"/>
      <c r="J335" s="13" t="s">
        <v>1559</v>
      </c>
      <c r="K335" s="13" t="s">
        <v>1541</v>
      </c>
      <c r="L335" s="13" t="s">
        <v>1542</v>
      </c>
      <c r="M335" s="13"/>
    </row>
    <row r="336" customFormat="false" ht="15" hidden="false" customHeight="false" outlineLevel="0" collapsed="false">
      <c r="A336" s="13" t="s">
        <v>610</v>
      </c>
      <c r="B336" s="13" t="s">
        <v>609</v>
      </c>
      <c r="C336" s="13" t="s">
        <v>1543</v>
      </c>
      <c r="D336" s="13" t="s">
        <v>59</v>
      </c>
      <c r="E336" s="13" t="s">
        <v>782</v>
      </c>
      <c r="F336" s="13" t="s">
        <v>783</v>
      </c>
      <c r="G336" s="61" t="n">
        <v>1287099899</v>
      </c>
      <c r="H336" s="13" t="s">
        <v>1537</v>
      </c>
      <c r="I336" s="13"/>
      <c r="J336" s="13" t="s">
        <v>1560</v>
      </c>
      <c r="K336" s="13" t="s">
        <v>1544</v>
      </c>
      <c r="L336" s="13" t="s">
        <v>1539</v>
      </c>
      <c r="M336" s="13"/>
    </row>
    <row r="337" customFormat="false" ht="15" hidden="false" customHeight="false" outlineLevel="0" collapsed="false">
      <c r="A337" s="13" t="s">
        <v>610</v>
      </c>
      <c r="B337" s="13" t="s">
        <v>609</v>
      </c>
      <c r="C337" s="13" t="s">
        <v>1545</v>
      </c>
      <c r="D337" s="13" t="s">
        <v>59</v>
      </c>
      <c r="E337" s="13" t="s">
        <v>782</v>
      </c>
      <c r="F337" s="13" t="s">
        <v>783</v>
      </c>
      <c r="G337" s="61" t="n">
        <v>8693000000</v>
      </c>
      <c r="H337" s="13" t="s">
        <v>1537</v>
      </c>
      <c r="I337" s="13"/>
      <c r="J337" s="13" t="s">
        <v>622</v>
      </c>
      <c r="K337" s="13" t="s">
        <v>622</v>
      </c>
      <c r="L337" s="13" t="s">
        <v>1539</v>
      </c>
      <c r="M337" s="13"/>
    </row>
    <row r="338" customFormat="false" ht="15" hidden="false" customHeight="false" outlineLevel="0" collapsed="false">
      <c r="A338" s="13" t="s">
        <v>610</v>
      </c>
      <c r="B338" s="13" t="s">
        <v>609</v>
      </c>
      <c r="C338" s="13" t="s">
        <v>1546</v>
      </c>
      <c r="D338" s="13" t="s">
        <v>59</v>
      </c>
      <c r="E338" s="13" t="s">
        <v>782</v>
      </c>
      <c r="F338" s="13" t="s">
        <v>783</v>
      </c>
      <c r="G338" s="61" t="n">
        <v>11579000000</v>
      </c>
      <c r="H338" s="13" t="s">
        <v>1537</v>
      </c>
      <c r="I338" s="13"/>
      <c r="J338" s="13" t="s">
        <v>1547</v>
      </c>
      <c r="K338" s="13" t="s">
        <v>1547</v>
      </c>
      <c r="L338" s="13" t="s">
        <v>1539</v>
      </c>
      <c r="M338" s="13"/>
    </row>
    <row r="339" customFormat="false" ht="15" hidden="false" customHeight="false" outlineLevel="0" collapsed="false">
      <c r="A339" s="13" t="s">
        <v>610</v>
      </c>
      <c r="B339" s="13" t="s">
        <v>609</v>
      </c>
      <c r="C339" s="13" t="s">
        <v>1548</v>
      </c>
      <c r="D339" s="13" t="s">
        <v>59</v>
      </c>
      <c r="E339" s="13" t="s">
        <v>782</v>
      </c>
      <c r="F339" s="13" t="s">
        <v>783</v>
      </c>
      <c r="G339" s="61" t="n">
        <v>9708000000</v>
      </c>
      <c r="H339" s="13" t="s">
        <v>1537</v>
      </c>
      <c r="I339" s="13"/>
      <c r="J339" s="13" t="s">
        <v>624</v>
      </c>
      <c r="K339" s="13" t="s">
        <v>624</v>
      </c>
      <c r="L339" s="13" t="s">
        <v>1539</v>
      </c>
      <c r="M339" s="13"/>
    </row>
    <row r="340" customFormat="false" ht="15" hidden="false" customHeight="false" outlineLevel="0" collapsed="false">
      <c r="A340" s="13" t="s">
        <v>610</v>
      </c>
      <c r="B340" s="13" t="s">
        <v>609</v>
      </c>
      <c r="C340" s="13" t="s">
        <v>1546</v>
      </c>
      <c r="D340" s="13" t="s">
        <v>59</v>
      </c>
      <c r="E340" s="13" t="s">
        <v>785</v>
      </c>
      <c r="F340" s="13" t="s">
        <v>786</v>
      </c>
      <c r="G340" s="61" t="n">
        <v>22216000000</v>
      </c>
      <c r="H340" s="13" t="s">
        <v>1537</v>
      </c>
      <c r="I340" s="13"/>
      <c r="J340" s="13" t="s">
        <v>1547</v>
      </c>
      <c r="K340" s="13" t="s">
        <v>1547</v>
      </c>
      <c r="L340" s="13" t="s">
        <v>1539</v>
      </c>
      <c r="M340" s="13"/>
    </row>
    <row r="341" customFormat="false" ht="15" hidden="false" customHeight="false" outlineLevel="0" collapsed="false">
      <c r="A341" s="13" t="s">
        <v>610</v>
      </c>
      <c r="B341" s="13" t="s">
        <v>609</v>
      </c>
      <c r="C341" s="13" t="s">
        <v>1548</v>
      </c>
      <c r="D341" s="13" t="s">
        <v>59</v>
      </c>
      <c r="E341" s="13" t="s">
        <v>785</v>
      </c>
      <c r="F341" s="13" t="s">
        <v>786</v>
      </c>
      <c r="G341" s="61" t="n">
        <v>27260000000</v>
      </c>
      <c r="H341" s="13" t="s">
        <v>1537</v>
      </c>
      <c r="I341" s="13"/>
      <c r="J341" s="13" t="s">
        <v>624</v>
      </c>
      <c r="K341" s="13" t="s">
        <v>624</v>
      </c>
      <c r="L341" s="13" t="s">
        <v>1539</v>
      </c>
      <c r="M341" s="13"/>
    </row>
    <row r="342" customFormat="false" ht="15" hidden="false" customHeight="false" outlineLevel="0" collapsed="false">
      <c r="A342" s="13" t="s">
        <v>610</v>
      </c>
      <c r="B342" s="13" t="s">
        <v>609</v>
      </c>
      <c r="C342" s="13" t="s">
        <v>1536</v>
      </c>
      <c r="D342" s="13" t="s">
        <v>59</v>
      </c>
      <c r="E342" s="13" t="s">
        <v>788</v>
      </c>
      <c r="F342" s="13" t="s">
        <v>789</v>
      </c>
      <c r="G342" s="61" t="n">
        <v>91176257959</v>
      </c>
      <c r="H342" s="13" t="s">
        <v>1537</v>
      </c>
      <c r="I342" s="13"/>
      <c r="J342" s="13" t="s">
        <v>1538</v>
      </c>
      <c r="K342" s="13" t="s">
        <v>1538</v>
      </c>
      <c r="L342" s="13" t="s">
        <v>1539</v>
      </c>
      <c r="M342" s="13"/>
    </row>
    <row r="343" customFormat="false" ht="15" hidden="false" customHeight="false" outlineLevel="0" collapsed="false">
      <c r="A343" s="13" t="s">
        <v>610</v>
      </c>
      <c r="B343" s="13" t="s">
        <v>609</v>
      </c>
      <c r="C343" s="13" t="s">
        <v>1540</v>
      </c>
      <c r="D343" s="13" t="s">
        <v>59</v>
      </c>
      <c r="E343" s="13" t="s">
        <v>788</v>
      </c>
      <c r="F343" s="13" t="s">
        <v>789</v>
      </c>
      <c r="G343" s="61" t="n">
        <v>52297722986</v>
      </c>
      <c r="H343" s="13" t="s">
        <v>1537</v>
      </c>
      <c r="I343" s="13"/>
      <c r="J343" s="13" t="s">
        <v>1541</v>
      </c>
      <c r="K343" s="13" t="s">
        <v>1541</v>
      </c>
      <c r="L343" s="13" t="s">
        <v>1542</v>
      </c>
      <c r="M343" s="13"/>
    </row>
    <row r="344" customFormat="false" ht="15" hidden="false" customHeight="false" outlineLevel="0" collapsed="false">
      <c r="A344" s="13" t="s">
        <v>610</v>
      </c>
      <c r="B344" s="13" t="s">
        <v>609</v>
      </c>
      <c r="C344" s="13" t="s">
        <v>1543</v>
      </c>
      <c r="D344" s="13" t="s">
        <v>59</v>
      </c>
      <c r="E344" s="13" t="s">
        <v>788</v>
      </c>
      <c r="F344" s="13" t="s">
        <v>789</v>
      </c>
      <c r="G344" s="61" t="n">
        <v>74790481477</v>
      </c>
      <c r="H344" s="13" t="s">
        <v>1537</v>
      </c>
      <c r="I344" s="13"/>
      <c r="J344" s="13" t="s">
        <v>1544</v>
      </c>
      <c r="K344" s="13" t="s">
        <v>1544</v>
      </c>
      <c r="L344" s="13" t="s">
        <v>1539</v>
      </c>
      <c r="M344" s="13"/>
    </row>
    <row r="345" customFormat="false" ht="15" hidden="false" customHeight="false" outlineLevel="0" collapsed="false">
      <c r="A345" s="13" t="s">
        <v>610</v>
      </c>
      <c r="B345" s="13" t="s">
        <v>609</v>
      </c>
      <c r="C345" s="13" t="s">
        <v>1545</v>
      </c>
      <c r="D345" s="13" t="s">
        <v>59</v>
      </c>
      <c r="E345" s="13" t="s">
        <v>788</v>
      </c>
      <c r="F345" s="13" t="s">
        <v>789</v>
      </c>
      <c r="G345" s="61" t="n">
        <v>63114000000</v>
      </c>
      <c r="H345" s="13" t="s">
        <v>1537</v>
      </c>
      <c r="I345" s="13"/>
      <c r="J345" s="13" t="s">
        <v>622</v>
      </c>
      <c r="K345" s="13" t="s">
        <v>622</v>
      </c>
      <c r="L345" s="13" t="s">
        <v>1539</v>
      </c>
      <c r="M345" s="13"/>
    </row>
    <row r="346" customFormat="false" ht="15" hidden="false" customHeight="false" outlineLevel="0" collapsed="false">
      <c r="A346" s="13" t="s">
        <v>610</v>
      </c>
      <c r="B346" s="13" t="s">
        <v>609</v>
      </c>
      <c r="C346" s="13" t="s">
        <v>1546</v>
      </c>
      <c r="D346" s="13" t="s">
        <v>59</v>
      </c>
      <c r="E346" s="13" t="s">
        <v>788</v>
      </c>
      <c r="F346" s="13" t="s">
        <v>789</v>
      </c>
      <c r="G346" s="61" t="n">
        <v>78393000000</v>
      </c>
      <c r="H346" s="13" t="s">
        <v>1537</v>
      </c>
      <c r="I346" s="13"/>
      <c r="J346" s="13" t="s">
        <v>1547</v>
      </c>
      <c r="K346" s="13" t="s">
        <v>1547</v>
      </c>
      <c r="L346" s="13" t="s">
        <v>1539</v>
      </c>
      <c r="M346" s="13"/>
    </row>
    <row r="347" customFormat="false" ht="15" hidden="false" customHeight="false" outlineLevel="0" collapsed="false">
      <c r="A347" s="13" t="s">
        <v>610</v>
      </c>
      <c r="B347" s="13" t="s">
        <v>609</v>
      </c>
      <c r="C347" s="13" t="s">
        <v>1548</v>
      </c>
      <c r="D347" s="13" t="s">
        <v>59</v>
      </c>
      <c r="E347" s="13" t="s">
        <v>788</v>
      </c>
      <c r="F347" s="13" t="s">
        <v>789</v>
      </c>
      <c r="G347" s="61" t="n">
        <v>91017000000</v>
      </c>
      <c r="H347" s="13" t="s">
        <v>1537</v>
      </c>
      <c r="I347" s="13"/>
      <c r="J347" s="13" t="s">
        <v>624</v>
      </c>
      <c r="K347" s="13" t="s">
        <v>624</v>
      </c>
      <c r="L347" s="13" t="s">
        <v>1539</v>
      </c>
      <c r="M347" s="13"/>
    </row>
    <row r="348" customFormat="false" ht="15" hidden="false" customHeight="false" outlineLevel="0" collapsed="false">
      <c r="A348" s="13" t="s">
        <v>610</v>
      </c>
      <c r="B348" s="13" t="s">
        <v>609</v>
      </c>
      <c r="C348" s="13" t="s">
        <v>1545</v>
      </c>
      <c r="D348" s="13" t="s">
        <v>59</v>
      </c>
      <c r="E348" s="13" t="s">
        <v>791</v>
      </c>
      <c r="F348" s="13" t="s">
        <v>792</v>
      </c>
      <c r="G348" s="61" t="n">
        <v>24083000000</v>
      </c>
      <c r="H348" s="13" t="s">
        <v>1537</v>
      </c>
      <c r="I348" s="13"/>
      <c r="J348" s="13" t="s">
        <v>622</v>
      </c>
      <c r="K348" s="13" t="s">
        <v>622</v>
      </c>
      <c r="L348" s="13" t="s">
        <v>1539</v>
      </c>
      <c r="M348" s="13"/>
    </row>
    <row r="349" customFormat="false" ht="15" hidden="false" customHeight="false" outlineLevel="0" collapsed="false">
      <c r="A349" s="13" t="s">
        <v>610</v>
      </c>
      <c r="B349" s="13" t="s">
        <v>609</v>
      </c>
      <c r="C349" s="13" t="s">
        <v>1546</v>
      </c>
      <c r="D349" s="13" t="s">
        <v>59</v>
      </c>
      <c r="E349" s="13" t="s">
        <v>791</v>
      </c>
      <c r="F349" s="13" t="s">
        <v>792</v>
      </c>
      <c r="G349" s="61" t="n">
        <v>27093000000</v>
      </c>
      <c r="H349" s="13" t="s">
        <v>1537</v>
      </c>
      <c r="I349" s="13"/>
      <c r="J349" s="13" t="s">
        <v>1547</v>
      </c>
      <c r="K349" s="13" t="s">
        <v>1547</v>
      </c>
      <c r="L349" s="13" t="s">
        <v>1539</v>
      </c>
      <c r="M349" s="13"/>
    </row>
    <row r="350" customFormat="false" ht="15" hidden="false" customHeight="false" outlineLevel="0" collapsed="false">
      <c r="A350" s="13" t="s">
        <v>610</v>
      </c>
      <c r="B350" s="13" t="s">
        <v>609</v>
      </c>
      <c r="C350" s="13" t="s">
        <v>1548</v>
      </c>
      <c r="D350" s="13" t="s">
        <v>59</v>
      </c>
      <c r="E350" s="13" t="s">
        <v>791</v>
      </c>
      <c r="F350" s="13" t="s">
        <v>792</v>
      </c>
      <c r="G350" s="61" t="n">
        <v>76309000000</v>
      </c>
      <c r="H350" s="13" t="s">
        <v>1537</v>
      </c>
      <c r="I350" s="13"/>
      <c r="J350" s="13" t="s">
        <v>624</v>
      </c>
      <c r="K350" s="13" t="s">
        <v>624</v>
      </c>
      <c r="L350" s="13" t="s">
        <v>1539</v>
      </c>
      <c r="M350" s="13"/>
    </row>
    <row r="351" customFormat="false" ht="15" hidden="false" customHeight="false" outlineLevel="0" collapsed="false">
      <c r="A351" s="13" t="s">
        <v>610</v>
      </c>
      <c r="B351" s="13" t="s">
        <v>609</v>
      </c>
      <c r="C351" s="13" t="s">
        <v>1546</v>
      </c>
      <c r="D351" s="13" t="s">
        <v>59</v>
      </c>
      <c r="E351" s="13" t="s">
        <v>794</v>
      </c>
      <c r="F351" s="13" t="s">
        <v>795</v>
      </c>
      <c r="G351" s="61" t="n">
        <v>407900000000</v>
      </c>
      <c r="H351" s="13" t="s">
        <v>1537</v>
      </c>
      <c r="I351" s="13"/>
      <c r="J351" s="13" t="s">
        <v>1547</v>
      </c>
      <c r="K351" s="13" t="s">
        <v>1547</v>
      </c>
      <c r="L351" s="13" t="s">
        <v>1539</v>
      </c>
      <c r="M351" s="13"/>
    </row>
    <row r="352" customFormat="false" ht="15" hidden="false" customHeight="false" outlineLevel="0" collapsed="false">
      <c r="A352" s="13" t="s">
        <v>610</v>
      </c>
      <c r="B352" s="13" t="s">
        <v>609</v>
      </c>
      <c r="C352" s="13" t="s">
        <v>1540</v>
      </c>
      <c r="D352" s="13" t="s">
        <v>59</v>
      </c>
      <c r="E352" s="13" t="s">
        <v>797</v>
      </c>
      <c r="F352" s="13" t="s">
        <v>798</v>
      </c>
      <c r="G352" s="61" t="n">
        <v>1570320009</v>
      </c>
      <c r="H352" s="13" t="s">
        <v>1537</v>
      </c>
      <c r="I352" s="13"/>
      <c r="J352" s="13" t="s">
        <v>1541</v>
      </c>
      <c r="K352" s="13" t="s">
        <v>1541</v>
      </c>
      <c r="L352" s="13" t="s">
        <v>1542</v>
      </c>
      <c r="M352" s="13"/>
    </row>
    <row r="353" customFormat="false" ht="15" hidden="false" customHeight="false" outlineLevel="0" collapsed="false">
      <c r="A353" s="13" t="s">
        <v>610</v>
      </c>
      <c r="B353" s="13" t="s">
        <v>609</v>
      </c>
      <c r="C353" s="13" t="s">
        <v>1543</v>
      </c>
      <c r="D353" s="13" t="s">
        <v>59</v>
      </c>
      <c r="E353" s="13" t="s">
        <v>797</v>
      </c>
      <c r="F353" s="13" t="s">
        <v>798</v>
      </c>
      <c r="G353" s="61" t="n">
        <v>2092655844</v>
      </c>
      <c r="H353" s="13" t="s">
        <v>1537</v>
      </c>
      <c r="I353" s="13"/>
      <c r="J353" s="13" t="s">
        <v>1544</v>
      </c>
      <c r="K353" s="13" t="s">
        <v>1544</v>
      </c>
      <c r="L353" s="13" t="s">
        <v>1539</v>
      </c>
      <c r="M353" s="13"/>
    </row>
    <row r="354" customFormat="false" ht="15" hidden="false" customHeight="false" outlineLevel="0" collapsed="false">
      <c r="A354" s="13" t="s">
        <v>610</v>
      </c>
      <c r="B354" s="13" t="s">
        <v>609</v>
      </c>
      <c r="C354" s="13" t="s">
        <v>1545</v>
      </c>
      <c r="D354" s="13" t="s">
        <v>59</v>
      </c>
      <c r="E354" s="13" t="s">
        <v>797</v>
      </c>
      <c r="F354" s="13" t="s">
        <v>798</v>
      </c>
      <c r="G354" s="61" t="n">
        <v>2311000000</v>
      </c>
      <c r="H354" s="13" t="s">
        <v>1537</v>
      </c>
      <c r="I354" s="13"/>
      <c r="J354" s="13" t="s">
        <v>622</v>
      </c>
      <c r="K354" s="13" t="s">
        <v>622</v>
      </c>
      <c r="L354" s="13" t="s">
        <v>1539</v>
      </c>
      <c r="M354" s="13"/>
    </row>
    <row r="355" customFormat="false" ht="15" hidden="false" customHeight="false" outlineLevel="0" collapsed="false">
      <c r="A355" s="13" t="s">
        <v>610</v>
      </c>
      <c r="B355" s="13" t="s">
        <v>609</v>
      </c>
      <c r="C355" s="13" t="s">
        <v>1546</v>
      </c>
      <c r="D355" s="13" t="s">
        <v>59</v>
      </c>
      <c r="E355" s="13" t="s">
        <v>797</v>
      </c>
      <c r="F355" s="13" t="s">
        <v>798</v>
      </c>
      <c r="G355" s="61" t="n">
        <v>431000000</v>
      </c>
      <c r="H355" s="13" t="s">
        <v>1537</v>
      </c>
      <c r="I355" s="13"/>
      <c r="J355" s="13" t="s">
        <v>1547</v>
      </c>
      <c r="K355" s="13" t="s">
        <v>1547</v>
      </c>
      <c r="L355" s="13" t="s">
        <v>1539</v>
      </c>
      <c r="M355" s="13"/>
    </row>
    <row r="356" customFormat="false" ht="15" hidden="false" customHeight="false" outlineLevel="0" collapsed="false">
      <c r="A356" s="13" t="s">
        <v>610</v>
      </c>
      <c r="B356" s="13" t="s">
        <v>609</v>
      </c>
      <c r="C356" s="13" t="s">
        <v>1545</v>
      </c>
      <c r="D356" s="13" t="s">
        <v>59</v>
      </c>
      <c r="E356" s="13" t="s">
        <v>800</v>
      </c>
      <c r="F356" s="13" t="s">
        <v>801</v>
      </c>
      <c r="G356" s="61" t="n">
        <v>614000000</v>
      </c>
      <c r="H356" s="13" t="s">
        <v>1537</v>
      </c>
      <c r="I356" s="13"/>
      <c r="J356" s="13" t="s">
        <v>622</v>
      </c>
      <c r="K356" s="13" t="s">
        <v>622</v>
      </c>
      <c r="L356" s="13" t="s">
        <v>1539</v>
      </c>
      <c r="M356" s="13"/>
    </row>
    <row r="357" customFormat="false" ht="15" hidden="false" customHeight="false" outlineLevel="0" collapsed="false">
      <c r="A357" s="13" t="s">
        <v>610</v>
      </c>
      <c r="B357" s="13" t="s">
        <v>609</v>
      </c>
      <c r="C357" s="13" t="s">
        <v>1546</v>
      </c>
      <c r="D357" s="13" t="s">
        <v>59</v>
      </c>
      <c r="E357" s="13" t="s">
        <v>800</v>
      </c>
      <c r="F357" s="13" t="s">
        <v>801</v>
      </c>
      <c r="G357" s="61" t="n">
        <v>671000000</v>
      </c>
      <c r="H357" s="13" t="s">
        <v>1537</v>
      </c>
      <c r="I357" s="13"/>
      <c r="J357" s="13" t="s">
        <v>1547</v>
      </c>
      <c r="K357" s="13" t="s">
        <v>1547</v>
      </c>
      <c r="L357" s="13" t="s">
        <v>1539</v>
      </c>
      <c r="M357" s="13"/>
    </row>
    <row r="358" customFormat="false" ht="15" hidden="false" customHeight="false" outlineLevel="0" collapsed="false">
      <c r="A358" s="13" t="s">
        <v>610</v>
      </c>
      <c r="B358" s="13" t="s">
        <v>609</v>
      </c>
      <c r="C358" s="13" t="s">
        <v>1548</v>
      </c>
      <c r="D358" s="13" t="s">
        <v>59</v>
      </c>
      <c r="E358" s="13" t="s">
        <v>800</v>
      </c>
      <c r="F358" s="13" t="s">
        <v>801</v>
      </c>
      <c r="G358" s="61" t="n">
        <v>2252000000</v>
      </c>
      <c r="H358" s="13" t="s">
        <v>1537</v>
      </c>
      <c r="I358" s="13"/>
      <c r="J358" s="13" t="s">
        <v>624</v>
      </c>
      <c r="K358" s="13" t="s">
        <v>624</v>
      </c>
      <c r="L358" s="13" t="s">
        <v>1539</v>
      </c>
      <c r="M358" s="13"/>
    </row>
    <row r="359" customFormat="false" ht="15" hidden="false" customHeight="false" outlineLevel="0" collapsed="false">
      <c r="A359" s="13" t="s">
        <v>610</v>
      </c>
      <c r="B359" s="13" t="s">
        <v>609</v>
      </c>
      <c r="C359" s="13" t="s">
        <v>1536</v>
      </c>
      <c r="D359" s="13" t="s">
        <v>59</v>
      </c>
      <c r="E359" s="13" t="s">
        <v>803</v>
      </c>
      <c r="F359" s="13" t="s">
        <v>804</v>
      </c>
      <c r="G359" s="61" t="n">
        <v>1740988511325</v>
      </c>
      <c r="H359" s="13" t="s">
        <v>1537</v>
      </c>
      <c r="I359" s="13"/>
      <c r="J359" s="13"/>
      <c r="K359" s="13" t="s">
        <v>1538</v>
      </c>
      <c r="L359" s="13" t="s">
        <v>1539</v>
      </c>
      <c r="M359" s="13" t="s">
        <v>1549</v>
      </c>
    </row>
    <row r="360" customFormat="false" ht="15" hidden="false" customHeight="false" outlineLevel="0" collapsed="false">
      <c r="A360" s="13" t="s">
        <v>610</v>
      </c>
      <c r="B360" s="13" t="s">
        <v>609</v>
      </c>
      <c r="C360" s="13" t="s">
        <v>1540</v>
      </c>
      <c r="D360" s="13" t="s">
        <v>59</v>
      </c>
      <c r="E360" s="13" t="s">
        <v>803</v>
      </c>
      <c r="F360" s="13" t="s">
        <v>804</v>
      </c>
      <c r="G360" s="61" t="n">
        <v>2659180898777</v>
      </c>
      <c r="H360" s="13" t="s">
        <v>1537</v>
      </c>
      <c r="I360" s="13"/>
      <c r="J360" s="13"/>
      <c r="K360" s="13" t="s">
        <v>1541</v>
      </c>
      <c r="L360" s="13" t="s">
        <v>1542</v>
      </c>
      <c r="M360" s="13" t="s">
        <v>1549</v>
      </c>
    </row>
    <row r="361" customFormat="false" ht="15" hidden="false" customHeight="false" outlineLevel="0" collapsed="false">
      <c r="A361" s="13" t="s">
        <v>610</v>
      </c>
      <c r="B361" s="13" t="s">
        <v>609</v>
      </c>
      <c r="C361" s="13" t="s">
        <v>1543</v>
      </c>
      <c r="D361" s="13" t="s">
        <v>59</v>
      </c>
      <c r="E361" s="13" t="s">
        <v>803</v>
      </c>
      <c r="F361" s="13" t="s">
        <v>804</v>
      </c>
      <c r="G361" s="61" t="n">
        <v>2602765426046</v>
      </c>
      <c r="H361" s="13" t="s">
        <v>1537</v>
      </c>
      <c r="I361" s="13"/>
      <c r="J361" s="13"/>
      <c r="K361" s="13" t="s">
        <v>1544</v>
      </c>
      <c r="L361" s="13" t="s">
        <v>1539</v>
      </c>
      <c r="M361" s="13" t="s">
        <v>1549</v>
      </c>
    </row>
    <row r="362" customFormat="false" ht="15" hidden="false" customHeight="false" outlineLevel="0" collapsed="false">
      <c r="A362" s="13" t="s">
        <v>610</v>
      </c>
      <c r="B362" s="13" t="s">
        <v>609</v>
      </c>
      <c r="C362" s="13" t="s">
        <v>1545</v>
      </c>
      <c r="D362" s="13" t="s">
        <v>59</v>
      </c>
      <c r="E362" s="13" t="s">
        <v>803</v>
      </c>
      <c r="F362" s="13" t="s">
        <v>804</v>
      </c>
      <c r="G362" s="61" t="n">
        <v>2105526000000</v>
      </c>
      <c r="H362" s="13" t="s">
        <v>1537</v>
      </c>
      <c r="I362" s="13"/>
      <c r="J362" s="13"/>
      <c r="K362" s="13" t="s">
        <v>622</v>
      </c>
      <c r="L362" s="13" t="s">
        <v>1539</v>
      </c>
      <c r="M362" s="13" t="s">
        <v>1549</v>
      </c>
    </row>
    <row r="363" customFormat="false" ht="15" hidden="false" customHeight="false" outlineLevel="0" collapsed="false">
      <c r="A363" s="13" t="s">
        <v>610</v>
      </c>
      <c r="B363" s="13" t="s">
        <v>609</v>
      </c>
      <c r="C363" s="13" t="s">
        <v>1546</v>
      </c>
      <c r="D363" s="13" t="s">
        <v>59</v>
      </c>
      <c r="E363" s="13" t="s">
        <v>803</v>
      </c>
      <c r="F363" s="13" t="s">
        <v>804</v>
      </c>
      <c r="G363" s="61" t="n">
        <v>2597046000000</v>
      </c>
      <c r="H363" s="13" t="s">
        <v>1537</v>
      </c>
      <c r="I363" s="13"/>
      <c r="J363" s="13"/>
      <c r="K363" s="13" t="s">
        <v>1547</v>
      </c>
      <c r="L363" s="13" t="s">
        <v>1539</v>
      </c>
      <c r="M363" s="13" t="s">
        <v>1549</v>
      </c>
    </row>
    <row r="364" customFormat="false" ht="15" hidden="false" customHeight="false" outlineLevel="0" collapsed="false">
      <c r="A364" s="13" t="s">
        <v>610</v>
      </c>
      <c r="B364" s="13" t="s">
        <v>609</v>
      </c>
      <c r="C364" s="13" t="s">
        <v>1548</v>
      </c>
      <c r="D364" s="13" t="s">
        <v>59</v>
      </c>
      <c r="E364" s="13" t="s">
        <v>803</v>
      </c>
      <c r="F364" s="13" t="s">
        <v>804</v>
      </c>
      <c r="G364" s="61" t="n">
        <v>1610030000000</v>
      </c>
      <c r="H364" s="13" t="s">
        <v>1537</v>
      </c>
      <c r="I364" s="13"/>
      <c r="J364" s="13"/>
      <c r="K364" s="13" t="s">
        <v>624</v>
      </c>
      <c r="L364" s="13" t="s">
        <v>1539</v>
      </c>
      <c r="M364" s="13" t="s">
        <v>1549</v>
      </c>
    </row>
    <row r="365" customFormat="false" ht="15" hidden="false" customHeight="false" outlineLevel="0" collapsed="false">
      <c r="A365" s="13" t="s">
        <v>610</v>
      </c>
      <c r="B365" s="13" t="s">
        <v>609</v>
      </c>
      <c r="C365" s="13" t="s">
        <v>1536</v>
      </c>
      <c r="D365" s="13" t="s">
        <v>59</v>
      </c>
      <c r="E365" s="13" t="s">
        <v>805</v>
      </c>
      <c r="F365" s="13" t="s">
        <v>806</v>
      </c>
      <c r="G365" s="61" t="n">
        <v>1231545813</v>
      </c>
      <c r="H365" s="13" t="s">
        <v>1537</v>
      </c>
      <c r="I365" s="13"/>
      <c r="J365" s="13" t="s">
        <v>1538</v>
      </c>
      <c r="K365" s="13" t="s">
        <v>1538</v>
      </c>
      <c r="L365" s="13" t="s">
        <v>1539</v>
      </c>
      <c r="M365" s="13"/>
    </row>
    <row r="366" customFormat="false" ht="15" hidden="false" customHeight="false" outlineLevel="0" collapsed="false">
      <c r="A366" s="13" t="s">
        <v>610</v>
      </c>
      <c r="B366" s="13" t="s">
        <v>609</v>
      </c>
      <c r="C366" s="13" t="s">
        <v>1543</v>
      </c>
      <c r="D366" s="13" t="s">
        <v>59</v>
      </c>
      <c r="E366" s="13" t="s">
        <v>805</v>
      </c>
      <c r="F366" s="13" t="s">
        <v>806</v>
      </c>
      <c r="G366" s="61" t="n">
        <v>212900943</v>
      </c>
      <c r="H366" s="13" t="s">
        <v>1537</v>
      </c>
      <c r="I366" s="13"/>
      <c r="J366" s="13" t="s">
        <v>1544</v>
      </c>
      <c r="K366" s="13" t="s">
        <v>1544</v>
      </c>
      <c r="L366" s="13" t="s">
        <v>1539</v>
      </c>
      <c r="M366" s="13"/>
    </row>
    <row r="367" customFormat="false" ht="15" hidden="false" customHeight="false" outlineLevel="0" collapsed="false">
      <c r="A367" s="13" t="s">
        <v>610</v>
      </c>
      <c r="B367" s="13" t="s">
        <v>609</v>
      </c>
      <c r="C367" s="13" t="s">
        <v>1536</v>
      </c>
      <c r="D367" s="13" t="s">
        <v>59</v>
      </c>
      <c r="E367" s="13" t="s">
        <v>808</v>
      </c>
      <c r="F367" s="13" t="s">
        <v>809</v>
      </c>
      <c r="G367" s="61" t="n">
        <v>760074963735</v>
      </c>
      <c r="H367" s="13" t="s">
        <v>1537</v>
      </c>
      <c r="I367" s="13"/>
      <c r="J367" s="13" t="s">
        <v>1538</v>
      </c>
      <c r="K367" s="13" t="s">
        <v>1538</v>
      </c>
      <c r="L367" s="13" t="s">
        <v>1539</v>
      </c>
      <c r="M367" s="13"/>
    </row>
    <row r="368" customFormat="false" ht="15" hidden="false" customHeight="false" outlineLevel="0" collapsed="false">
      <c r="A368" s="13" t="s">
        <v>610</v>
      </c>
      <c r="B368" s="13" t="s">
        <v>609</v>
      </c>
      <c r="C368" s="13" t="s">
        <v>1540</v>
      </c>
      <c r="D368" s="13" t="s">
        <v>59</v>
      </c>
      <c r="E368" s="13" t="s">
        <v>808</v>
      </c>
      <c r="F368" s="13" t="s">
        <v>809</v>
      </c>
      <c r="G368" s="61" t="n">
        <v>199591059102</v>
      </c>
      <c r="H368" s="13" t="s">
        <v>1537</v>
      </c>
      <c r="I368" s="13"/>
      <c r="J368" s="13" t="s">
        <v>1541</v>
      </c>
      <c r="K368" s="13" t="s">
        <v>1541</v>
      </c>
      <c r="L368" s="13" t="s">
        <v>1542</v>
      </c>
      <c r="M368" s="13"/>
    </row>
    <row r="369" customFormat="false" ht="15" hidden="false" customHeight="false" outlineLevel="0" collapsed="false">
      <c r="A369" s="13" t="s">
        <v>610</v>
      </c>
      <c r="B369" s="13" t="s">
        <v>609</v>
      </c>
      <c r="C369" s="13" t="s">
        <v>1543</v>
      </c>
      <c r="D369" s="13" t="s">
        <v>59</v>
      </c>
      <c r="E369" s="13" t="s">
        <v>808</v>
      </c>
      <c r="F369" s="13" t="s">
        <v>809</v>
      </c>
      <c r="G369" s="61" t="n">
        <v>219148960138</v>
      </c>
      <c r="H369" s="13" t="s">
        <v>1537</v>
      </c>
      <c r="I369" s="13"/>
      <c r="J369" s="13" t="s">
        <v>1544</v>
      </c>
      <c r="K369" s="13" t="s">
        <v>1544</v>
      </c>
      <c r="L369" s="13" t="s">
        <v>1539</v>
      </c>
      <c r="M369" s="13"/>
    </row>
    <row r="370" customFormat="false" ht="15" hidden="false" customHeight="false" outlineLevel="0" collapsed="false">
      <c r="A370" s="13" t="s">
        <v>610</v>
      </c>
      <c r="B370" s="13" t="s">
        <v>609</v>
      </c>
      <c r="C370" s="13" t="s">
        <v>1545</v>
      </c>
      <c r="D370" s="13" t="s">
        <v>59</v>
      </c>
      <c r="E370" s="13" t="s">
        <v>808</v>
      </c>
      <c r="F370" s="13" t="s">
        <v>809</v>
      </c>
      <c r="G370" s="61" t="n">
        <v>150054000000</v>
      </c>
      <c r="H370" s="13" t="s">
        <v>1537</v>
      </c>
      <c r="I370" s="13"/>
      <c r="J370" s="13" t="s">
        <v>622</v>
      </c>
      <c r="K370" s="13" t="s">
        <v>622</v>
      </c>
      <c r="L370" s="13" t="s">
        <v>1539</v>
      </c>
      <c r="M370" s="13"/>
    </row>
    <row r="371" customFormat="false" ht="15" hidden="false" customHeight="false" outlineLevel="0" collapsed="false">
      <c r="A371" s="13" t="s">
        <v>610</v>
      </c>
      <c r="B371" s="13" t="s">
        <v>609</v>
      </c>
      <c r="C371" s="13" t="s">
        <v>1546</v>
      </c>
      <c r="D371" s="13" t="s">
        <v>59</v>
      </c>
      <c r="E371" s="13" t="s">
        <v>808</v>
      </c>
      <c r="F371" s="13" t="s">
        <v>809</v>
      </c>
      <c r="G371" s="61" t="n">
        <v>166878000000</v>
      </c>
      <c r="H371" s="13" t="s">
        <v>1537</v>
      </c>
      <c r="I371" s="13"/>
      <c r="J371" s="13" t="s">
        <v>1547</v>
      </c>
      <c r="K371" s="13" t="s">
        <v>1547</v>
      </c>
      <c r="L371" s="13" t="s">
        <v>1539</v>
      </c>
      <c r="M371" s="13"/>
    </row>
    <row r="372" customFormat="false" ht="15" hidden="false" customHeight="false" outlineLevel="0" collapsed="false">
      <c r="A372" s="13" t="s">
        <v>610</v>
      </c>
      <c r="B372" s="13" t="s">
        <v>609</v>
      </c>
      <c r="C372" s="13" t="s">
        <v>1548</v>
      </c>
      <c r="D372" s="13" t="s">
        <v>59</v>
      </c>
      <c r="E372" s="13" t="s">
        <v>808</v>
      </c>
      <c r="F372" s="13" t="s">
        <v>809</v>
      </c>
      <c r="G372" s="61" t="n">
        <v>208514000000</v>
      </c>
      <c r="H372" s="13" t="s">
        <v>1537</v>
      </c>
      <c r="I372" s="13"/>
      <c r="J372" s="13" t="s">
        <v>624</v>
      </c>
      <c r="K372" s="13" t="s">
        <v>624</v>
      </c>
      <c r="L372" s="13" t="s">
        <v>1539</v>
      </c>
      <c r="M372" s="13"/>
    </row>
    <row r="373" customFormat="false" ht="15" hidden="false" customHeight="false" outlineLevel="0" collapsed="false">
      <c r="A373" s="13" t="s">
        <v>610</v>
      </c>
      <c r="B373" s="13" t="s">
        <v>609</v>
      </c>
      <c r="C373" s="13" t="s">
        <v>1545</v>
      </c>
      <c r="D373" s="13" t="s">
        <v>59</v>
      </c>
      <c r="E373" s="13" t="s">
        <v>811</v>
      </c>
      <c r="F373" s="13" t="s">
        <v>812</v>
      </c>
      <c r="G373" s="61" t="n">
        <v>443840000000</v>
      </c>
      <c r="H373" s="13" t="s">
        <v>1537</v>
      </c>
      <c r="I373" s="13"/>
      <c r="J373" s="13" t="s">
        <v>622</v>
      </c>
      <c r="K373" s="13" t="s">
        <v>622</v>
      </c>
      <c r="L373" s="13" t="s">
        <v>1539</v>
      </c>
      <c r="M373" s="13"/>
    </row>
    <row r="374" customFormat="false" ht="15" hidden="false" customHeight="false" outlineLevel="0" collapsed="false">
      <c r="A374" s="13" t="s">
        <v>610</v>
      </c>
      <c r="B374" s="13" t="s">
        <v>609</v>
      </c>
      <c r="C374" s="13" t="s">
        <v>1546</v>
      </c>
      <c r="D374" s="13" t="s">
        <v>59</v>
      </c>
      <c r="E374" s="13" t="s">
        <v>811</v>
      </c>
      <c r="F374" s="13" t="s">
        <v>812</v>
      </c>
      <c r="G374" s="61" t="n">
        <v>417535000000</v>
      </c>
      <c r="H374" s="13" t="s">
        <v>1537</v>
      </c>
      <c r="I374" s="13"/>
      <c r="J374" s="13" t="s">
        <v>1547</v>
      </c>
      <c r="K374" s="13" t="s">
        <v>1547</v>
      </c>
      <c r="L374" s="13" t="s">
        <v>1539</v>
      </c>
      <c r="M374" s="13"/>
    </row>
    <row r="375" customFormat="false" ht="15" hidden="false" customHeight="false" outlineLevel="0" collapsed="false">
      <c r="A375" s="13" t="s">
        <v>610</v>
      </c>
      <c r="B375" s="13" t="s">
        <v>609</v>
      </c>
      <c r="C375" s="13" t="s">
        <v>1548</v>
      </c>
      <c r="D375" s="13" t="s">
        <v>59</v>
      </c>
      <c r="E375" s="13" t="s">
        <v>811</v>
      </c>
      <c r="F375" s="13" t="s">
        <v>812</v>
      </c>
      <c r="G375" s="61" t="n">
        <v>734153000000</v>
      </c>
      <c r="H375" s="13" t="s">
        <v>1537</v>
      </c>
      <c r="I375" s="13"/>
      <c r="J375" s="13" t="s">
        <v>624</v>
      </c>
      <c r="K375" s="13" t="s">
        <v>624</v>
      </c>
      <c r="L375" s="13" t="s">
        <v>1539</v>
      </c>
      <c r="M375" s="13"/>
    </row>
    <row r="376" customFormat="false" ht="15" hidden="false" customHeight="false" outlineLevel="0" collapsed="false">
      <c r="A376" s="13" t="s">
        <v>610</v>
      </c>
      <c r="B376" s="13" t="s">
        <v>609</v>
      </c>
      <c r="C376" s="13" t="s">
        <v>1543</v>
      </c>
      <c r="D376" s="13" t="s">
        <v>59</v>
      </c>
      <c r="E376" s="13" t="s">
        <v>814</v>
      </c>
      <c r="F376" s="13" t="s">
        <v>815</v>
      </c>
      <c r="G376" s="61" t="n">
        <v>943301762640</v>
      </c>
      <c r="H376" s="13" t="s">
        <v>1537</v>
      </c>
      <c r="I376" s="13"/>
      <c r="J376" s="13" t="s">
        <v>1544</v>
      </c>
      <c r="K376" s="13" t="s">
        <v>1544</v>
      </c>
      <c r="L376" s="13" t="s">
        <v>1539</v>
      </c>
      <c r="M376" s="13"/>
    </row>
    <row r="377" customFormat="false" ht="15" hidden="false" customHeight="false" outlineLevel="0" collapsed="false">
      <c r="A377" s="13" t="s">
        <v>610</v>
      </c>
      <c r="B377" s="13" t="s">
        <v>609</v>
      </c>
      <c r="C377" s="13" t="s">
        <v>1545</v>
      </c>
      <c r="D377" s="13" t="s">
        <v>59</v>
      </c>
      <c r="E377" s="13" t="s">
        <v>814</v>
      </c>
      <c r="F377" s="13" t="s">
        <v>815</v>
      </c>
      <c r="G377" s="61" t="n">
        <v>944725000000</v>
      </c>
      <c r="H377" s="13" t="s">
        <v>1537</v>
      </c>
      <c r="I377" s="13"/>
      <c r="J377" s="13" t="s">
        <v>622</v>
      </c>
      <c r="K377" s="13" t="s">
        <v>622</v>
      </c>
      <c r="L377" s="13" t="s">
        <v>1539</v>
      </c>
      <c r="M377" s="13"/>
    </row>
    <row r="378" customFormat="false" ht="15" hidden="false" customHeight="false" outlineLevel="0" collapsed="false">
      <c r="A378" s="13" t="s">
        <v>610</v>
      </c>
      <c r="B378" s="13" t="s">
        <v>609</v>
      </c>
      <c r="C378" s="13" t="s">
        <v>1546</v>
      </c>
      <c r="D378" s="13" t="s">
        <v>59</v>
      </c>
      <c r="E378" s="13" t="s">
        <v>814</v>
      </c>
      <c r="F378" s="13" t="s">
        <v>815</v>
      </c>
      <c r="G378" s="61" t="n">
        <v>538467000000</v>
      </c>
      <c r="H378" s="13" t="s">
        <v>1537</v>
      </c>
      <c r="I378" s="13"/>
      <c r="J378" s="13" t="s">
        <v>1547</v>
      </c>
      <c r="K378" s="13" t="s">
        <v>1547</v>
      </c>
      <c r="L378" s="13" t="s">
        <v>1539</v>
      </c>
      <c r="M378" s="13"/>
    </row>
    <row r="379" customFormat="false" ht="15" hidden="false" customHeight="false" outlineLevel="0" collapsed="false">
      <c r="A379" s="13" t="s">
        <v>610</v>
      </c>
      <c r="B379" s="13" t="s">
        <v>609</v>
      </c>
      <c r="C379" s="13" t="s">
        <v>1548</v>
      </c>
      <c r="D379" s="13" t="s">
        <v>59</v>
      </c>
      <c r="E379" s="13" t="s">
        <v>814</v>
      </c>
      <c r="F379" s="13" t="s">
        <v>815</v>
      </c>
      <c r="G379" s="61" t="n">
        <v>3574422000000</v>
      </c>
      <c r="H379" s="13" t="s">
        <v>1537</v>
      </c>
      <c r="I379" s="13"/>
      <c r="J379" s="13" t="s">
        <v>1561</v>
      </c>
      <c r="K379" s="13" t="s">
        <v>624</v>
      </c>
      <c r="L379" s="13" t="s">
        <v>1539</v>
      </c>
      <c r="M379" s="13"/>
    </row>
    <row r="380" customFormat="false" ht="15" hidden="false" customHeight="false" outlineLevel="0" collapsed="false">
      <c r="A380" s="13" t="s">
        <v>610</v>
      </c>
      <c r="B380" s="13" t="s">
        <v>609</v>
      </c>
      <c r="C380" s="13" t="s">
        <v>1540</v>
      </c>
      <c r="D380" s="13" t="s">
        <v>59</v>
      </c>
      <c r="E380" s="13" t="s">
        <v>817</v>
      </c>
      <c r="F380" s="13" t="s">
        <v>818</v>
      </c>
      <c r="G380" s="61" t="n">
        <v>3582839439</v>
      </c>
      <c r="H380" s="13" t="s">
        <v>1537</v>
      </c>
      <c r="I380" s="13"/>
      <c r="J380" s="13" t="s">
        <v>1541</v>
      </c>
      <c r="K380" s="13" t="s">
        <v>1541</v>
      </c>
      <c r="L380" s="13" t="s">
        <v>1542</v>
      </c>
      <c r="M380" s="13"/>
    </row>
    <row r="381" customFormat="false" ht="15" hidden="false" customHeight="false" outlineLevel="0" collapsed="false">
      <c r="A381" s="13" t="s">
        <v>610</v>
      </c>
      <c r="B381" s="13" t="s">
        <v>609</v>
      </c>
      <c r="C381" s="13" t="s">
        <v>1543</v>
      </c>
      <c r="D381" s="13" t="s">
        <v>59</v>
      </c>
      <c r="E381" s="13" t="s">
        <v>817</v>
      </c>
      <c r="F381" s="13" t="s">
        <v>818</v>
      </c>
      <c r="G381" s="61" t="n">
        <v>2441052043</v>
      </c>
      <c r="H381" s="13" t="s">
        <v>1537</v>
      </c>
      <c r="I381" s="13"/>
      <c r="J381" s="13" t="s">
        <v>1544</v>
      </c>
      <c r="K381" s="13" t="s">
        <v>1544</v>
      </c>
      <c r="L381" s="13" t="s">
        <v>1539</v>
      </c>
      <c r="M381" s="13"/>
    </row>
    <row r="382" customFormat="false" ht="15" hidden="false" customHeight="false" outlineLevel="0" collapsed="false">
      <c r="A382" s="13" t="s">
        <v>610</v>
      </c>
      <c r="B382" s="13" t="s">
        <v>609</v>
      </c>
      <c r="C382" s="13" t="s">
        <v>1545</v>
      </c>
      <c r="D382" s="13" t="s">
        <v>59</v>
      </c>
      <c r="E382" s="13" t="s">
        <v>817</v>
      </c>
      <c r="F382" s="13" t="s">
        <v>818</v>
      </c>
      <c r="G382" s="61" t="n">
        <v>402000000</v>
      </c>
      <c r="H382" s="13" t="s">
        <v>1537</v>
      </c>
      <c r="I382" s="13"/>
      <c r="J382" s="13" t="s">
        <v>622</v>
      </c>
      <c r="K382" s="13" t="s">
        <v>622</v>
      </c>
      <c r="L382" s="13" t="s">
        <v>1539</v>
      </c>
      <c r="M382" s="13"/>
    </row>
    <row r="383" customFormat="false" ht="15" hidden="false" customHeight="false" outlineLevel="0" collapsed="false">
      <c r="A383" s="13" t="s">
        <v>610</v>
      </c>
      <c r="B383" s="13" t="s">
        <v>609</v>
      </c>
      <c r="C383" s="13" t="s">
        <v>1545</v>
      </c>
      <c r="D383" s="13" t="s">
        <v>59</v>
      </c>
      <c r="E383" s="13" t="s">
        <v>820</v>
      </c>
      <c r="F383" s="13" t="s">
        <v>821</v>
      </c>
      <c r="G383" s="61" t="n">
        <v>3277000000</v>
      </c>
      <c r="H383" s="13" t="s">
        <v>1537</v>
      </c>
      <c r="I383" s="13"/>
      <c r="J383" s="13" t="s">
        <v>622</v>
      </c>
      <c r="K383" s="13" t="s">
        <v>622</v>
      </c>
      <c r="L383" s="13" t="s">
        <v>1539</v>
      </c>
      <c r="M383" s="13"/>
    </row>
    <row r="384" customFormat="false" ht="15" hidden="false" customHeight="false" outlineLevel="0" collapsed="false">
      <c r="A384" s="13" t="s">
        <v>610</v>
      </c>
      <c r="B384" s="13" t="s">
        <v>609</v>
      </c>
      <c r="C384" s="13" t="s">
        <v>1546</v>
      </c>
      <c r="D384" s="13" t="s">
        <v>59</v>
      </c>
      <c r="E384" s="13" t="s">
        <v>820</v>
      </c>
      <c r="F384" s="13" t="s">
        <v>821</v>
      </c>
      <c r="G384" s="61" t="n">
        <v>2605000000</v>
      </c>
      <c r="H384" s="13" t="s">
        <v>1537</v>
      </c>
      <c r="I384" s="13"/>
      <c r="J384" s="13" t="s">
        <v>1547</v>
      </c>
      <c r="K384" s="13" t="s">
        <v>1547</v>
      </c>
      <c r="L384" s="13" t="s">
        <v>1539</v>
      </c>
      <c r="M384" s="13"/>
    </row>
    <row r="385" customFormat="false" ht="15" hidden="false" customHeight="false" outlineLevel="0" collapsed="false">
      <c r="A385" s="13" t="s">
        <v>610</v>
      </c>
      <c r="B385" s="13" t="s">
        <v>609</v>
      </c>
      <c r="C385" s="13" t="s">
        <v>1548</v>
      </c>
      <c r="D385" s="13" t="s">
        <v>59</v>
      </c>
      <c r="E385" s="13" t="s">
        <v>820</v>
      </c>
      <c r="F385" s="13" t="s">
        <v>821</v>
      </c>
      <c r="G385" s="61" t="n">
        <v>5425000000</v>
      </c>
      <c r="H385" s="13" t="s">
        <v>1537</v>
      </c>
      <c r="I385" s="13"/>
      <c r="J385" s="13" t="s">
        <v>624</v>
      </c>
      <c r="K385" s="13" t="s">
        <v>624</v>
      </c>
      <c r="L385" s="13" t="s">
        <v>1539</v>
      </c>
      <c r="M385" s="13"/>
    </row>
    <row r="386" customFormat="false" ht="15" hidden="false" customHeight="false" outlineLevel="0" collapsed="false">
      <c r="A386" s="13" t="s">
        <v>610</v>
      </c>
      <c r="B386" s="13" t="s">
        <v>609</v>
      </c>
      <c r="C386" s="13" t="s">
        <v>1536</v>
      </c>
      <c r="D386" s="13" t="s">
        <v>59</v>
      </c>
      <c r="E386" s="13" t="s">
        <v>823</v>
      </c>
      <c r="F386" s="13" t="s">
        <v>824</v>
      </c>
      <c r="G386" s="61" t="n">
        <v>89297794369</v>
      </c>
      <c r="H386" s="13" t="s">
        <v>1537</v>
      </c>
      <c r="I386" s="13"/>
      <c r="J386" s="13" t="s">
        <v>1538</v>
      </c>
      <c r="K386" s="13" t="s">
        <v>1538</v>
      </c>
      <c r="L386" s="13" t="s">
        <v>1539</v>
      </c>
      <c r="M386" s="13"/>
    </row>
    <row r="387" customFormat="false" ht="15" hidden="false" customHeight="false" outlineLevel="0" collapsed="false">
      <c r="A387" s="13" t="s">
        <v>610</v>
      </c>
      <c r="B387" s="13" t="s">
        <v>609</v>
      </c>
      <c r="C387" s="13" t="s">
        <v>1540</v>
      </c>
      <c r="D387" s="13" t="s">
        <v>59</v>
      </c>
      <c r="E387" s="13" t="s">
        <v>823</v>
      </c>
      <c r="F387" s="13" t="s">
        <v>824</v>
      </c>
      <c r="G387" s="61" t="n">
        <v>82049265360</v>
      </c>
      <c r="H387" s="13" t="s">
        <v>1537</v>
      </c>
      <c r="I387" s="13"/>
      <c r="J387" s="13" t="s">
        <v>1541</v>
      </c>
      <c r="K387" s="13" t="s">
        <v>1541</v>
      </c>
      <c r="L387" s="13" t="s">
        <v>1542</v>
      </c>
      <c r="M387" s="13"/>
    </row>
    <row r="388" customFormat="false" ht="15" hidden="false" customHeight="false" outlineLevel="0" collapsed="false">
      <c r="A388" s="13" t="s">
        <v>610</v>
      </c>
      <c r="B388" s="13" t="s">
        <v>609</v>
      </c>
      <c r="C388" s="13" t="s">
        <v>1543</v>
      </c>
      <c r="D388" s="13" t="s">
        <v>59</v>
      </c>
      <c r="E388" s="13" t="s">
        <v>823</v>
      </c>
      <c r="F388" s="13" t="s">
        <v>824</v>
      </c>
      <c r="G388" s="61" t="n">
        <v>76938154146</v>
      </c>
      <c r="H388" s="13" t="s">
        <v>1537</v>
      </c>
      <c r="I388" s="13"/>
      <c r="J388" s="13" t="s">
        <v>1544</v>
      </c>
      <c r="K388" s="13" t="s">
        <v>1544</v>
      </c>
      <c r="L388" s="13" t="s">
        <v>1539</v>
      </c>
      <c r="M388" s="13"/>
    </row>
    <row r="389" customFormat="false" ht="15" hidden="false" customHeight="false" outlineLevel="0" collapsed="false">
      <c r="A389" s="13" t="s">
        <v>610</v>
      </c>
      <c r="B389" s="13" t="s">
        <v>609</v>
      </c>
      <c r="C389" s="13" t="s">
        <v>1545</v>
      </c>
      <c r="D389" s="13" t="s">
        <v>59</v>
      </c>
      <c r="E389" s="13" t="s">
        <v>823</v>
      </c>
      <c r="F389" s="13" t="s">
        <v>824</v>
      </c>
      <c r="G389" s="61" t="n">
        <v>86578000000</v>
      </c>
      <c r="H389" s="13" t="s">
        <v>1537</v>
      </c>
      <c r="I389" s="13"/>
      <c r="J389" s="13" t="s">
        <v>622</v>
      </c>
      <c r="K389" s="13" t="s">
        <v>622</v>
      </c>
      <c r="L389" s="13" t="s">
        <v>1539</v>
      </c>
      <c r="M389" s="13"/>
    </row>
    <row r="390" customFormat="false" ht="15" hidden="false" customHeight="false" outlineLevel="0" collapsed="false">
      <c r="A390" s="13" t="s">
        <v>610</v>
      </c>
      <c r="B390" s="13" t="s">
        <v>609</v>
      </c>
      <c r="C390" s="13" t="s">
        <v>1546</v>
      </c>
      <c r="D390" s="13" t="s">
        <v>59</v>
      </c>
      <c r="E390" s="13" t="s">
        <v>823</v>
      </c>
      <c r="F390" s="13" t="s">
        <v>824</v>
      </c>
      <c r="G390" s="61" t="n">
        <v>111014000000</v>
      </c>
      <c r="H390" s="13" t="s">
        <v>1537</v>
      </c>
      <c r="I390" s="13"/>
      <c r="J390" s="13" t="s">
        <v>1547</v>
      </c>
      <c r="K390" s="13" t="s">
        <v>1547</v>
      </c>
      <c r="L390" s="13" t="s">
        <v>1539</v>
      </c>
      <c r="M390" s="13"/>
    </row>
    <row r="391" customFormat="false" ht="15" hidden="false" customHeight="false" outlineLevel="0" collapsed="false">
      <c r="A391" s="13" t="s">
        <v>610</v>
      </c>
      <c r="B391" s="13" t="s">
        <v>609</v>
      </c>
      <c r="C391" s="13" t="s">
        <v>1548</v>
      </c>
      <c r="D391" s="13" t="s">
        <v>59</v>
      </c>
      <c r="E391" s="13" t="s">
        <v>823</v>
      </c>
      <c r="F391" s="13" t="s">
        <v>824</v>
      </c>
      <c r="G391" s="61" t="n">
        <v>155333000000</v>
      </c>
      <c r="H391" s="13" t="s">
        <v>1537</v>
      </c>
      <c r="I391" s="13"/>
      <c r="J391" s="13" t="s">
        <v>624</v>
      </c>
      <c r="K391" s="13" t="s">
        <v>624</v>
      </c>
      <c r="L391" s="13" t="s">
        <v>1539</v>
      </c>
      <c r="M391" s="13"/>
    </row>
    <row r="392" customFormat="false" ht="15" hidden="false" customHeight="false" outlineLevel="0" collapsed="false">
      <c r="A392" s="13" t="s">
        <v>610</v>
      </c>
      <c r="B392" s="13" t="s">
        <v>609</v>
      </c>
      <c r="C392" s="13" t="s">
        <v>1543</v>
      </c>
      <c r="D392" s="13" t="s">
        <v>59</v>
      </c>
      <c r="E392" s="13" t="s">
        <v>826</v>
      </c>
      <c r="F392" s="13" t="s">
        <v>827</v>
      </c>
      <c r="G392" s="61" t="n">
        <v>9652870680</v>
      </c>
      <c r="H392" s="13" t="s">
        <v>1537</v>
      </c>
      <c r="I392" s="13"/>
      <c r="J392" s="13" t="s">
        <v>1544</v>
      </c>
      <c r="K392" s="13" t="s">
        <v>1544</v>
      </c>
      <c r="L392" s="13" t="s">
        <v>1539</v>
      </c>
      <c r="M392" s="13"/>
    </row>
    <row r="393" customFormat="false" ht="15" hidden="false" customHeight="false" outlineLevel="0" collapsed="false">
      <c r="A393" s="13" t="s">
        <v>610</v>
      </c>
      <c r="B393" s="13" t="s">
        <v>609</v>
      </c>
      <c r="C393" s="13" t="s">
        <v>1545</v>
      </c>
      <c r="D393" s="13" t="s">
        <v>59</v>
      </c>
      <c r="E393" s="13" t="s">
        <v>826</v>
      </c>
      <c r="F393" s="13" t="s">
        <v>827</v>
      </c>
      <c r="G393" s="61" t="n">
        <v>14432000000</v>
      </c>
      <c r="H393" s="13" t="s">
        <v>1537</v>
      </c>
      <c r="I393" s="13"/>
      <c r="J393" s="13" t="s">
        <v>622</v>
      </c>
      <c r="K393" s="13" t="s">
        <v>622</v>
      </c>
      <c r="L393" s="13" t="s">
        <v>1539</v>
      </c>
      <c r="M393" s="13"/>
    </row>
    <row r="394" customFormat="false" ht="15" hidden="false" customHeight="false" outlineLevel="0" collapsed="false">
      <c r="A394" s="13" t="s">
        <v>610</v>
      </c>
      <c r="B394" s="13" t="s">
        <v>609</v>
      </c>
      <c r="C394" s="13" t="s">
        <v>1546</v>
      </c>
      <c r="D394" s="13" t="s">
        <v>59</v>
      </c>
      <c r="E394" s="13" t="s">
        <v>826</v>
      </c>
      <c r="F394" s="13" t="s">
        <v>827</v>
      </c>
      <c r="G394" s="61" t="n">
        <v>16173000000</v>
      </c>
      <c r="H394" s="13" t="s">
        <v>1537</v>
      </c>
      <c r="I394" s="13"/>
      <c r="J394" s="13" t="s">
        <v>1547</v>
      </c>
      <c r="K394" s="13" t="s">
        <v>1547</v>
      </c>
      <c r="L394" s="13" t="s">
        <v>1539</v>
      </c>
      <c r="M394" s="13"/>
    </row>
    <row r="395" customFormat="false" ht="15" hidden="false" customHeight="false" outlineLevel="0" collapsed="false">
      <c r="A395" s="13" t="s">
        <v>610</v>
      </c>
      <c r="B395" s="13" t="s">
        <v>609</v>
      </c>
      <c r="C395" s="13" t="s">
        <v>1548</v>
      </c>
      <c r="D395" s="13" t="s">
        <v>59</v>
      </c>
      <c r="E395" s="13" t="s">
        <v>826</v>
      </c>
      <c r="F395" s="13" t="s">
        <v>827</v>
      </c>
      <c r="G395" s="61" t="n">
        <v>308000000</v>
      </c>
      <c r="H395" s="13" t="s">
        <v>1537</v>
      </c>
      <c r="I395" s="13"/>
      <c r="J395" s="13" t="s">
        <v>624</v>
      </c>
      <c r="K395" s="13" t="s">
        <v>624</v>
      </c>
      <c r="L395" s="13" t="s">
        <v>1539</v>
      </c>
      <c r="M395" s="13"/>
    </row>
    <row r="396" customFormat="false" ht="15" hidden="false" customHeight="false" outlineLevel="0" collapsed="false">
      <c r="A396" s="13" t="s">
        <v>610</v>
      </c>
      <c r="B396" s="13" t="s">
        <v>609</v>
      </c>
      <c r="C396" s="13" t="s">
        <v>1536</v>
      </c>
      <c r="D396" s="13" t="s">
        <v>59</v>
      </c>
      <c r="E396" s="13" t="s">
        <v>829</v>
      </c>
      <c r="F396" s="13" t="s">
        <v>830</v>
      </c>
      <c r="G396" s="61" t="n">
        <v>850604303917</v>
      </c>
      <c r="H396" s="13" t="s">
        <v>1537</v>
      </c>
      <c r="I396" s="13"/>
      <c r="J396" s="13"/>
      <c r="K396" s="13" t="s">
        <v>1538</v>
      </c>
      <c r="L396" s="13" t="s">
        <v>1539</v>
      </c>
      <c r="M396" s="13" t="s">
        <v>1549</v>
      </c>
    </row>
    <row r="397" customFormat="false" ht="15" hidden="false" customHeight="false" outlineLevel="0" collapsed="false">
      <c r="A397" s="13" t="s">
        <v>610</v>
      </c>
      <c r="B397" s="13" t="s">
        <v>609</v>
      </c>
      <c r="C397" s="13" t="s">
        <v>1540</v>
      </c>
      <c r="D397" s="13" t="s">
        <v>59</v>
      </c>
      <c r="E397" s="13" t="s">
        <v>829</v>
      </c>
      <c r="F397" s="13" t="s">
        <v>830</v>
      </c>
      <c r="G397" s="61" t="n">
        <v>285223163901</v>
      </c>
      <c r="H397" s="13" t="s">
        <v>1537</v>
      </c>
      <c r="I397" s="13"/>
      <c r="J397" s="13"/>
      <c r="K397" s="13" t="s">
        <v>1541</v>
      </c>
      <c r="L397" s="13" t="s">
        <v>1542</v>
      </c>
      <c r="M397" s="13" t="s">
        <v>1549</v>
      </c>
    </row>
    <row r="398" customFormat="false" ht="15" hidden="false" customHeight="false" outlineLevel="0" collapsed="false">
      <c r="A398" s="13" t="s">
        <v>610</v>
      </c>
      <c r="B398" s="13" t="s">
        <v>609</v>
      </c>
      <c r="C398" s="13" t="s">
        <v>1543</v>
      </c>
      <c r="D398" s="13" t="s">
        <v>59</v>
      </c>
      <c r="E398" s="13" t="s">
        <v>829</v>
      </c>
      <c r="F398" s="13" t="s">
        <v>830</v>
      </c>
      <c r="G398" s="61" t="n">
        <v>1251695700590</v>
      </c>
      <c r="H398" s="13" t="s">
        <v>1537</v>
      </c>
      <c r="I398" s="13"/>
      <c r="J398" s="13"/>
      <c r="K398" s="13" t="s">
        <v>1544</v>
      </c>
      <c r="L398" s="13" t="s">
        <v>1539</v>
      </c>
      <c r="M398" s="13" t="s">
        <v>1549</v>
      </c>
    </row>
    <row r="399" customFormat="false" ht="15" hidden="false" customHeight="false" outlineLevel="0" collapsed="false">
      <c r="A399" s="13" t="s">
        <v>610</v>
      </c>
      <c r="B399" s="13" t="s">
        <v>609</v>
      </c>
      <c r="C399" s="13" t="s">
        <v>1545</v>
      </c>
      <c r="D399" s="13" t="s">
        <v>59</v>
      </c>
      <c r="E399" s="13" t="s">
        <v>829</v>
      </c>
      <c r="F399" s="13" t="s">
        <v>830</v>
      </c>
      <c r="G399" s="61" t="n">
        <v>1643308000000</v>
      </c>
      <c r="H399" s="13" t="s">
        <v>1537</v>
      </c>
      <c r="I399" s="13"/>
      <c r="J399" s="13"/>
      <c r="K399" s="13" t="s">
        <v>622</v>
      </c>
      <c r="L399" s="13" t="s">
        <v>1539</v>
      </c>
      <c r="M399" s="13" t="s">
        <v>1549</v>
      </c>
    </row>
    <row r="400" customFormat="false" ht="15" hidden="false" customHeight="false" outlineLevel="0" collapsed="false">
      <c r="A400" s="13" t="s">
        <v>610</v>
      </c>
      <c r="B400" s="13" t="s">
        <v>609</v>
      </c>
      <c r="C400" s="13" t="s">
        <v>1546</v>
      </c>
      <c r="D400" s="13" t="s">
        <v>59</v>
      </c>
      <c r="E400" s="13" t="s">
        <v>829</v>
      </c>
      <c r="F400" s="13" t="s">
        <v>830</v>
      </c>
      <c r="G400" s="61" t="n">
        <v>1252672000000</v>
      </c>
      <c r="H400" s="13" t="s">
        <v>1537</v>
      </c>
      <c r="I400" s="13"/>
      <c r="J400" s="13"/>
      <c r="K400" s="13" t="s">
        <v>1547</v>
      </c>
      <c r="L400" s="13" t="s">
        <v>1539</v>
      </c>
      <c r="M400" s="13" t="s">
        <v>1549</v>
      </c>
    </row>
    <row r="401" customFormat="false" ht="15" hidden="false" customHeight="false" outlineLevel="0" collapsed="false">
      <c r="A401" s="13" t="s">
        <v>610</v>
      </c>
      <c r="B401" s="13" t="s">
        <v>609</v>
      </c>
      <c r="C401" s="13" t="s">
        <v>1548</v>
      </c>
      <c r="D401" s="13" t="s">
        <v>59</v>
      </c>
      <c r="E401" s="13" t="s">
        <v>829</v>
      </c>
      <c r="F401" s="13" t="s">
        <v>830</v>
      </c>
      <c r="G401" s="61" t="n">
        <v>4678155000000</v>
      </c>
      <c r="H401" s="13" t="s">
        <v>1537</v>
      </c>
      <c r="I401" s="13"/>
      <c r="J401" s="13"/>
      <c r="K401" s="13" t="s">
        <v>624</v>
      </c>
      <c r="L401" s="13" t="s">
        <v>1539</v>
      </c>
      <c r="M401" s="13" t="s">
        <v>1549</v>
      </c>
    </row>
    <row r="402" customFormat="false" ht="15" hidden="false" customHeight="false" outlineLevel="0" collapsed="false">
      <c r="A402" s="13" t="s">
        <v>610</v>
      </c>
      <c r="B402" s="13" t="s">
        <v>609</v>
      </c>
      <c r="C402" s="13" t="s">
        <v>1536</v>
      </c>
      <c r="D402" s="13" t="s">
        <v>59</v>
      </c>
      <c r="E402" s="13" t="s">
        <v>831</v>
      </c>
      <c r="F402" s="13" t="s">
        <v>422</v>
      </c>
      <c r="G402" s="61" t="n">
        <v>2591592815242</v>
      </c>
      <c r="H402" s="13" t="s">
        <v>1537</v>
      </c>
      <c r="I402" s="13"/>
      <c r="J402" s="13"/>
      <c r="K402" s="13" t="s">
        <v>1538</v>
      </c>
      <c r="L402" s="13" t="s">
        <v>1539</v>
      </c>
      <c r="M402" s="13" t="s">
        <v>1549</v>
      </c>
    </row>
    <row r="403" customFormat="false" ht="15" hidden="false" customHeight="false" outlineLevel="0" collapsed="false">
      <c r="A403" s="13" t="s">
        <v>610</v>
      </c>
      <c r="B403" s="13" t="s">
        <v>609</v>
      </c>
      <c r="C403" s="13" t="s">
        <v>1540</v>
      </c>
      <c r="D403" s="13" t="s">
        <v>59</v>
      </c>
      <c r="E403" s="13" t="s">
        <v>831</v>
      </c>
      <c r="F403" s="13" t="s">
        <v>422</v>
      </c>
      <c r="G403" s="61" t="n">
        <v>2944404062678</v>
      </c>
      <c r="H403" s="13" t="s">
        <v>1537</v>
      </c>
      <c r="I403" s="13"/>
      <c r="J403" s="13"/>
      <c r="K403" s="13" t="s">
        <v>1541</v>
      </c>
      <c r="L403" s="13" t="s">
        <v>1542</v>
      </c>
      <c r="M403" s="13" t="s">
        <v>1549</v>
      </c>
    </row>
    <row r="404" customFormat="false" ht="15" hidden="false" customHeight="false" outlineLevel="0" collapsed="false">
      <c r="A404" s="13" t="s">
        <v>610</v>
      </c>
      <c r="B404" s="13" t="s">
        <v>609</v>
      </c>
      <c r="C404" s="13" t="s">
        <v>1543</v>
      </c>
      <c r="D404" s="13" t="s">
        <v>59</v>
      </c>
      <c r="E404" s="13" t="s">
        <v>831</v>
      </c>
      <c r="F404" s="13" t="s">
        <v>422</v>
      </c>
      <c r="G404" s="61" t="n">
        <v>3854461126636</v>
      </c>
      <c r="H404" s="13" t="s">
        <v>1537</v>
      </c>
      <c r="I404" s="13"/>
      <c r="J404" s="13"/>
      <c r="K404" s="13" t="s">
        <v>1544</v>
      </c>
      <c r="L404" s="13" t="s">
        <v>1539</v>
      </c>
      <c r="M404" s="13" t="s">
        <v>1549</v>
      </c>
    </row>
    <row r="405" customFormat="false" ht="15" hidden="false" customHeight="false" outlineLevel="0" collapsed="false">
      <c r="A405" s="13" t="s">
        <v>610</v>
      </c>
      <c r="B405" s="13" t="s">
        <v>609</v>
      </c>
      <c r="C405" s="13" t="s">
        <v>1545</v>
      </c>
      <c r="D405" s="13" t="s">
        <v>59</v>
      </c>
      <c r="E405" s="13" t="s">
        <v>831</v>
      </c>
      <c r="F405" s="13" t="s">
        <v>422</v>
      </c>
      <c r="G405" s="61" t="n">
        <v>3748834000000</v>
      </c>
      <c r="H405" s="13" t="s">
        <v>1537</v>
      </c>
      <c r="I405" s="13"/>
      <c r="J405" s="13"/>
      <c r="K405" s="13" t="s">
        <v>622</v>
      </c>
      <c r="L405" s="13" t="s">
        <v>1539</v>
      </c>
      <c r="M405" s="13" t="s">
        <v>1549</v>
      </c>
    </row>
    <row r="406" customFormat="false" ht="15" hidden="false" customHeight="false" outlineLevel="0" collapsed="false">
      <c r="A406" s="13" t="s">
        <v>610</v>
      </c>
      <c r="B406" s="13" t="s">
        <v>609</v>
      </c>
      <c r="C406" s="13" t="s">
        <v>1546</v>
      </c>
      <c r="D406" s="13" t="s">
        <v>59</v>
      </c>
      <c r="E406" s="13" t="s">
        <v>831</v>
      </c>
      <c r="F406" s="13" t="s">
        <v>422</v>
      </c>
      <c r="G406" s="61" t="n">
        <v>3849718000000</v>
      </c>
      <c r="H406" s="13" t="s">
        <v>1537</v>
      </c>
      <c r="I406" s="13"/>
      <c r="J406" s="13"/>
      <c r="K406" s="13" t="s">
        <v>1547</v>
      </c>
      <c r="L406" s="13" t="s">
        <v>1539</v>
      </c>
      <c r="M406" s="13" t="s">
        <v>1549</v>
      </c>
    </row>
    <row r="407" customFormat="false" ht="15" hidden="false" customHeight="false" outlineLevel="0" collapsed="false">
      <c r="A407" s="13" t="s">
        <v>610</v>
      </c>
      <c r="B407" s="13" t="s">
        <v>609</v>
      </c>
      <c r="C407" s="13" t="s">
        <v>1548</v>
      </c>
      <c r="D407" s="13" t="s">
        <v>59</v>
      </c>
      <c r="E407" s="13" t="s">
        <v>831</v>
      </c>
      <c r="F407" s="13" t="s">
        <v>422</v>
      </c>
      <c r="G407" s="61" t="n">
        <v>6288185000000</v>
      </c>
      <c r="H407" s="13" t="s">
        <v>1537</v>
      </c>
      <c r="I407" s="13"/>
      <c r="J407" s="13"/>
      <c r="K407" s="13" t="s">
        <v>624</v>
      </c>
      <c r="L407" s="13" t="s">
        <v>1539</v>
      </c>
      <c r="M407" s="13" t="s">
        <v>1549</v>
      </c>
    </row>
    <row r="408" customFormat="false" ht="15" hidden="false" customHeight="false" outlineLevel="0" collapsed="false">
      <c r="A408" s="13" t="s">
        <v>610</v>
      </c>
      <c r="B408" s="13" t="s">
        <v>609</v>
      </c>
      <c r="C408" s="13" t="s">
        <v>1536</v>
      </c>
      <c r="D408" s="13" t="s">
        <v>59</v>
      </c>
      <c r="E408" s="13" t="s">
        <v>832</v>
      </c>
      <c r="F408" s="13" t="s">
        <v>833</v>
      </c>
      <c r="G408" s="61" t="n">
        <v>1200070544500</v>
      </c>
      <c r="H408" s="13" t="s">
        <v>1537</v>
      </c>
      <c r="I408" s="13"/>
      <c r="J408" s="13" t="s">
        <v>1538</v>
      </c>
      <c r="K408" s="13" t="s">
        <v>1538</v>
      </c>
      <c r="L408" s="13" t="s">
        <v>1539</v>
      </c>
      <c r="M408" s="13"/>
    </row>
    <row r="409" customFormat="false" ht="15" hidden="false" customHeight="false" outlineLevel="0" collapsed="false">
      <c r="A409" s="13" t="s">
        <v>610</v>
      </c>
      <c r="B409" s="13" t="s">
        <v>609</v>
      </c>
      <c r="C409" s="13" t="s">
        <v>1540</v>
      </c>
      <c r="D409" s="13" t="s">
        <v>59</v>
      </c>
      <c r="E409" s="13" t="s">
        <v>832</v>
      </c>
      <c r="F409" s="13" t="s">
        <v>833</v>
      </c>
      <c r="G409" s="61" t="n">
        <v>1200070544500</v>
      </c>
      <c r="H409" s="13" t="s">
        <v>1537</v>
      </c>
      <c r="I409" s="13"/>
      <c r="J409" s="13" t="s">
        <v>1541</v>
      </c>
      <c r="K409" s="13" t="s">
        <v>1541</v>
      </c>
      <c r="L409" s="13" t="s">
        <v>1542</v>
      </c>
      <c r="M409" s="13"/>
    </row>
    <row r="410" customFormat="false" ht="15" hidden="false" customHeight="false" outlineLevel="0" collapsed="false">
      <c r="A410" s="13" t="s">
        <v>610</v>
      </c>
      <c r="B410" s="13" t="s">
        <v>609</v>
      </c>
      <c r="C410" s="13" t="s">
        <v>1543</v>
      </c>
      <c r="D410" s="13" t="s">
        <v>59</v>
      </c>
      <c r="E410" s="13" t="s">
        <v>832</v>
      </c>
      <c r="F410" s="13" t="s">
        <v>833</v>
      </c>
      <c r="G410" s="61" t="n">
        <v>1200070544500</v>
      </c>
      <c r="H410" s="13" t="s">
        <v>1537</v>
      </c>
      <c r="I410" s="13"/>
      <c r="J410" s="13" t="s">
        <v>1544</v>
      </c>
      <c r="K410" s="13" t="s">
        <v>1544</v>
      </c>
      <c r="L410" s="13" t="s">
        <v>1539</v>
      </c>
      <c r="M410" s="13"/>
    </row>
    <row r="411" customFormat="false" ht="15" hidden="false" customHeight="false" outlineLevel="0" collapsed="false">
      <c r="A411" s="13" t="s">
        <v>610</v>
      </c>
      <c r="B411" s="13" t="s">
        <v>609</v>
      </c>
      <c r="C411" s="13" t="s">
        <v>1545</v>
      </c>
      <c r="D411" s="13" t="s">
        <v>59</v>
      </c>
      <c r="E411" s="13" t="s">
        <v>832</v>
      </c>
      <c r="F411" s="13" t="s">
        <v>833</v>
      </c>
      <c r="G411" s="61" t="n">
        <v>1200071000000</v>
      </c>
      <c r="H411" s="13" t="s">
        <v>1537</v>
      </c>
      <c r="I411" s="13"/>
      <c r="J411" s="13" t="s">
        <v>622</v>
      </c>
      <c r="K411" s="13" t="s">
        <v>622</v>
      </c>
      <c r="L411" s="13" t="s">
        <v>1539</v>
      </c>
      <c r="M411" s="13"/>
    </row>
    <row r="412" customFormat="false" ht="15" hidden="false" customHeight="false" outlineLevel="0" collapsed="false">
      <c r="A412" s="13" t="s">
        <v>610</v>
      </c>
      <c r="B412" s="13" t="s">
        <v>609</v>
      </c>
      <c r="C412" s="13" t="s">
        <v>1546</v>
      </c>
      <c r="D412" s="13" t="s">
        <v>59</v>
      </c>
      <c r="E412" s="13" t="s">
        <v>832</v>
      </c>
      <c r="F412" s="13" t="s">
        <v>833</v>
      </c>
      <c r="G412" s="61" t="n">
        <v>1200071000000</v>
      </c>
      <c r="H412" s="13" t="s">
        <v>1537</v>
      </c>
      <c r="I412" s="13"/>
      <c r="J412" s="13" t="s">
        <v>1547</v>
      </c>
      <c r="K412" s="13" t="s">
        <v>1547</v>
      </c>
      <c r="L412" s="13" t="s">
        <v>1539</v>
      </c>
      <c r="M412" s="13"/>
    </row>
    <row r="413" customFormat="false" ht="15" hidden="false" customHeight="false" outlineLevel="0" collapsed="false">
      <c r="A413" s="13" t="s">
        <v>610</v>
      </c>
      <c r="B413" s="13" t="s">
        <v>609</v>
      </c>
      <c r="C413" s="13" t="s">
        <v>1548</v>
      </c>
      <c r="D413" s="13" t="s">
        <v>59</v>
      </c>
      <c r="E413" s="13" t="s">
        <v>832</v>
      </c>
      <c r="F413" s="13" t="s">
        <v>833</v>
      </c>
      <c r="G413" s="61" t="n">
        <v>1223896000000</v>
      </c>
      <c r="H413" s="13" t="s">
        <v>1537</v>
      </c>
      <c r="I413" s="13"/>
      <c r="J413" s="13" t="s">
        <v>624</v>
      </c>
      <c r="K413" s="13" t="s">
        <v>624</v>
      </c>
      <c r="L413" s="13" t="s">
        <v>1539</v>
      </c>
      <c r="M413" s="13"/>
    </row>
    <row r="414" customFormat="false" ht="15" hidden="false" customHeight="false" outlineLevel="0" collapsed="false">
      <c r="A414" s="13" t="s">
        <v>610</v>
      </c>
      <c r="B414" s="13" t="s">
        <v>609</v>
      </c>
      <c r="C414" s="13" t="s">
        <v>1536</v>
      </c>
      <c r="D414" s="13" t="s">
        <v>59</v>
      </c>
      <c r="E414" s="13" t="s">
        <v>835</v>
      </c>
      <c r="F414" s="13" t="s">
        <v>836</v>
      </c>
      <c r="G414" s="61" t="n">
        <v>1124816856453</v>
      </c>
      <c r="H414" s="13" t="s">
        <v>1537</v>
      </c>
      <c r="I414" s="13"/>
      <c r="J414" s="13" t="s">
        <v>1538</v>
      </c>
      <c r="K414" s="13" t="s">
        <v>1538</v>
      </c>
      <c r="L414" s="13" t="s">
        <v>1539</v>
      </c>
      <c r="M414" s="13"/>
    </row>
    <row r="415" customFormat="false" ht="15" hidden="false" customHeight="false" outlineLevel="0" collapsed="false">
      <c r="A415" s="13" t="s">
        <v>610</v>
      </c>
      <c r="B415" s="13" t="s">
        <v>609</v>
      </c>
      <c r="C415" s="13" t="s">
        <v>1540</v>
      </c>
      <c r="D415" s="13" t="s">
        <v>59</v>
      </c>
      <c r="E415" s="13" t="s">
        <v>835</v>
      </c>
      <c r="F415" s="13" t="s">
        <v>836</v>
      </c>
      <c r="G415" s="61" t="n">
        <v>1124816856453</v>
      </c>
      <c r="H415" s="13" t="s">
        <v>1537</v>
      </c>
      <c r="I415" s="13"/>
      <c r="J415" s="13" t="s">
        <v>1541</v>
      </c>
      <c r="K415" s="13" t="s">
        <v>1541</v>
      </c>
      <c r="L415" s="13" t="s">
        <v>1542</v>
      </c>
      <c r="M415" s="13"/>
    </row>
    <row r="416" customFormat="false" ht="15" hidden="false" customHeight="false" outlineLevel="0" collapsed="false">
      <c r="A416" s="13" t="s">
        <v>610</v>
      </c>
      <c r="B416" s="13" t="s">
        <v>609</v>
      </c>
      <c r="C416" s="13" t="s">
        <v>1543</v>
      </c>
      <c r="D416" s="13" t="s">
        <v>59</v>
      </c>
      <c r="E416" s="13" t="s">
        <v>835</v>
      </c>
      <c r="F416" s="13" t="s">
        <v>836</v>
      </c>
      <c r="G416" s="61" t="n">
        <v>1124816856453</v>
      </c>
      <c r="H416" s="13" t="s">
        <v>1537</v>
      </c>
      <c r="I416" s="13"/>
      <c r="J416" s="13" t="s">
        <v>1544</v>
      </c>
      <c r="K416" s="13" t="s">
        <v>1544</v>
      </c>
      <c r="L416" s="13" t="s">
        <v>1539</v>
      </c>
      <c r="M416" s="13"/>
    </row>
    <row r="417" customFormat="false" ht="15" hidden="false" customHeight="false" outlineLevel="0" collapsed="false">
      <c r="A417" s="13" t="s">
        <v>610</v>
      </c>
      <c r="B417" s="13" t="s">
        <v>609</v>
      </c>
      <c r="C417" s="13" t="s">
        <v>1545</v>
      </c>
      <c r="D417" s="13" t="s">
        <v>59</v>
      </c>
      <c r="E417" s="13" t="s">
        <v>835</v>
      </c>
      <c r="F417" s="13" t="s">
        <v>836</v>
      </c>
      <c r="G417" s="61" t="n">
        <v>1124817000000</v>
      </c>
      <c r="H417" s="13" t="s">
        <v>1537</v>
      </c>
      <c r="I417" s="13"/>
      <c r="J417" s="13" t="s">
        <v>622</v>
      </c>
      <c r="K417" s="13" t="s">
        <v>622</v>
      </c>
      <c r="L417" s="13" t="s">
        <v>1539</v>
      </c>
      <c r="M417" s="13"/>
    </row>
    <row r="418" customFormat="false" ht="15" hidden="false" customHeight="false" outlineLevel="0" collapsed="false">
      <c r="A418" s="13" t="s">
        <v>610</v>
      </c>
      <c r="B418" s="13" t="s">
        <v>609</v>
      </c>
      <c r="C418" s="13" t="s">
        <v>1546</v>
      </c>
      <c r="D418" s="13" t="s">
        <v>59</v>
      </c>
      <c r="E418" s="13" t="s">
        <v>835</v>
      </c>
      <c r="F418" s="13" t="s">
        <v>836</v>
      </c>
      <c r="G418" s="61" t="n">
        <v>1124817000000</v>
      </c>
      <c r="H418" s="13" t="s">
        <v>1537</v>
      </c>
      <c r="I418" s="13"/>
      <c r="J418" s="13" t="s">
        <v>1547</v>
      </c>
      <c r="K418" s="13" t="s">
        <v>1547</v>
      </c>
      <c r="L418" s="13" t="s">
        <v>1539</v>
      </c>
      <c r="M418" s="13"/>
    </row>
    <row r="419" customFormat="false" ht="15" hidden="false" customHeight="false" outlineLevel="0" collapsed="false">
      <c r="A419" s="13" t="s">
        <v>610</v>
      </c>
      <c r="B419" s="13" t="s">
        <v>609</v>
      </c>
      <c r="C419" s="13" t="s">
        <v>1548</v>
      </c>
      <c r="D419" s="13" t="s">
        <v>59</v>
      </c>
      <c r="E419" s="13" t="s">
        <v>835</v>
      </c>
      <c r="F419" s="13" t="s">
        <v>836</v>
      </c>
      <c r="G419" s="61" t="n">
        <v>806384000000</v>
      </c>
      <c r="H419" s="13" t="s">
        <v>1537</v>
      </c>
      <c r="I419" s="13"/>
      <c r="J419" s="13" t="s">
        <v>624</v>
      </c>
      <c r="K419" s="13" t="s">
        <v>624</v>
      </c>
      <c r="L419" s="13" t="s">
        <v>1539</v>
      </c>
      <c r="M419" s="13"/>
    </row>
    <row r="420" customFormat="false" ht="15" hidden="false" customHeight="false" outlineLevel="0" collapsed="false">
      <c r="A420" s="13" t="s">
        <v>610</v>
      </c>
      <c r="B420" s="13" t="s">
        <v>609</v>
      </c>
      <c r="C420" s="13" t="s">
        <v>1546</v>
      </c>
      <c r="D420" s="13" t="s">
        <v>59</v>
      </c>
      <c r="E420" s="13" t="s">
        <v>838</v>
      </c>
      <c r="F420" s="13" t="s">
        <v>839</v>
      </c>
      <c r="G420" s="61" t="n">
        <v>-1480000000</v>
      </c>
      <c r="H420" s="13" t="s">
        <v>1537</v>
      </c>
      <c r="I420" s="13"/>
      <c r="J420" s="13" t="s">
        <v>1547</v>
      </c>
      <c r="K420" s="13" t="s">
        <v>1547</v>
      </c>
      <c r="L420" s="13" t="s">
        <v>1539</v>
      </c>
      <c r="M420" s="13"/>
    </row>
    <row r="421" customFormat="false" ht="15" hidden="false" customHeight="false" outlineLevel="0" collapsed="false">
      <c r="A421" s="13" t="s">
        <v>610</v>
      </c>
      <c r="B421" s="13" t="s">
        <v>609</v>
      </c>
      <c r="C421" s="13" t="s">
        <v>1548</v>
      </c>
      <c r="D421" s="13" t="s">
        <v>59</v>
      </c>
      <c r="E421" s="13" t="s">
        <v>838</v>
      </c>
      <c r="F421" s="13" t="s">
        <v>839</v>
      </c>
      <c r="G421" s="61" t="n">
        <v>-1346000000</v>
      </c>
      <c r="H421" s="13" t="s">
        <v>1537</v>
      </c>
      <c r="I421" s="13"/>
      <c r="J421" s="13" t="s">
        <v>624</v>
      </c>
      <c r="K421" s="13" t="s">
        <v>624</v>
      </c>
      <c r="L421" s="13" t="s">
        <v>1539</v>
      </c>
      <c r="M421" s="13"/>
    </row>
    <row r="422" customFormat="false" ht="15" hidden="false" customHeight="false" outlineLevel="0" collapsed="false">
      <c r="A422" s="13" t="s">
        <v>610</v>
      </c>
      <c r="B422" s="13" t="s">
        <v>609</v>
      </c>
      <c r="C422" s="13" t="s">
        <v>1536</v>
      </c>
      <c r="D422" s="13" t="s">
        <v>59</v>
      </c>
      <c r="E422" s="13" t="s">
        <v>841</v>
      </c>
      <c r="F422" s="13" t="s">
        <v>842</v>
      </c>
      <c r="G422" s="61" t="n">
        <v>29748911906</v>
      </c>
      <c r="H422" s="13" t="s">
        <v>1537</v>
      </c>
      <c r="I422" s="13"/>
      <c r="J422" s="13" t="s">
        <v>1538</v>
      </c>
      <c r="K422" s="13" t="s">
        <v>1538</v>
      </c>
      <c r="L422" s="13" t="s">
        <v>1539</v>
      </c>
      <c r="M422" s="13"/>
    </row>
    <row r="423" customFormat="false" ht="15" hidden="false" customHeight="false" outlineLevel="0" collapsed="false">
      <c r="A423" s="13" t="s">
        <v>610</v>
      </c>
      <c r="B423" s="13" t="s">
        <v>609</v>
      </c>
      <c r="C423" s="13" t="s">
        <v>1540</v>
      </c>
      <c r="D423" s="13" t="s">
        <v>59</v>
      </c>
      <c r="E423" s="13" t="s">
        <v>841</v>
      </c>
      <c r="F423" s="13" t="s">
        <v>842</v>
      </c>
      <c r="G423" s="61" t="n">
        <v>36805871185</v>
      </c>
      <c r="H423" s="13" t="s">
        <v>1537</v>
      </c>
      <c r="I423" s="13"/>
      <c r="J423" s="13" t="s">
        <v>1541</v>
      </c>
      <c r="K423" s="13" t="s">
        <v>1541</v>
      </c>
      <c r="L423" s="13" t="s">
        <v>1542</v>
      </c>
      <c r="M423" s="13"/>
    </row>
    <row r="424" customFormat="false" ht="15" hidden="false" customHeight="false" outlineLevel="0" collapsed="false">
      <c r="A424" s="13" t="s">
        <v>610</v>
      </c>
      <c r="B424" s="13" t="s">
        <v>609</v>
      </c>
      <c r="C424" s="13" t="s">
        <v>1543</v>
      </c>
      <c r="D424" s="13" t="s">
        <v>59</v>
      </c>
      <c r="E424" s="13" t="s">
        <v>841</v>
      </c>
      <c r="F424" s="13" t="s">
        <v>842</v>
      </c>
      <c r="G424" s="61" t="n">
        <v>48720849663</v>
      </c>
      <c r="H424" s="13" t="s">
        <v>1537</v>
      </c>
      <c r="I424" s="13"/>
      <c r="J424" s="13" t="s">
        <v>1544</v>
      </c>
      <c r="K424" s="13" t="s">
        <v>1544</v>
      </c>
      <c r="L424" s="13" t="s">
        <v>1539</v>
      </c>
      <c r="M424" s="13"/>
    </row>
    <row r="425" customFormat="false" ht="15" hidden="false" customHeight="false" outlineLevel="0" collapsed="false">
      <c r="A425" s="13" t="s">
        <v>610</v>
      </c>
      <c r="B425" s="13" t="s">
        <v>609</v>
      </c>
      <c r="C425" s="13" t="s">
        <v>1545</v>
      </c>
      <c r="D425" s="13" t="s">
        <v>59</v>
      </c>
      <c r="E425" s="13" t="s">
        <v>841</v>
      </c>
      <c r="F425" s="13" t="s">
        <v>842</v>
      </c>
      <c r="G425" s="61" t="n">
        <v>49353000000</v>
      </c>
      <c r="H425" s="13" t="s">
        <v>1537</v>
      </c>
      <c r="I425" s="13"/>
      <c r="J425" s="13" t="s">
        <v>622</v>
      </c>
      <c r="K425" s="13" t="s">
        <v>622</v>
      </c>
      <c r="L425" s="13" t="s">
        <v>1539</v>
      </c>
      <c r="M425" s="13"/>
    </row>
    <row r="426" customFormat="false" ht="15" hidden="false" customHeight="false" outlineLevel="0" collapsed="false">
      <c r="A426" s="13" t="s">
        <v>610</v>
      </c>
      <c r="B426" s="13" t="s">
        <v>609</v>
      </c>
      <c r="C426" s="13" t="s">
        <v>1546</v>
      </c>
      <c r="D426" s="13" t="s">
        <v>59</v>
      </c>
      <c r="E426" s="13" t="s">
        <v>841</v>
      </c>
      <c r="F426" s="13" t="s">
        <v>842</v>
      </c>
      <c r="G426" s="61" t="n">
        <v>48543000000</v>
      </c>
      <c r="H426" s="13" t="s">
        <v>1537</v>
      </c>
      <c r="I426" s="13"/>
      <c r="J426" s="13" t="s">
        <v>1547</v>
      </c>
      <c r="K426" s="13" t="s">
        <v>1547</v>
      </c>
      <c r="L426" s="13" t="s">
        <v>1539</v>
      </c>
      <c r="M426" s="13"/>
    </row>
    <row r="427" customFormat="false" ht="15" hidden="false" customHeight="false" outlineLevel="0" collapsed="false">
      <c r="A427" s="13" t="s">
        <v>610</v>
      </c>
      <c r="B427" s="13" t="s">
        <v>609</v>
      </c>
      <c r="C427" s="13" t="s">
        <v>1548</v>
      </c>
      <c r="D427" s="13" t="s">
        <v>59</v>
      </c>
      <c r="E427" s="13" t="s">
        <v>841</v>
      </c>
      <c r="F427" s="13" t="s">
        <v>842</v>
      </c>
      <c r="G427" s="61" t="n">
        <v>44355000000</v>
      </c>
      <c r="H427" s="13" t="s">
        <v>1537</v>
      </c>
      <c r="I427" s="13"/>
      <c r="J427" s="13" t="s">
        <v>624</v>
      </c>
      <c r="K427" s="13" t="s">
        <v>624</v>
      </c>
      <c r="L427" s="13" t="s">
        <v>1539</v>
      </c>
      <c r="M427" s="13"/>
    </row>
    <row r="428" customFormat="false" ht="15" hidden="false" customHeight="false" outlineLevel="0" collapsed="false">
      <c r="A428" s="13" t="s">
        <v>610</v>
      </c>
      <c r="B428" s="13" t="s">
        <v>609</v>
      </c>
      <c r="C428" s="13" t="s">
        <v>1536</v>
      </c>
      <c r="D428" s="13" t="s">
        <v>59</v>
      </c>
      <c r="E428" s="13" t="s">
        <v>844</v>
      </c>
      <c r="F428" s="13" t="s">
        <v>845</v>
      </c>
      <c r="G428" s="61" t="n">
        <v>-600688806428</v>
      </c>
      <c r="H428" s="13" t="s">
        <v>1537</v>
      </c>
      <c r="I428" s="13"/>
      <c r="J428" s="13" t="s">
        <v>1538</v>
      </c>
      <c r="K428" s="13" t="s">
        <v>1538</v>
      </c>
      <c r="L428" s="13" t="s">
        <v>1539</v>
      </c>
      <c r="M428" s="13"/>
    </row>
    <row r="429" customFormat="false" ht="15" hidden="false" customHeight="false" outlineLevel="0" collapsed="false">
      <c r="A429" s="13" t="s">
        <v>610</v>
      </c>
      <c r="B429" s="13" t="s">
        <v>609</v>
      </c>
      <c r="C429" s="13" t="s">
        <v>1540</v>
      </c>
      <c r="D429" s="13" t="s">
        <v>59</v>
      </c>
      <c r="E429" s="13" t="s">
        <v>844</v>
      </c>
      <c r="F429" s="13" t="s">
        <v>845</v>
      </c>
      <c r="G429" s="61" t="n">
        <v>-435380567809</v>
      </c>
      <c r="H429" s="13" t="s">
        <v>1537</v>
      </c>
      <c r="I429" s="13"/>
      <c r="J429" s="13" t="s">
        <v>1541</v>
      </c>
      <c r="K429" s="13" t="s">
        <v>1541</v>
      </c>
      <c r="L429" s="13" t="s">
        <v>1542</v>
      </c>
      <c r="M429" s="13"/>
    </row>
    <row r="430" customFormat="false" ht="15" hidden="false" customHeight="false" outlineLevel="0" collapsed="false">
      <c r="A430" s="13" t="s">
        <v>610</v>
      </c>
      <c r="B430" s="13" t="s">
        <v>609</v>
      </c>
      <c r="C430" s="13" t="s">
        <v>1543</v>
      </c>
      <c r="D430" s="13" t="s">
        <v>59</v>
      </c>
      <c r="E430" s="13" t="s">
        <v>844</v>
      </c>
      <c r="F430" s="13" t="s">
        <v>845</v>
      </c>
      <c r="G430" s="61" t="n">
        <v>-479695516834</v>
      </c>
      <c r="H430" s="13" t="s">
        <v>1537</v>
      </c>
      <c r="I430" s="13"/>
      <c r="J430" s="13" t="s">
        <v>1544</v>
      </c>
      <c r="K430" s="13" t="s">
        <v>1544</v>
      </c>
      <c r="L430" s="13" t="s">
        <v>1539</v>
      </c>
      <c r="M430" s="13"/>
    </row>
    <row r="431" customFormat="false" ht="15" hidden="false" customHeight="false" outlineLevel="0" collapsed="false">
      <c r="A431" s="13" t="s">
        <v>610</v>
      </c>
      <c r="B431" s="13" t="s">
        <v>609</v>
      </c>
      <c r="C431" s="13" t="s">
        <v>1545</v>
      </c>
      <c r="D431" s="13" t="s">
        <v>59</v>
      </c>
      <c r="E431" s="13" t="s">
        <v>844</v>
      </c>
      <c r="F431" s="13" t="s">
        <v>845</v>
      </c>
      <c r="G431" s="61" t="n">
        <v>-518186000000</v>
      </c>
      <c r="H431" s="13" t="s">
        <v>1537</v>
      </c>
      <c r="I431" s="13"/>
      <c r="J431" s="13" t="s">
        <v>622</v>
      </c>
      <c r="K431" s="13" t="s">
        <v>622</v>
      </c>
      <c r="L431" s="13" t="s">
        <v>1539</v>
      </c>
      <c r="M431" s="13"/>
    </row>
    <row r="432" customFormat="false" ht="15" hidden="false" customHeight="false" outlineLevel="0" collapsed="false">
      <c r="A432" s="13" t="s">
        <v>610</v>
      </c>
      <c r="B432" s="13" t="s">
        <v>609</v>
      </c>
      <c r="C432" s="13" t="s">
        <v>1546</v>
      </c>
      <c r="D432" s="13" t="s">
        <v>59</v>
      </c>
      <c r="E432" s="13" t="s">
        <v>844</v>
      </c>
      <c r="F432" s="13" t="s">
        <v>845</v>
      </c>
      <c r="G432" s="61" t="n">
        <v>-541699000000</v>
      </c>
      <c r="H432" s="13" t="s">
        <v>1537</v>
      </c>
      <c r="I432" s="13"/>
      <c r="J432" s="13" t="s">
        <v>1547</v>
      </c>
      <c r="K432" s="13" t="s">
        <v>1547</v>
      </c>
      <c r="L432" s="13" t="s">
        <v>1539</v>
      </c>
      <c r="M432" s="13"/>
    </row>
    <row r="433" customFormat="false" ht="15" hidden="false" customHeight="false" outlineLevel="0" collapsed="false">
      <c r="A433" s="13" t="s">
        <v>610</v>
      </c>
      <c r="B433" s="13" t="s">
        <v>609</v>
      </c>
      <c r="C433" s="13" t="s">
        <v>1548</v>
      </c>
      <c r="D433" s="13" t="s">
        <v>59</v>
      </c>
      <c r="E433" s="13" t="s">
        <v>844</v>
      </c>
      <c r="F433" s="13" t="s">
        <v>845</v>
      </c>
      <c r="G433" s="61" t="n">
        <v>-740699000000</v>
      </c>
      <c r="H433" s="13" t="s">
        <v>1537</v>
      </c>
      <c r="I433" s="13"/>
      <c r="J433" s="13" t="s">
        <v>624</v>
      </c>
      <c r="K433" s="13" t="s">
        <v>624</v>
      </c>
      <c r="L433" s="13" t="s">
        <v>1539</v>
      </c>
      <c r="M433" s="13"/>
    </row>
    <row r="434" customFormat="false" ht="15" hidden="false" customHeight="false" outlineLevel="0" collapsed="false">
      <c r="A434" s="13" t="s">
        <v>610</v>
      </c>
      <c r="B434" s="13" t="s">
        <v>609</v>
      </c>
      <c r="C434" s="13" t="s">
        <v>1536</v>
      </c>
      <c r="D434" s="13" t="s">
        <v>59</v>
      </c>
      <c r="E434" s="13" t="s">
        <v>847</v>
      </c>
      <c r="F434" s="13" t="s">
        <v>429</v>
      </c>
      <c r="G434" s="61" t="n">
        <v>1753947506431</v>
      </c>
      <c r="H434" s="13" t="s">
        <v>1537</v>
      </c>
      <c r="I434" s="13"/>
      <c r="J434" s="13"/>
      <c r="K434" s="13" t="s">
        <v>1538</v>
      </c>
      <c r="L434" s="13" t="s">
        <v>1539</v>
      </c>
      <c r="M434" s="13" t="s">
        <v>1549</v>
      </c>
    </row>
    <row r="435" customFormat="false" ht="15" hidden="false" customHeight="false" outlineLevel="0" collapsed="false">
      <c r="A435" s="13" t="s">
        <v>610</v>
      </c>
      <c r="B435" s="13" t="s">
        <v>609</v>
      </c>
      <c r="C435" s="13" t="s">
        <v>1540</v>
      </c>
      <c r="D435" s="13" t="s">
        <v>59</v>
      </c>
      <c r="E435" s="13" t="s">
        <v>847</v>
      </c>
      <c r="F435" s="13" t="s">
        <v>429</v>
      </c>
      <c r="G435" s="61" t="n">
        <v>1926312704329</v>
      </c>
      <c r="H435" s="13" t="s">
        <v>1537</v>
      </c>
      <c r="I435" s="13"/>
      <c r="J435" s="13"/>
      <c r="K435" s="13" t="s">
        <v>1541</v>
      </c>
      <c r="L435" s="13" t="s">
        <v>1542</v>
      </c>
      <c r="M435" s="13" t="s">
        <v>1549</v>
      </c>
    </row>
    <row r="436" customFormat="false" ht="15" hidden="false" customHeight="false" outlineLevel="0" collapsed="false">
      <c r="A436" s="13" t="s">
        <v>610</v>
      </c>
      <c r="B436" s="13" t="s">
        <v>609</v>
      </c>
      <c r="C436" s="13" t="s">
        <v>1543</v>
      </c>
      <c r="D436" s="13" t="s">
        <v>59</v>
      </c>
      <c r="E436" s="13" t="s">
        <v>847</v>
      </c>
      <c r="F436" s="13" t="s">
        <v>429</v>
      </c>
      <c r="G436" s="61" t="n">
        <v>1893912733782</v>
      </c>
      <c r="H436" s="13" t="s">
        <v>1537</v>
      </c>
      <c r="I436" s="13"/>
      <c r="J436" s="13"/>
      <c r="K436" s="13" t="s">
        <v>1544</v>
      </c>
      <c r="L436" s="13" t="s">
        <v>1539</v>
      </c>
      <c r="M436" s="13" t="s">
        <v>1549</v>
      </c>
    </row>
    <row r="437" customFormat="false" ht="15" hidden="false" customHeight="false" outlineLevel="0" collapsed="false">
      <c r="A437" s="13" t="s">
        <v>610</v>
      </c>
      <c r="B437" s="13" t="s">
        <v>609</v>
      </c>
      <c r="C437" s="13" t="s">
        <v>1545</v>
      </c>
      <c r="D437" s="13" t="s">
        <v>59</v>
      </c>
      <c r="E437" s="13" t="s">
        <v>847</v>
      </c>
      <c r="F437" s="13" t="s">
        <v>429</v>
      </c>
      <c r="G437" s="61" t="n">
        <v>1856055000000</v>
      </c>
      <c r="H437" s="13" t="s">
        <v>1537</v>
      </c>
      <c r="I437" s="13"/>
      <c r="J437" s="13"/>
      <c r="K437" s="13" t="s">
        <v>622</v>
      </c>
      <c r="L437" s="13" t="s">
        <v>1539</v>
      </c>
      <c r="M437" s="13" t="s">
        <v>1549</v>
      </c>
    </row>
    <row r="438" customFormat="false" ht="15" hidden="false" customHeight="false" outlineLevel="0" collapsed="false">
      <c r="A438" s="13" t="s">
        <v>610</v>
      </c>
      <c r="B438" s="13" t="s">
        <v>609</v>
      </c>
      <c r="C438" s="13" t="s">
        <v>1546</v>
      </c>
      <c r="D438" s="13" t="s">
        <v>59</v>
      </c>
      <c r="E438" s="13" t="s">
        <v>847</v>
      </c>
      <c r="F438" s="13" t="s">
        <v>429</v>
      </c>
      <c r="G438" s="61" t="n">
        <v>1830252000000</v>
      </c>
      <c r="H438" s="13" t="s">
        <v>1537</v>
      </c>
      <c r="I438" s="13"/>
      <c r="J438" s="13"/>
      <c r="K438" s="13" t="s">
        <v>1547</v>
      </c>
      <c r="L438" s="13" t="s">
        <v>1539</v>
      </c>
      <c r="M438" s="13" t="s">
        <v>1549</v>
      </c>
    </row>
    <row r="439" customFormat="false" ht="15" hidden="false" customHeight="false" outlineLevel="0" collapsed="false">
      <c r="A439" s="13" t="s">
        <v>610</v>
      </c>
      <c r="B439" s="13" t="s">
        <v>609</v>
      </c>
      <c r="C439" s="13" t="s">
        <v>1548</v>
      </c>
      <c r="D439" s="13" t="s">
        <v>59</v>
      </c>
      <c r="E439" s="13" t="s">
        <v>847</v>
      </c>
      <c r="F439" s="13" t="s">
        <v>429</v>
      </c>
      <c r="G439" s="61" t="n">
        <v>1332590000000</v>
      </c>
      <c r="H439" s="13" t="s">
        <v>1537</v>
      </c>
      <c r="I439" s="13"/>
      <c r="J439" s="13"/>
      <c r="K439" s="13" t="s">
        <v>624</v>
      </c>
      <c r="L439" s="13" t="s">
        <v>1539</v>
      </c>
      <c r="M439" s="13" t="s">
        <v>1549</v>
      </c>
    </row>
    <row r="440" customFormat="false" ht="15" hidden="false" customHeight="false" outlineLevel="0" collapsed="false">
      <c r="A440" s="13" t="s">
        <v>610</v>
      </c>
      <c r="B440" s="13" t="s">
        <v>609</v>
      </c>
      <c r="C440" s="13" t="s">
        <v>1536</v>
      </c>
      <c r="D440" s="13" t="s">
        <v>59</v>
      </c>
      <c r="E440" s="13" t="s">
        <v>848</v>
      </c>
      <c r="F440" s="13" t="s">
        <v>431</v>
      </c>
      <c r="G440" s="61" t="n">
        <v>788766333</v>
      </c>
      <c r="H440" s="13" t="s">
        <v>1537</v>
      </c>
      <c r="I440" s="13"/>
      <c r="J440" s="13" t="s">
        <v>1538</v>
      </c>
      <c r="K440" s="13" t="s">
        <v>1538</v>
      </c>
      <c r="L440" s="13" t="s">
        <v>1539</v>
      </c>
      <c r="M440" s="13"/>
    </row>
    <row r="441" customFormat="false" ht="15" hidden="false" customHeight="false" outlineLevel="0" collapsed="false">
      <c r="A441" s="13" t="s">
        <v>610</v>
      </c>
      <c r="B441" s="13" t="s">
        <v>609</v>
      </c>
      <c r="C441" s="13" t="s">
        <v>1540</v>
      </c>
      <c r="D441" s="13" t="s">
        <v>59</v>
      </c>
      <c r="E441" s="13" t="s">
        <v>848</v>
      </c>
      <c r="F441" s="13" t="s">
        <v>431</v>
      </c>
      <c r="G441" s="61" t="n">
        <v>1089841354</v>
      </c>
      <c r="H441" s="13" t="s">
        <v>1537</v>
      </c>
      <c r="I441" s="13"/>
      <c r="J441" s="13" t="s">
        <v>1541</v>
      </c>
      <c r="K441" s="13" t="s">
        <v>1541</v>
      </c>
      <c r="L441" s="13" t="s">
        <v>1542</v>
      </c>
      <c r="M441" s="13"/>
    </row>
    <row r="442" customFormat="false" ht="15" hidden="false" customHeight="false" outlineLevel="0" collapsed="false">
      <c r="A442" s="13" t="s">
        <v>610</v>
      </c>
      <c r="B442" s="13" t="s">
        <v>609</v>
      </c>
      <c r="C442" s="13" t="s">
        <v>1543</v>
      </c>
      <c r="D442" s="13" t="s">
        <v>59</v>
      </c>
      <c r="E442" s="13" t="s">
        <v>848</v>
      </c>
      <c r="F442" s="13" t="s">
        <v>431</v>
      </c>
      <c r="G442" s="61" t="n">
        <v>1225387334</v>
      </c>
      <c r="H442" s="13" t="s">
        <v>1537</v>
      </c>
      <c r="I442" s="13"/>
      <c r="J442" s="13" t="s">
        <v>1544</v>
      </c>
      <c r="K442" s="13" t="s">
        <v>1544</v>
      </c>
      <c r="L442" s="13" t="s">
        <v>1539</v>
      </c>
      <c r="M442" s="13"/>
    </row>
    <row r="443" customFormat="false" ht="15" hidden="false" customHeight="false" outlineLevel="0" collapsed="false">
      <c r="A443" s="13" t="s">
        <v>610</v>
      </c>
      <c r="B443" s="13" t="s">
        <v>609</v>
      </c>
      <c r="C443" s="13" t="s">
        <v>1545</v>
      </c>
      <c r="D443" s="13" t="s">
        <v>59</v>
      </c>
      <c r="E443" s="13" t="s">
        <v>848</v>
      </c>
      <c r="F443" s="13" t="s">
        <v>431</v>
      </c>
      <c r="G443" s="61" t="n">
        <v>1402000000</v>
      </c>
      <c r="H443" s="13" t="s">
        <v>1537</v>
      </c>
      <c r="I443" s="13"/>
      <c r="J443" s="13" t="s">
        <v>622</v>
      </c>
      <c r="K443" s="13" t="s">
        <v>622</v>
      </c>
      <c r="L443" s="13" t="s">
        <v>1539</v>
      </c>
      <c r="M443" s="13"/>
    </row>
    <row r="444" customFormat="false" ht="15" hidden="false" customHeight="false" outlineLevel="0" collapsed="false">
      <c r="A444" s="13" t="s">
        <v>610</v>
      </c>
      <c r="B444" s="13" t="s">
        <v>609</v>
      </c>
      <c r="C444" s="13" t="s">
        <v>1546</v>
      </c>
      <c r="D444" s="13" t="s">
        <v>59</v>
      </c>
      <c r="E444" s="13" t="s">
        <v>848</v>
      </c>
      <c r="F444" s="13" t="s">
        <v>431</v>
      </c>
      <c r="G444" s="61" t="n">
        <v>3052000000</v>
      </c>
      <c r="H444" s="13" t="s">
        <v>1537</v>
      </c>
      <c r="I444" s="13"/>
      <c r="J444" s="13" t="s">
        <v>1547</v>
      </c>
      <c r="K444" s="13" t="s">
        <v>1547</v>
      </c>
      <c r="L444" s="13" t="s">
        <v>1539</v>
      </c>
      <c r="M444" s="13"/>
    </row>
    <row r="445" customFormat="false" ht="15" hidden="false" customHeight="false" outlineLevel="0" collapsed="false">
      <c r="A445" s="13" t="s">
        <v>610</v>
      </c>
      <c r="B445" s="13" t="s">
        <v>609</v>
      </c>
      <c r="C445" s="13" t="s">
        <v>1548</v>
      </c>
      <c r="D445" s="13" t="s">
        <v>59</v>
      </c>
      <c r="E445" s="13" t="s">
        <v>848</v>
      </c>
      <c r="F445" s="13" t="s">
        <v>431</v>
      </c>
      <c r="G445" s="61" t="n">
        <v>3135000000</v>
      </c>
      <c r="H445" s="13" t="s">
        <v>1537</v>
      </c>
      <c r="I445" s="13"/>
      <c r="J445" s="13" t="s">
        <v>624</v>
      </c>
      <c r="K445" s="13" t="s">
        <v>624</v>
      </c>
      <c r="L445" s="13" t="s">
        <v>1539</v>
      </c>
      <c r="M445" s="13"/>
    </row>
    <row r="446" customFormat="false" ht="15" hidden="false" customHeight="false" outlineLevel="0" collapsed="false">
      <c r="A446" s="13" t="s">
        <v>610</v>
      </c>
      <c r="B446" s="13" t="s">
        <v>609</v>
      </c>
      <c r="C446" s="13" t="s">
        <v>1536</v>
      </c>
      <c r="D446" s="13" t="s">
        <v>59</v>
      </c>
      <c r="E446" s="13" t="s">
        <v>850</v>
      </c>
      <c r="F446" s="13" t="s">
        <v>434</v>
      </c>
      <c r="G446" s="61" t="n">
        <v>1754736272764</v>
      </c>
      <c r="H446" s="13" t="s">
        <v>1537</v>
      </c>
      <c r="I446" s="13"/>
      <c r="J446" s="13"/>
      <c r="K446" s="13" t="s">
        <v>1538</v>
      </c>
      <c r="L446" s="13" t="s">
        <v>1539</v>
      </c>
      <c r="M446" s="13" t="s">
        <v>1549</v>
      </c>
    </row>
    <row r="447" customFormat="false" ht="15" hidden="false" customHeight="false" outlineLevel="0" collapsed="false">
      <c r="A447" s="13" t="s">
        <v>610</v>
      </c>
      <c r="B447" s="13" t="s">
        <v>609</v>
      </c>
      <c r="C447" s="13" t="s">
        <v>1540</v>
      </c>
      <c r="D447" s="13" t="s">
        <v>59</v>
      </c>
      <c r="E447" s="13" t="s">
        <v>850</v>
      </c>
      <c r="F447" s="13" t="s">
        <v>434</v>
      </c>
      <c r="G447" s="61" t="n">
        <v>1927402545683</v>
      </c>
      <c r="H447" s="13" t="s">
        <v>1537</v>
      </c>
      <c r="I447" s="13"/>
      <c r="J447" s="13"/>
      <c r="K447" s="13" t="s">
        <v>1541</v>
      </c>
      <c r="L447" s="13" t="s">
        <v>1542</v>
      </c>
      <c r="M447" s="13" t="s">
        <v>1549</v>
      </c>
    </row>
    <row r="448" customFormat="false" ht="15" hidden="false" customHeight="false" outlineLevel="0" collapsed="false">
      <c r="A448" s="13" t="s">
        <v>610</v>
      </c>
      <c r="B448" s="13" t="s">
        <v>609</v>
      </c>
      <c r="C448" s="13" t="s">
        <v>1543</v>
      </c>
      <c r="D448" s="13" t="s">
        <v>59</v>
      </c>
      <c r="E448" s="13" t="s">
        <v>850</v>
      </c>
      <c r="F448" s="13" t="s">
        <v>434</v>
      </c>
      <c r="G448" s="61" t="n">
        <v>1895138121116</v>
      </c>
      <c r="H448" s="13" t="s">
        <v>1537</v>
      </c>
      <c r="I448" s="13"/>
      <c r="J448" s="13"/>
      <c r="K448" s="13" t="s">
        <v>1544</v>
      </c>
      <c r="L448" s="13" t="s">
        <v>1539</v>
      </c>
      <c r="M448" s="13" t="s">
        <v>1549</v>
      </c>
    </row>
    <row r="449" customFormat="false" ht="15" hidden="false" customHeight="false" outlineLevel="0" collapsed="false">
      <c r="A449" s="13" t="s">
        <v>610</v>
      </c>
      <c r="B449" s="13" t="s">
        <v>609</v>
      </c>
      <c r="C449" s="13" t="s">
        <v>1545</v>
      </c>
      <c r="D449" s="13" t="s">
        <v>59</v>
      </c>
      <c r="E449" s="13" t="s">
        <v>850</v>
      </c>
      <c r="F449" s="13" t="s">
        <v>434</v>
      </c>
      <c r="G449" s="61" t="n">
        <v>1857457000000</v>
      </c>
      <c r="H449" s="13" t="s">
        <v>1537</v>
      </c>
      <c r="I449" s="13"/>
      <c r="J449" s="13"/>
      <c r="K449" s="13" t="s">
        <v>622</v>
      </c>
      <c r="L449" s="13" t="s">
        <v>1539</v>
      </c>
      <c r="M449" s="13" t="s">
        <v>1549</v>
      </c>
    </row>
    <row r="450" customFormat="false" ht="15" hidden="false" customHeight="false" outlineLevel="0" collapsed="false">
      <c r="A450" s="13" t="s">
        <v>610</v>
      </c>
      <c r="B450" s="13" t="s">
        <v>609</v>
      </c>
      <c r="C450" s="13" t="s">
        <v>1546</v>
      </c>
      <c r="D450" s="13" t="s">
        <v>59</v>
      </c>
      <c r="E450" s="13" t="s">
        <v>850</v>
      </c>
      <c r="F450" s="13" t="s">
        <v>434</v>
      </c>
      <c r="G450" s="61" t="n">
        <v>1833304000000</v>
      </c>
      <c r="H450" s="13" t="s">
        <v>1537</v>
      </c>
      <c r="I450" s="13"/>
      <c r="J450" s="13"/>
      <c r="K450" s="13" t="s">
        <v>1547</v>
      </c>
      <c r="L450" s="13" t="s">
        <v>1539</v>
      </c>
      <c r="M450" s="13" t="s">
        <v>1549</v>
      </c>
    </row>
    <row r="451" customFormat="false" ht="15" hidden="false" customHeight="false" outlineLevel="0" collapsed="false">
      <c r="A451" s="13" t="s">
        <v>610</v>
      </c>
      <c r="B451" s="13" t="s">
        <v>609</v>
      </c>
      <c r="C451" s="13" t="s">
        <v>1548</v>
      </c>
      <c r="D451" s="13" t="s">
        <v>59</v>
      </c>
      <c r="E451" s="13" t="s">
        <v>850</v>
      </c>
      <c r="F451" s="13" t="s">
        <v>434</v>
      </c>
      <c r="G451" s="61" t="n">
        <v>1335725000000</v>
      </c>
      <c r="H451" s="13" t="s">
        <v>1537</v>
      </c>
      <c r="I451" s="13"/>
      <c r="J451" s="13"/>
      <c r="K451" s="13" t="s">
        <v>624</v>
      </c>
      <c r="L451" s="13" t="s">
        <v>1539</v>
      </c>
      <c r="M451" s="13" t="s">
        <v>1549</v>
      </c>
    </row>
    <row r="452" customFormat="false" ht="15" hidden="false" customHeight="false" outlineLevel="0" collapsed="false">
      <c r="A452" s="13" t="s">
        <v>610</v>
      </c>
      <c r="B452" s="13" t="s">
        <v>609</v>
      </c>
      <c r="C452" s="13" t="s">
        <v>1536</v>
      </c>
      <c r="D452" s="13" t="s">
        <v>59</v>
      </c>
      <c r="E452" s="13" t="s">
        <v>851</v>
      </c>
      <c r="F452" s="13" t="s">
        <v>436</v>
      </c>
      <c r="G452" s="61" t="n">
        <v>4346329088006</v>
      </c>
      <c r="H452" s="13" t="s">
        <v>1537</v>
      </c>
      <c r="I452" s="13"/>
      <c r="J452" s="13"/>
      <c r="K452" s="13" t="s">
        <v>1538</v>
      </c>
      <c r="L452" s="13" t="s">
        <v>1539</v>
      </c>
      <c r="M452" s="13" t="s">
        <v>1549</v>
      </c>
    </row>
    <row r="453" customFormat="false" ht="15" hidden="false" customHeight="false" outlineLevel="0" collapsed="false">
      <c r="A453" s="13" t="s">
        <v>610</v>
      </c>
      <c r="B453" s="13" t="s">
        <v>609</v>
      </c>
      <c r="C453" s="13" t="s">
        <v>1540</v>
      </c>
      <c r="D453" s="13" t="s">
        <v>59</v>
      </c>
      <c r="E453" s="13" t="s">
        <v>851</v>
      </c>
      <c r="F453" s="13" t="s">
        <v>436</v>
      </c>
      <c r="G453" s="61" t="n">
        <v>4871806608361</v>
      </c>
      <c r="H453" s="13" t="s">
        <v>1537</v>
      </c>
      <c r="I453" s="13"/>
      <c r="J453" s="13"/>
      <c r="K453" s="13" t="s">
        <v>1541</v>
      </c>
      <c r="L453" s="13" t="s">
        <v>1542</v>
      </c>
      <c r="M453" s="13" t="s">
        <v>1549</v>
      </c>
    </row>
    <row r="454" customFormat="false" ht="15" hidden="false" customHeight="false" outlineLevel="0" collapsed="false">
      <c r="A454" s="13" t="s">
        <v>610</v>
      </c>
      <c r="B454" s="13" t="s">
        <v>609</v>
      </c>
      <c r="C454" s="13" t="s">
        <v>1543</v>
      </c>
      <c r="D454" s="13" t="s">
        <v>59</v>
      </c>
      <c r="E454" s="13" t="s">
        <v>851</v>
      </c>
      <c r="F454" s="13" t="s">
        <v>436</v>
      </c>
      <c r="G454" s="61" t="n">
        <v>5749599247752</v>
      </c>
      <c r="H454" s="13" t="s">
        <v>1537</v>
      </c>
      <c r="I454" s="13"/>
      <c r="J454" s="13"/>
      <c r="K454" s="13" t="s">
        <v>1544</v>
      </c>
      <c r="L454" s="13" t="s">
        <v>1539</v>
      </c>
      <c r="M454" s="13" t="s">
        <v>1549</v>
      </c>
    </row>
    <row r="455" customFormat="false" ht="15" hidden="false" customHeight="false" outlineLevel="0" collapsed="false">
      <c r="A455" s="13" t="s">
        <v>610</v>
      </c>
      <c r="B455" s="13" t="s">
        <v>609</v>
      </c>
      <c r="C455" s="13" t="s">
        <v>1545</v>
      </c>
      <c r="D455" s="13" t="s">
        <v>59</v>
      </c>
      <c r="E455" s="13" t="s">
        <v>851</v>
      </c>
      <c r="F455" s="13" t="s">
        <v>436</v>
      </c>
      <c r="G455" s="61" t="n">
        <v>5606291000000</v>
      </c>
      <c r="H455" s="13" t="s">
        <v>1537</v>
      </c>
      <c r="I455" s="13"/>
      <c r="J455" s="13"/>
      <c r="K455" s="13" t="s">
        <v>622</v>
      </c>
      <c r="L455" s="13" t="s">
        <v>1539</v>
      </c>
      <c r="M455" s="13" t="s">
        <v>1549</v>
      </c>
    </row>
    <row r="456" customFormat="false" ht="15" hidden="false" customHeight="false" outlineLevel="0" collapsed="false">
      <c r="A456" s="13" t="s">
        <v>610</v>
      </c>
      <c r="B456" s="13" t="s">
        <v>609</v>
      </c>
      <c r="C456" s="13" t="s">
        <v>1546</v>
      </c>
      <c r="D456" s="13" t="s">
        <v>59</v>
      </c>
      <c r="E456" s="13" t="s">
        <v>851</v>
      </c>
      <c r="F456" s="13" t="s">
        <v>436</v>
      </c>
      <c r="G456" s="61" t="n">
        <v>5683022000000</v>
      </c>
      <c r="H456" s="13" t="s">
        <v>1537</v>
      </c>
      <c r="I456" s="13"/>
      <c r="J456" s="13"/>
      <c r="K456" s="13" t="s">
        <v>1547</v>
      </c>
      <c r="L456" s="13" t="s">
        <v>1539</v>
      </c>
      <c r="M456" s="13" t="s">
        <v>1549</v>
      </c>
    </row>
    <row r="457" customFormat="false" ht="15" hidden="false" customHeight="false" outlineLevel="0" collapsed="false">
      <c r="A457" s="13" t="s">
        <v>610</v>
      </c>
      <c r="B457" s="13" t="s">
        <v>609</v>
      </c>
      <c r="C457" s="13" t="s">
        <v>1548</v>
      </c>
      <c r="D457" s="13" t="s">
        <v>59</v>
      </c>
      <c r="E457" s="13" t="s">
        <v>851</v>
      </c>
      <c r="F457" s="13" t="s">
        <v>436</v>
      </c>
      <c r="G457" s="61" t="n">
        <v>7623910000000</v>
      </c>
      <c r="H457" s="13" t="s">
        <v>1537</v>
      </c>
      <c r="I457" s="13"/>
      <c r="J457" s="13"/>
      <c r="K457" s="13" t="s">
        <v>624</v>
      </c>
      <c r="L457" s="13" t="s">
        <v>1539</v>
      </c>
      <c r="M457" s="13" t="s">
        <v>1549</v>
      </c>
    </row>
    <row r="458" customFormat="false" ht="15" hidden="false" customHeight="false" outlineLevel="0" collapsed="false">
      <c r="A458" s="13" t="s">
        <v>610</v>
      </c>
      <c r="B458" s="13" t="s">
        <v>609</v>
      </c>
      <c r="C458" s="13" t="s">
        <v>1536</v>
      </c>
      <c r="D458" s="13" t="s">
        <v>59</v>
      </c>
      <c r="E458" s="13" t="s">
        <v>853</v>
      </c>
      <c r="F458" s="13" t="s">
        <v>854</v>
      </c>
      <c r="G458" s="61" t="n">
        <v>2000000000</v>
      </c>
      <c r="H458" s="13" t="s">
        <v>1537</v>
      </c>
      <c r="I458" s="13"/>
      <c r="J458" s="13" t="s">
        <v>1538</v>
      </c>
      <c r="K458" s="13" t="s">
        <v>1538</v>
      </c>
      <c r="L458" s="13" t="s">
        <v>1539</v>
      </c>
      <c r="M458" s="13"/>
    </row>
    <row r="459" customFormat="false" ht="15" hidden="false" customHeight="false" outlineLevel="0" collapsed="false">
      <c r="A459" s="13" t="s">
        <v>610</v>
      </c>
      <c r="B459" s="13" t="s">
        <v>609</v>
      </c>
      <c r="C459" s="13" t="s">
        <v>1540</v>
      </c>
      <c r="D459" s="13" t="s">
        <v>59</v>
      </c>
      <c r="E459" s="13" t="s">
        <v>853</v>
      </c>
      <c r="F459" s="13" t="s">
        <v>854</v>
      </c>
      <c r="G459" s="61" t="n">
        <v>2000000000</v>
      </c>
      <c r="H459" s="13" t="s">
        <v>1537</v>
      </c>
      <c r="I459" s="13"/>
      <c r="J459" s="13" t="s">
        <v>1541</v>
      </c>
      <c r="K459" s="13" t="s">
        <v>1541</v>
      </c>
      <c r="L459" s="13" t="s">
        <v>1542</v>
      </c>
      <c r="M459" s="13"/>
    </row>
    <row r="460" customFormat="false" ht="15" hidden="false" customHeight="false" outlineLevel="0" collapsed="false">
      <c r="A460" s="13" t="s">
        <v>610</v>
      </c>
      <c r="B460" s="13" t="s">
        <v>609</v>
      </c>
      <c r="C460" s="13" t="s">
        <v>1543</v>
      </c>
      <c r="D460" s="13" t="s">
        <v>59</v>
      </c>
      <c r="E460" s="13" t="s">
        <v>853</v>
      </c>
      <c r="F460" s="13" t="s">
        <v>854</v>
      </c>
      <c r="G460" s="61" t="n">
        <v>7000000000</v>
      </c>
      <c r="H460" s="13" t="s">
        <v>1537</v>
      </c>
      <c r="I460" s="13"/>
      <c r="J460" s="13" t="s">
        <v>1544</v>
      </c>
      <c r="K460" s="13" t="s">
        <v>1544</v>
      </c>
      <c r="L460" s="13" t="s">
        <v>1539</v>
      </c>
      <c r="M460" s="13"/>
    </row>
    <row r="461" customFormat="false" ht="15" hidden="false" customHeight="false" outlineLevel="0" collapsed="false">
      <c r="A461" s="13" t="s">
        <v>610</v>
      </c>
      <c r="B461" s="13" t="s">
        <v>609</v>
      </c>
      <c r="C461" s="13" t="s">
        <v>1545</v>
      </c>
      <c r="D461" s="13" t="s">
        <v>59</v>
      </c>
      <c r="E461" s="13" t="s">
        <v>853</v>
      </c>
      <c r="F461" s="13" t="s">
        <v>854</v>
      </c>
      <c r="G461" s="61" t="n">
        <v>7000000000</v>
      </c>
      <c r="H461" s="13" t="s">
        <v>1537</v>
      </c>
      <c r="I461" s="13"/>
      <c r="J461" s="13" t="s">
        <v>622</v>
      </c>
      <c r="K461" s="13" t="s">
        <v>622</v>
      </c>
      <c r="L461" s="13" t="s">
        <v>1539</v>
      </c>
      <c r="M461" s="13"/>
    </row>
    <row r="462" customFormat="false" ht="15" hidden="false" customHeight="false" outlineLevel="0" collapsed="false">
      <c r="A462" s="13" t="s">
        <v>610</v>
      </c>
      <c r="B462" s="13" t="s">
        <v>609</v>
      </c>
      <c r="C462" s="13" t="s">
        <v>1546</v>
      </c>
      <c r="D462" s="13" t="s">
        <v>59</v>
      </c>
      <c r="E462" s="13" t="s">
        <v>853</v>
      </c>
      <c r="F462" s="13" t="s">
        <v>854</v>
      </c>
      <c r="G462" s="61" t="n">
        <v>7000000000</v>
      </c>
      <c r="H462" s="13" t="s">
        <v>1537</v>
      </c>
      <c r="I462" s="13"/>
      <c r="J462" s="13" t="s">
        <v>1547</v>
      </c>
      <c r="K462" s="13" t="s">
        <v>1547</v>
      </c>
      <c r="L462" s="13" t="s">
        <v>1539</v>
      </c>
      <c r="M462" s="13"/>
    </row>
    <row r="463" customFormat="false" ht="15" hidden="false" customHeight="false" outlineLevel="0" collapsed="false">
      <c r="A463" s="13" t="s">
        <v>610</v>
      </c>
      <c r="B463" s="13" t="s">
        <v>609</v>
      </c>
      <c r="C463" s="13" t="s">
        <v>1548</v>
      </c>
      <c r="D463" s="13" t="s">
        <v>59</v>
      </c>
      <c r="E463" s="13" t="s">
        <v>853</v>
      </c>
      <c r="F463" s="13" t="s">
        <v>854</v>
      </c>
      <c r="G463" s="61" t="n">
        <v>7000000000</v>
      </c>
      <c r="H463" s="13" t="s">
        <v>1537</v>
      </c>
      <c r="I463" s="13"/>
      <c r="J463" s="13" t="s">
        <v>624</v>
      </c>
      <c r="K463" s="13" t="s">
        <v>624</v>
      </c>
      <c r="L463" s="13" t="s">
        <v>1539</v>
      </c>
      <c r="M463" s="13"/>
    </row>
    <row r="464" customFormat="false" ht="15" hidden="false" customHeight="false" outlineLevel="0" collapsed="false">
      <c r="A464" s="13" t="s">
        <v>610</v>
      </c>
      <c r="B464" s="13" t="s">
        <v>609</v>
      </c>
      <c r="C464" s="13" t="s">
        <v>1536</v>
      </c>
      <c r="D464" s="13" t="s">
        <v>59</v>
      </c>
      <c r="E464" s="13" t="s">
        <v>856</v>
      </c>
      <c r="F464" s="13" t="s">
        <v>857</v>
      </c>
      <c r="G464" s="61" t="n">
        <v>-602688806428</v>
      </c>
      <c r="H464" s="13" t="s">
        <v>1537</v>
      </c>
      <c r="I464" s="13"/>
      <c r="J464" s="13" t="s">
        <v>1538</v>
      </c>
      <c r="K464" s="13" t="s">
        <v>1538</v>
      </c>
      <c r="L464" s="13" t="s">
        <v>1539</v>
      </c>
      <c r="M464" s="13"/>
    </row>
    <row r="465" customFormat="false" ht="15" hidden="false" customHeight="false" outlineLevel="0" collapsed="false">
      <c r="A465" s="13" t="s">
        <v>610</v>
      </c>
      <c r="B465" s="13" t="s">
        <v>609</v>
      </c>
      <c r="C465" s="13" t="s">
        <v>1540</v>
      </c>
      <c r="D465" s="13" t="s">
        <v>59</v>
      </c>
      <c r="E465" s="13" t="s">
        <v>856</v>
      </c>
      <c r="F465" s="13" t="s">
        <v>857</v>
      </c>
      <c r="G465" s="61" t="n">
        <v>-437380567809</v>
      </c>
      <c r="H465" s="13" t="s">
        <v>1537</v>
      </c>
      <c r="I465" s="13"/>
      <c r="J465" s="13" t="s">
        <v>1541</v>
      </c>
      <c r="K465" s="13" t="s">
        <v>1541</v>
      </c>
      <c r="L465" s="13" t="s">
        <v>1542</v>
      </c>
      <c r="M465" s="13"/>
    </row>
    <row r="466" customFormat="false" ht="15" hidden="false" customHeight="false" outlineLevel="0" collapsed="false">
      <c r="A466" s="13" t="s">
        <v>610</v>
      </c>
      <c r="B466" s="13" t="s">
        <v>609</v>
      </c>
      <c r="C466" s="13" t="s">
        <v>1543</v>
      </c>
      <c r="D466" s="13" t="s">
        <v>59</v>
      </c>
      <c r="E466" s="13" t="s">
        <v>856</v>
      </c>
      <c r="F466" s="13" t="s">
        <v>857</v>
      </c>
      <c r="G466" s="61" t="n">
        <v>-486695516834</v>
      </c>
      <c r="H466" s="13" t="s">
        <v>1537</v>
      </c>
      <c r="I466" s="13"/>
      <c r="J466" s="13" t="s">
        <v>1544</v>
      </c>
      <c r="K466" s="13" t="s">
        <v>1544</v>
      </c>
      <c r="L466" s="13" t="s">
        <v>1539</v>
      </c>
      <c r="M466" s="13"/>
    </row>
    <row r="467" customFormat="false" ht="15" hidden="false" customHeight="false" outlineLevel="0" collapsed="false">
      <c r="A467" s="13" t="s">
        <v>610</v>
      </c>
      <c r="B467" s="13" t="s">
        <v>609</v>
      </c>
      <c r="C467" s="13" t="s">
        <v>1545</v>
      </c>
      <c r="D467" s="13" t="s">
        <v>59</v>
      </c>
      <c r="E467" s="13" t="s">
        <v>856</v>
      </c>
      <c r="F467" s="13" t="s">
        <v>857</v>
      </c>
      <c r="G467" s="61" t="n">
        <v>-525186000000</v>
      </c>
      <c r="H467" s="13" t="s">
        <v>1537</v>
      </c>
      <c r="I467" s="13"/>
      <c r="J467" s="13" t="s">
        <v>622</v>
      </c>
      <c r="K467" s="13" t="s">
        <v>622</v>
      </c>
      <c r="L467" s="13" t="s">
        <v>1539</v>
      </c>
      <c r="M467" s="13"/>
    </row>
    <row r="468" customFormat="false" ht="15" hidden="false" customHeight="false" outlineLevel="0" collapsed="false">
      <c r="A468" s="13" t="s">
        <v>610</v>
      </c>
      <c r="B468" s="13" t="s">
        <v>609</v>
      </c>
      <c r="C468" s="13" t="s">
        <v>1546</v>
      </c>
      <c r="D468" s="13" t="s">
        <v>59</v>
      </c>
      <c r="E468" s="13" t="s">
        <v>856</v>
      </c>
      <c r="F468" s="13" t="s">
        <v>857</v>
      </c>
      <c r="G468" s="61" t="n">
        <v>-548699000000</v>
      </c>
      <c r="H468" s="13" t="s">
        <v>1537</v>
      </c>
      <c r="I468" s="13"/>
      <c r="J468" s="13" t="s">
        <v>1547</v>
      </c>
      <c r="K468" s="13" t="s">
        <v>1547</v>
      </c>
      <c r="L468" s="13" t="s">
        <v>1539</v>
      </c>
      <c r="M468" s="13"/>
    </row>
    <row r="469" customFormat="false" ht="15" hidden="false" customHeight="false" outlineLevel="0" collapsed="false">
      <c r="A469" s="13" t="s">
        <v>610</v>
      </c>
      <c r="B469" s="13" t="s">
        <v>609</v>
      </c>
      <c r="C469" s="13" t="s">
        <v>1548</v>
      </c>
      <c r="D469" s="13" t="s">
        <v>59</v>
      </c>
      <c r="E469" s="13" t="s">
        <v>856</v>
      </c>
      <c r="F469" s="13" t="s">
        <v>857</v>
      </c>
      <c r="G469" s="61" t="n">
        <v>-747699000000</v>
      </c>
      <c r="H469" s="13" t="s">
        <v>1537</v>
      </c>
      <c r="I469" s="13"/>
      <c r="J469" s="13" t="s">
        <v>624</v>
      </c>
      <c r="K469" s="13" t="s">
        <v>624</v>
      </c>
      <c r="L469" s="13" t="s">
        <v>1539</v>
      </c>
      <c r="M469" s="13"/>
    </row>
    <row r="470" customFormat="false" ht="15" hidden="false" customHeight="false" outlineLevel="0" collapsed="false">
      <c r="A470" s="13" t="s">
        <v>610</v>
      </c>
      <c r="B470" s="13" t="s">
        <v>609</v>
      </c>
      <c r="C470" s="13" t="s">
        <v>1536</v>
      </c>
      <c r="D470" s="13" t="s">
        <v>59</v>
      </c>
      <c r="E470" s="13" t="s">
        <v>860</v>
      </c>
      <c r="F470" s="13" t="s">
        <v>861</v>
      </c>
      <c r="G470" s="61" t="n">
        <v>939835506742</v>
      </c>
      <c r="H470" s="13" t="s">
        <v>1537</v>
      </c>
      <c r="I470" s="13"/>
      <c r="J470" s="13" t="s">
        <v>1538</v>
      </c>
      <c r="K470" s="13" t="s">
        <v>1538</v>
      </c>
      <c r="L470" s="13" t="s">
        <v>1539</v>
      </c>
      <c r="M470" s="13"/>
    </row>
    <row r="471" customFormat="false" ht="15" hidden="false" customHeight="false" outlineLevel="0" collapsed="false">
      <c r="A471" s="13" t="s">
        <v>610</v>
      </c>
      <c r="B471" s="13" t="s">
        <v>609</v>
      </c>
      <c r="C471" s="13" t="s">
        <v>1540</v>
      </c>
      <c r="D471" s="13" t="s">
        <v>59</v>
      </c>
      <c r="E471" s="13" t="s">
        <v>860</v>
      </c>
      <c r="F471" s="13" t="s">
        <v>861</v>
      </c>
      <c r="G471" s="61" t="n">
        <v>1021454537372</v>
      </c>
      <c r="H471" s="13" t="s">
        <v>1537</v>
      </c>
      <c r="I471" s="13"/>
      <c r="J471" s="13" t="s">
        <v>1541</v>
      </c>
      <c r="K471" s="13" t="s">
        <v>1541</v>
      </c>
      <c r="L471" s="13" t="s">
        <v>1542</v>
      </c>
      <c r="M471" s="13"/>
    </row>
    <row r="472" customFormat="false" ht="15" hidden="false" customHeight="false" outlineLevel="0" collapsed="false">
      <c r="A472" s="13" t="s">
        <v>610</v>
      </c>
      <c r="B472" s="13" t="s">
        <v>609</v>
      </c>
      <c r="C472" s="13" t="s">
        <v>1543</v>
      </c>
      <c r="D472" s="13" t="s">
        <v>59</v>
      </c>
      <c r="E472" s="13" t="s">
        <v>860</v>
      </c>
      <c r="F472" s="13" t="s">
        <v>861</v>
      </c>
      <c r="G472" s="61" t="n">
        <v>1445613598592</v>
      </c>
      <c r="H472" s="13" t="s">
        <v>1537</v>
      </c>
      <c r="I472" s="13"/>
      <c r="J472" s="13" t="s">
        <v>1544</v>
      </c>
      <c r="K472" s="13" t="s">
        <v>1544</v>
      </c>
      <c r="L472" s="13" t="s">
        <v>1539</v>
      </c>
      <c r="M472" s="13"/>
    </row>
    <row r="473" customFormat="false" ht="15" hidden="false" customHeight="false" outlineLevel="0" collapsed="false">
      <c r="A473" s="13" t="s">
        <v>610</v>
      </c>
      <c r="B473" s="13" t="s">
        <v>609</v>
      </c>
      <c r="C473" s="13" t="s">
        <v>1545</v>
      </c>
      <c r="D473" s="13" t="s">
        <v>59</v>
      </c>
      <c r="E473" s="13" t="s">
        <v>860</v>
      </c>
      <c r="F473" s="13" t="s">
        <v>861</v>
      </c>
      <c r="G473" s="61" t="n">
        <v>998249000000</v>
      </c>
      <c r="H473" s="13" t="s">
        <v>1537</v>
      </c>
      <c r="I473" s="13"/>
      <c r="J473" s="13" t="s">
        <v>622</v>
      </c>
      <c r="K473" s="13" t="s">
        <v>622</v>
      </c>
      <c r="L473" s="13" t="s">
        <v>1539</v>
      </c>
      <c r="M473" s="13"/>
    </row>
    <row r="474" customFormat="false" ht="15" hidden="false" customHeight="false" outlineLevel="0" collapsed="false">
      <c r="A474" s="13" t="s">
        <v>610</v>
      </c>
      <c r="B474" s="13" t="s">
        <v>609</v>
      </c>
      <c r="C474" s="13" t="s">
        <v>1546</v>
      </c>
      <c r="D474" s="13" t="s">
        <v>59</v>
      </c>
      <c r="E474" s="13" t="s">
        <v>860</v>
      </c>
      <c r="F474" s="13" t="s">
        <v>861</v>
      </c>
      <c r="G474" s="61" t="n">
        <v>832802000000</v>
      </c>
      <c r="H474" s="13" t="s">
        <v>1537</v>
      </c>
      <c r="I474" s="13"/>
      <c r="J474" s="13" t="s">
        <v>1547</v>
      </c>
      <c r="K474" s="13" t="s">
        <v>1547</v>
      </c>
      <c r="L474" s="13" t="s">
        <v>1539</v>
      </c>
      <c r="M474" s="13"/>
    </row>
    <row r="475" customFormat="false" ht="15" hidden="false" customHeight="false" outlineLevel="0" collapsed="false">
      <c r="A475" s="13" t="s">
        <v>610</v>
      </c>
      <c r="B475" s="13" t="s">
        <v>609</v>
      </c>
      <c r="C475" s="13" t="s">
        <v>1548</v>
      </c>
      <c r="D475" s="13" t="s">
        <v>59</v>
      </c>
      <c r="E475" s="13" t="s">
        <v>860</v>
      </c>
      <c r="F475" s="13" t="s">
        <v>861</v>
      </c>
      <c r="G475" s="61" t="n">
        <v>2527917000000</v>
      </c>
      <c r="H475" s="13" t="s">
        <v>1537</v>
      </c>
      <c r="I475" s="13"/>
      <c r="J475" s="13" t="s">
        <v>624</v>
      </c>
      <c r="K475" s="13" t="s">
        <v>624</v>
      </c>
      <c r="L475" s="13" t="s">
        <v>1539</v>
      </c>
      <c r="M475" s="13"/>
    </row>
    <row r="476" customFormat="false" ht="15" hidden="false" customHeight="false" outlineLevel="0" collapsed="false">
      <c r="A476" s="13" t="s">
        <v>610</v>
      </c>
      <c r="B476" s="13" t="s">
        <v>609</v>
      </c>
      <c r="C476" s="13" t="s">
        <v>1536</v>
      </c>
      <c r="D476" s="13" t="s">
        <v>59</v>
      </c>
      <c r="E476" s="13" t="s">
        <v>863</v>
      </c>
      <c r="F476" s="13" t="s">
        <v>864</v>
      </c>
      <c r="G476" s="61" t="n">
        <v>3406493581264</v>
      </c>
      <c r="H476" s="13" t="s">
        <v>1537</v>
      </c>
      <c r="I476" s="13"/>
      <c r="J476" s="13" t="s">
        <v>1538</v>
      </c>
      <c r="K476" s="13" t="s">
        <v>1538</v>
      </c>
      <c r="L476" s="13" t="s">
        <v>1539</v>
      </c>
      <c r="M476" s="13"/>
    </row>
    <row r="477" customFormat="false" ht="15" hidden="false" customHeight="false" outlineLevel="0" collapsed="false">
      <c r="A477" s="13" t="s">
        <v>610</v>
      </c>
      <c r="B477" s="13" t="s">
        <v>609</v>
      </c>
      <c r="C477" s="13" t="s">
        <v>1540</v>
      </c>
      <c r="D477" s="13" t="s">
        <v>59</v>
      </c>
      <c r="E477" s="13" t="s">
        <v>863</v>
      </c>
      <c r="F477" s="13" t="s">
        <v>864</v>
      </c>
      <c r="G477" s="61" t="n">
        <v>3850352070989</v>
      </c>
      <c r="H477" s="13" t="s">
        <v>1537</v>
      </c>
      <c r="I477" s="13"/>
      <c r="J477" s="13" t="s">
        <v>1541</v>
      </c>
      <c r="K477" s="13" t="s">
        <v>1541</v>
      </c>
      <c r="L477" s="13" t="s">
        <v>1542</v>
      </c>
      <c r="M477" s="13"/>
    </row>
    <row r="478" customFormat="false" ht="15" hidden="false" customHeight="false" outlineLevel="0" collapsed="false">
      <c r="A478" s="13" t="s">
        <v>610</v>
      </c>
      <c r="B478" s="13" t="s">
        <v>609</v>
      </c>
      <c r="C478" s="13" t="s">
        <v>1543</v>
      </c>
      <c r="D478" s="13" t="s">
        <v>59</v>
      </c>
      <c r="E478" s="13" t="s">
        <v>863</v>
      </c>
      <c r="F478" s="13" t="s">
        <v>864</v>
      </c>
      <c r="G478" s="61" t="n">
        <v>4303985649160</v>
      </c>
      <c r="H478" s="13" t="s">
        <v>1537</v>
      </c>
      <c r="I478" s="13"/>
      <c r="J478" s="13" t="s">
        <v>1544</v>
      </c>
      <c r="K478" s="13" t="s">
        <v>1544</v>
      </c>
      <c r="L478" s="13" t="s">
        <v>1539</v>
      </c>
      <c r="M478" s="13"/>
    </row>
    <row r="479" customFormat="false" ht="15" hidden="false" customHeight="false" outlineLevel="0" collapsed="false">
      <c r="A479" s="13" t="s">
        <v>610</v>
      </c>
      <c r="B479" s="13" t="s">
        <v>609</v>
      </c>
      <c r="C479" s="13" t="s">
        <v>1545</v>
      </c>
      <c r="D479" s="13" t="s">
        <v>59</v>
      </c>
      <c r="E479" s="13" t="s">
        <v>863</v>
      </c>
      <c r="F479" s="13" t="s">
        <v>864</v>
      </c>
      <c r="G479" s="61" t="n">
        <v>4608042000000</v>
      </c>
      <c r="H479" s="13" t="s">
        <v>1537</v>
      </c>
      <c r="I479" s="13"/>
      <c r="J479" s="13" t="s">
        <v>622</v>
      </c>
      <c r="K479" s="13" t="s">
        <v>622</v>
      </c>
      <c r="L479" s="13" t="s">
        <v>1539</v>
      </c>
      <c r="M479" s="13"/>
    </row>
    <row r="480" customFormat="false" ht="15" hidden="false" customHeight="false" outlineLevel="0" collapsed="false">
      <c r="A480" s="13" t="s">
        <v>610</v>
      </c>
      <c r="B480" s="13" t="s">
        <v>609</v>
      </c>
      <c r="C480" s="13" t="s">
        <v>1546</v>
      </c>
      <c r="D480" s="13" t="s">
        <v>59</v>
      </c>
      <c r="E480" s="13" t="s">
        <v>863</v>
      </c>
      <c r="F480" s="13" t="s">
        <v>864</v>
      </c>
      <c r="G480" s="61" t="n">
        <v>4850220000000</v>
      </c>
      <c r="H480" s="13" t="s">
        <v>1537</v>
      </c>
      <c r="I480" s="13"/>
      <c r="J480" s="13" t="s">
        <v>1547</v>
      </c>
      <c r="K480" s="13" t="s">
        <v>1547</v>
      </c>
      <c r="L480" s="13" t="s">
        <v>1539</v>
      </c>
      <c r="M480" s="13"/>
    </row>
    <row r="481" customFormat="false" ht="15" hidden="false" customHeight="false" outlineLevel="0" collapsed="false">
      <c r="A481" s="13" t="s">
        <v>610</v>
      </c>
      <c r="B481" s="13" t="s">
        <v>609</v>
      </c>
      <c r="C481" s="13" t="s">
        <v>1548</v>
      </c>
      <c r="D481" s="13" t="s">
        <v>59</v>
      </c>
      <c r="E481" s="13" t="s">
        <v>863</v>
      </c>
      <c r="F481" s="13" t="s">
        <v>864</v>
      </c>
      <c r="G481" s="61" t="n">
        <v>5095993000000</v>
      </c>
      <c r="H481" s="13" t="s">
        <v>1537</v>
      </c>
      <c r="I481" s="13"/>
      <c r="J481" s="13" t="s">
        <v>624</v>
      </c>
      <c r="K481" s="13" t="s">
        <v>624</v>
      </c>
      <c r="L481" s="13" t="s">
        <v>1539</v>
      </c>
      <c r="M481" s="13"/>
    </row>
    <row r="482" customFormat="false" ht="15" hidden="false" customHeight="false" outlineLevel="0" collapsed="false">
      <c r="A482" s="13" t="s">
        <v>610</v>
      </c>
      <c r="B482" s="13" t="s">
        <v>609</v>
      </c>
      <c r="C482" s="13" t="s">
        <v>1536</v>
      </c>
      <c r="D482" s="13" t="s">
        <v>59</v>
      </c>
      <c r="E482" s="13" t="s">
        <v>866</v>
      </c>
      <c r="F482" s="13" t="s">
        <v>867</v>
      </c>
      <c r="G482" s="61" t="n">
        <v>4346329088006</v>
      </c>
      <c r="H482" s="13" t="s">
        <v>1537</v>
      </c>
      <c r="I482" s="13"/>
      <c r="J482" s="13" t="s">
        <v>1538</v>
      </c>
      <c r="K482" s="13" t="s">
        <v>1538</v>
      </c>
      <c r="L482" s="13" t="s">
        <v>1539</v>
      </c>
      <c r="M482" s="13"/>
    </row>
    <row r="483" customFormat="false" ht="15" hidden="false" customHeight="false" outlineLevel="0" collapsed="false">
      <c r="A483" s="13" t="s">
        <v>610</v>
      </c>
      <c r="B483" s="13" t="s">
        <v>609</v>
      </c>
      <c r="C483" s="13" t="s">
        <v>1540</v>
      </c>
      <c r="D483" s="13" t="s">
        <v>59</v>
      </c>
      <c r="E483" s="13" t="s">
        <v>866</v>
      </c>
      <c r="F483" s="13" t="s">
        <v>867</v>
      </c>
      <c r="G483" s="61" t="n">
        <v>4871806608361</v>
      </c>
      <c r="H483" s="13" t="s">
        <v>1537</v>
      </c>
      <c r="I483" s="13"/>
      <c r="J483" s="13" t="s">
        <v>1541</v>
      </c>
      <c r="K483" s="13" t="s">
        <v>1541</v>
      </c>
      <c r="L483" s="13" t="s">
        <v>1542</v>
      </c>
      <c r="M483" s="13"/>
    </row>
    <row r="484" customFormat="false" ht="15" hidden="false" customHeight="false" outlineLevel="0" collapsed="false">
      <c r="A484" s="13" t="s">
        <v>610</v>
      </c>
      <c r="B484" s="13" t="s">
        <v>609</v>
      </c>
      <c r="C484" s="13" t="s">
        <v>1543</v>
      </c>
      <c r="D484" s="13" t="s">
        <v>59</v>
      </c>
      <c r="E484" s="13" t="s">
        <v>866</v>
      </c>
      <c r="F484" s="13" t="s">
        <v>867</v>
      </c>
      <c r="G484" s="61" t="n">
        <v>5749599247752</v>
      </c>
      <c r="H484" s="13" t="s">
        <v>1537</v>
      </c>
      <c r="I484" s="13"/>
      <c r="J484" s="13" t="s">
        <v>1544</v>
      </c>
      <c r="K484" s="13" t="s">
        <v>1544</v>
      </c>
      <c r="L484" s="13" t="s">
        <v>1539</v>
      </c>
      <c r="M484" s="13"/>
    </row>
    <row r="485" customFormat="false" ht="15" hidden="false" customHeight="false" outlineLevel="0" collapsed="false">
      <c r="A485" s="13" t="s">
        <v>610</v>
      </c>
      <c r="B485" s="13" t="s">
        <v>609</v>
      </c>
      <c r="C485" s="13" t="s">
        <v>1545</v>
      </c>
      <c r="D485" s="13" t="s">
        <v>59</v>
      </c>
      <c r="E485" s="13" t="s">
        <v>866</v>
      </c>
      <c r="F485" s="13" t="s">
        <v>867</v>
      </c>
      <c r="G485" s="61" t="n">
        <v>5606291000000</v>
      </c>
      <c r="H485" s="13" t="s">
        <v>1537</v>
      </c>
      <c r="I485" s="13"/>
      <c r="J485" s="13" t="s">
        <v>622</v>
      </c>
      <c r="K485" s="13" t="s">
        <v>622</v>
      </c>
      <c r="L485" s="13" t="s">
        <v>1539</v>
      </c>
      <c r="M485" s="13"/>
    </row>
    <row r="486" customFormat="false" ht="15" hidden="false" customHeight="false" outlineLevel="0" collapsed="false">
      <c r="A486" s="13" t="s">
        <v>610</v>
      </c>
      <c r="B486" s="13" t="s">
        <v>609</v>
      </c>
      <c r="C486" s="13" t="s">
        <v>1546</v>
      </c>
      <c r="D486" s="13" t="s">
        <v>59</v>
      </c>
      <c r="E486" s="13" t="s">
        <v>866</v>
      </c>
      <c r="F486" s="13" t="s">
        <v>867</v>
      </c>
      <c r="G486" s="61" t="n">
        <v>5683022000000</v>
      </c>
      <c r="H486" s="13" t="s">
        <v>1537</v>
      </c>
      <c r="I486" s="13"/>
      <c r="J486" s="13" t="s">
        <v>1547</v>
      </c>
      <c r="K486" s="13" t="s">
        <v>1547</v>
      </c>
      <c r="L486" s="13" t="s">
        <v>1539</v>
      </c>
      <c r="M486" s="13"/>
    </row>
    <row r="487" customFormat="false" ht="15" hidden="false" customHeight="false" outlineLevel="0" collapsed="false">
      <c r="A487" s="13" t="s">
        <v>610</v>
      </c>
      <c r="B487" s="13" t="s">
        <v>609</v>
      </c>
      <c r="C487" s="13" t="s">
        <v>1548</v>
      </c>
      <c r="D487" s="13" t="s">
        <v>59</v>
      </c>
      <c r="E487" s="13" t="s">
        <v>866</v>
      </c>
      <c r="F487" s="13" t="s">
        <v>867</v>
      </c>
      <c r="G487" s="61" t="n">
        <v>7623910000000</v>
      </c>
      <c r="H487" s="13" t="s">
        <v>1537</v>
      </c>
      <c r="I487" s="13"/>
      <c r="J487" s="13" t="s">
        <v>624</v>
      </c>
      <c r="K487" s="13" t="s">
        <v>624</v>
      </c>
      <c r="L487" s="13" t="s">
        <v>1539</v>
      </c>
      <c r="M487" s="13"/>
    </row>
    <row r="488" customFormat="false" ht="15" hidden="false" customHeight="false" outlineLevel="0" collapsed="false">
      <c r="A488" s="13" t="s">
        <v>610</v>
      </c>
      <c r="B488" s="13" t="s">
        <v>609</v>
      </c>
      <c r="C488" s="13" t="s">
        <v>1536</v>
      </c>
      <c r="D488" s="13" t="s">
        <v>59</v>
      </c>
      <c r="E488" s="13" t="s">
        <v>869</v>
      </c>
      <c r="F488" s="13" t="s">
        <v>870</v>
      </c>
      <c r="G488" s="61" t="n">
        <v>1740988511325</v>
      </c>
      <c r="H488" s="13" t="s">
        <v>1537</v>
      </c>
      <c r="I488" s="13"/>
      <c r="J488" s="13" t="s">
        <v>1538</v>
      </c>
      <c r="K488" s="13" t="s">
        <v>1538</v>
      </c>
      <c r="L488" s="13" t="s">
        <v>1539</v>
      </c>
      <c r="M488" s="13"/>
    </row>
    <row r="489" customFormat="false" ht="15" hidden="false" customHeight="false" outlineLevel="0" collapsed="false">
      <c r="A489" s="13" t="s">
        <v>610</v>
      </c>
      <c r="B489" s="13" t="s">
        <v>609</v>
      </c>
      <c r="C489" s="13" t="s">
        <v>1540</v>
      </c>
      <c r="D489" s="13" t="s">
        <v>59</v>
      </c>
      <c r="E489" s="13" t="s">
        <v>869</v>
      </c>
      <c r="F489" s="13" t="s">
        <v>870</v>
      </c>
      <c r="G489" s="61" t="n">
        <v>2659180898777</v>
      </c>
      <c r="H489" s="13" t="s">
        <v>1537</v>
      </c>
      <c r="I489" s="13"/>
      <c r="J489" s="13" t="s">
        <v>1541</v>
      </c>
      <c r="K489" s="13" t="s">
        <v>1541</v>
      </c>
      <c r="L489" s="13" t="s">
        <v>1542</v>
      </c>
      <c r="M489" s="13"/>
    </row>
    <row r="490" customFormat="false" ht="15" hidden="false" customHeight="false" outlineLevel="0" collapsed="false">
      <c r="A490" s="13" t="s">
        <v>610</v>
      </c>
      <c r="B490" s="13" t="s">
        <v>609</v>
      </c>
      <c r="C490" s="13" t="s">
        <v>1543</v>
      </c>
      <c r="D490" s="13" t="s">
        <v>59</v>
      </c>
      <c r="E490" s="13" t="s">
        <v>869</v>
      </c>
      <c r="F490" s="13" t="s">
        <v>870</v>
      </c>
      <c r="G490" s="61" t="n">
        <v>2602765426046</v>
      </c>
      <c r="H490" s="13" t="s">
        <v>1537</v>
      </c>
      <c r="I490" s="13"/>
      <c r="J490" s="13" t="s">
        <v>1544</v>
      </c>
      <c r="K490" s="13" t="s">
        <v>1544</v>
      </c>
      <c r="L490" s="13" t="s">
        <v>1539</v>
      </c>
      <c r="M490" s="13"/>
    </row>
    <row r="491" customFormat="false" ht="15" hidden="false" customHeight="false" outlineLevel="0" collapsed="false">
      <c r="A491" s="13" t="s">
        <v>610</v>
      </c>
      <c r="B491" s="13" t="s">
        <v>609</v>
      </c>
      <c r="C491" s="13" t="s">
        <v>1545</v>
      </c>
      <c r="D491" s="13" t="s">
        <v>59</v>
      </c>
      <c r="E491" s="13" t="s">
        <v>869</v>
      </c>
      <c r="F491" s="13" t="s">
        <v>870</v>
      </c>
      <c r="G491" s="61" t="n">
        <v>2105526000000</v>
      </c>
      <c r="H491" s="13" t="s">
        <v>1537</v>
      </c>
      <c r="I491" s="13"/>
      <c r="J491" s="13" t="s">
        <v>622</v>
      </c>
      <c r="K491" s="13" t="s">
        <v>622</v>
      </c>
      <c r="L491" s="13" t="s">
        <v>1539</v>
      </c>
      <c r="M491" s="13"/>
    </row>
    <row r="492" customFormat="false" ht="15" hidden="false" customHeight="false" outlineLevel="0" collapsed="false">
      <c r="A492" s="13" t="s">
        <v>610</v>
      </c>
      <c r="B492" s="13" t="s">
        <v>609</v>
      </c>
      <c r="C492" s="13" t="s">
        <v>1546</v>
      </c>
      <c r="D492" s="13" t="s">
        <v>59</v>
      </c>
      <c r="E492" s="13" t="s">
        <v>869</v>
      </c>
      <c r="F492" s="13" t="s">
        <v>870</v>
      </c>
      <c r="G492" s="61" t="n">
        <v>2597046000000</v>
      </c>
      <c r="H492" s="13" t="s">
        <v>1537</v>
      </c>
      <c r="I492" s="13"/>
      <c r="J492" s="13" t="s">
        <v>1547</v>
      </c>
      <c r="K492" s="13" t="s">
        <v>1547</v>
      </c>
      <c r="L492" s="13" t="s">
        <v>1539</v>
      </c>
      <c r="M492" s="13"/>
    </row>
    <row r="493" customFormat="false" ht="15" hidden="false" customHeight="false" outlineLevel="0" collapsed="false">
      <c r="A493" s="13" t="s">
        <v>610</v>
      </c>
      <c r="B493" s="13" t="s">
        <v>609</v>
      </c>
      <c r="C493" s="13" t="s">
        <v>1548</v>
      </c>
      <c r="D493" s="13" t="s">
        <v>59</v>
      </c>
      <c r="E493" s="13" t="s">
        <v>869</v>
      </c>
      <c r="F493" s="13" t="s">
        <v>870</v>
      </c>
      <c r="G493" s="61" t="n">
        <v>1610030000000</v>
      </c>
      <c r="H493" s="13" t="s">
        <v>1537</v>
      </c>
      <c r="I493" s="13"/>
      <c r="J493" s="13" t="s">
        <v>624</v>
      </c>
      <c r="K493" s="13" t="s">
        <v>624</v>
      </c>
      <c r="L493" s="13" t="s">
        <v>1539</v>
      </c>
      <c r="M493" s="13"/>
    </row>
    <row r="494" customFormat="false" ht="15" hidden="false" customHeight="false" outlineLevel="0" collapsed="false">
      <c r="A494" s="13" t="s">
        <v>610</v>
      </c>
      <c r="B494" s="13" t="s">
        <v>609</v>
      </c>
      <c r="C494" s="13" t="s">
        <v>1536</v>
      </c>
      <c r="D494" s="13" t="s">
        <v>59</v>
      </c>
      <c r="E494" s="13" t="s">
        <v>872</v>
      </c>
      <c r="F494" s="13" t="s">
        <v>873</v>
      </c>
      <c r="G494" s="61" t="n">
        <v>850604303917</v>
      </c>
      <c r="H494" s="13" t="s">
        <v>1537</v>
      </c>
      <c r="I494" s="13"/>
      <c r="J494" s="13" t="s">
        <v>1538</v>
      </c>
      <c r="K494" s="13" t="s">
        <v>1538</v>
      </c>
      <c r="L494" s="13" t="s">
        <v>1539</v>
      </c>
      <c r="M494" s="13"/>
    </row>
    <row r="495" customFormat="false" ht="15" hidden="false" customHeight="false" outlineLevel="0" collapsed="false">
      <c r="A495" s="13" t="s">
        <v>610</v>
      </c>
      <c r="B495" s="13" t="s">
        <v>609</v>
      </c>
      <c r="C495" s="13" t="s">
        <v>1540</v>
      </c>
      <c r="D495" s="13" t="s">
        <v>59</v>
      </c>
      <c r="E495" s="13" t="s">
        <v>872</v>
      </c>
      <c r="F495" s="13" t="s">
        <v>873</v>
      </c>
      <c r="G495" s="61" t="n">
        <v>285223163901</v>
      </c>
      <c r="H495" s="13" t="s">
        <v>1537</v>
      </c>
      <c r="I495" s="13"/>
      <c r="J495" s="13" t="s">
        <v>1541</v>
      </c>
      <c r="K495" s="13" t="s">
        <v>1541</v>
      </c>
      <c r="L495" s="13" t="s">
        <v>1542</v>
      </c>
      <c r="M495" s="13"/>
    </row>
    <row r="496" customFormat="false" ht="15" hidden="false" customHeight="false" outlineLevel="0" collapsed="false">
      <c r="A496" s="13" t="s">
        <v>610</v>
      </c>
      <c r="B496" s="13" t="s">
        <v>609</v>
      </c>
      <c r="C496" s="13" t="s">
        <v>1543</v>
      </c>
      <c r="D496" s="13" t="s">
        <v>59</v>
      </c>
      <c r="E496" s="13" t="s">
        <v>872</v>
      </c>
      <c r="F496" s="13" t="s">
        <v>873</v>
      </c>
      <c r="G496" s="61" t="n">
        <v>1251695700590</v>
      </c>
      <c r="H496" s="13" t="s">
        <v>1537</v>
      </c>
      <c r="I496" s="13"/>
      <c r="J496" s="13" t="s">
        <v>1544</v>
      </c>
      <c r="K496" s="13" t="s">
        <v>1544</v>
      </c>
      <c r="L496" s="13" t="s">
        <v>1539</v>
      </c>
      <c r="M496" s="13"/>
    </row>
    <row r="497" customFormat="false" ht="15" hidden="false" customHeight="false" outlineLevel="0" collapsed="false">
      <c r="A497" s="13" t="s">
        <v>610</v>
      </c>
      <c r="B497" s="13" t="s">
        <v>609</v>
      </c>
      <c r="C497" s="13" t="s">
        <v>1545</v>
      </c>
      <c r="D497" s="13" t="s">
        <v>59</v>
      </c>
      <c r="E497" s="13" t="s">
        <v>872</v>
      </c>
      <c r="F497" s="13" t="s">
        <v>873</v>
      </c>
      <c r="G497" s="61" t="n">
        <v>1643308000000</v>
      </c>
      <c r="H497" s="13" t="s">
        <v>1537</v>
      </c>
      <c r="I497" s="13"/>
      <c r="J497" s="13" t="s">
        <v>622</v>
      </c>
      <c r="K497" s="13" t="s">
        <v>622</v>
      </c>
      <c r="L497" s="13" t="s">
        <v>1539</v>
      </c>
      <c r="M497" s="13"/>
    </row>
    <row r="498" customFormat="false" ht="15" hidden="false" customHeight="false" outlineLevel="0" collapsed="false">
      <c r="A498" s="13" t="s">
        <v>610</v>
      </c>
      <c r="B498" s="13" t="s">
        <v>609</v>
      </c>
      <c r="C498" s="13" t="s">
        <v>1546</v>
      </c>
      <c r="D498" s="13" t="s">
        <v>59</v>
      </c>
      <c r="E498" s="13" t="s">
        <v>872</v>
      </c>
      <c r="F498" s="13" t="s">
        <v>873</v>
      </c>
      <c r="G498" s="61" t="n">
        <v>1252672000000</v>
      </c>
      <c r="H498" s="13" t="s">
        <v>1537</v>
      </c>
      <c r="I498" s="13"/>
      <c r="J498" s="13" t="s">
        <v>1547</v>
      </c>
      <c r="K498" s="13" t="s">
        <v>1547</v>
      </c>
      <c r="L498" s="13" t="s">
        <v>1539</v>
      </c>
      <c r="M498" s="13"/>
    </row>
    <row r="499" customFormat="false" ht="15" hidden="false" customHeight="false" outlineLevel="0" collapsed="false">
      <c r="A499" s="13" t="s">
        <v>610</v>
      </c>
      <c r="B499" s="13" t="s">
        <v>609</v>
      </c>
      <c r="C499" s="13" t="s">
        <v>1548</v>
      </c>
      <c r="D499" s="13" t="s">
        <v>59</v>
      </c>
      <c r="E499" s="13" t="s">
        <v>872</v>
      </c>
      <c r="F499" s="13" t="s">
        <v>873</v>
      </c>
      <c r="G499" s="61" t="n">
        <v>4678155000000</v>
      </c>
      <c r="H499" s="13" t="s">
        <v>1537</v>
      </c>
      <c r="I499" s="13"/>
      <c r="J499" s="13" t="s">
        <v>624</v>
      </c>
      <c r="K499" s="13" t="s">
        <v>624</v>
      </c>
      <c r="L499" s="13" t="s">
        <v>1539</v>
      </c>
      <c r="M499" s="13"/>
    </row>
    <row r="500" customFormat="false" ht="15" hidden="false" customHeight="false" outlineLevel="0" collapsed="false">
      <c r="A500" s="13" t="s">
        <v>610</v>
      </c>
      <c r="B500" s="13" t="s">
        <v>609</v>
      </c>
      <c r="C500" s="13" t="s">
        <v>1536</v>
      </c>
      <c r="D500" s="13" t="s">
        <v>59</v>
      </c>
      <c r="E500" s="13" t="s">
        <v>875</v>
      </c>
      <c r="F500" s="13" t="s">
        <v>876</v>
      </c>
      <c r="G500" s="61" t="n">
        <v>2591592815242</v>
      </c>
      <c r="H500" s="13" t="s">
        <v>1537</v>
      </c>
      <c r="I500" s="13"/>
      <c r="J500" s="13" t="s">
        <v>1538</v>
      </c>
      <c r="K500" s="13" t="s">
        <v>1538</v>
      </c>
      <c r="L500" s="13" t="s">
        <v>1539</v>
      </c>
      <c r="M500" s="13"/>
    </row>
    <row r="501" customFormat="false" ht="15" hidden="false" customHeight="false" outlineLevel="0" collapsed="false">
      <c r="A501" s="13" t="s">
        <v>610</v>
      </c>
      <c r="B501" s="13" t="s">
        <v>609</v>
      </c>
      <c r="C501" s="13" t="s">
        <v>1540</v>
      </c>
      <c r="D501" s="13" t="s">
        <v>59</v>
      </c>
      <c r="E501" s="13" t="s">
        <v>875</v>
      </c>
      <c r="F501" s="13" t="s">
        <v>876</v>
      </c>
      <c r="G501" s="61" t="n">
        <v>2944404062678</v>
      </c>
      <c r="H501" s="13" t="s">
        <v>1537</v>
      </c>
      <c r="I501" s="13"/>
      <c r="J501" s="13" t="s">
        <v>1541</v>
      </c>
      <c r="K501" s="13" t="s">
        <v>1541</v>
      </c>
      <c r="L501" s="13" t="s">
        <v>1542</v>
      </c>
      <c r="M501" s="13"/>
    </row>
    <row r="502" customFormat="false" ht="15" hidden="false" customHeight="false" outlineLevel="0" collapsed="false">
      <c r="A502" s="13" t="s">
        <v>610</v>
      </c>
      <c r="B502" s="13" t="s">
        <v>609</v>
      </c>
      <c r="C502" s="13" t="s">
        <v>1543</v>
      </c>
      <c r="D502" s="13" t="s">
        <v>59</v>
      </c>
      <c r="E502" s="13" t="s">
        <v>875</v>
      </c>
      <c r="F502" s="13" t="s">
        <v>876</v>
      </c>
      <c r="G502" s="61" t="n">
        <v>3854461126636</v>
      </c>
      <c r="H502" s="13" t="s">
        <v>1537</v>
      </c>
      <c r="I502" s="13"/>
      <c r="J502" s="13" t="s">
        <v>1544</v>
      </c>
      <c r="K502" s="13" t="s">
        <v>1544</v>
      </c>
      <c r="L502" s="13" t="s">
        <v>1539</v>
      </c>
      <c r="M502" s="13"/>
    </row>
    <row r="503" customFormat="false" ht="15" hidden="false" customHeight="false" outlineLevel="0" collapsed="false">
      <c r="A503" s="13" t="s">
        <v>610</v>
      </c>
      <c r="B503" s="13" t="s">
        <v>609</v>
      </c>
      <c r="C503" s="13" t="s">
        <v>1545</v>
      </c>
      <c r="D503" s="13" t="s">
        <v>59</v>
      </c>
      <c r="E503" s="13" t="s">
        <v>875</v>
      </c>
      <c r="F503" s="13" t="s">
        <v>876</v>
      </c>
      <c r="G503" s="61" t="n">
        <v>3748834000000</v>
      </c>
      <c r="H503" s="13" t="s">
        <v>1537</v>
      </c>
      <c r="I503" s="13"/>
      <c r="J503" s="13" t="s">
        <v>622</v>
      </c>
      <c r="K503" s="13" t="s">
        <v>622</v>
      </c>
      <c r="L503" s="13" t="s">
        <v>1539</v>
      </c>
      <c r="M503" s="13"/>
    </row>
    <row r="504" customFormat="false" ht="15" hidden="false" customHeight="false" outlineLevel="0" collapsed="false">
      <c r="A504" s="13" t="s">
        <v>610</v>
      </c>
      <c r="B504" s="13" t="s">
        <v>609</v>
      </c>
      <c r="C504" s="13" t="s">
        <v>1546</v>
      </c>
      <c r="D504" s="13" t="s">
        <v>59</v>
      </c>
      <c r="E504" s="13" t="s">
        <v>875</v>
      </c>
      <c r="F504" s="13" t="s">
        <v>876</v>
      </c>
      <c r="G504" s="61" t="n">
        <v>3849718000000</v>
      </c>
      <c r="H504" s="13" t="s">
        <v>1537</v>
      </c>
      <c r="I504" s="13"/>
      <c r="J504" s="13" t="s">
        <v>1547</v>
      </c>
      <c r="K504" s="13" t="s">
        <v>1547</v>
      </c>
      <c r="L504" s="13" t="s">
        <v>1539</v>
      </c>
      <c r="M504" s="13"/>
    </row>
    <row r="505" customFormat="false" ht="15" hidden="false" customHeight="false" outlineLevel="0" collapsed="false">
      <c r="A505" s="13" t="s">
        <v>610</v>
      </c>
      <c r="B505" s="13" t="s">
        <v>609</v>
      </c>
      <c r="C505" s="13" t="s">
        <v>1548</v>
      </c>
      <c r="D505" s="13" t="s">
        <v>59</v>
      </c>
      <c r="E505" s="13" t="s">
        <v>875</v>
      </c>
      <c r="F505" s="13" t="s">
        <v>876</v>
      </c>
      <c r="G505" s="61" t="n">
        <v>6288185000000</v>
      </c>
      <c r="H505" s="13" t="s">
        <v>1537</v>
      </c>
      <c r="I505" s="13"/>
      <c r="J505" s="13" t="s">
        <v>624</v>
      </c>
      <c r="K505" s="13" t="s">
        <v>624</v>
      </c>
      <c r="L505" s="13" t="s">
        <v>1539</v>
      </c>
      <c r="M505" s="13"/>
    </row>
    <row r="506" customFormat="false" ht="15" hidden="false" customHeight="false" outlineLevel="0" collapsed="false">
      <c r="A506" s="13" t="s">
        <v>610</v>
      </c>
      <c r="B506" s="13" t="s">
        <v>609</v>
      </c>
      <c r="C506" s="13" t="s">
        <v>1536</v>
      </c>
      <c r="D506" s="13" t="s">
        <v>59</v>
      </c>
      <c r="E506" s="13" t="s">
        <v>878</v>
      </c>
      <c r="F506" s="13" t="s">
        <v>879</v>
      </c>
      <c r="G506" s="61" t="n">
        <v>1753947506431</v>
      </c>
      <c r="H506" s="13" t="s">
        <v>1537</v>
      </c>
      <c r="I506" s="13"/>
      <c r="J506" s="13" t="s">
        <v>1538</v>
      </c>
      <c r="K506" s="13" t="s">
        <v>1538</v>
      </c>
      <c r="L506" s="13" t="s">
        <v>1539</v>
      </c>
      <c r="M506" s="13"/>
    </row>
    <row r="507" customFormat="false" ht="15" hidden="false" customHeight="false" outlineLevel="0" collapsed="false">
      <c r="A507" s="13" t="s">
        <v>610</v>
      </c>
      <c r="B507" s="13" t="s">
        <v>609</v>
      </c>
      <c r="C507" s="13" t="s">
        <v>1540</v>
      </c>
      <c r="D507" s="13" t="s">
        <v>59</v>
      </c>
      <c r="E507" s="13" t="s">
        <v>878</v>
      </c>
      <c r="F507" s="13" t="s">
        <v>879</v>
      </c>
      <c r="G507" s="61" t="n">
        <v>1926312704329</v>
      </c>
      <c r="H507" s="13" t="s">
        <v>1537</v>
      </c>
      <c r="I507" s="13"/>
      <c r="J507" s="13" t="s">
        <v>1541</v>
      </c>
      <c r="K507" s="13" t="s">
        <v>1541</v>
      </c>
      <c r="L507" s="13" t="s">
        <v>1542</v>
      </c>
      <c r="M507" s="13"/>
    </row>
    <row r="508" customFormat="false" ht="15" hidden="false" customHeight="false" outlineLevel="0" collapsed="false">
      <c r="A508" s="13" t="s">
        <v>610</v>
      </c>
      <c r="B508" s="13" t="s">
        <v>609</v>
      </c>
      <c r="C508" s="13" t="s">
        <v>1543</v>
      </c>
      <c r="D508" s="13" t="s">
        <v>59</v>
      </c>
      <c r="E508" s="13" t="s">
        <v>878</v>
      </c>
      <c r="F508" s="13" t="s">
        <v>879</v>
      </c>
      <c r="G508" s="61" t="n">
        <v>1893912733782</v>
      </c>
      <c r="H508" s="13" t="s">
        <v>1537</v>
      </c>
      <c r="I508" s="13"/>
      <c r="J508" s="13" t="s">
        <v>1544</v>
      </c>
      <c r="K508" s="13" t="s">
        <v>1544</v>
      </c>
      <c r="L508" s="13" t="s">
        <v>1539</v>
      </c>
      <c r="M508" s="13"/>
    </row>
    <row r="509" customFormat="false" ht="15" hidden="false" customHeight="false" outlineLevel="0" collapsed="false">
      <c r="A509" s="13" t="s">
        <v>610</v>
      </c>
      <c r="B509" s="13" t="s">
        <v>609</v>
      </c>
      <c r="C509" s="13" t="s">
        <v>1545</v>
      </c>
      <c r="D509" s="13" t="s">
        <v>59</v>
      </c>
      <c r="E509" s="13" t="s">
        <v>878</v>
      </c>
      <c r="F509" s="13" t="s">
        <v>879</v>
      </c>
      <c r="G509" s="61" t="n">
        <v>1856055000000</v>
      </c>
      <c r="H509" s="13" t="s">
        <v>1537</v>
      </c>
      <c r="I509" s="13"/>
      <c r="J509" s="13" t="s">
        <v>622</v>
      </c>
      <c r="K509" s="13" t="s">
        <v>622</v>
      </c>
      <c r="L509" s="13" t="s">
        <v>1539</v>
      </c>
      <c r="M509" s="13"/>
    </row>
    <row r="510" customFormat="false" ht="15" hidden="false" customHeight="false" outlineLevel="0" collapsed="false">
      <c r="A510" s="13" t="s">
        <v>610</v>
      </c>
      <c r="B510" s="13" t="s">
        <v>609</v>
      </c>
      <c r="C510" s="13" t="s">
        <v>1546</v>
      </c>
      <c r="D510" s="13" t="s">
        <v>59</v>
      </c>
      <c r="E510" s="13" t="s">
        <v>878</v>
      </c>
      <c r="F510" s="13" t="s">
        <v>879</v>
      </c>
      <c r="G510" s="61" t="n">
        <v>1830252000000</v>
      </c>
      <c r="H510" s="13" t="s">
        <v>1537</v>
      </c>
      <c r="I510" s="13"/>
      <c r="J510" s="13" t="s">
        <v>1547</v>
      </c>
      <c r="K510" s="13" t="s">
        <v>1547</v>
      </c>
      <c r="L510" s="13" t="s">
        <v>1539</v>
      </c>
      <c r="M510" s="13"/>
    </row>
    <row r="511" customFormat="false" ht="15" hidden="false" customHeight="false" outlineLevel="0" collapsed="false">
      <c r="A511" s="13" t="s">
        <v>610</v>
      </c>
      <c r="B511" s="13" t="s">
        <v>609</v>
      </c>
      <c r="C511" s="13" t="s">
        <v>1548</v>
      </c>
      <c r="D511" s="13" t="s">
        <v>59</v>
      </c>
      <c r="E511" s="13" t="s">
        <v>878</v>
      </c>
      <c r="F511" s="13" t="s">
        <v>879</v>
      </c>
      <c r="G511" s="61" t="n">
        <v>1332590000000</v>
      </c>
      <c r="H511" s="13" t="s">
        <v>1537</v>
      </c>
      <c r="I511" s="13"/>
      <c r="J511" s="13" t="s">
        <v>624</v>
      </c>
      <c r="K511" s="13" t="s">
        <v>624</v>
      </c>
      <c r="L511" s="13" t="s">
        <v>1539</v>
      </c>
      <c r="M511" s="13"/>
    </row>
    <row r="512" customFormat="false" ht="15" hidden="false" customHeight="false" outlineLevel="0" collapsed="false">
      <c r="A512" s="13" t="s">
        <v>610</v>
      </c>
      <c r="B512" s="13" t="s">
        <v>609</v>
      </c>
      <c r="C512" s="13" t="s">
        <v>1536</v>
      </c>
      <c r="D512" s="13" t="s">
        <v>59</v>
      </c>
      <c r="E512" s="13" t="s">
        <v>881</v>
      </c>
      <c r="F512" s="13" t="s">
        <v>882</v>
      </c>
      <c r="G512" s="61" t="n">
        <v>1754736272764</v>
      </c>
      <c r="H512" s="13" t="s">
        <v>1537</v>
      </c>
      <c r="I512" s="13"/>
      <c r="J512" s="13" t="s">
        <v>1538</v>
      </c>
      <c r="K512" s="13" t="s">
        <v>1538</v>
      </c>
      <c r="L512" s="13" t="s">
        <v>1539</v>
      </c>
      <c r="M512" s="13"/>
    </row>
    <row r="513" customFormat="false" ht="15" hidden="false" customHeight="false" outlineLevel="0" collapsed="false">
      <c r="A513" s="13" t="s">
        <v>610</v>
      </c>
      <c r="B513" s="13" t="s">
        <v>609</v>
      </c>
      <c r="C513" s="13" t="s">
        <v>1540</v>
      </c>
      <c r="D513" s="13" t="s">
        <v>59</v>
      </c>
      <c r="E513" s="13" t="s">
        <v>881</v>
      </c>
      <c r="F513" s="13" t="s">
        <v>882</v>
      </c>
      <c r="G513" s="61" t="n">
        <v>1927402545683</v>
      </c>
      <c r="H513" s="13" t="s">
        <v>1537</v>
      </c>
      <c r="I513" s="13"/>
      <c r="J513" s="13" t="s">
        <v>1541</v>
      </c>
      <c r="K513" s="13" t="s">
        <v>1541</v>
      </c>
      <c r="L513" s="13" t="s">
        <v>1542</v>
      </c>
      <c r="M513" s="13"/>
    </row>
    <row r="514" customFormat="false" ht="15" hidden="false" customHeight="false" outlineLevel="0" collapsed="false">
      <c r="A514" s="13" t="s">
        <v>610</v>
      </c>
      <c r="B514" s="13" t="s">
        <v>609</v>
      </c>
      <c r="C514" s="13" t="s">
        <v>1543</v>
      </c>
      <c r="D514" s="13" t="s">
        <v>59</v>
      </c>
      <c r="E514" s="13" t="s">
        <v>881</v>
      </c>
      <c r="F514" s="13" t="s">
        <v>882</v>
      </c>
      <c r="G514" s="61" t="n">
        <v>1895138121116</v>
      </c>
      <c r="H514" s="13" t="s">
        <v>1537</v>
      </c>
      <c r="I514" s="13"/>
      <c r="J514" s="13" t="s">
        <v>1544</v>
      </c>
      <c r="K514" s="13" t="s">
        <v>1544</v>
      </c>
      <c r="L514" s="13" t="s">
        <v>1539</v>
      </c>
      <c r="M514" s="13"/>
    </row>
    <row r="515" customFormat="false" ht="15" hidden="false" customHeight="false" outlineLevel="0" collapsed="false">
      <c r="A515" s="13" t="s">
        <v>610</v>
      </c>
      <c r="B515" s="13" t="s">
        <v>609</v>
      </c>
      <c r="C515" s="13" t="s">
        <v>1545</v>
      </c>
      <c r="D515" s="13" t="s">
        <v>59</v>
      </c>
      <c r="E515" s="13" t="s">
        <v>881</v>
      </c>
      <c r="F515" s="13" t="s">
        <v>882</v>
      </c>
      <c r="G515" s="61" t="n">
        <v>1857457000000</v>
      </c>
      <c r="H515" s="13" t="s">
        <v>1537</v>
      </c>
      <c r="I515" s="13"/>
      <c r="J515" s="13" t="s">
        <v>622</v>
      </c>
      <c r="K515" s="13" t="s">
        <v>622</v>
      </c>
      <c r="L515" s="13" t="s">
        <v>1539</v>
      </c>
      <c r="M515" s="13"/>
    </row>
    <row r="516" customFormat="false" ht="15" hidden="false" customHeight="false" outlineLevel="0" collapsed="false">
      <c r="A516" s="13" t="s">
        <v>610</v>
      </c>
      <c r="B516" s="13" t="s">
        <v>609</v>
      </c>
      <c r="C516" s="13" t="s">
        <v>1546</v>
      </c>
      <c r="D516" s="13" t="s">
        <v>59</v>
      </c>
      <c r="E516" s="13" t="s">
        <v>881</v>
      </c>
      <c r="F516" s="13" t="s">
        <v>882</v>
      </c>
      <c r="G516" s="61" t="n">
        <v>1833304000000</v>
      </c>
      <c r="H516" s="13" t="s">
        <v>1537</v>
      </c>
      <c r="I516" s="13"/>
      <c r="J516" s="13" t="s">
        <v>1547</v>
      </c>
      <c r="K516" s="13" t="s">
        <v>1547</v>
      </c>
      <c r="L516" s="13" t="s">
        <v>1539</v>
      </c>
      <c r="M516" s="13"/>
    </row>
    <row r="517" customFormat="false" ht="15" hidden="false" customHeight="false" outlineLevel="0" collapsed="false">
      <c r="A517" s="13" t="s">
        <v>610</v>
      </c>
      <c r="B517" s="13" t="s">
        <v>609</v>
      </c>
      <c r="C517" s="13" t="s">
        <v>1548</v>
      </c>
      <c r="D517" s="13" t="s">
        <v>59</v>
      </c>
      <c r="E517" s="13" t="s">
        <v>881</v>
      </c>
      <c r="F517" s="13" t="s">
        <v>882</v>
      </c>
      <c r="G517" s="61" t="n">
        <v>1335725000000</v>
      </c>
      <c r="H517" s="13" t="s">
        <v>1537</v>
      </c>
      <c r="I517" s="13"/>
      <c r="J517" s="13" t="s">
        <v>624</v>
      </c>
      <c r="K517" s="13" t="s">
        <v>624</v>
      </c>
      <c r="L517" s="13" t="s">
        <v>1539</v>
      </c>
      <c r="M517" s="13"/>
    </row>
    <row r="518" customFormat="false" ht="15" hidden="false" customHeight="false" outlineLevel="0" collapsed="false">
      <c r="A518" s="13" t="s">
        <v>610</v>
      </c>
      <c r="B518" s="13" t="s">
        <v>609</v>
      </c>
      <c r="C518" s="13" t="s">
        <v>1536</v>
      </c>
      <c r="D518" s="13" t="s">
        <v>59</v>
      </c>
      <c r="E518" s="13" t="s">
        <v>884</v>
      </c>
      <c r="F518" s="13" t="s">
        <v>885</v>
      </c>
      <c r="G518" s="61" t="n">
        <v>4346329088006</v>
      </c>
      <c r="H518" s="13" t="s">
        <v>1537</v>
      </c>
      <c r="I518" s="13"/>
      <c r="J518" s="13" t="s">
        <v>1538</v>
      </c>
      <c r="K518" s="13" t="s">
        <v>1538</v>
      </c>
      <c r="L518" s="13" t="s">
        <v>1539</v>
      </c>
      <c r="M518" s="13"/>
    </row>
    <row r="519" customFormat="false" ht="15" hidden="false" customHeight="false" outlineLevel="0" collapsed="false">
      <c r="A519" s="13" t="s">
        <v>610</v>
      </c>
      <c r="B519" s="13" t="s">
        <v>609</v>
      </c>
      <c r="C519" s="13" t="s">
        <v>1540</v>
      </c>
      <c r="D519" s="13" t="s">
        <v>59</v>
      </c>
      <c r="E519" s="13" t="s">
        <v>884</v>
      </c>
      <c r="F519" s="13" t="s">
        <v>885</v>
      </c>
      <c r="G519" s="61" t="n">
        <v>4871806608361</v>
      </c>
      <c r="H519" s="13" t="s">
        <v>1537</v>
      </c>
      <c r="I519" s="13"/>
      <c r="J519" s="13" t="s">
        <v>1541</v>
      </c>
      <c r="K519" s="13" t="s">
        <v>1541</v>
      </c>
      <c r="L519" s="13" t="s">
        <v>1542</v>
      </c>
      <c r="M519" s="13"/>
    </row>
    <row r="520" customFormat="false" ht="15" hidden="false" customHeight="false" outlineLevel="0" collapsed="false">
      <c r="A520" s="13" t="s">
        <v>610</v>
      </c>
      <c r="B520" s="13" t="s">
        <v>609</v>
      </c>
      <c r="C520" s="13" t="s">
        <v>1543</v>
      </c>
      <c r="D520" s="13" t="s">
        <v>59</v>
      </c>
      <c r="E520" s="13" t="s">
        <v>884</v>
      </c>
      <c r="F520" s="13" t="s">
        <v>885</v>
      </c>
      <c r="G520" s="61" t="n">
        <v>5749599247752</v>
      </c>
      <c r="H520" s="13" t="s">
        <v>1537</v>
      </c>
      <c r="I520" s="13"/>
      <c r="J520" s="13" t="s">
        <v>1544</v>
      </c>
      <c r="K520" s="13" t="s">
        <v>1544</v>
      </c>
      <c r="L520" s="13" t="s">
        <v>1539</v>
      </c>
      <c r="M520" s="13"/>
    </row>
    <row r="521" customFormat="false" ht="15" hidden="false" customHeight="false" outlineLevel="0" collapsed="false">
      <c r="A521" s="13" t="s">
        <v>610</v>
      </c>
      <c r="B521" s="13" t="s">
        <v>609</v>
      </c>
      <c r="C521" s="13" t="s">
        <v>1545</v>
      </c>
      <c r="D521" s="13" t="s">
        <v>59</v>
      </c>
      <c r="E521" s="13" t="s">
        <v>884</v>
      </c>
      <c r="F521" s="13" t="s">
        <v>885</v>
      </c>
      <c r="G521" s="61" t="n">
        <v>5606291000000</v>
      </c>
      <c r="H521" s="13" t="s">
        <v>1537</v>
      </c>
      <c r="I521" s="13"/>
      <c r="J521" s="13" t="s">
        <v>622</v>
      </c>
      <c r="K521" s="13" t="s">
        <v>622</v>
      </c>
      <c r="L521" s="13" t="s">
        <v>1539</v>
      </c>
      <c r="M521" s="13"/>
    </row>
    <row r="522" customFormat="false" ht="15" hidden="false" customHeight="false" outlineLevel="0" collapsed="false">
      <c r="A522" s="13" t="s">
        <v>610</v>
      </c>
      <c r="B522" s="13" t="s">
        <v>609</v>
      </c>
      <c r="C522" s="13" t="s">
        <v>1546</v>
      </c>
      <c r="D522" s="13" t="s">
        <v>59</v>
      </c>
      <c r="E522" s="13" t="s">
        <v>884</v>
      </c>
      <c r="F522" s="13" t="s">
        <v>885</v>
      </c>
      <c r="G522" s="61" t="n">
        <v>5683022000000</v>
      </c>
      <c r="H522" s="13" t="s">
        <v>1537</v>
      </c>
      <c r="I522" s="13"/>
      <c r="J522" s="13" t="s">
        <v>1547</v>
      </c>
      <c r="K522" s="13" t="s">
        <v>1547</v>
      </c>
      <c r="L522" s="13" t="s">
        <v>1539</v>
      </c>
      <c r="M522" s="13"/>
    </row>
    <row r="523" customFormat="false" ht="15" hidden="false" customHeight="false" outlineLevel="0" collapsed="false">
      <c r="A523" s="13" t="s">
        <v>610</v>
      </c>
      <c r="B523" s="13" t="s">
        <v>609</v>
      </c>
      <c r="C523" s="13" t="s">
        <v>1548</v>
      </c>
      <c r="D523" s="13" t="s">
        <v>59</v>
      </c>
      <c r="E523" s="13" t="s">
        <v>884</v>
      </c>
      <c r="F523" s="13" t="s">
        <v>885</v>
      </c>
      <c r="G523" s="61" t="n">
        <v>7623910000000</v>
      </c>
      <c r="H523" s="13" t="s">
        <v>1537</v>
      </c>
      <c r="I523" s="13"/>
      <c r="J523" s="13" t="s">
        <v>624</v>
      </c>
      <c r="K523" s="13" t="s">
        <v>624</v>
      </c>
      <c r="L523" s="13" t="s">
        <v>1539</v>
      </c>
      <c r="M523" s="13"/>
    </row>
    <row r="524" customFormat="false" ht="15" hidden="false" customHeight="false" outlineLevel="0" collapsed="false">
      <c r="A524" s="13" t="s">
        <v>610</v>
      </c>
      <c r="B524" s="13" t="s">
        <v>609</v>
      </c>
      <c r="C524" s="13" t="s">
        <v>1536</v>
      </c>
      <c r="D524" s="13" t="s">
        <v>61</v>
      </c>
      <c r="E524" s="13" t="s">
        <v>891</v>
      </c>
      <c r="F524" s="13" t="s">
        <v>892</v>
      </c>
      <c r="G524" s="61" t="n">
        <v>1206282381896</v>
      </c>
      <c r="H524" s="13" t="s">
        <v>1537</v>
      </c>
      <c r="I524" s="13"/>
      <c r="J524" s="13" t="s">
        <v>1538</v>
      </c>
      <c r="K524" s="13" t="s">
        <v>1538</v>
      </c>
      <c r="L524" s="13" t="s">
        <v>1539</v>
      </c>
      <c r="M524" s="13"/>
    </row>
    <row r="525" customFormat="false" ht="15" hidden="false" customHeight="false" outlineLevel="0" collapsed="false">
      <c r="A525" s="13" t="s">
        <v>610</v>
      </c>
      <c r="B525" s="13" t="s">
        <v>609</v>
      </c>
      <c r="C525" s="13" t="s">
        <v>1540</v>
      </c>
      <c r="D525" s="13" t="s">
        <v>61</v>
      </c>
      <c r="E525" s="13" t="s">
        <v>891</v>
      </c>
      <c r="F525" s="13" t="s">
        <v>892</v>
      </c>
      <c r="G525" s="61" t="n">
        <v>1917035104557</v>
      </c>
      <c r="H525" s="13" t="s">
        <v>1537</v>
      </c>
      <c r="I525" s="13"/>
      <c r="J525" s="13" t="s">
        <v>1541</v>
      </c>
      <c r="K525" s="13" t="s">
        <v>1541</v>
      </c>
      <c r="L525" s="13" t="s">
        <v>1542</v>
      </c>
      <c r="M525" s="13"/>
    </row>
    <row r="526" customFormat="false" ht="15" hidden="false" customHeight="false" outlineLevel="0" collapsed="false">
      <c r="A526" s="13" t="s">
        <v>610</v>
      </c>
      <c r="B526" s="13" t="s">
        <v>609</v>
      </c>
      <c r="C526" s="13" t="s">
        <v>1543</v>
      </c>
      <c r="D526" s="13" t="s">
        <v>61</v>
      </c>
      <c r="E526" s="13" t="s">
        <v>891</v>
      </c>
      <c r="F526" s="13" t="s">
        <v>892</v>
      </c>
      <c r="G526" s="61" t="n">
        <v>1932446236358</v>
      </c>
      <c r="H526" s="13" t="s">
        <v>1537</v>
      </c>
      <c r="I526" s="13"/>
      <c r="J526" s="13" t="s">
        <v>1544</v>
      </c>
      <c r="K526" s="13" t="s">
        <v>1544</v>
      </c>
      <c r="L526" s="13" t="s">
        <v>1539</v>
      </c>
      <c r="M526" s="13"/>
    </row>
    <row r="527" customFormat="false" ht="15" hidden="false" customHeight="false" outlineLevel="0" collapsed="false">
      <c r="A527" s="13" t="s">
        <v>610</v>
      </c>
      <c r="B527" s="13" t="s">
        <v>609</v>
      </c>
      <c r="C527" s="13" t="s">
        <v>1545</v>
      </c>
      <c r="D527" s="13" t="s">
        <v>61</v>
      </c>
      <c r="E527" s="13" t="s">
        <v>891</v>
      </c>
      <c r="F527" s="13" t="s">
        <v>892</v>
      </c>
      <c r="G527" s="61" t="n">
        <v>2365859000000</v>
      </c>
      <c r="H527" s="13" t="s">
        <v>1537</v>
      </c>
      <c r="I527" s="13"/>
      <c r="J527" s="13" t="s">
        <v>622</v>
      </c>
      <c r="K527" s="13" t="s">
        <v>622</v>
      </c>
      <c r="L527" s="13" t="s">
        <v>1539</v>
      </c>
      <c r="M527" s="13"/>
    </row>
    <row r="528" customFormat="false" ht="15" hidden="false" customHeight="false" outlineLevel="0" collapsed="false">
      <c r="A528" s="13" t="s">
        <v>610</v>
      </c>
      <c r="B528" s="13" t="s">
        <v>609</v>
      </c>
      <c r="C528" s="13" t="s">
        <v>1546</v>
      </c>
      <c r="D528" s="13" t="s">
        <v>61</v>
      </c>
      <c r="E528" s="13" t="s">
        <v>891</v>
      </c>
      <c r="F528" s="13" t="s">
        <v>892</v>
      </c>
      <c r="G528" s="61" t="n">
        <v>2274208000000</v>
      </c>
      <c r="H528" s="13" t="s">
        <v>1537</v>
      </c>
      <c r="I528" s="13"/>
      <c r="J528" s="13" t="s">
        <v>1547</v>
      </c>
      <c r="K528" s="13" t="s">
        <v>1547</v>
      </c>
      <c r="L528" s="13" t="s">
        <v>1539</v>
      </c>
      <c r="M528" s="13"/>
    </row>
    <row r="529" customFormat="false" ht="15" hidden="false" customHeight="false" outlineLevel="0" collapsed="false">
      <c r="A529" s="13" t="s">
        <v>610</v>
      </c>
      <c r="B529" s="13" t="s">
        <v>609</v>
      </c>
      <c r="C529" s="13" t="s">
        <v>1548</v>
      </c>
      <c r="D529" s="13" t="s">
        <v>61</v>
      </c>
      <c r="E529" s="13" t="s">
        <v>891</v>
      </c>
      <c r="F529" s="13" t="s">
        <v>892</v>
      </c>
      <c r="G529" s="61" t="n">
        <v>2460965000000</v>
      </c>
      <c r="H529" s="13" t="s">
        <v>1537</v>
      </c>
      <c r="I529" s="13"/>
      <c r="J529" s="13" t="s">
        <v>624</v>
      </c>
      <c r="K529" s="13" t="s">
        <v>624</v>
      </c>
      <c r="L529" s="13" t="s">
        <v>1539</v>
      </c>
      <c r="M529" s="13"/>
    </row>
    <row r="530" customFormat="false" ht="15" hidden="false" customHeight="false" outlineLevel="0" collapsed="false">
      <c r="A530" s="13" t="s">
        <v>610</v>
      </c>
      <c r="B530" s="13" t="s">
        <v>609</v>
      </c>
      <c r="C530" s="13" t="s">
        <v>1536</v>
      </c>
      <c r="D530" s="13" t="s">
        <v>61</v>
      </c>
      <c r="E530" s="13" t="s">
        <v>894</v>
      </c>
      <c r="F530" s="13" t="s">
        <v>895</v>
      </c>
      <c r="G530" s="61" t="n">
        <v>-518122857052</v>
      </c>
      <c r="H530" s="13" t="s">
        <v>1537</v>
      </c>
      <c r="I530" s="13"/>
      <c r="J530" s="13" t="s">
        <v>1538</v>
      </c>
      <c r="K530" s="13" t="s">
        <v>1538</v>
      </c>
      <c r="L530" s="13" t="s">
        <v>1539</v>
      </c>
      <c r="M530" s="13"/>
    </row>
    <row r="531" customFormat="false" ht="15" hidden="false" customHeight="false" outlineLevel="0" collapsed="false">
      <c r="A531" s="13" t="s">
        <v>610</v>
      </c>
      <c r="B531" s="13" t="s">
        <v>609</v>
      </c>
      <c r="C531" s="13" t="s">
        <v>1540</v>
      </c>
      <c r="D531" s="13" t="s">
        <v>61</v>
      </c>
      <c r="E531" s="13" t="s">
        <v>894</v>
      </c>
      <c r="F531" s="13" t="s">
        <v>895</v>
      </c>
      <c r="G531" s="61" t="n">
        <v>-700717424697</v>
      </c>
      <c r="H531" s="13" t="s">
        <v>1537</v>
      </c>
      <c r="I531" s="13"/>
      <c r="J531" s="13" t="s">
        <v>1541</v>
      </c>
      <c r="K531" s="13" t="s">
        <v>1541</v>
      </c>
      <c r="L531" s="13" t="s">
        <v>1542</v>
      </c>
      <c r="M531" s="13"/>
    </row>
    <row r="532" customFormat="false" ht="15" hidden="false" customHeight="false" outlineLevel="0" collapsed="false">
      <c r="A532" s="13" t="s">
        <v>610</v>
      </c>
      <c r="B532" s="13" t="s">
        <v>609</v>
      </c>
      <c r="C532" s="13" t="s">
        <v>1543</v>
      </c>
      <c r="D532" s="13" t="s">
        <v>61</v>
      </c>
      <c r="E532" s="13" t="s">
        <v>894</v>
      </c>
      <c r="F532" s="13" t="s">
        <v>895</v>
      </c>
      <c r="G532" s="61" t="n">
        <v>-858868120858</v>
      </c>
      <c r="H532" s="13" t="s">
        <v>1537</v>
      </c>
      <c r="I532" s="13"/>
      <c r="J532" s="13" t="s">
        <v>1544</v>
      </c>
      <c r="K532" s="13" t="s">
        <v>1544</v>
      </c>
      <c r="L532" s="13" t="s">
        <v>1539</v>
      </c>
      <c r="M532" s="13"/>
    </row>
    <row r="533" customFormat="false" ht="15" hidden="false" customHeight="false" outlineLevel="0" collapsed="false">
      <c r="A533" s="13" t="s">
        <v>610</v>
      </c>
      <c r="B533" s="13" t="s">
        <v>609</v>
      </c>
      <c r="C533" s="13" t="s">
        <v>1545</v>
      </c>
      <c r="D533" s="13" t="s">
        <v>61</v>
      </c>
      <c r="E533" s="13" t="s">
        <v>894</v>
      </c>
      <c r="F533" s="13" t="s">
        <v>895</v>
      </c>
      <c r="G533" s="61" t="n">
        <v>-1126223000000</v>
      </c>
      <c r="H533" s="13" t="s">
        <v>1537</v>
      </c>
      <c r="I533" s="13"/>
      <c r="J533" s="13" t="s">
        <v>622</v>
      </c>
      <c r="K533" s="13" t="s">
        <v>622</v>
      </c>
      <c r="L533" s="13" t="s">
        <v>1539</v>
      </c>
      <c r="M533" s="13"/>
    </row>
    <row r="534" customFormat="false" ht="15" hidden="false" customHeight="false" outlineLevel="0" collapsed="false">
      <c r="A534" s="13" t="s">
        <v>610</v>
      </c>
      <c r="B534" s="13" t="s">
        <v>609</v>
      </c>
      <c r="C534" s="13" t="s">
        <v>1546</v>
      </c>
      <c r="D534" s="13" t="s">
        <v>61</v>
      </c>
      <c r="E534" s="13" t="s">
        <v>894</v>
      </c>
      <c r="F534" s="13" t="s">
        <v>895</v>
      </c>
      <c r="G534" s="61" t="n">
        <v>-556717000000</v>
      </c>
      <c r="H534" s="13" t="s">
        <v>1537</v>
      </c>
      <c r="I534" s="13"/>
      <c r="J534" s="13" t="s">
        <v>1547</v>
      </c>
      <c r="K534" s="13" t="s">
        <v>1547</v>
      </c>
      <c r="L534" s="13" t="s">
        <v>1539</v>
      </c>
      <c r="M534" s="13"/>
    </row>
    <row r="535" customFormat="false" ht="15" hidden="false" customHeight="false" outlineLevel="0" collapsed="false">
      <c r="A535" s="13" t="s">
        <v>610</v>
      </c>
      <c r="B535" s="13" t="s">
        <v>609</v>
      </c>
      <c r="C535" s="13" t="s">
        <v>1548</v>
      </c>
      <c r="D535" s="13" t="s">
        <v>61</v>
      </c>
      <c r="E535" s="13" t="s">
        <v>894</v>
      </c>
      <c r="F535" s="13" t="s">
        <v>895</v>
      </c>
      <c r="G535" s="61" t="n">
        <v>-669878000000</v>
      </c>
      <c r="H535" s="13" t="s">
        <v>1537</v>
      </c>
      <c r="I535" s="13"/>
      <c r="J535" s="13" t="s">
        <v>624</v>
      </c>
      <c r="K535" s="13" t="s">
        <v>624</v>
      </c>
      <c r="L535" s="13" t="s">
        <v>1539</v>
      </c>
      <c r="M535" s="13"/>
    </row>
    <row r="536" customFormat="false" ht="15" hidden="false" customHeight="false" outlineLevel="0" collapsed="false">
      <c r="A536" s="13" t="s">
        <v>610</v>
      </c>
      <c r="B536" s="13" t="s">
        <v>609</v>
      </c>
      <c r="C536" s="13" t="s">
        <v>1536</v>
      </c>
      <c r="D536" s="13" t="s">
        <v>61</v>
      </c>
      <c r="E536" s="13" t="s">
        <v>897</v>
      </c>
      <c r="F536" s="13" t="s">
        <v>898</v>
      </c>
      <c r="G536" s="61" t="n">
        <v>-518399717152</v>
      </c>
      <c r="H536" s="13" t="s">
        <v>1537</v>
      </c>
      <c r="I536" s="13"/>
      <c r="J536" s="13" t="s">
        <v>1538</v>
      </c>
      <c r="K536" s="13" t="s">
        <v>1538</v>
      </c>
      <c r="L536" s="13" t="s">
        <v>1539</v>
      </c>
      <c r="M536" s="13"/>
    </row>
    <row r="537" customFormat="false" ht="15" hidden="false" customHeight="false" outlineLevel="0" collapsed="false">
      <c r="A537" s="13" t="s">
        <v>610</v>
      </c>
      <c r="B537" s="13" t="s">
        <v>609</v>
      </c>
      <c r="C537" s="13" t="s">
        <v>1540</v>
      </c>
      <c r="D537" s="13" t="s">
        <v>61</v>
      </c>
      <c r="E537" s="13" t="s">
        <v>897</v>
      </c>
      <c r="F537" s="13" t="s">
        <v>898</v>
      </c>
      <c r="G537" s="61" t="n">
        <v>-782054151603</v>
      </c>
      <c r="H537" s="13" t="s">
        <v>1537</v>
      </c>
      <c r="I537" s="13"/>
      <c r="J537" s="13" t="s">
        <v>1541</v>
      </c>
      <c r="K537" s="13" t="s">
        <v>1541</v>
      </c>
      <c r="L537" s="13" t="s">
        <v>1542</v>
      </c>
      <c r="M537" s="13"/>
    </row>
    <row r="538" customFormat="false" ht="15" hidden="false" customHeight="false" outlineLevel="0" collapsed="false">
      <c r="A538" s="13" t="s">
        <v>610</v>
      </c>
      <c r="B538" s="13" t="s">
        <v>609</v>
      </c>
      <c r="C538" s="13" t="s">
        <v>1543</v>
      </c>
      <c r="D538" s="13" t="s">
        <v>61</v>
      </c>
      <c r="E538" s="13" t="s">
        <v>897</v>
      </c>
      <c r="F538" s="13" t="s">
        <v>898</v>
      </c>
      <c r="G538" s="61" t="n">
        <v>-789221263965</v>
      </c>
      <c r="H538" s="13" t="s">
        <v>1537</v>
      </c>
      <c r="I538" s="13"/>
      <c r="J538" s="13" t="s">
        <v>1544</v>
      </c>
      <c r="K538" s="13" t="s">
        <v>1544</v>
      </c>
      <c r="L538" s="13" t="s">
        <v>1539</v>
      </c>
      <c r="M538" s="13"/>
    </row>
    <row r="539" customFormat="false" ht="15" hidden="false" customHeight="false" outlineLevel="0" collapsed="false">
      <c r="A539" s="13" t="s">
        <v>610</v>
      </c>
      <c r="B539" s="13" t="s">
        <v>609</v>
      </c>
      <c r="C539" s="13" t="s">
        <v>1545</v>
      </c>
      <c r="D539" s="13" t="s">
        <v>61</v>
      </c>
      <c r="E539" s="13" t="s">
        <v>897</v>
      </c>
      <c r="F539" s="13" t="s">
        <v>898</v>
      </c>
      <c r="G539" s="61" t="n">
        <v>-1058144000000</v>
      </c>
      <c r="H539" s="13" t="s">
        <v>1537</v>
      </c>
      <c r="I539" s="13"/>
      <c r="J539" s="13" t="s">
        <v>622</v>
      </c>
      <c r="K539" s="13" t="s">
        <v>622</v>
      </c>
      <c r="L539" s="13" t="s">
        <v>1539</v>
      </c>
      <c r="M539" s="13"/>
    </row>
    <row r="540" customFormat="false" ht="15" hidden="false" customHeight="false" outlineLevel="0" collapsed="false">
      <c r="A540" s="13" t="s">
        <v>610</v>
      </c>
      <c r="B540" s="13" t="s">
        <v>609</v>
      </c>
      <c r="C540" s="13" t="s">
        <v>1546</v>
      </c>
      <c r="D540" s="13" t="s">
        <v>61</v>
      </c>
      <c r="E540" s="13" t="s">
        <v>897</v>
      </c>
      <c r="F540" s="13" t="s">
        <v>898</v>
      </c>
      <c r="G540" s="61" t="n">
        <v>-1316325000000</v>
      </c>
      <c r="H540" s="13" t="s">
        <v>1537</v>
      </c>
      <c r="I540" s="13"/>
      <c r="J540" s="13" t="s">
        <v>1547</v>
      </c>
      <c r="K540" s="13" t="s">
        <v>1547</v>
      </c>
      <c r="L540" s="13" t="s">
        <v>1539</v>
      </c>
      <c r="M540" s="13"/>
    </row>
    <row r="541" customFormat="false" ht="15" hidden="false" customHeight="false" outlineLevel="0" collapsed="false">
      <c r="A541" s="13" t="s">
        <v>610</v>
      </c>
      <c r="B541" s="13" t="s">
        <v>609</v>
      </c>
      <c r="C541" s="13" t="s">
        <v>1548</v>
      </c>
      <c r="D541" s="13" t="s">
        <v>61</v>
      </c>
      <c r="E541" s="13" t="s">
        <v>897</v>
      </c>
      <c r="F541" s="13" t="s">
        <v>898</v>
      </c>
      <c r="G541" s="61" t="n">
        <v>-1506034000000</v>
      </c>
      <c r="H541" s="13" t="s">
        <v>1537</v>
      </c>
      <c r="I541" s="13"/>
      <c r="J541" s="13" t="s">
        <v>624</v>
      </c>
      <c r="K541" s="13" t="s">
        <v>624</v>
      </c>
      <c r="L541" s="13" t="s">
        <v>1539</v>
      </c>
      <c r="M541" s="13"/>
    </row>
    <row r="542" customFormat="false" ht="15" hidden="false" customHeight="false" outlineLevel="0" collapsed="false">
      <c r="A542" s="13" t="s">
        <v>610</v>
      </c>
      <c r="B542" s="13" t="s">
        <v>609</v>
      </c>
      <c r="C542" s="13" t="s">
        <v>1536</v>
      </c>
      <c r="D542" s="13" t="s">
        <v>61</v>
      </c>
      <c r="E542" s="13" t="s">
        <v>900</v>
      </c>
      <c r="F542" s="13" t="s">
        <v>901</v>
      </c>
      <c r="G542" s="61" t="n">
        <v>169759807692</v>
      </c>
      <c r="H542" s="13" t="s">
        <v>1537</v>
      </c>
      <c r="I542" s="13"/>
      <c r="J542" s="13"/>
      <c r="K542" s="13" t="s">
        <v>1538</v>
      </c>
      <c r="L542" s="13" t="s">
        <v>1539</v>
      </c>
      <c r="M542" s="13" t="s">
        <v>1549</v>
      </c>
    </row>
    <row r="543" customFormat="false" ht="15" hidden="false" customHeight="false" outlineLevel="0" collapsed="false">
      <c r="A543" s="13" t="s">
        <v>610</v>
      </c>
      <c r="B543" s="13" t="s">
        <v>609</v>
      </c>
      <c r="C543" s="13" t="s">
        <v>1540</v>
      </c>
      <c r="D543" s="13" t="s">
        <v>61</v>
      </c>
      <c r="E543" s="13" t="s">
        <v>900</v>
      </c>
      <c r="F543" s="13" t="s">
        <v>901</v>
      </c>
      <c r="G543" s="61" t="n">
        <v>434263528257</v>
      </c>
      <c r="H543" s="13" t="s">
        <v>1537</v>
      </c>
      <c r="I543" s="13"/>
      <c r="J543" s="13"/>
      <c r="K543" s="13" t="s">
        <v>1541</v>
      </c>
      <c r="L543" s="13" t="s">
        <v>1542</v>
      </c>
      <c r="M543" s="13" t="s">
        <v>1549</v>
      </c>
    </row>
    <row r="544" customFormat="false" ht="15" hidden="false" customHeight="false" outlineLevel="0" collapsed="false">
      <c r="A544" s="13" t="s">
        <v>610</v>
      </c>
      <c r="B544" s="13" t="s">
        <v>609</v>
      </c>
      <c r="C544" s="13" t="s">
        <v>1543</v>
      </c>
      <c r="D544" s="13" t="s">
        <v>61</v>
      </c>
      <c r="E544" s="13" t="s">
        <v>900</v>
      </c>
      <c r="F544" s="13" t="s">
        <v>901</v>
      </c>
      <c r="G544" s="61" t="n">
        <v>284356851535</v>
      </c>
      <c r="H544" s="13" t="s">
        <v>1537</v>
      </c>
      <c r="I544" s="13"/>
      <c r="J544" s="13"/>
      <c r="K544" s="13" t="s">
        <v>1544</v>
      </c>
      <c r="L544" s="13" t="s">
        <v>1539</v>
      </c>
      <c r="M544" s="13" t="s">
        <v>1549</v>
      </c>
    </row>
    <row r="545" customFormat="false" ht="15" hidden="false" customHeight="false" outlineLevel="0" collapsed="false">
      <c r="A545" s="13" t="s">
        <v>610</v>
      </c>
      <c r="B545" s="13" t="s">
        <v>609</v>
      </c>
      <c r="C545" s="13" t="s">
        <v>1545</v>
      </c>
      <c r="D545" s="13" t="s">
        <v>61</v>
      </c>
      <c r="E545" s="13" t="s">
        <v>900</v>
      </c>
      <c r="F545" s="13" t="s">
        <v>901</v>
      </c>
      <c r="G545" s="61" t="n">
        <v>181492000000</v>
      </c>
      <c r="H545" s="13" t="s">
        <v>1537</v>
      </c>
      <c r="I545" s="13"/>
      <c r="J545" s="13"/>
      <c r="K545" s="13" t="s">
        <v>622</v>
      </c>
      <c r="L545" s="13" t="s">
        <v>1539</v>
      </c>
      <c r="M545" s="13" t="s">
        <v>1549</v>
      </c>
    </row>
    <row r="546" customFormat="false" ht="15" hidden="false" customHeight="false" outlineLevel="0" collapsed="false">
      <c r="A546" s="13" t="s">
        <v>610</v>
      </c>
      <c r="B546" s="13" t="s">
        <v>609</v>
      </c>
      <c r="C546" s="13" t="s">
        <v>1546</v>
      </c>
      <c r="D546" s="13" t="s">
        <v>61</v>
      </c>
      <c r="E546" s="13" t="s">
        <v>900</v>
      </c>
      <c r="F546" s="13" t="s">
        <v>901</v>
      </c>
      <c r="G546" s="61" t="n">
        <v>401166000000</v>
      </c>
      <c r="H546" s="13" t="s">
        <v>1537</v>
      </c>
      <c r="I546" s="13"/>
      <c r="J546" s="13"/>
      <c r="K546" s="13" t="s">
        <v>1547</v>
      </c>
      <c r="L546" s="13" t="s">
        <v>1539</v>
      </c>
      <c r="M546" s="13" t="s">
        <v>1549</v>
      </c>
    </row>
    <row r="547" customFormat="false" ht="15" hidden="false" customHeight="false" outlineLevel="0" collapsed="false">
      <c r="A547" s="13" t="s">
        <v>610</v>
      </c>
      <c r="B547" s="13" t="s">
        <v>609</v>
      </c>
      <c r="C547" s="13" t="s">
        <v>1548</v>
      </c>
      <c r="D547" s="13" t="s">
        <v>61</v>
      </c>
      <c r="E547" s="13" t="s">
        <v>900</v>
      </c>
      <c r="F547" s="13" t="s">
        <v>901</v>
      </c>
      <c r="G547" s="61" t="n">
        <v>285053000000</v>
      </c>
      <c r="H547" s="13" t="s">
        <v>1537</v>
      </c>
      <c r="I547" s="13"/>
      <c r="J547" s="13"/>
      <c r="K547" s="13" t="s">
        <v>624</v>
      </c>
      <c r="L547" s="13" t="s">
        <v>1539</v>
      </c>
      <c r="M547" s="13" t="s">
        <v>1549</v>
      </c>
    </row>
    <row r="548" customFormat="false" ht="15" hidden="false" customHeight="false" outlineLevel="0" collapsed="false">
      <c r="A548" s="13" t="s">
        <v>610</v>
      </c>
      <c r="B548" s="13" t="s">
        <v>609</v>
      </c>
      <c r="C548" s="13" t="s">
        <v>1536</v>
      </c>
      <c r="D548" s="13" t="s">
        <v>61</v>
      </c>
      <c r="E548" s="13" t="s">
        <v>902</v>
      </c>
      <c r="F548" s="13" t="s">
        <v>903</v>
      </c>
      <c r="G548" s="61" t="n">
        <v>26470099827</v>
      </c>
      <c r="H548" s="13" t="s">
        <v>1537</v>
      </c>
      <c r="I548" s="13"/>
      <c r="J548" s="13" t="s">
        <v>1538</v>
      </c>
      <c r="K548" s="13" t="s">
        <v>1538</v>
      </c>
      <c r="L548" s="13" t="s">
        <v>1539</v>
      </c>
      <c r="M548" s="13"/>
    </row>
    <row r="549" customFormat="false" ht="15" hidden="false" customHeight="false" outlineLevel="0" collapsed="false">
      <c r="A549" s="13" t="s">
        <v>610</v>
      </c>
      <c r="B549" s="13" t="s">
        <v>609</v>
      </c>
      <c r="C549" s="13" t="s">
        <v>1540</v>
      </c>
      <c r="D549" s="13" t="s">
        <v>61</v>
      </c>
      <c r="E549" s="13" t="s">
        <v>902</v>
      </c>
      <c r="F549" s="13" t="s">
        <v>903</v>
      </c>
      <c r="G549" s="61" t="n">
        <v>23940936423</v>
      </c>
      <c r="H549" s="13" t="s">
        <v>1537</v>
      </c>
      <c r="I549" s="13"/>
      <c r="J549" s="13" t="s">
        <v>1541</v>
      </c>
      <c r="K549" s="13" t="s">
        <v>1541</v>
      </c>
      <c r="L549" s="13" t="s">
        <v>1542</v>
      </c>
      <c r="M549" s="13"/>
    </row>
    <row r="550" customFormat="false" ht="15" hidden="false" customHeight="false" outlineLevel="0" collapsed="false">
      <c r="A550" s="13" t="s">
        <v>610</v>
      </c>
      <c r="B550" s="13" t="s">
        <v>609</v>
      </c>
      <c r="C550" s="13" t="s">
        <v>1543</v>
      </c>
      <c r="D550" s="13" t="s">
        <v>61</v>
      </c>
      <c r="E550" s="13" t="s">
        <v>902</v>
      </c>
      <c r="F550" s="13" t="s">
        <v>903</v>
      </c>
      <c r="G550" s="61" t="n">
        <v>19404583424</v>
      </c>
      <c r="H550" s="13" t="s">
        <v>1537</v>
      </c>
      <c r="I550" s="13"/>
      <c r="J550" s="13" t="s">
        <v>1544</v>
      </c>
      <c r="K550" s="13" t="s">
        <v>1544</v>
      </c>
      <c r="L550" s="13" t="s">
        <v>1539</v>
      </c>
      <c r="M550" s="13"/>
    </row>
    <row r="551" customFormat="false" ht="15" hidden="false" customHeight="false" outlineLevel="0" collapsed="false">
      <c r="A551" s="13" t="s">
        <v>610</v>
      </c>
      <c r="B551" s="13" t="s">
        <v>609</v>
      </c>
      <c r="C551" s="13" t="s">
        <v>1545</v>
      </c>
      <c r="D551" s="13" t="s">
        <v>61</v>
      </c>
      <c r="E551" s="13" t="s">
        <v>902</v>
      </c>
      <c r="F551" s="13" t="s">
        <v>903</v>
      </c>
      <c r="G551" s="61" t="n">
        <v>29050000000</v>
      </c>
      <c r="H551" s="13" t="s">
        <v>1537</v>
      </c>
      <c r="I551" s="13"/>
      <c r="J551" s="13" t="s">
        <v>622</v>
      </c>
      <c r="K551" s="13" t="s">
        <v>622</v>
      </c>
      <c r="L551" s="13" t="s">
        <v>1539</v>
      </c>
      <c r="M551" s="13"/>
    </row>
    <row r="552" customFormat="false" ht="15" hidden="false" customHeight="false" outlineLevel="0" collapsed="false">
      <c r="A552" s="13" t="s">
        <v>610</v>
      </c>
      <c r="B552" s="13" t="s">
        <v>609</v>
      </c>
      <c r="C552" s="13" t="s">
        <v>1546</v>
      </c>
      <c r="D552" s="13" t="s">
        <v>61</v>
      </c>
      <c r="E552" s="13" t="s">
        <v>902</v>
      </c>
      <c r="F552" s="13" t="s">
        <v>903</v>
      </c>
      <c r="G552" s="61" t="n">
        <v>13483000000</v>
      </c>
      <c r="H552" s="13" t="s">
        <v>1537</v>
      </c>
      <c r="I552" s="13"/>
      <c r="J552" s="13" t="s">
        <v>1547</v>
      </c>
      <c r="K552" s="13" t="s">
        <v>1547</v>
      </c>
      <c r="L552" s="13" t="s">
        <v>1539</v>
      </c>
      <c r="M552" s="13"/>
    </row>
    <row r="553" customFormat="false" ht="15" hidden="false" customHeight="false" outlineLevel="0" collapsed="false">
      <c r="A553" s="13" t="s">
        <v>610</v>
      </c>
      <c r="B553" s="13" t="s">
        <v>609</v>
      </c>
      <c r="C553" s="13" t="s">
        <v>1548</v>
      </c>
      <c r="D553" s="13" t="s">
        <v>61</v>
      </c>
      <c r="E553" s="13" t="s">
        <v>902</v>
      </c>
      <c r="F553" s="13" t="s">
        <v>903</v>
      </c>
      <c r="G553" s="61" t="n">
        <v>66897000000</v>
      </c>
      <c r="H553" s="13" t="s">
        <v>1537</v>
      </c>
      <c r="I553" s="13"/>
      <c r="J553" s="13" t="s">
        <v>624</v>
      </c>
      <c r="K553" s="13" t="s">
        <v>624</v>
      </c>
      <c r="L553" s="13" t="s">
        <v>1539</v>
      </c>
      <c r="M553" s="13"/>
    </row>
    <row r="554" customFormat="false" ht="15" hidden="false" customHeight="false" outlineLevel="0" collapsed="false">
      <c r="A554" s="13" t="s">
        <v>610</v>
      </c>
      <c r="B554" s="13" t="s">
        <v>609</v>
      </c>
      <c r="C554" s="13" t="s">
        <v>1536</v>
      </c>
      <c r="D554" s="13" t="s">
        <v>61</v>
      </c>
      <c r="E554" s="13" t="s">
        <v>905</v>
      </c>
      <c r="F554" s="13" t="s">
        <v>906</v>
      </c>
      <c r="G554" s="61" t="n">
        <v>-100262493441</v>
      </c>
      <c r="H554" s="13" t="s">
        <v>1537</v>
      </c>
      <c r="I554" s="13"/>
      <c r="J554" s="13" t="s">
        <v>1538</v>
      </c>
      <c r="K554" s="13" t="s">
        <v>1538</v>
      </c>
      <c r="L554" s="13" t="s">
        <v>1539</v>
      </c>
      <c r="M554" s="13"/>
    </row>
    <row r="555" customFormat="false" ht="15" hidden="false" customHeight="false" outlineLevel="0" collapsed="false">
      <c r="A555" s="13" t="s">
        <v>610</v>
      </c>
      <c r="B555" s="13" t="s">
        <v>609</v>
      </c>
      <c r="C555" s="13" t="s">
        <v>1540</v>
      </c>
      <c r="D555" s="13" t="s">
        <v>61</v>
      </c>
      <c r="E555" s="13" t="s">
        <v>905</v>
      </c>
      <c r="F555" s="13" t="s">
        <v>906</v>
      </c>
      <c r="G555" s="61" t="n">
        <v>-115124935079</v>
      </c>
      <c r="H555" s="13" t="s">
        <v>1537</v>
      </c>
      <c r="I555" s="13"/>
      <c r="J555" s="13" t="s">
        <v>1541</v>
      </c>
      <c r="K555" s="13" t="s">
        <v>1541</v>
      </c>
      <c r="L555" s="13" t="s">
        <v>1542</v>
      </c>
      <c r="M555" s="13"/>
    </row>
    <row r="556" customFormat="false" ht="15" hidden="false" customHeight="false" outlineLevel="0" collapsed="false">
      <c r="A556" s="13" t="s">
        <v>610</v>
      </c>
      <c r="B556" s="13" t="s">
        <v>609</v>
      </c>
      <c r="C556" s="13" t="s">
        <v>1543</v>
      </c>
      <c r="D556" s="13" t="s">
        <v>61</v>
      </c>
      <c r="E556" s="13" t="s">
        <v>905</v>
      </c>
      <c r="F556" s="13" t="s">
        <v>906</v>
      </c>
      <c r="G556" s="61" t="n">
        <v>-80404699161</v>
      </c>
      <c r="H556" s="13" t="s">
        <v>1537</v>
      </c>
      <c r="I556" s="13"/>
      <c r="J556" s="13" t="s">
        <v>1544</v>
      </c>
      <c r="K556" s="13" t="s">
        <v>1544</v>
      </c>
      <c r="L556" s="13" t="s">
        <v>1539</v>
      </c>
      <c r="M556" s="13"/>
    </row>
    <row r="557" customFormat="false" ht="15" hidden="false" customHeight="false" outlineLevel="0" collapsed="false">
      <c r="A557" s="13" t="s">
        <v>610</v>
      </c>
      <c r="B557" s="13" t="s">
        <v>609</v>
      </c>
      <c r="C557" s="13" t="s">
        <v>1545</v>
      </c>
      <c r="D557" s="13" t="s">
        <v>61</v>
      </c>
      <c r="E557" s="13" t="s">
        <v>905</v>
      </c>
      <c r="F557" s="13" t="s">
        <v>906</v>
      </c>
      <c r="G557" s="61" t="n">
        <v>-145447000000</v>
      </c>
      <c r="H557" s="13" t="s">
        <v>1537</v>
      </c>
      <c r="I557" s="13"/>
      <c r="J557" s="13" t="s">
        <v>622</v>
      </c>
      <c r="K557" s="13" t="s">
        <v>622</v>
      </c>
      <c r="L557" s="13" t="s">
        <v>1539</v>
      </c>
      <c r="M557" s="13"/>
    </row>
    <row r="558" customFormat="false" ht="15" hidden="false" customHeight="false" outlineLevel="0" collapsed="false">
      <c r="A558" s="13" t="s">
        <v>610</v>
      </c>
      <c r="B558" s="13" t="s">
        <v>609</v>
      </c>
      <c r="C558" s="13" t="s">
        <v>1546</v>
      </c>
      <c r="D558" s="13" t="s">
        <v>61</v>
      </c>
      <c r="E558" s="13" t="s">
        <v>905</v>
      </c>
      <c r="F558" s="13" t="s">
        <v>906</v>
      </c>
      <c r="G558" s="61" t="n">
        <v>-120996000000</v>
      </c>
      <c r="H558" s="13" t="s">
        <v>1537</v>
      </c>
      <c r="I558" s="13"/>
      <c r="J558" s="13" t="s">
        <v>1547</v>
      </c>
      <c r="K558" s="13" t="s">
        <v>1547</v>
      </c>
      <c r="L558" s="13" t="s">
        <v>1539</v>
      </c>
      <c r="M558" s="13"/>
    </row>
    <row r="559" customFormat="false" ht="15" hidden="false" customHeight="false" outlineLevel="0" collapsed="false">
      <c r="A559" s="13" t="s">
        <v>610</v>
      </c>
      <c r="B559" s="13" t="s">
        <v>609</v>
      </c>
      <c r="C559" s="13" t="s">
        <v>1548</v>
      </c>
      <c r="D559" s="13" t="s">
        <v>61</v>
      </c>
      <c r="E559" s="13" t="s">
        <v>905</v>
      </c>
      <c r="F559" s="13" t="s">
        <v>906</v>
      </c>
      <c r="G559" s="61" t="n">
        <v>-180398000000</v>
      </c>
      <c r="H559" s="13" t="s">
        <v>1537</v>
      </c>
      <c r="I559" s="13"/>
      <c r="J559" s="13" t="s">
        <v>624</v>
      </c>
      <c r="K559" s="13" t="s">
        <v>624</v>
      </c>
      <c r="L559" s="13" t="s">
        <v>1539</v>
      </c>
      <c r="M559" s="13"/>
    </row>
    <row r="560" customFormat="false" ht="15" hidden="false" customHeight="false" outlineLevel="0" collapsed="false">
      <c r="A560" s="13" t="s">
        <v>610</v>
      </c>
      <c r="B560" s="13" t="s">
        <v>609</v>
      </c>
      <c r="C560" s="13" t="s">
        <v>1536</v>
      </c>
      <c r="D560" s="13" t="s">
        <v>61</v>
      </c>
      <c r="E560" s="13" t="s">
        <v>908</v>
      </c>
      <c r="F560" s="13" t="s">
        <v>909</v>
      </c>
      <c r="G560" s="61" t="n">
        <v>-2085522676</v>
      </c>
      <c r="H560" s="13" t="s">
        <v>1537</v>
      </c>
      <c r="I560" s="13"/>
      <c r="J560" s="13" t="s">
        <v>1538</v>
      </c>
      <c r="K560" s="13" t="s">
        <v>1538</v>
      </c>
      <c r="L560" s="13" t="s">
        <v>1539</v>
      </c>
      <c r="M560" s="13"/>
    </row>
    <row r="561" customFormat="false" ht="15" hidden="false" customHeight="false" outlineLevel="0" collapsed="false">
      <c r="A561" s="13" t="s">
        <v>610</v>
      </c>
      <c r="B561" s="13" t="s">
        <v>609</v>
      </c>
      <c r="C561" s="13" t="s">
        <v>1540</v>
      </c>
      <c r="D561" s="13" t="s">
        <v>61</v>
      </c>
      <c r="E561" s="13" t="s">
        <v>908</v>
      </c>
      <c r="F561" s="13" t="s">
        <v>909</v>
      </c>
      <c r="G561" s="61" t="n">
        <v>-6292866811</v>
      </c>
      <c r="H561" s="13" t="s">
        <v>1537</v>
      </c>
      <c r="I561" s="13"/>
      <c r="J561" s="13" t="s">
        <v>1541</v>
      </c>
      <c r="K561" s="13" t="s">
        <v>1541</v>
      </c>
      <c r="L561" s="13" t="s">
        <v>1542</v>
      </c>
      <c r="M561" s="13"/>
    </row>
    <row r="562" customFormat="false" ht="15" hidden="false" customHeight="false" outlineLevel="0" collapsed="false">
      <c r="A562" s="13" t="s">
        <v>610</v>
      </c>
      <c r="B562" s="13" t="s">
        <v>609</v>
      </c>
      <c r="C562" s="13" t="s">
        <v>1543</v>
      </c>
      <c r="D562" s="13" t="s">
        <v>61</v>
      </c>
      <c r="E562" s="13" t="s">
        <v>908</v>
      </c>
      <c r="F562" s="13" t="s">
        <v>909</v>
      </c>
      <c r="G562" s="61" t="n">
        <v>-12881913537</v>
      </c>
      <c r="H562" s="13" t="s">
        <v>1537</v>
      </c>
      <c r="I562" s="13"/>
      <c r="J562" s="13" t="s">
        <v>1544</v>
      </c>
      <c r="K562" s="13" t="s">
        <v>1544</v>
      </c>
      <c r="L562" s="13" t="s">
        <v>1539</v>
      </c>
      <c r="M562" s="13"/>
    </row>
    <row r="563" customFormat="false" ht="15" hidden="false" customHeight="false" outlineLevel="0" collapsed="false">
      <c r="A563" s="13" t="s">
        <v>610</v>
      </c>
      <c r="B563" s="13" t="s">
        <v>609</v>
      </c>
      <c r="C563" s="13" t="s">
        <v>1545</v>
      </c>
      <c r="D563" s="13" t="s">
        <v>61</v>
      </c>
      <c r="E563" s="13" t="s">
        <v>908</v>
      </c>
      <c r="F563" s="13" t="s">
        <v>909</v>
      </c>
      <c r="G563" s="61" t="n">
        <v>-9178000000</v>
      </c>
      <c r="H563" s="13" t="s">
        <v>1537</v>
      </c>
      <c r="I563" s="13"/>
      <c r="J563" s="13" t="s">
        <v>622</v>
      </c>
      <c r="K563" s="13" t="s">
        <v>622</v>
      </c>
      <c r="L563" s="13" t="s">
        <v>1539</v>
      </c>
      <c r="M563" s="13"/>
    </row>
    <row r="564" customFormat="false" ht="15" hidden="false" customHeight="false" outlineLevel="0" collapsed="false">
      <c r="A564" s="13" t="s">
        <v>610</v>
      </c>
      <c r="B564" s="13" t="s">
        <v>609</v>
      </c>
      <c r="C564" s="13" t="s">
        <v>1546</v>
      </c>
      <c r="D564" s="13" t="s">
        <v>61</v>
      </c>
      <c r="E564" s="13" t="s">
        <v>908</v>
      </c>
      <c r="F564" s="13" t="s">
        <v>909</v>
      </c>
      <c r="G564" s="61" t="n">
        <v>-20405000000</v>
      </c>
      <c r="H564" s="13" t="s">
        <v>1537</v>
      </c>
      <c r="I564" s="13"/>
      <c r="J564" s="13" t="s">
        <v>1547</v>
      </c>
      <c r="K564" s="13" t="s">
        <v>1547</v>
      </c>
      <c r="L564" s="13" t="s">
        <v>1539</v>
      </c>
      <c r="M564" s="13"/>
    </row>
    <row r="565" customFormat="false" ht="15" hidden="false" customHeight="false" outlineLevel="0" collapsed="false">
      <c r="A565" s="13" t="s">
        <v>610</v>
      </c>
      <c r="B565" s="13" t="s">
        <v>609</v>
      </c>
      <c r="C565" s="13" t="s">
        <v>1548</v>
      </c>
      <c r="D565" s="13" t="s">
        <v>61</v>
      </c>
      <c r="E565" s="13" t="s">
        <v>908</v>
      </c>
      <c r="F565" s="13" t="s">
        <v>909</v>
      </c>
      <c r="G565" s="61" t="n">
        <v>-41882000000</v>
      </c>
      <c r="H565" s="13" t="s">
        <v>1537</v>
      </c>
      <c r="I565" s="13"/>
      <c r="J565" s="13" t="s">
        <v>624</v>
      </c>
      <c r="K565" s="13" t="s">
        <v>624</v>
      </c>
      <c r="L565" s="13" t="s">
        <v>1539</v>
      </c>
      <c r="M565" s="13"/>
    </row>
    <row r="566" customFormat="false" ht="15" hidden="false" customHeight="false" outlineLevel="0" collapsed="false">
      <c r="A566" s="13" t="s">
        <v>610</v>
      </c>
      <c r="B566" s="13" t="s">
        <v>609</v>
      </c>
      <c r="C566" s="13" t="s">
        <v>1536</v>
      </c>
      <c r="D566" s="13" t="s">
        <v>61</v>
      </c>
      <c r="E566" s="13" t="s">
        <v>911</v>
      </c>
      <c r="F566" s="13" t="s">
        <v>912</v>
      </c>
      <c r="G566" s="61" t="n">
        <v>93881891402</v>
      </c>
      <c r="H566" s="13" t="s">
        <v>1537</v>
      </c>
      <c r="I566" s="13"/>
      <c r="J566" s="13"/>
      <c r="K566" s="13" t="s">
        <v>1538</v>
      </c>
      <c r="L566" s="13" t="s">
        <v>1539</v>
      </c>
      <c r="M566" s="13" t="s">
        <v>1549</v>
      </c>
    </row>
    <row r="567" customFormat="false" ht="15" hidden="false" customHeight="false" outlineLevel="0" collapsed="false">
      <c r="A567" s="13" t="s">
        <v>610</v>
      </c>
      <c r="B567" s="13" t="s">
        <v>609</v>
      </c>
      <c r="C567" s="13" t="s">
        <v>1540</v>
      </c>
      <c r="D567" s="13" t="s">
        <v>61</v>
      </c>
      <c r="E567" s="13" t="s">
        <v>911</v>
      </c>
      <c r="F567" s="13" t="s">
        <v>912</v>
      </c>
      <c r="G567" s="61" t="n">
        <v>336786662790</v>
      </c>
      <c r="H567" s="13" t="s">
        <v>1537</v>
      </c>
      <c r="I567" s="13"/>
      <c r="J567" s="13"/>
      <c r="K567" s="13" t="s">
        <v>1541</v>
      </c>
      <c r="L567" s="13" t="s">
        <v>1542</v>
      </c>
      <c r="M567" s="13" t="s">
        <v>1549</v>
      </c>
    </row>
    <row r="568" customFormat="false" ht="15" hidden="false" customHeight="false" outlineLevel="0" collapsed="false">
      <c r="A568" s="13" t="s">
        <v>610</v>
      </c>
      <c r="B568" s="13" t="s">
        <v>609</v>
      </c>
      <c r="C568" s="13" t="s">
        <v>1543</v>
      </c>
      <c r="D568" s="13" t="s">
        <v>61</v>
      </c>
      <c r="E568" s="13" t="s">
        <v>911</v>
      </c>
      <c r="F568" s="13" t="s">
        <v>912</v>
      </c>
      <c r="G568" s="61" t="n">
        <v>210474822261</v>
      </c>
      <c r="H568" s="13" t="s">
        <v>1537</v>
      </c>
      <c r="I568" s="13"/>
      <c r="J568" s="13"/>
      <c r="K568" s="13" t="s">
        <v>1544</v>
      </c>
      <c r="L568" s="13" t="s">
        <v>1539</v>
      </c>
      <c r="M568" s="13" t="s">
        <v>1549</v>
      </c>
    </row>
    <row r="569" customFormat="false" ht="15" hidden="false" customHeight="false" outlineLevel="0" collapsed="false">
      <c r="A569" s="13" t="s">
        <v>610</v>
      </c>
      <c r="B569" s="13" t="s">
        <v>609</v>
      </c>
      <c r="C569" s="13" t="s">
        <v>1545</v>
      </c>
      <c r="D569" s="13" t="s">
        <v>61</v>
      </c>
      <c r="E569" s="13" t="s">
        <v>911</v>
      </c>
      <c r="F569" s="13" t="s">
        <v>912</v>
      </c>
      <c r="G569" s="61" t="n">
        <v>55917000000</v>
      </c>
      <c r="H569" s="13" t="s">
        <v>1537</v>
      </c>
      <c r="I569" s="13"/>
      <c r="J569" s="13"/>
      <c r="K569" s="13" t="s">
        <v>622</v>
      </c>
      <c r="L569" s="13" t="s">
        <v>1539</v>
      </c>
      <c r="M569" s="13" t="s">
        <v>1549</v>
      </c>
    </row>
    <row r="570" customFormat="false" ht="15" hidden="false" customHeight="false" outlineLevel="0" collapsed="false">
      <c r="A570" s="13" t="s">
        <v>610</v>
      </c>
      <c r="B570" s="13" t="s">
        <v>609</v>
      </c>
      <c r="C570" s="13" t="s">
        <v>1546</v>
      </c>
      <c r="D570" s="13" t="s">
        <v>61</v>
      </c>
      <c r="E570" s="13" t="s">
        <v>911</v>
      </c>
      <c r="F570" s="13" t="s">
        <v>912</v>
      </c>
      <c r="G570" s="61" t="n">
        <v>273248000000</v>
      </c>
      <c r="H570" s="13" t="s">
        <v>1537</v>
      </c>
      <c r="I570" s="13"/>
      <c r="J570" s="13"/>
      <c r="K570" s="13" t="s">
        <v>1547</v>
      </c>
      <c r="L570" s="13" t="s">
        <v>1539</v>
      </c>
      <c r="M570" s="13" t="s">
        <v>1549</v>
      </c>
    </row>
    <row r="571" customFormat="false" ht="15" hidden="false" customHeight="false" outlineLevel="0" collapsed="false">
      <c r="A571" s="13" t="s">
        <v>610</v>
      </c>
      <c r="B571" s="13" t="s">
        <v>609</v>
      </c>
      <c r="C571" s="13" t="s">
        <v>1548</v>
      </c>
      <c r="D571" s="13" t="s">
        <v>61</v>
      </c>
      <c r="E571" s="13" t="s">
        <v>911</v>
      </c>
      <c r="F571" s="13" t="s">
        <v>912</v>
      </c>
      <c r="G571" s="61" t="n">
        <v>129670000000</v>
      </c>
      <c r="H571" s="13" t="s">
        <v>1537</v>
      </c>
      <c r="I571" s="13"/>
      <c r="J571" s="13"/>
      <c r="K571" s="13" t="s">
        <v>624</v>
      </c>
      <c r="L571" s="13" t="s">
        <v>1539</v>
      </c>
      <c r="M571" s="13" t="s">
        <v>1549</v>
      </c>
    </row>
    <row r="572" customFormat="false" ht="15" hidden="false" customHeight="false" outlineLevel="0" collapsed="false">
      <c r="A572" s="13" t="s">
        <v>610</v>
      </c>
      <c r="B572" s="13" t="s">
        <v>609</v>
      </c>
      <c r="C572" s="13" t="s">
        <v>1536</v>
      </c>
      <c r="D572" s="13" t="s">
        <v>61</v>
      </c>
      <c r="E572" s="13" t="s">
        <v>913</v>
      </c>
      <c r="F572" s="13" t="s">
        <v>914</v>
      </c>
      <c r="G572" s="61" t="n">
        <v>-544122343656</v>
      </c>
      <c r="H572" s="13" t="s">
        <v>1537</v>
      </c>
      <c r="I572" s="13"/>
      <c r="J572" s="13" t="s">
        <v>1562</v>
      </c>
      <c r="K572" s="13" t="s">
        <v>1538</v>
      </c>
      <c r="L572" s="13" t="s">
        <v>1539</v>
      </c>
      <c r="M572" s="13"/>
    </row>
    <row r="573" customFormat="false" ht="15" hidden="false" customHeight="false" outlineLevel="0" collapsed="false">
      <c r="A573" s="13" t="s">
        <v>610</v>
      </c>
      <c r="B573" s="13" t="s">
        <v>609</v>
      </c>
      <c r="C573" s="13" t="s">
        <v>1540</v>
      </c>
      <c r="D573" s="13" t="s">
        <v>61</v>
      </c>
      <c r="E573" s="13" t="s">
        <v>913</v>
      </c>
      <c r="F573" s="13" t="s">
        <v>914</v>
      </c>
      <c r="G573" s="61" t="n">
        <v>-464023277324</v>
      </c>
      <c r="H573" s="13" t="s">
        <v>1537</v>
      </c>
      <c r="I573" s="13"/>
      <c r="J573" s="13" t="s">
        <v>1563</v>
      </c>
      <c r="K573" s="13" t="s">
        <v>1541</v>
      </c>
      <c r="L573" s="13" t="s">
        <v>1542</v>
      </c>
      <c r="M573" s="13"/>
    </row>
    <row r="574" customFormat="false" ht="15" hidden="false" customHeight="false" outlineLevel="0" collapsed="false">
      <c r="A574" s="13" t="s">
        <v>610</v>
      </c>
      <c r="B574" s="13" t="s">
        <v>609</v>
      </c>
      <c r="C574" s="13" t="s">
        <v>1543</v>
      </c>
      <c r="D574" s="13" t="s">
        <v>61</v>
      </c>
      <c r="E574" s="13" t="s">
        <v>913</v>
      </c>
      <c r="F574" s="13" t="s">
        <v>914</v>
      </c>
      <c r="G574" s="61" t="n">
        <v>-569712834234</v>
      </c>
      <c r="H574" s="13" t="s">
        <v>1537</v>
      </c>
      <c r="I574" s="13"/>
      <c r="J574" s="13" t="s">
        <v>1544</v>
      </c>
      <c r="K574" s="13" t="s">
        <v>1544</v>
      </c>
      <c r="L574" s="13" t="s">
        <v>1539</v>
      </c>
      <c r="M574" s="13"/>
    </row>
    <row r="575" customFormat="false" ht="15" hidden="false" customHeight="false" outlineLevel="0" collapsed="false">
      <c r="A575" s="13" t="s">
        <v>610</v>
      </c>
      <c r="B575" s="13" t="s">
        <v>609</v>
      </c>
      <c r="C575" s="13" t="s">
        <v>1545</v>
      </c>
      <c r="D575" s="13" t="s">
        <v>61</v>
      </c>
      <c r="E575" s="13" t="s">
        <v>913</v>
      </c>
      <c r="F575" s="13" t="s">
        <v>914</v>
      </c>
      <c r="G575" s="61" t="n">
        <v>-570699000000</v>
      </c>
      <c r="H575" s="13" t="s">
        <v>1537</v>
      </c>
      <c r="I575" s="13"/>
      <c r="J575" s="13" t="s">
        <v>1564</v>
      </c>
      <c r="K575" s="13" t="s">
        <v>622</v>
      </c>
      <c r="L575" s="13" t="s">
        <v>1539</v>
      </c>
      <c r="M575" s="13"/>
    </row>
    <row r="576" customFormat="false" ht="15" hidden="false" customHeight="false" outlineLevel="0" collapsed="false">
      <c r="A576" s="13" t="s">
        <v>610</v>
      </c>
      <c r="B576" s="13" t="s">
        <v>609</v>
      </c>
      <c r="C576" s="13" t="s">
        <v>1546</v>
      </c>
      <c r="D576" s="13" t="s">
        <v>61</v>
      </c>
      <c r="E576" s="13" t="s">
        <v>913</v>
      </c>
      <c r="F576" s="13" t="s">
        <v>914</v>
      </c>
      <c r="G576" s="61" t="n">
        <v>-525029000000</v>
      </c>
      <c r="H576" s="13" t="s">
        <v>1537</v>
      </c>
      <c r="I576" s="13"/>
      <c r="J576" s="13" t="s">
        <v>1565</v>
      </c>
      <c r="K576" s="13" t="s">
        <v>1547</v>
      </c>
      <c r="L576" s="13" t="s">
        <v>1539</v>
      </c>
      <c r="M576" s="13"/>
    </row>
    <row r="577" customFormat="false" ht="15" hidden="false" customHeight="false" outlineLevel="0" collapsed="false">
      <c r="A577" s="13" t="s">
        <v>610</v>
      </c>
      <c r="B577" s="13" t="s">
        <v>609</v>
      </c>
      <c r="C577" s="13" t="s">
        <v>1548</v>
      </c>
      <c r="D577" s="13" t="s">
        <v>61</v>
      </c>
      <c r="E577" s="13" t="s">
        <v>913</v>
      </c>
      <c r="F577" s="13" t="s">
        <v>914</v>
      </c>
      <c r="G577" s="61" t="n">
        <v>-579605000000</v>
      </c>
      <c r="H577" s="13" t="s">
        <v>1537</v>
      </c>
      <c r="I577" s="13"/>
      <c r="J577" s="13" t="s">
        <v>1566</v>
      </c>
      <c r="K577" s="13" t="s">
        <v>624</v>
      </c>
      <c r="L577" s="13" t="s">
        <v>1539</v>
      </c>
      <c r="M577" s="13"/>
    </row>
    <row r="578" customFormat="false" ht="15" hidden="false" customHeight="false" outlineLevel="0" collapsed="false">
      <c r="A578" s="13" t="s">
        <v>610</v>
      </c>
      <c r="B578" s="13" t="s">
        <v>609</v>
      </c>
      <c r="C578" s="13" t="s">
        <v>1543</v>
      </c>
      <c r="D578" s="13" t="s">
        <v>61</v>
      </c>
      <c r="E578" s="13" t="s">
        <v>916</v>
      </c>
      <c r="F578" s="13" t="s">
        <v>737</v>
      </c>
      <c r="G578" s="61" t="n">
        <v>-85833683046</v>
      </c>
      <c r="H578" s="13" t="s">
        <v>1537</v>
      </c>
      <c r="I578" s="13"/>
      <c r="J578" s="13" t="s">
        <v>1544</v>
      </c>
      <c r="K578" s="13" t="s">
        <v>1544</v>
      </c>
      <c r="L578" s="13" t="s">
        <v>1539</v>
      </c>
      <c r="M578" s="13"/>
    </row>
    <row r="579" customFormat="false" ht="15" hidden="false" customHeight="false" outlineLevel="0" collapsed="false">
      <c r="A579" s="13" t="s">
        <v>610</v>
      </c>
      <c r="B579" s="13" t="s">
        <v>609</v>
      </c>
      <c r="C579" s="13" t="s">
        <v>1545</v>
      </c>
      <c r="D579" s="13" t="s">
        <v>61</v>
      </c>
      <c r="E579" s="13" t="s">
        <v>916</v>
      </c>
      <c r="F579" s="13" t="s">
        <v>737</v>
      </c>
      <c r="G579" s="61" t="n">
        <v>-12833000000</v>
      </c>
      <c r="H579" s="13" t="s">
        <v>1537</v>
      </c>
      <c r="I579" s="13"/>
      <c r="J579" s="13" t="s">
        <v>622</v>
      </c>
      <c r="K579" s="13" t="s">
        <v>622</v>
      </c>
      <c r="L579" s="13" t="s">
        <v>1539</v>
      </c>
      <c r="M579" s="13"/>
    </row>
    <row r="580" customFormat="false" ht="15" hidden="false" customHeight="false" outlineLevel="0" collapsed="false">
      <c r="A580" s="13" t="s">
        <v>610</v>
      </c>
      <c r="B580" s="13" t="s">
        <v>609</v>
      </c>
      <c r="C580" s="13" t="s">
        <v>1536</v>
      </c>
      <c r="D580" s="13" t="s">
        <v>61</v>
      </c>
      <c r="E580" s="13" t="s">
        <v>918</v>
      </c>
      <c r="F580" s="13" t="s">
        <v>462</v>
      </c>
      <c r="G580" s="61" t="n">
        <v>-6697340640</v>
      </c>
      <c r="H580" s="13" t="s">
        <v>1537</v>
      </c>
      <c r="I580" s="13"/>
      <c r="J580" s="13" t="s">
        <v>1538</v>
      </c>
      <c r="K580" s="13" t="s">
        <v>1538</v>
      </c>
      <c r="L580" s="13" t="s">
        <v>1539</v>
      </c>
      <c r="M580" s="13"/>
    </row>
    <row r="581" customFormat="false" ht="15" hidden="false" customHeight="false" outlineLevel="0" collapsed="false">
      <c r="A581" s="13" t="s">
        <v>610</v>
      </c>
      <c r="B581" s="13" t="s">
        <v>609</v>
      </c>
      <c r="C581" s="13" t="s">
        <v>1540</v>
      </c>
      <c r="D581" s="13" t="s">
        <v>61</v>
      </c>
      <c r="E581" s="13" t="s">
        <v>918</v>
      </c>
      <c r="F581" s="13" t="s">
        <v>462</v>
      </c>
      <c r="G581" s="61" t="n">
        <v>-3165516135</v>
      </c>
      <c r="H581" s="13" t="s">
        <v>1537</v>
      </c>
      <c r="I581" s="13"/>
      <c r="J581" s="13" t="s">
        <v>1541</v>
      </c>
      <c r="K581" s="13" t="s">
        <v>1541</v>
      </c>
      <c r="L581" s="13" t="s">
        <v>1542</v>
      </c>
      <c r="M581" s="13"/>
    </row>
    <row r="582" customFormat="false" ht="15" hidden="false" customHeight="false" outlineLevel="0" collapsed="false">
      <c r="A582" s="13" t="s">
        <v>610</v>
      </c>
      <c r="B582" s="13" t="s">
        <v>609</v>
      </c>
      <c r="C582" s="13" t="s">
        <v>1543</v>
      </c>
      <c r="D582" s="13" t="s">
        <v>61</v>
      </c>
      <c r="E582" s="13" t="s">
        <v>918</v>
      </c>
      <c r="F582" s="13" t="s">
        <v>462</v>
      </c>
      <c r="G582" s="61" t="n">
        <v>-4343974611</v>
      </c>
      <c r="H582" s="13" t="s">
        <v>1537</v>
      </c>
      <c r="I582" s="13"/>
      <c r="J582" s="13" t="s">
        <v>1544</v>
      </c>
      <c r="K582" s="13" t="s">
        <v>1544</v>
      </c>
      <c r="L582" s="13" t="s">
        <v>1539</v>
      </c>
      <c r="M582" s="13"/>
    </row>
    <row r="583" customFormat="false" ht="15" hidden="false" customHeight="false" outlineLevel="0" collapsed="false">
      <c r="A583" s="13" t="s">
        <v>610</v>
      </c>
      <c r="B583" s="13" t="s">
        <v>609</v>
      </c>
      <c r="C583" s="13" t="s">
        <v>1545</v>
      </c>
      <c r="D583" s="13" t="s">
        <v>61</v>
      </c>
      <c r="E583" s="13" t="s">
        <v>918</v>
      </c>
      <c r="F583" s="13" t="s">
        <v>462</v>
      </c>
      <c r="G583" s="61" t="n">
        <v>-5066000000</v>
      </c>
      <c r="H583" s="13" t="s">
        <v>1537</v>
      </c>
      <c r="I583" s="13"/>
      <c r="J583" s="13" t="s">
        <v>622</v>
      </c>
      <c r="K583" s="13" t="s">
        <v>622</v>
      </c>
      <c r="L583" s="13" t="s">
        <v>1539</v>
      </c>
      <c r="M583" s="13"/>
    </row>
    <row r="584" customFormat="false" ht="15" hidden="false" customHeight="false" outlineLevel="0" collapsed="false">
      <c r="A584" s="13" t="s">
        <v>610</v>
      </c>
      <c r="B584" s="13" t="s">
        <v>609</v>
      </c>
      <c r="C584" s="13" t="s">
        <v>1546</v>
      </c>
      <c r="D584" s="13" t="s">
        <v>61</v>
      </c>
      <c r="E584" s="13" t="s">
        <v>918</v>
      </c>
      <c r="F584" s="13" t="s">
        <v>462</v>
      </c>
      <c r="G584" s="61" t="n">
        <v>-7568000000</v>
      </c>
      <c r="H584" s="13" t="s">
        <v>1537</v>
      </c>
      <c r="I584" s="13"/>
      <c r="J584" s="13" t="s">
        <v>1547</v>
      </c>
      <c r="K584" s="13" t="s">
        <v>1547</v>
      </c>
      <c r="L584" s="13" t="s">
        <v>1539</v>
      </c>
      <c r="M584" s="13"/>
    </row>
    <row r="585" customFormat="false" ht="15" hidden="false" customHeight="false" outlineLevel="0" collapsed="false">
      <c r="A585" s="13" t="s">
        <v>610</v>
      </c>
      <c r="B585" s="13" t="s">
        <v>609</v>
      </c>
      <c r="C585" s="13" t="s">
        <v>1548</v>
      </c>
      <c r="D585" s="13" t="s">
        <v>61</v>
      </c>
      <c r="E585" s="13" t="s">
        <v>918</v>
      </c>
      <c r="F585" s="13" t="s">
        <v>462</v>
      </c>
      <c r="G585" s="61" t="n">
        <v>-28217000000</v>
      </c>
      <c r="H585" s="13" t="s">
        <v>1537</v>
      </c>
      <c r="I585" s="13"/>
      <c r="J585" s="13" t="s">
        <v>624</v>
      </c>
      <c r="K585" s="13" t="s">
        <v>624</v>
      </c>
      <c r="L585" s="13" t="s">
        <v>1539</v>
      </c>
      <c r="M585" s="13"/>
    </row>
    <row r="586" customFormat="false" ht="15" hidden="false" customHeight="false" outlineLevel="0" collapsed="false">
      <c r="A586" s="13" t="s">
        <v>610</v>
      </c>
      <c r="B586" s="13" t="s">
        <v>609</v>
      </c>
      <c r="C586" s="13" t="s">
        <v>1548</v>
      </c>
      <c r="D586" s="13" t="s">
        <v>61</v>
      </c>
      <c r="E586" s="13" t="s">
        <v>920</v>
      </c>
      <c r="F586" s="13" t="s">
        <v>921</v>
      </c>
      <c r="G586" s="61" t="n">
        <v>-4685000000</v>
      </c>
      <c r="H586" s="13" t="s">
        <v>1537</v>
      </c>
      <c r="I586" s="13"/>
      <c r="J586" s="13" t="s">
        <v>624</v>
      </c>
      <c r="K586" s="13" t="s">
        <v>624</v>
      </c>
      <c r="L586" s="13" t="s">
        <v>1539</v>
      </c>
      <c r="M586" s="13"/>
    </row>
    <row r="587" customFormat="false" ht="15" hidden="false" customHeight="false" outlineLevel="0" collapsed="false">
      <c r="A587" s="13" t="s">
        <v>610</v>
      </c>
      <c r="B587" s="13" t="s">
        <v>609</v>
      </c>
      <c r="C587" s="13" t="s">
        <v>1536</v>
      </c>
      <c r="D587" s="13" t="s">
        <v>61</v>
      </c>
      <c r="E587" s="13" t="s">
        <v>923</v>
      </c>
      <c r="F587" s="13" t="s">
        <v>924</v>
      </c>
      <c r="G587" s="61" t="n">
        <v>108657000</v>
      </c>
      <c r="H587" s="13" t="s">
        <v>1537</v>
      </c>
      <c r="I587" s="13"/>
      <c r="J587" s="13" t="s">
        <v>1538</v>
      </c>
      <c r="K587" s="13" t="s">
        <v>1538</v>
      </c>
      <c r="L587" s="13" t="s">
        <v>1539</v>
      </c>
      <c r="M587" s="13"/>
    </row>
    <row r="588" customFormat="false" ht="15" hidden="false" customHeight="false" outlineLevel="0" collapsed="false">
      <c r="A588" s="13" t="s">
        <v>610</v>
      </c>
      <c r="B588" s="13" t="s">
        <v>609</v>
      </c>
      <c r="C588" s="13" t="s">
        <v>1540</v>
      </c>
      <c r="D588" s="13" t="s">
        <v>61</v>
      </c>
      <c r="E588" s="13" t="s">
        <v>923</v>
      </c>
      <c r="F588" s="13" t="s">
        <v>924</v>
      </c>
      <c r="G588" s="61" t="n">
        <v>313000000</v>
      </c>
      <c r="H588" s="13" t="s">
        <v>1537</v>
      </c>
      <c r="I588" s="13"/>
      <c r="J588" s="13" t="s">
        <v>1541</v>
      </c>
      <c r="K588" s="13" t="s">
        <v>1541</v>
      </c>
      <c r="L588" s="13" t="s">
        <v>1542</v>
      </c>
      <c r="M588" s="13"/>
    </row>
    <row r="589" customFormat="false" ht="15" hidden="false" customHeight="false" outlineLevel="0" collapsed="false">
      <c r="A589" s="13" t="s">
        <v>610</v>
      </c>
      <c r="B589" s="13" t="s">
        <v>609</v>
      </c>
      <c r="C589" s="13" t="s">
        <v>1543</v>
      </c>
      <c r="D589" s="13" t="s">
        <v>61</v>
      </c>
      <c r="E589" s="13" t="s">
        <v>923</v>
      </c>
      <c r="F589" s="13" t="s">
        <v>924</v>
      </c>
      <c r="G589" s="61" t="n">
        <v>294685224</v>
      </c>
      <c r="H589" s="13" t="s">
        <v>1537</v>
      </c>
      <c r="I589" s="13"/>
      <c r="J589" s="13" t="s">
        <v>1544</v>
      </c>
      <c r="K589" s="13" t="s">
        <v>1544</v>
      </c>
      <c r="L589" s="13" t="s">
        <v>1539</v>
      </c>
      <c r="M589" s="13"/>
    </row>
    <row r="590" customFormat="false" ht="15" hidden="false" customHeight="false" outlineLevel="0" collapsed="false">
      <c r="A590" s="13" t="s">
        <v>610</v>
      </c>
      <c r="B590" s="13" t="s">
        <v>609</v>
      </c>
      <c r="C590" s="13" t="s">
        <v>1545</v>
      </c>
      <c r="D590" s="13" t="s">
        <v>61</v>
      </c>
      <c r="E590" s="13" t="s">
        <v>923</v>
      </c>
      <c r="F590" s="13" t="s">
        <v>924</v>
      </c>
      <c r="G590" s="61" t="n">
        <v>3208000000</v>
      </c>
      <c r="H590" s="13" t="s">
        <v>1537</v>
      </c>
      <c r="I590" s="13"/>
      <c r="J590" s="13" t="s">
        <v>622</v>
      </c>
      <c r="K590" s="13" t="s">
        <v>622</v>
      </c>
      <c r="L590" s="13" t="s">
        <v>1539</v>
      </c>
      <c r="M590" s="13"/>
    </row>
    <row r="591" customFormat="false" ht="15" hidden="false" customHeight="false" outlineLevel="0" collapsed="false">
      <c r="A591" s="13" t="s">
        <v>610</v>
      </c>
      <c r="B591" s="13" t="s">
        <v>609</v>
      </c>
      <c r="C591" s="13" t="s">
        <v>1546</v>
      </c>
      <c r="D591" s="13" t="s">
        <v>61</v>
      </c>
      <c r="E591" s="13" t="s">
        <v>923</v>
      </c>
      <c r="F591" s="13" t="s">
        <v>924</v>
      </c>
      <c r="G591" s="61" t="n">
        <v>280000000</v>
      </c>
      <c r="H591" s="13" t="s">
        <v>1537</v>
      </c>
      <c r="I591" s="13"/>
      <c r="J591" s="13" t="s">
        <v>1547</v>
      </c>
      <c r="K591" s="13" t="s">
        <v>1547</v>
      </c>
      <c r="L591" s="13" t="s">
        <v>1539</v>
      </c>
      <c r="M591" s="13"/>
    </row>
    <row r="592" customFormat="false" ht="15" hidden="false" customHeight="false" outlineLevel="0" collapsed="false">
      <c r="A592" s="13" t="s">
        <v>610</v>
      </c>
      <c r="B592" s="13" t="s">
        <v>609</v>
      </c>
      <c r="C592" s="13" t="s">
        <v>1548</v>
      </c>
      <c r="D592" s="13" t="s">
        <v>61</v>
      </c>
      <c r="E592" s="13" t="s">
        <v>923</v>
      </c>
      <c r="F592" s="13" t="s">
        <v>924</v>
      </c>
      <c r="G592" s="61" t="n">
        <v>357000000</v>
      </c>
      <c r="H592" s="13" t="s">
        <v>1537</v>
      </c>
      <c r="I592" s="13"/>
      <c r="J592" s="13" t="s">
        <v>624</v>
      </c>
      <c r="K592" s="13" t="s">
        <v>624</v>
      </c>
      <c r="L592" s="13" t="s">
        <v>1539</v>
      </c>
      <c r="M592" s="13"/>
    </row>
    <row r="593" customFormat="false" ht="15" hidden="false" customHeight="false" outlineLevel="0" collapsed="false">
      <c r="A593" s="13" t="s">
        <v>610</v>
      </c>
      <c r="B593" s="13" t="s">
        <v>609</v>
      </c>
      <c r="C593" s="13" t="s">
        <v>1540</v>
      </c>
      <c r="D593" s="13" t="s">
        <v>61</v>
      </c>
      <c r="E593" s="13" t="s">
        <v>926</v>
      </c>
      <c r="F593" s="13" t="s">
        <v>927</v>
      </c>
      <c r="G593" s="61" t="n">
        <v>-1404495936</v>
      </c>
      <c r="H593" s="13" t="s">
        <v>1537</v>
      </c>
      <c r="I593" s="13"/>
      <c r="J593" s="13" t="s">
        <v>1541</v>
      </c>
      <c r="K593" s="13" t="s">
        <v>1541</v>
      </c>
      <c r="L593" s="13" t="s">
        <v>1542</v>
      </c>
      <c r="M593" s="13"/>
    </row>
    <row r="594" customFormat="false" ht="15" hidden="false" customHeight="false" outlineLevel="0" collapsed="false">
      <c r="A594" s="13" t="s">
        <v>610</v>
      </c>
      <c r="B594" s="13" t="s">
        <v>609</v>
      </c>
      <c r="C594" s="13" t="s">
        <v>1543</v>
      </c>
      <c r="D594" s="13" t="s">
        <v>61</v>
      </c>
      <c r="E594" s="13" t="s">
        <v>926</v>
      </c>
      <c r="F594" s="13" t="s">
        <v>927</v>
      </c>
      <c r="G594" s="61" t="n">
        <v>-18626561484</v>
      </c>
      <c r="H594" s="13" t="s">
        <v>1537</v>
      </c>
      <c r="I594" s="13"/>
      <c r="J594" s="13" t="s">
        <v>1544</v>
      </c>
      <c r="K594" s="13" t="s">
        <v>1544</v>
      </c>
      <c r="L594" s="13" t="s">
        <v>1539</v>
      </c>
      <c r="M594" s="13"/>
    </row>
    <row r="595" customFormat="false" ht="15" hidden="false" customHeight="false" outlineLevel="0" collapsed="false">
      <c r="A595" s="13" t="s">
        <v>610</v>
      </c>
      <c r="B595" s="13" t="s">
        <v>609</v>
      </c>
      <c r="C595" s="13" t="s">
        <v>1536</v>
      </c>
      <c r="D595" s="13" t="s">
        <v>61</v>
      </c>
      <c r="E595" s="13" t="s">
        <v>929</v>
      </c>
      <c r="F595" s="13" t="s">
        <v>930</v>
      </c>
      <c r="G595" s="61" t="n">
        <v>-550711027296</v>
      </c>
      <c r="H595" s="13" t="s">
        <v>1537</v>
      </c>
      <c r="I595" s="13"/>
      <c r="J595" s="13"/>
      <c r="K595" s="13" t="s">
        <v>1538</v>
      </c>
      <c r="L595" s="13" t="s">
        <v>1539</v>
      </c>
      <c r="M595" s="13" t="s">
        <v>1549</v>
      </c>
    </row>
    <row r="596" customFormat="false" ht="15" hidden="false" customHeight="false" outlineLevel="0" collapsed="false">
      <c r="A596" s="13" t="s">
        <v>610</v>
      </c>
      <c r="B596" s="13" t="s">
        <v>609</v>
      </c>
      <c r="C596" s="13" t="s">
        <v>1540</v>
      </c>
      <c r="D596" s="13" t="s">
        <v>61</v>
      </c>
      <c r="E596" s="13" t="s">
        <v>929</v>
      </c>
      <c r="F596" s="13" t="s">
        <v>930</v>
      </c>
      <c r="G596" s="61" t="n">
        <v>-468280289395</v>
      </c>
      <c r="H596" s="13" t="s">
        <v>1537</v>
      </c>
      <c r="I596" s="13"/>
      <c r="J596" s="13"/>
      <c r="K596" s="13" t="s">
        <v>1541</v>
      </c>
      <c r="L596" s="13" t="s">
        <v>1542</v>
      </c>
      <c r="M596" s="13" t="s">
        <v>1549</v>
      </c>
    </row>
    <row r="597" customFormat="false" ht="15" hidden="false" customHeight="false" outlineLevel="0" collapsed="false">
      <c r="A597" s="13" t="s">
        <v>610</v>
      </c>
      <c r="B597" s="13" t="s">
        <v>609</v>
      </c>
      <c r="C597" s="13" t="s">
        <v>1543</v>
      </c>
      <c r="D597" s="13" t="s">
        <v>61</v>
      </c>
      <c r="E597" s="13" t="s">
        <v>929</v>
      </c>
      <c r="F597" s="13" t="s">
        <v>930</v>
      </c>
      <c r="G597" s="61" t="n">
        <v>-678222368151</v>
      </c>
      <c r="H597" s="13" t="s">
        <v>1537</v>
      </c>
      <c r="I597" s="13"/>
      <c r="J597" s="13"/>
      <c r="K597" s="13" t="s">
        <v>1544</v>
      </c>
      <c r="L597" s="13" t="s">
        <v>1539</v>
      </c>
      <c r="M597" s="13" t="s">
        <v>1549</v>
      </c>
    </row>
    <row r="598" customFormat="false" ht="15" hidden="false" customHeight="false" outlineLevel="0" collapsed="false">
      <c r="A598" s="13" t="s">
        <v>610</v>
      </c>
      <c r="B598" s="13" t="s">
        <v>609</v>
      </c>
      <c r="C598" s="13" t="s">
        <v>1545</v>
      </c>
      <c r="D598" s="13" t="s">
        <v>61</v>
      </c>
      <c r="E598" s="13" t="s">
        <v>929</v>
      </c>
      <c r="F598" s="13" t="s">
        <v>930</v>
      </c>
      <c r="G598" s="61" t="n">
        <v>-585390000000</v>
      </c>
      <c r="H598" s="13" t="s">
        <v>1537</v>
      </c>
      <c r="I598" s="13"/>
      <c r="J598" s="13"/>
      <c r="K598" s="13" t="s">
        <v>622</v>
      </c>
      <c r="L598" s="13" t="s">
        <v>1539</v>
      </c>
      <c r="M598" s="13" t="s">
        <v>1549</v>
      </c>
    </row>
    <row r="599" customFormat="false" ht="15" hidden="false" customHeight="false" outlineLevel="0" collapsed="false">
      <c r="A599" s="13" t="s">
        <v>610</v>
      </c>
      <c r="B599" s="13" t="s">
        <v>609</v>
      </c>
      <c r="C599" s="13" t="s">
        <v>1546</v>
      </c>
      <c r="D599" s="13" t="s">
        <v>61</v>
      </c>
      <c r="E599" s="13" t="s">
        <v>929</v>
      </c>
      <c r="F599" s="13" t="s">
        <v>930</v>
      </c>
      <c r="G599" s="61" t="n">
        <v>-532317000000</v>
      </c>
      <c r="H599" s="13" t="s">
        <v>1537</v>
      </c>
      <c r="I599" s="13"/>
      <c r="J599" s="13"/>
      <c r="K599" s="13" t="s">
        <v>1547</v>
      </c>
      <c r="L599" s="13" t="s">
        <v>1539</v>
      </c>
      <c r="M599" s="13" t="s">
        <v>1549</v>
      </c>
    </row>
    <row r="600" customFormat="false" ht="15" hidden="false" customHeight="false" outlineLevel="0" collapsed="false">
      <c r="A600" s="13" t="s">
        <v>610</v>
      </c>
      <c r="B600" s="13" t="s">
        <v>609</v>
      </c>
      <c r="C600" s="13" t="s">
        <v>1548</v>
      </c>
      <c r="D600" s="13" t="s">
        <v>61</v>
      </c>
      <c r="E600" s="13" t="s">
        <v>929</v>
      </c>
      <c r="F600" s="13" t="s">
        <v>930</v>
      </c>
      <c r="G600" s="61" t="n">
        <v>-612150000000</v>
      </c>
      <c r="H600" s="13" t="s">
        <v>1537</v>
      </c>
      <c r="I600" s="13"/>
      <c r="J600" s="13"/>
      <c r="K600" s="13" t="s">
        <v>624</v>
      </c>
      <c r="L600" s="13" t="s">
        <v>1539</v>
      </c>
      <c r="M600" s="13" t="s">
        <v>1549</v>
      </c>
    </row>
    <row r="601" customFormat="false" ht="15" hidden="false" customHeight="false" outlineLevel="0" collapsed="false">
      <c r="A601" s="13" t="s">
        <v>610</v>
      </c>
      <c r="B601" s="13" t="s">
        <v>609</v>
      </c>
      <c r="C601" s="13" t="s">
        <v>1536</v>
      </c>
      <c r="D601" s="13" t="s">
        <v>61</v>
      </c>
      <c r="E601" s="13" t="s">
        <v>931</v>
      </c>
      <c r="F601" s="13" t="s">
        <v>932</v>
      </c>
      <c r="G601" s="61" t="n">
        <v>171000000000</v>
      </c>
      <c r="H601" s="13" t="s">
        <v>1537</v>
      </c>
      <c r="I601" s="13"/>
      <c r="J601" s="13" t="s">
        <v>1538</v>
      </c>
      <c r="K601" s="13" t="s">
        <v>1538</v>
      </c>
      <c r="L601" s="13" t="s">
        <v>1539</v>
      </c>
      <c r="M601" s="13"/>
    </row>
    <row r="602" customFormat="false" ht="15" hidden="false" customHeight="false" outlineLevel="0" collapsed="false">
      <c r="A602" s="13" t="s">
        <v>610</v>
      </c>
      <c r="B602" s="13" t="s">
        <v>609</v>
      </c>
      <c r="C602" s="13" t="s">
        <v>1540</v>
      </c>
      <c r="D602" s="13" t="s">
        <v>61</v>
      </c>
      <c r="E602" s="13" t="s">
        <v>931</v>
      </c>
      <c r="F602" s="13" t="s">
        <v>932</v>
      </c>
      <c r="G602" s="61" t="n">
        <v>390000000000</v>
      </c>
      <c r="H602" s="13" t="s">
        <v>1537</v>
      </c>
      <c r="I602" s="13"/>
      <c r="J602" s="13" t="s">
        <v>1541</v>
      </c>
      <c r="K602" s="13" t="s">
        <v>1541</v>
      </c>
      <c r="L602" s="13" t="s">
        <v>1542</v>
      </c>
      <c r="M602" s="13"/>
    </row>
    <row r="603" customFormat="false" ht="15" hidden="false" customHeight="false" outlineLevel="0" collapsed="false">
      <c r="A603" s="13" t="s">
        <v>610</v>
      </c>
      <c r="B603" s="13" t="s">
        <v>609</v>
      </c>
      <c r="C603" s="13" t="s">
        <v>1543</v>
      </c>
      <c r="D603" s="13" t="s">
        <v>61</v>
      </c>
      <c r="E603" s="13" t="s">
        <v>931</v>
      </c>
      <c r="F603" s="13" t="s">
        <v>932</v>
      </c>
      <c r="G603" s="61" t="n">
        <v>36827459956</v>
      </c>
      <c r="H603" s="13" t="s">
        <v>1537</v>
      </c>
      <c r="I603" s="13"/>
      <c r="J603" s="13" t="s">
        <v>1544</v>
      </c>
      <c r="K603" s="13" t="s">
        <v>1544</v>
      </c>
      <c r="L603" s="13" t="s">
        <v>1539</v>
      </c>
      <c r="M603" s="13"/>
    </row>
    <row r="604" customFormat="false" ht="15" hidden="false" customHeight="false" outlineLevel="0" collapsed="false">
      <c r="A604" s="13" t="s">
        <v>610</v>
      </c>
      <c r="B604" s="13" t="s">
        <v>609</v>
      </c>
      <c r="C604" s="13" t="s">
        <v>1545</v>
      </c>
      <c r="D604" s="13" t="s">
        <v>61</v>
      </c>
      <c r="E604" s="13" t="s">
        <v>931</v>
      </c>
      <c r="F604" s="13" t="s">
        <v>932</v>
      </c>
      <c r="G604" s="61" t="n">
        <v>11525000000</v>
      </c>
      <c r="H604" s="13" t="s">
        <v>1537</v>
      </c>
      <c r="I604" s="13"/>
      <c r="J604" s="13" t="s">
        <v>622</v>
      </c>
      <c r="K604" s="13" t="s">
        <v>622</v>
      </c>
      <c r="L604" s="13" t="s">
        <v>1539</v>
      </c>
      <c r="M604" s="13"/>
    </row>
    <row r="605" customFormat="false" ht="15" hidden="false" customHeight="false" outlineLevel="0" collapsed="false">
      <c r="A605" s="13" t="s">
        <v>610</v>
      </c>
      <c r="B605" s="13" t="s">
        <v>609</v>
      </c>
      <c r="C605" s="13" t="s">
        <v>1536</v>
      </c>
      <c r="D605" s="13" t="s">
        <v>61</v>
      </c>
      <c r="E605" s="13" t="s">
        <v>934</v>
      </c>
      <c r="F605" s="13" t="s">
        <v>935</v>
      </c>
      <c r="G605" s="61" t="n">
        <v>-24678569749</v>
      </c>
      <c r="H605" s="13" t="s">
        <v>1537</v>
      </c>
      <c r="I605" s="13"/>
      <c r="J605" s="13" t="s">
        <v>1538</v>
      </c>
      <c r="K605" s="13" t="s">
        <v>1538</v>
      </c>
      <c r="L605" s="13" t="s">
        <v>1539</v>
      </c>
      <c r="M605" s="13"/>
    </row>
    <row r="606" customFormat="false" ht="15" hidden="false" customHeight="false" outlineLevel="0" collapsed="false">
      <c r="A606" s="13" t="s">
        <v>610</v>
      </c>
      <c r="B606" s="13" t="s">
        <v>609</v>
      </c>
      <c r="C606" s="13" t="s">
        <v>1540</v>
      </c>
      <c r="D606" s="13" t="s">
        <v>61</v>
      </c>
      <c r="E606" s="13" t="s">
        <v>934</v>
      </c>
      <c r="F606" s="13" t="s">
        <v>935</v>
      </c>
      <c r="G606" s="61" t="n">
        <v>-20000000000</v>
      </c>
      <c r="H606" s="13" t="s">
        <v>1537</v>
      </c>
      <c r="I606" s="13"/>
      <c r="J606" s="13" t="s">
        <v>1541</v>
      </c>
      <c r="K606" s="13" t="s">
        <v>1541</v>
      </c>
      <c r="L606" s="13" t="s">
        <v>1542</v>
      </c>
      <c r="M606" s="13"/>
    </row>
    <row r="607" customFormat="false" ht="15" hidden="false" customHeight="false" outlineLevel="0" collapsed="false">
      <c r="A607" s="13" t="s">
        <v>610</v>
      </c>
      <c r="B607" s="13" t="s">
        <v>609</v>
      </c>
      <c r="C607" s="13" t="s">
        <v>1543</v>
      </c>
      <c r="D607" s="13" t="s">
        <v>61</v>
      </c>
      <c r="E607" s="13" t="s">
        <v>934</v>
      </c>
      <c r="F607" s="13" t="s">
        <v>935</v>
      </c>
      <c r="G607" s="61" t="n">
        <v>-142490111313</v>
      </c>
      <c r="H607" s="13" t="s">
        <v>1537</v>
      </c>
      <c r="I607" s="13"/>
      <c r="J607" s="13" t="s">
        <v>1544</v>
      </c>
      <c r="K607" s="13" t="s">
        <v>1544</v>
      </c>
      <c r="L607" s="13" t="s">
        <v>1539</v>
      </c>
      <c r="M607" s="13"/>
    </row>
    <row r="608" customFormat="false" ht="15" hidden="false" customHeight="false" outlineLevel="0" collapsed="false">
      <c r="A608" s="13" t="s">
        <v>610</v>
      </c>
      <c r="B608" s="13" t="s">
        <v>609</v>
      </c>
      <c r="C608" s="13" t="s">
        <v>1545</v>
      </c>
      <c r="D608" s="13" t="s">
        <v>61</v>
      </c>
      <c r="E608" s="13" t="s">
        <v>934</v>
      </c>
      <c r="F608" s="13" t="s">
        <v>935</v>
      </c>
      <c r="G608" s="61" t="n">
        <v>-477247000000</v>
      </c>
      <c r="H608" s="13" t="s">
        <v>1537</v>
      </c>
      <c r="I608" s="13"/>
      <c r="J608" s="13" t="s">
        <v>622</v>
      </c>
      <c r="K608" s="13" t="s">
        <v>622</v>
      </c>
      <c r="L608" s="13" t="s">
        <v>1539</v>
      </c>
      <c r="M608" s="13"/>
    </row>
    <row r="609" customFormat="false" ht="15" hidden="false" customHeight="false" outlineLevel="0" collapsed="false">
      <c r="A609" s="13" t="s">
        <v>610</v>
      </c>
      <c r="B609" s="13" t="s">
        <v>609</v>
      </c>
      <c r="C609" s="13" t="s">
        <v>1536</v>
      </c>
      <c r="D609" s="13" t="s">
        <v>61</v>
      </c>
      <c r="E609" s="13" t="s">
        <v>937</v>
      </c>
      <c r="F609" s="13" t="s">
        <v>938</v>
      </c>
      <c r="G609" s="61" t="n">
        <v>830000000000</v>
      </c>
      <c r="H609" s="13" t="s">
        <v>1537</v>
      </c>
      <c r="I609" s="13"/>
      <c r="J609" s="13" t="s">
        <v>1538</v>
      </c>
      <c r="K609" s="13" t="s">
        <v>1538</v>
      </c>
      <c r="L609" s="13" t="s">
        <v>1539</v>
      </c>
      <c r="M609" s="13"/>
    </row>
    <row r="610" customFormat="false" ht="15" hidden="false" customHeight="false" outlineLevel="0" collapsed="false">
      <c r="A610" s="13" t="s">
        <v>610</v>
      </c>
      <c r="B610" s="13" t="s">
        <v>609</v>
      </c>
      <c r="C610" s="13" t="s">
        <v>1540</v>
      </c>
      <c r="D610" s="13" t="s">
        <v>61</v>
      </c>
      <c r="E610" s="13" t="s">
        <v>937</v>
      </c>
      <c r="F610" s="13" t="s">
        <v>938</v>
      </c>
      <c r="G610" s="61" t="n">
        <v>220000000000</v>
      </c>
      <c r="H610" s="13" t="s">
        <v>1537</v>
      </c>
      <c r="I610" s="13"/>
      <c r="J610" s="13" t="s">
        <v>1541</v>
      </c>
      <c r="K610" s="13" t="s">
        <v>1541</v>
      </c>
      <c r="L610" s="13" t="s">
        <v>1542</v>
      </c>
      <c r="M610" s="13"/>
    </row>
    <row r="611" customFormat="false" ht="15" hidden="false" customHeight="false" outlineLevel="0" collapsed="false">
      <c r="A611" s="13" t="s">
        <v>610</v>
      </c>
      <c r="B611" s="13" t="s">
        <v>609</v>
      </c>
      <c r="C611" s="13" t="s">
        <v>1543</v>
      </c>
      <c r="D611" s="13" t="s">
        <v>61</v>
      </c>
      <c r="E611" s="13" t="s">
        <v>937</v>
      </c>
      <c r="F611" s="13" t="s">
        <v>938</v>
      </c>
      <c r="G611" s="61" t="n">
        <v>100000000000</v>
      </c>
      <c r="H611" s="13" t="s">
        <v>1537</v>
      </c>
      <c r="I611" s="13"/>
      <c r="J611" s="13" t="s">
        <v>1544</v>
      </c>
      <c r="K611" s="13" t="s">
        <v>1544</v>
      </c>
      <c r="L611" s="13" t="s">
        <v>1539</v>
      </c>
      <c r="M611" s="13"/>
    </row>
    <row r="612" customFormat="false" ht="15" hidden="false" customHeight="false" outlineLevel="0" collapsed="false">
      <c r="A612" s="13" t="s">
        <v>610</v>
      </c>
      <c r="B612" s="13" t="s">
        <v>609</v>
      </c>
      <c r="C612" s="13" t="s">
        <v>1546</v>
      </c>
      <c r="D612" s="13" t="s">
        <v>61</v>
      </c>
      <c r="E612" s="13" t="s">
        <v>937</v>
      </c>
      <c r="F612" s="13" t="s">
        <v>938</v>
      </c>
      <c r="G612" s="61" t="n">
        <v>288607000000</v>
      </c>
      <c r="H612" s="13" t="s">
        <v>1537</v>
      </c>
      <c r="I612" s="13"/>
      <c r="J612" s="13" t="s">
        <v>1547</v>
      </c>
      <c r="K612" s="13" t="s">
        <v>1547</v>
      </c>
      <c r="L612" s="13" t="s">
        <v>1539</v>
      </c>
      <c r="M612" s="13"/>
    </row>
    <row r="613" customFormat="false" ht="15" hidden="false" customHeight="false" outlineLevel="0" collapsed="false">
      <c r="A613" s="13" t="s">
        <v>610</v>
      </c>
      <c r="B613" s="13" t="s">
        <v>609</v>
      </c>
      <c r="C613" s="13" t="s">
        <v>1548</v>
      </c>
      <c r="D613" s="13" t="s">
        <v>61</v>
      </c>
      <c r="E613" s="13" t="s">
        <v>937</v>
      </c>
      <c r="F613" s="13" t="s">
        <v>938</v>
      </c>
      <c r="G613" s="61" t="n">
        <v>136758000000</v>
      </c>
      <c r="H613" s="13" t="s">
        <v>1537</v>
      </c>
      <c r="I613" s="13"/>
      <c r="J613" s="13" t="s">
        <v>624</v>
      </c>
      <c r="K613" s="13" t="s">
        <v>624</v>
      </c>
      <c r="L613" s="13" t="s">
        <v>1539</v>
      </c>
      <c r="M613" s="13"/>
    </row>
    <row r="614" customFormat="false" ht="15" hidden="false" customHeight="false" outlineLevel="0" collapsed="false">
      <c r="A614" s="13" t="s">
        <v>610</v>
      </c>
      <c r="B614" s="13" t="s">
        <v>609</v>
      </c>
      <c r="C614" s="13" t="s">
        <v>1536</v>
      </c>
      <c r="D614" s="13" t="s">
        <v>61</v>
      </c>
      <c r="E614" s="13" t="s">
        <v>940</v>
      </c>
      <c r="F614" s="13" t="s">
        <v>941</v>
      </c>
      <c r="G614" s="61" t="n">
        <v>-134309028160</v>
      </c>
      <c r="H614" s="13" t="s">
        <v>1537</v>
      </c>
      <c r="I614" s="13"/>
      <c r="J614" s="13" t="s">
        <v>1538</v>
      </c>
      <c r="K614" s="13" t="s">
        <v>1538</v>
      </c>
      <c r="L614" s="13" t="s">
        <v>1539</v>
      </c>
      <c r="M614" s="13"/>
    </row>
    <row r="615" customFormat="false" ht="15" hidden="false" customHeight="false" outlineLevel="0" collapsed="false">
      <c r="A615" s="13" t="s">
        <v>610</v>
      </c>
      <c r="B615" s="13" t="s">
        <v>609</v>
      </c>
      <c r="C615" s="13" t="s">
        <v>1540</v>
      </c>
      <c r="D615" s="13" t="s">
        <v>61</v>
      </c>
      <c r="E615" s="13" t="s">
        <v>940</v>
      </c>
      <c r="F615" s="13" t="s">
        <v>941</v>
      </c>
      <c r="G615" s="61" t="n">
        <v>-839428499944</v>
      </c>
      <c r="H615" s="13" t="s">
        <v>1537</v>
      </c>
      <c r="I615" s="13"/>
      <c r="J615" s="13" t="s">
        <v>1541</v>
      </c>
      <c r="K615" s="13" t="s">
        <v>1541</v>
      </c>
      <c r="L615" s="13" t="s">
        <v>1542</v>
      </c>
      <c r="M615" s="13"/>
    </row>
    <row r="616" customFormat="false" ht="15" hidden="false" customHeight="false" outlineLevel="0" collapsed="false">
      <c r="A616" s="13" t="s">
        <v>610</v>
      </c>
      <c r="B616" s="13" t="s">
        <v>609</v>
      </c>
      <c r="C616" s="13" t="s">
        <v>1543</v>
      </c>
      <c r="D616" s="13" t="s">
        <v>61</v>
      </c>
      <c r="E616" s="13" t="s">
        <v>940</v>
      </c>
      <c r="F616" s="13" t="s">
        <v>941</v>
      </c>
      <c r="G616" s="61" t="n">
        <v>-57661026547</v>
      </c>
      <c r="H616" s="13" t="s">
        <v>1537</v>
      </c>
      <c r="I616" s="13"/>
      <c r="J616" s="13" t="s">
        <v>1544</v>
      </c>
      <c r="K616" s="13" t="s">
        <v>1544</v>
      </c>
      <c r="L616" s="13" t="s">
        <v>1539</v>
      </c>
      <c r="M616" s="13"/>
    </row>
    <row r="617" customFormat="false" ht="15" hidden="false" customHeight="false" outlineLevel="0" collapsed="false">
      <c r="A617" s="13" t="s">
        <v>610</v>
      </c>
      <c r="B617" s="13" t="s">
        <v>609</v>
      </c>
      <c r="C617" s="13" t="s">
        <v>1545</v>
      </c>
      <c r="D617" s="13" t="s">
        <v>61</v>
      </c>
      <c r="E617" s="13" t="s">
        <v>940</v>
      </c>
      <c r="F617" s="13" t="s">
        <v>941</v>
      </c>
      <c r="G617" s="61" t="n">
        <v>-80956000000</v>
      </c>
      <c r="H617" s="13" t="s">
        <v>1537</v>
      </c>
      <c r="I617" s="13"/>
      <c r="J617" s="13" t="s">
        <v>622</v>
      </c>
      <c r="K617" s="13" t="s">
        <v>622</v>
      </c>
      <c r="L617" s="13" t="s">
        <v>1539</v>
      </c>
      <c r="M617" s="13"/>
    </row>
    <row r="618" customFormat="false" ht="15" hidden="false" customHeight="false" outlineLevel="0" collapsed="false">
      <c r="A618" s="13" t="s">
        <v>610</v>
      </c>
      <c r="B618" s="13" t="s">
        <v>609</v>
      </c>
      <c r="C618" s="13" t="s">
        <v>1546</v>
      </c>
      <c r="D618" s="13" t="s">
        <v>61</v>
      </c>
      <c r="E618" s="13" t="s">
        <v>940</v>
      </c>
      <c r="F618" s="13" t="s">
        <v>941</v>
      </c>
      <c r="G618" s="61" t="n">
        <v>-251795000000</v>
      </c>
      <c r="H618" s="13" t="s">
        <v>1537</v>
      </c>
      <c r="I618" s="13"/>
      <c r="J618" s="13" t="s">
        <v>1547</v>
      </c>
      <c r="K618" s="13" t="s">
        <v>1547</v>
      </c>
      <c r="L618" s="13" t="s">
        <v>1539</v>
      </c>
      <c r="M618" s="13"/>
    </row>
    <row r="619" customFormat="false" ht="15" hidden="false" customHeight="false" outlineLevel="0" collapsed="false">
      <c r="A619" s="13" t="s">
        <v>610</v>
      </c>
      <c r="B619" s="13" t="s">
        <v>609</v>
      </c>
      <c r="C619" s="13" t="s">
        <v>1548</v>
      </c>
      <c r="D619" s="13" t="s">
        <v>61</v>
      </c>
      <c r="E619" s="13" t="s">
        <v>940</v>
      </c>
      <c r="F619" s="13" t="s">
        <v>941</v>
      </c>
      <c r="G619" s="61" t="n">
        <v>-83663000000</v>
      </c>
      <c r="H619" s="13" t="s">
        <v>1537</v>
      </c>
      <c r="I619" s="13"/>
      <c r="J619" s="13" t="s">
        <v>624</v>
      </c>
      <c r="K619" s="13" t="s">
        <v>624</v>
      </c>
      <c r="L619" s="13" t="s">
        <v>1539</v>
      </c>
      <c r="M619" s="13"/>
    </row>
    <row r="620" customFormat="false" ht="15" hidden="false" customHeight="false" outlineLevel="0" collapsed="false">
      <c r="A620" s="13" t="s">
        <v>610</v>
      </c>
      <c r="B620" s="13" t="s">
        <v>609</v>
      </c>
      <c r="C620" s="13" t="s">
        <v>1545</v>
      </c>
      <c r="D620" s="13" t="s">
        <v>61</v>
      </c>
      <c r="E620" s="13" t="s">
        <v>943</v>
      </c>
      <c r="F620" s="13" t="s">
        <v>944</v>
      </c>
      <c r="G620" s="61" t="n">
        <v>481631000000</v>
      </c>
      <c r="H620" s="13" t="s">
        <v>1537</v>
      </c>
      <c r="I620" s="13"/>
      <c r="J620" s="13" t="s">
        <v>622</v>
      </c>
      <c r="K620" s="13" t="s">
        <v>622</v>
      </c>
      <c r="L620" s="13" t="s">
        <v>1539</v>
      </c>
      <c r="M620" s="13"/>
    </row>
    <row r="621" customFormat="false" ht="15" hidden="false" customHeight="false" outlineLevel="0" collapsed="false">
      <c r="A621" s="13" t="s">
        <v>610</v>
      </c>
      <c r="B621" s="13" t="s">
        <v>609</v>
      </c>
      <c r="C621" s="13" t="s">
        <v>1548</v>
      </c>
      <c r="D621" s="13" t="s">
        <v>61</v>
      </c>
      <c r="E621" s="13" t="s">
        <v>943</v>
      </c>
      <c r="F621" s="13" t="s">
        <v>944</v>
      </c>
      <c r="G621" s="61" t="n">
        <v>407900000000</v>
      </c>
      <c r="H621" s="13" t="s">
        <v>1537</v>
      </c>
      <c r="I621" s="13"/>
      <c r="J621" s="13" t="s">
        <v>624</v>
      </c>
      <c r="K621" s="13" t="s">
        <v>624</v>
      </c>
      <c r="L621" s="13" t="s">
        <v>1539</v>
      </c>
      <c r="M621" s="13"/>
    </row>
    <row r="622" customFormat="false" ht="15" hidden="false" customHeight="false" outlineLevel="0" collapsed="false">
      <c r="A622" s="13" t="s">
        <v>610</v>
      </c>
      <c r="B622" s="13" t="s">
        <v>609</v>
      </c>
      <c r="C622" s="13" t="s">
        <v>1545</v>
      </c>
      <c r="D622" s="13" t="s">
        <v>61</v>
      </c>
      <c r="E622" s="13" t="s">
        <v>946</v>
      </c>
      <c r="F622" s="13" t="s">
        <v>947</v>
      </c>
      <c r="G622" s="61" t="n">
        <v>-6021000000</v>
      </c>
      <c r="H622" s="13" t="s">
        <v>1537</v>
      </c>
      <c r="I622" s="13"/>
      <c r="J622" s="13" t="s">
        <v>622</v>
      </c>
      <c r="K622" s="13" t="s">
        <v>622</v>
      </c>
      <c r="L622" s="13" t="s">
        <v>1539</v>
      </c>
      <c r="M622" s="13"/>
    </row>
    <row r="623" customFormat="false" ht="15" hidden="false" customHeight="false" outlineLevel="0" collapsed="false">
      <c r="A623" s="13" t="s">
        <v>610</v>
      </c>
      <c r="B623" s="13" t="s">
        <v>609</v>
      </c>
      <c r="C623" s="13" t="s">
        <v>1546</v>
      </c>
      <c r="D623" s="13" t="s">
        <v>61</v>
      </c>
      <c r="E623" s="13" t="s">
        <v>946</v>
      </c>
      <c r="F623" s="13" t="s">
        <v>947</v>
      </c>
      <c r="G623" s="61" t="n">
        <v>-24083000000</v>
      </c>
      <c r="H623" s="13" t="s">
        <v>1537</v>
      </c>
      <c r="I623" s="13"/>
      <c r="J623" s="13" t="s">
        <v>1547</v>
      </c>
      <c r="K623" s="13" t="s">
        <v>1547</v>
      </c>
      <c r="L623" s="13" t="s">
        <v>1539</v>
      </c>
      <c r="M623" s="13"/>
    </row>
    <row r="624" customFormat="false" ht="15" hidden="false" customHeight="false" outlineLevel="0" collapsed="false">
      <c r="A624" s="13" t="s">
        <v>610</v>
      </c>
      <c r="B624" s="13" t="s">
        <v>609</v>
      </c>
      <c r="C624" s="13" t="s">
        <v>1548</v>
      </c>
      <c r="D624" s="13" t="s">
        <v>61</v>
      </c>
      <c r="E624" s="13" t="s">
        <v>946</v>
      </c>
      <c r="F624" s="13" t="s">
        <v>947</v>
      </c>
      <c r="G624" s="61" t="n">
        <v>-42998000000</v>
      </c>
      <c r="H624" s="13" t="s">
        <v>1537</v>
      </c>
      <c r="I624" s="13"/>
      <c r="J624" s="13" t="s">
        <v>624</v>
      </c>
      <c r="K624" s="13" t="s">
        <v>624</v>
      </c>
      <c r="L624" s="13" t="s">
        <v>1539</v>
      </c>
      <c r="M624" s="13"/>
    </row>
    <row r="625" customFormat="false" ht="15" hidden="false" customHeight="false" outlineLevel="0" collapsed="false">
      <c r="A625" s="13" t="s">
        <v>610</v>
      </c>
      <c r="B625" s="13" t="s">
        <v>609</v>
      </c>
      <c r="C625" s="13" t="s">
        <v>1543</v>
      </c>
      <c r="D625" s="13" t="s">
        <v>61</v>
      </c>
      <c r="E625" s="13" t="s">
        <v>949</v>
      </c>
      <c r="F625" s="13" t="s">
        <v>950</v>
      </c>
      <c r="G625" s="61" t="n">
        <v>950000000000</v>
      </c>
      <c r="H625" s="13" t="s">
        <v>1537</v>
      </c>
      <c r="I625" s="13"/>
      <c r="J625" s="13" t="s">
        <v>1544</v>
      </c>
      <c r="K625" s="13" t="s">
        <v>1544</v>
      </c>
      <c r="L625" s="13" t="s">
        <v>1539</v>
      </c>
      <c r="M625" s="13"/>
    </row>
    <row r="626" customFormat="false" ht="15" hidden="false" customHeight="false" outlineLevel="0" collapsed="false">
      <c r="A626" s="13" t="s">
        <v>610</v>
      </c>
      <c r="B626" s="13" t="s">
        <v>609</v>
      </c>
      <c r="C626" s="13" t="s">
        <v>1548</v>
      </c>
      <c r="D626" s="13" t="s">
        <v>61</v>
      </c>
      <c r="E626" s="13" t="s">
        <v>949</v>
      </c>
      <c r="F626" s="13" t="s">
        <v>950</v>
      </c>
      <c r="G626" s="61" t="n">
        <v>1947031000000</v>
      </c>
      <c r="H626" s="13" t="s">
        <v>1537</v>
      </c>
      <c r="I626" s="13"/>
      <c r="J626" s="13" t="s">
        <v>624</v>
      </c>
      <c r="K626" s="13" t="s">
        <v>624</v>
      </c>
      <c r="L626" s="13" t="s">
        <v>1539</v>
      </c>
      <c r="M626" s="13"/>
    </row>
    <row r="627" customFormat="false" ht="15" hidden="false" customHeight="false" outlineLevel="0" collapsed="false">
      <c r="A627" s="13" t="s">
        <v>610</v>
      </c>
      <c r="B627" s="13" t="s">
        <v>609</v>
      </c>
      <c r="C627" s="13" t="s">
        <v>1548</v>
      </c>
      <c r="D627" s="13" t="s">
        <v>61</v>
      </c>
      <c r="E627" s="13" t="s">
        <v>952</v>
      </c>
      <c r="F627" s="13" t="s">
        <v>953</v>
      </c>
      <c r="G627" s="61" t="n">
        <v>-407900000000</v>
      </c>
      <c r="H627" s="13" t="s">
        <v>1537</v>
      </c>
      <c r="I627" s="13"/>
      <c r="J627" s="13" t="s">
        <v>624</v>
      </c>
      <c r="K627" s="13" t="s">
        <v>624</v>
      </c>
      <c r="L627" s="13" t="s">
        <v>1539</v>
      </c>
      <c r="M627" s="13"/>
    </row>
    <row r="628" customFormat="false" ht="15" hidden="false" customHeight="false" outlineLevel="0" collapsed="false">
      <c r="A628" s="13" t="s">
        <v>610</v>
      </c>
      <c r="B628" s="13" t="s">
        <v>609</v>
      </c>
      <c r="C628" s="13" t="s">
        <v>1540</v>
      </c>
      <c r="D628" s="13" t="s">
        <v>61</v>
      </c>
      <c r="E628" s="13" t="s">
        <v>955</v>
      </c>
      <c r="F628" s="13" t="s">
        <v>956</v>
      </c>
      <c r="G628" s="61" t="n">
        <v>-174990000</v>
      </c>
      <c r="H628" s="13" t="s">
        <v>1537</v>
      </c>
      <c r="I628" s="13"/>
      <c r="J628" s="13" t="s">
        <v>1541</v>
      </c>
      <c r="K628" s="13" t="s">
        <v>1541</v>
      </c>
      <c r="L628" s="13" t="s">
        <v>1542</v>
      </c>
      <c r="M628" s="13"/>
    </row>
    <row r="629" customFormat="false" ht="15" hidden="false" customHeight="false" outlineLevel="0" collapsed="false">
      <c r="A629" s="13" t="s">
        <v>610</v>
      </c>
      <c r="B629" s="13" t="s">
        <v>609</v>
      </c>
      <c r="C629" s="13" t="s">
        <v>1543</v>
      </c>
      <c r="D629" s="13" t="s">
        <v>61</v>
      </c>
      <c r="E629" s="13" t="s">
        <v>955</v>
      </c>
      <c r="F629" s="13" t="s">
        <v>956</v>
      </c>
      <c r="G629" s="61" t="n">
        <v>-1596885161</v>
      </c>
      <c r="H629" s="13" t="s">
        <v>1537</v>
      </c>
      <c r="I629" s="13"/>
      <c r="J629" s="13" t="s">
        <v>1544</v>
      </c>
      <c r="K629" s="13" t="s">
        <v>1544</v>
      </c>
      <c r="L629" s="13" t="s">
        <v>1539</v>
      </c>
      <c r="M629" s="13"/>
    </row>
    <row r="630" customFormat="false" ht="15" hidden="false" customHeight="false" outlineLevel="0" collapsed="false">
      <c r="A630" s="13" t="s">
        <v>610</v>
      </c>
      <c r="B630" s="13" t="s">
        <v>609</v>
      </c>
      <c r="C630" s="13" t="s">
        <v>1545</v>
      </c>
      <c r="D630" s="13" t="s">
        <v>61</v>
      </c>
      <c r="E630" s="13" t="s">
        <v>955</v>
      </c>
      <c r="F630" s="13" t="s">
        <v>956</v>
      </c>
      <c r="G630" s="61" t="n">
        <v>-1821000000</v>
      </c>
      <c r="H630" s="13" t="s">
        <v>1537</v>
      </c>
      <c r="I630" s="13"/>
      <c r="J630" s="13" t="s">
        <v>622</v>
      </c>
      <c r="K630" s="13" t="s">
        <v>622</v>
      </c>
      <c r="L630" s="13" t="s">
        <v>1539</v>
      </c>
      <c r="M630" s="13"/>
    </row>
    <row r="631" customFormat="false" ht="15" hidden="false" customHeight="false" outlineLevel="0" collapsed="false">
      <c r="A631" s="13" t="s">
        <v>610</v>
      </c>
      <c r="B631" s="13" t="s">
        <v>609</v>
      </c>
      <c r="C631" s="13" t="s">
        <v>1546</v>
      </c>
      <c r="D631" s="13" t="s">
        <v>61</v>
      </c>
      <c r="E631" s="13" t="s">
        <v>955</v>
      </c>
      <c r="F631" s="13" t="s">
        <v>956</v>
      </c>
      <c r="G631" s="61" t="n">
        <v>-2284000000</v>
      </c>
      <c r="H631" s="13" t="s">
        <v>1537</v>
      </c>
      <c r="I631" s="13"/>
      <c r="J631" s="13" t="s">
        <v>1547</v>
      </c>
      <c r="K631" s="13" t="s">
        <v>1547</v>
      </c>
      <c r="L631" s="13" t="s">
        <v>1539</v>
      </c>
      <c r="M631" s="13"/>
    </row>
    <row r="632" customFormat="false" ht="15" hidden="false" customHeight="false" outlineLevel="0" collapsed="false">
      <c r="A632" s="13" t="s">
        <v>610</v>
      </c>
      <c r="B632" s="13" t="s">
        <v>609</v>
      </c>
      <c r="C632" s="13" t="s">
        <v>1548</v>
      </c>
      <c r="D632" s="13" t="s">
        <v>61</v>
      </c>
      <c r="E632" s="13" t="s">
        <v>955</v>
      </c>
      <c r="F632" s="13" t="s">
        <v>956</v>
      </c>
      <c r="G632" s="61" t="n">
        <v>-431000000</v>
      </c>
      <c r="H632" s="13" t="s">
        <v>1537</v>
      </c>
      <c r="I632" s="13"/>
      <c r="J632" s="13" t="s">
        <v>624</v>
      </c>
      <c r="K632" s="13" t="s">
        <v>624</v>
      </c>
      <c r="L632" s="13" t="s">
        <v>1539</v>
      </c>
      <c r="M632" s="13"/>
    </row>
    <row r="633" customFormat="false" ht="15" hidden="false" customHeight="false" outlineLevel="0" collapsed="false">
      <c r="A633" s="13" t="s">
        <v>610</v>
      </c>
      <c r="B633" s="13" t="s">
        <v>609</v>
      </c>
      <c r="C633" s="13" t="s">
        <v>1536</v>
      </c>
      <c r="D633" s="13" t="s">
        <v>61</v>
      </c>
      <c r="E633" s="13" t="s">
        <v>958</v>
      </c>
      <c r="F633" s="13" t="s">
        <v>959</v>
      </c>
      <c r="G633" s="61" t="n">
        <v>342308233436</v>
      </c>
      <c r="H633" s="13" t="s">
        <v>1537</v>
      </c>
      <c r="I633" s="13"/>
      <c r="J633" s="13" t="s">
        <v>1538</v>
      </c>
      <c r="K633" s="13" t="s">
        <v>1538</v>
      </c>
      <c r="L633" s="13" t="s">
        <v>1539</v>
      </c>
      <c r="M633" s="13"/>
    </row>
    <row r="634" customFormat="false" ht="15" hidden="false" customHeight="false" outlineLevel="0" collapsed="false">
      <c r="A634" s="13" t="s">
        <v>610</v>
      </c>
      <c r="B634" s="13" t="s">
        <v>609</v>
      </c>
      <c r="C634" s="13" t="s">
        <v>1540</v>
      </c>
      <c r="D634" s="13" t="s">
        <v>61</v>
      </c>
      <c r="E634" s="13" t="s">
        <v>958</v>
      </c>
      <c r="F634" s="13" t="s">
        <v>959</v>
      </c>
      <c r="G634" s="61" t="n">
        <v>428841753085</v>
      </c>
      <c r="H634" s="13" t="s">
        <v>1537</v>
      </c>
      <c r="I634" s="13"/>
      <c r="J634" s="13" t="s">
        <v>1541</v>
      </c>
      <c r="K634" s="13" t="s">
        <v>1541</v>
      </c>
      <c r="L634" s="13" t="s">
        <v>1542</v>
      </c>
      <c r="M634" s="13"/>
    </row>
    <row r="635" customFormat="false" ht="15" hidden="false" customHeight="false" outlineLevel="0" collapsed="false">
      <c r="A635" s="13" t="s">
        <v>610</v>
      </c>
      <c r="B635" s="13" t="s">
        <v>609</v>
      </c>
      <c r="C635" s="13" t="s">
        <v>1548</v>
      </c>
      <c r="D635" s="13" t="s">
        <v>61</v>
      </c>
      <c r="E635" s="13" t="s">
        <v>958</v>
      </c>
      <c r="F635" s="13" t="s">
        <v>959</v>
      </c>
      <c r="G635" s="61" t="n">
        <v>-435044000000</v>
      </c>
      <c r="H635" s="13" t="s">
        <v>1537</v>
      </c>
      <c r="I635" s="13"/>
      <c r="J635" s="13" t="s">
        <v>624</v>
      </c>
      <c r="K635" s="13" t="s">
        <v>624</v>
      </c>
      <c r="L635" s="13" t="s">
        <v>1539</v>
      </c>
      <c r="M635" s="13"/>
    </row>
    <row r="636" customFormat="false" ht="15" hidden="false" customHeight="false" outlineLevel="0" collapsed="false">
      <c r="A636" s="13" t="s">
        <v>610</v>
      </c>
      <c r="B636" s="13" t="s">
        <v>609</v>
      </c>
      <c r="C636" s="13" t="s">
        <v>1548</v>
      </c>
      <c r="D636" s="13" t="s">
        <v>61</v>
      </c>
      <c r="E636" s="13" t="s">
        <v>961</v>
      </c>
      <c r="F636" s="13" t="s">
        <v>962</v>
      </c>
      <c r="G636" s="61" t="n">
        <v>521696000000</v>
      </c>
      <c r="H636" s="13" t="s">
        <v>1537</v>
      </c>
      <c r="I636" s="13"/>
      <c r="J636" s="13" t="s">
        <v>624</v>
      </c>
      <c r="K636" s="13" t="s">
        <v>624</v>
      </c>
      <c r="L636" s="13" t="s">
        <v>1539</v>
      </c>
      <c r="M636" s="13"/>
    </row>
    <row r="637" customFormat="false" ht="15" hidden="false" customHeight="false" outlineLevel="0" collapsed="false">
      <c r="A637" s="13" t="s">
        <v>610</v>
      </c>
      <c r="B637" s="13" t="s">
        <v>609</v>
      </c>
      <c r="C637" s="13" t="s">
        <v>1548</v>
      </c>
      <c r="D637" s="13" t="s">
        <v>61</v>
      </c>
      <c r="E637" s="13" t="s">
        <v>964</v>
      </c>
      <c r="F637" s="13" t="s">
        <v>965</v>
      </c>
      <c r="G637" s="61" t="n">
        <v>-18310000000</v>
      </c>
      <c r="H637" s="13" t="s">
        <v>1537</v>
      </c>
      <c r="I637" s="13"/>
      <c r="J637" s="13" t="s">
        <v>624</v>
      </c>
      <c r="K637" s="13" t="s">
        <v>624</v>
      </c>
      <c r="L637" s="13" t="s">
        <v>1539</v>
      </c>
      <c r="M637" s="13"/>
    </row>
    <row r="638" customFormat="false" ht="15" hidden="false" customHeight="false" outlineLevel="0" collapsed="false">
      <c r="A638" s="13" t="s">
        <v>610</v>
      </c>
      <c r="B638" s="13" t="s">
        <v>609</v>
      </c>
      <c r="C638" s="13" t="s">
        <v>1536</v>
      </c>
      <c r="D638" s="13" t="s">
        <v>61</v>
      </c>
      <c r="E638" s="13" t="s">
        <v>967</v>
      </c>
      <c r="F638" s="13" t="s">
        <v>968</v>
      </c>
      <c r="G638" s="61" t="n">
        <v>-330000000000</v>
      </c>
      <c r="H638" s="13" t="s">
        <v>1537</v>
      </c>
      <c r="I638" s="13"/>
      <c r="J638" s="13" t="s">
        <v>1538</v>
      </c>
      <c r="K638" s="13" t="s">
        <v>1538</v>
      </c>
      <c r="L638" s="13" t="s">
        <v>1539</v>
      </c>
      <c r="M638" s="13"/>
    </row>
    <row r="639" customFormat="false" ht="15" hidden="false" customHeight="false" outlineLevel="0" collapsed="false">
      <c r="A639" s="13" t="s">
        <v>610</v>
      </c>
      <c r="B639" s="13" t="s">
        <v>609</v>
      </c>
      <c r="C639" s="13" t="s">
        <v>1545</v>
      </c>
      <c r="D639" s="13" t="s">
        <v>61</v>
      </c>
      <c r="E639" s="13" t="s">
        <v>967</v>
      </c>
      <c r="F639" s="13" t="s">
        <v>968</v>
      </c>
      <c r="G639" s="61" t="n">
        <v>-707000000</v>
      </c>
      <c r="H639" s="13" t="s">
        <v>1537</v>
      </c>
      <c r="I639" s="13"/>
      <c r="J639" s="13" t="s">
        <v>622</v>
      </c>
      <c r="K639" s="13" t="s">
        <v>622</v>
      </c>
      <c r="L639" s="13" t="s">
        <v>1539</v>
      </c>
      <c r="M639" s="13"/>
    </row>
    <row r="640" customFormat="false" ht="15" hidden="false" customHeight="false" outlineLevel="0" collapsed="false">
      <c r="A640" s="13" t="s">
        <v>610</v>
      </c>
      <c r="B640" s="13" t="s">
        <v>609</v>
      </c>
      <c r="C640" s="13" t="s">
        <v>1546</v>
      </c>
      <c r="D640" s="13" t="s">
        <v>61</v>
      </c>
      <c r="E640" s="13" t="s">
        <v>967</v>
      </c>
      <c r="F640" s="13" t="s">
        <v>968</v>
      </c>
      <c r="G640" s="61" t="n">
        <v>-708000000</v>
      </c>
      <c r="H640" s="13" t="s">
        <v>1537</v>
      </c>
      <c r="I640" s="13"/>
      <c r="J640" s="13" t="s">
        <v>1547</v>
      </c>
      <c r="K640" s="13" t="s">
        <v>1547</v>
      </c>
      <c r="L640" s="13" t="s">
        <v>1539</v>
      </c>
      <c r="M640" s="13"/>
    </row>
    <row r="641" customFormat="false" ht="15" hidden="false" customHeight="false" outlineLevel="0" collapsed="false">
      <c r="A641" s="13" t="s">
        <v>610</v>
      </c>
      <c r="B641" s="13" t="s">
        <v>609</v>
      </c>
      <c r="C641" s="13" t="s">
        <v>1548</v>
      </c>
      <c r="D641" s="13" t="s">
        <v>61</v>
      </c>
      <c r="E641" s="13" t="s">
        <v>967</v>
      </c>
      <c r="F641" s="13" t="s">
        <v>968</v>
      </c>
      <c r="G641" s="61" t="n">
        <v>-1599000000</v>
      </c>
      <c r="H641" s="13" t="s">
        <v>1537</v>
      </c>
      <c r="I641" s="13"/>
      <c r="J641" s="13" t="s">
        <v>624</v>
      </c>
      <c r="K641" s="13" t="s">
        <v>624</v>
      </c>
      <c r="L641" s="13" t="s">
        <v>1539</v>
      </c>
      <c r="M641" s="13"/>
    </row>
    <row r="642" customFormat="false" ht="15" hidden="false" customHeight="false" outlineLevel="0" collapsed="false">
      <c r="A642" s="13" t="s">
        <v>610</v>
      </c>
      <c r="B642" s="13" t="s">
        <v>609</v>
      </c>
      <c r="C642" s="13" t="s">
        <v>1536</v>
      </c>
      <c r="D642" s="13" t="s">
        <v>61</v>
      </c>
      <c r="E642" s="13" t="s">
        <v>972</v>
      </c>
      <c r="F642" s="13" t="s">
        <v>973</v>
      </c>
      <c r="G642" s="61" t="n">
        <v>854320635527</v>
      </c>
      <c r="H642" s="13" t="s">
        <v>1537</v>
      </c>
      <c r="I642" s="13"/>
      <c r="J642" s="13"/>
      <c r="K642" s="13" t="s">
        <v>1538</v>
      </c>
      <c r="L642" s="13" t="s">
        <v>1539</v>
      </c>
      <c r="M642" s="13" t="s">
        <v>1549</v>
      </c>
    </row>
    <row r="643" customFormat="false" ht="15" hidden="false" customHeight="false" outlineLevel="0" collapsed="false">
      <c r="A643" s="13" t="s">
        <v>610</v>
      </c>
      <c r="B643" s="13" t="s">
        <v>609</v>
      </c>
      <c r="C643" s="13" t="s">
        <v>1540</v>
      </c>
      <c r="D643" s="13" t="s">
        <v>61</v>
      </c>
      <c r="E643" s="13" t="s">
        <v>972</v>
      </c>
      <c r="F643" s="13" t="s">
        <v>973</v>
      </c>
      <c r="G643" s="61" t="n">
        <v>179238263141</v>
      </c>
      <c r="H643" s="13" t="s">
        <v>1537</v>
      </c>
      <c r="I643" s="13"/>
      <c r="J643" s="13"/>
      <c r="K643" s="13" t="s">
        <v>1541</v>
      </c>
      <c r="L643" s="13" t="s">
        <v>1542</v>
      </c>
      <c r="M643" s="13" t="s">
        <v>1549</v>
      </c>
    </row>
    <row r="644" customFormat="false" ht="15" hidden="false" customHeight="false" outlineLevel="0" collapsed="false">
      <c r="A644" s="13" t="s">
        <v>610</v>
      </c>
      <c r="B644" s="13" t="s">
        <v>609</v>
      </c>
      <c r="C644" s="13" t="s">
        <v>1543</v>
      </c>
      <c r="D644" s="13" t="s">
        <v>61</v>
      </c>
      <c r="E644" s="13" t="s">
        <v>972</v>
      </c>
      <c r="F644" s="13" t="s">
        <v>973</v>
      </c>
      <c r="G644" s="61" t="n">
        <v>885079436935</v>
      </c>
      <c r="H644" s="13" t="s">
        <v>1537</v>
      </c>
      <c r="I644" s="13"/>
      <c r="J644" s="13"/>
      <c r="K644" s="13" t="s">
        <v>1544</v>
      </c>
      <c r="L644" s="13" t="s">
        <v>1539</v>
      </c>
      <c r="M644" s="13" t="s">
        <v>1549</v>
      </c>
    </row>
    <row r="645" customFormat="false" ht="15" hidden="false" customHeight="false" outlineLevel="0" collapsed="false">
      <c r="A645" s="13" t="s">
        <v>610</v>
      </c>
      <c r="B645" s="13" t="s">
        <v>609</v>
      </c>
      <c r="C645" s="13" t="s">
        <v>1545</v>
      </c>
      <c r="D645" s="13" t="s">
        <v>61</v>
      </c>
      <c r="E645" s="13" t="s">
        <v>972</v>
      </c>
      <c r="F645" s="13" t="s">
        <v>973</v>
      </c>
      <c r="G645" s="61" t="n">
        <v>-73596000000</v>
      </c>
      <c r="H645" s="13" t="s">
        <v>1537</v>
      </c>
      <c r="I645" s="13"/>
      <c r="J645" s="13"/>
      <c r="K645" s="13" t="s">
        <v>622</v>
      </c>
      <c r="L645" s="13" t="s">
        <v>1539</v>
      </c>
      <c r="M645" s="13" t="s">
        <v>1549</v>
      </c>
    </row>
    <row r="646" customFormat="false" ht="15" hidden="false" customHeight="false" outlineLevel="0" collapsed="false">
      <c r="A646" s="13" t="s">
        <v>610</v>
      </c>
      <c r="B646" s="13" t="s">
        <v>609</v>
      </c>
      <c r="C646" s="13" t="s">
        <v>1546</v>
      </c>
      <c r="D646" s="13" t="s">
        <v>61</v>
      </c>
      <c r="E646" s="13" t="s">
        <v>972</v>
      </c>
      <c r="F646" s="13" t="s">
        <v>973</v>
      </c>
      <c r="G646" s="61" t="n">
        <v>9737000000</v>
      </c>
      <c r="H646" s="13" t="s">
        <v>1537</v>
      </c>
      <c r="I646" s="13"/>
      <c r="J646" s="13"/>
      <c r="K646" s="13" t="s">
        <v>1547</v>
      </c>
      <c r="L646" s="13" t="s">
        <v>1539</v>
      </c>
      <c r="M646" s="13" t="s">
        <v>1549</v>
      </c>
    </row>
    <row r="647" customFormat="false" ht="15" hidden="false" customHeight="false" outlineLevel="0" collapsed="false">
      <c r="A647" s="13" t="s">
        <v>610</v>
      </c>
      <c r="B647" s="13" t="s">
        <v>609</v>
      </c>
      <c r="C647" s="13" t="s">
        <v>1548</v>
      </c>
      <c r="D647" s="13" t="s">
        <v>61</v>
      </c>
      <c r="E647" s="13" t="s">
        <v>972</v>
      </c>
      <c r="F647" s="13" t="s">
        <v>973</v>
      </c>
      <c r="G647" s="61" t="n">
        <v>2023440000000</v>
      </c>
      <c r="H647" s="13" t="s">
        <v>1537</v>
      </c>
      <c r="I647" s="13"/>
      <c r="J647" s="13"/>
      <c r="K647" s="13" t="s">
        <v>624</v>
      </c>
      <c r="L647" s="13" t="s">
        <v>1539</v>
      </c>
      <c r="M647" s="13" t="s">
        <v>1549</v>
      </c>
    </row>
    <row r="648" customFormat="false" ht="15" hidden="false" customHeight="false" outlineLevel="0" collapsed="false">
      <c r="A648" s="13" t="s">
        <v>610</v>
      </c>
      <c r="B648" s="13" t="s">
        <v>609</v>
      </c>
      <c r="C648" s="13" t="s">
        <v>1536</v>
      </c>
      <c r="D648" s="13" t="s">
        <v>61</v>
      </c>
      <c r="E648" s="13" t="s">
        <v>974</v>
      </c>
      <c r="F648" s="13" t="s">
        <v>476</v>
      </c>
      <c r="G648" s="61" t="n">
        <v>397491499633</v>
      </c>
      <c r="H648" s="13" t="s">
        <v>1537</v>
      </c>
      <c r="I648" s="13"/>
      <c r="J648" s="13"/>
      <c r="K648" s="13" t="s">
        <v>1538</v>
      </c>
      <c r="L648" s="13" t="s">
        <v>1539</v>
      </c>
      <c r="M648" s="13" t="s">
        <v>1549</v>
      </c>
    </row>
    <row r="649" customFormat="false" ht="15" hidden="false" customHeight="false" outlineLevel="0" collapsed="false">
      <c r="A649" s="13" t="s">
        <v>610</v>
      </c>
      <c r="B649" s="13" t="s">
        <v>609</v>
      </c>
      <c r="C649" s="13" t="s">
        <v>1540</v>
      </c>
      <c r="D649" s="13" t="s">
        <v>61</v>
      </c>
      <c r="E649" s="13" t="s">
        <v>974</v>
      </c>
      <c r="F649" s="13" t="s">
        <v>476</v>
      </c>
      <c r="G649" s="61" t="n">
        <v>47744636536</v>
      </c>
      <c r="H649" s="13" t="s">
        <v>1537</v>
      </c>
      <c r="I649" s="13"/>
      <c r="J649" s="13"/>
      <c r="K649" s="13" t="s">
        <v>1541</v>
      </c>
      <c r="L649" s="13" t="s">
        <v>1542</v>
      </c>
      <c r="M649" s="13" t="s">
        <v>1549</v>
      </c>
    </row>
    <row r="650" customFormat="false" ht="15" hidden="false" customHeight="false" outlineLevel="0" collapsed="false">
      <c r="A650" s="13" t="s">
        <v>610</v>
      </c>
      <c r="B650" s="13" t="s">
        <v>609</v>
      </c>
      <c r="C650" s="13" t="s">
        <v>1543</v>
      </c>
      <c r="D650" s="13" t="s">
        <v>61</v>
      </c>
      <c r="E650" s="13" t="s">
        <v>974</v>
      </c>
      <c r="F650" s="13" t="s">
        <v>476</v>
      </c>
      <c r="G650" s="61" t="n">
        <v>417331891045</v>
      </c>
      <c r="H650" s="13" t="s">
        <v>1537</v>
      </c>
      <c r="I650" s="13"/>
      <c r="J650" s="13"/>
      <c r="K650" s="13" t="s">
        <v>1544</v>
      </c>
      <c r="L650" s="13" t="s">
        <v>1539</v>
      </c>
      <c r="M650" s="13" t="s">
        <v>1549</v>
      </c>
    </row>
    <row r="651" customFormat="false" ht="15" hidden="false" customHeight="false" outlineLevel="0" collapsed="false">
      <c r="A651" s="13" t="s">
        <v>610</v>
      </c>
      <c r="B651" s="13" t="s">
        <v>609</v>
      </c>
      <c r="C651" s="13" t="s">
        <v>1545</v>
      </c>
      <c r="D651" s="13" t="s">
        <v>61</v>
      </c>
      <c r="E651" s="13" t="s">
        <v>974</v>
      </c>
      <c r="F651" s="13" t="s">
        <v>476</v>
      </c>
      <c r="G651" s="61" t="n">
        <v>-603069000000</v>
      </c>
      <c r="H651" s="13" t="s">
        <v>1537</v>
      </c>
      <c r="I651" s="13"/>
      <c r="J651" s="13"/>
      <c r="K651" s="13" t="s">
        <v>622</v>
      </c>
      <c r="L651" s="13" t="s">
        <v>1539</v>
      </c>
      <c r="M651" s="13" t="s">
        <v>1549</v>
      </c>
    </row>
    <row r="652" customFormat="false" ht="15" hidden="false" customHeight="false" outlineLevel="0" collapsed="false">
      <c r="A652" s="13" t="s">
        <v>610</v>
      </c>
      <c r="B652" s="13" t="s">
        <v>609</v>
      </c>
      <c r="C652" s="13" t="s">
        <v>1546</v>
      </c>
      <c r="D652" s="13" t="s">
        <v>61</v>
      </c>
      <c r="E652" s="13" t="s">
        <v>974</v>
      </c>
      <c r="F652" s="13" t="s">
        <v>476</v>
      </c>
      <c r="G652" s="61" t="n">
        <v>-249332000000</v>
      </c>
      <c r="H652" s="13" t="s">
        <v>1537</v>
      </c>
      <c r="I652" s="13"/>
      <c r="J652" s="13"/>
      <c r="K652" s="13" t="s">
        <v>1547</v>
      </c>
      <c r="L652" s="13" t="s">
        <v>1539</v>
      </c>
      <c r="M652" s="13" t="s">
        <v>1549</v>
      </c>
    </row>
    <row r="653" customFormat="false" ht="15" hidden="false" customHeight="false" outlineLevel="0" collapsed="false">
      <c r="A653" s="13" t="s">
        <v>610</v>
      </c>
      <c r="B653" s="13" t="s">
        <v>609</v>
      </c>
      <c r="C653" s="13" t="s">
        <v>1548</v>
      </c>
      <c r="D653" s="13" t="s">
        <v>61</v>
      </c>
      <c r="E653" s="13" t="s">
        <v>974</v>
      </c>
      <c r="F653" s="13" t="s">
        <v>476</v>
      </c>
      <c r="G653" s="61" t="n">
        <v>1540960000000</v>
      </c>
      <c r="H653" s="13" t="s">
        <v>1537</v>
      </c>
      <c r="I653" s="13"/>
      <c r="J653" s="13"/>
      <c r="K653" s="13" t="s">
        <v>624</v>
      </c>
      <c r="L653" s="13" t="s">
        <v>1539</v>
      </c>
      <c r="M653" s="13" t="s">
        <v>1549</v>
      </c>
    </row>
    <row r="654" customFormat="false" ht="15" hidden="false" customHeight="false" outlineLevel="0" collapsed="false">
      <c r="A654" s="13" t="s">
        <v>610</v>
      </c>
      <c r="B654" s="13" t="s">
        <v>609</v>
      </c>
      <c r="C654" s="13" t="s">
        <v>1548</v>
      </c>
      <c r="D654" s="13" t="s">
        <v>61</v>
      </c>
      <c r="E654" s="13" t="s">
        <v>975</v>
      </c>
      <c r="F654" s="13" t="s">
        <v>976</v>
      </c>
      <c r="G654" s="61" t="n">
        <v>37264000000</v>
      </c>
      <c r="H654" s="13" t="s">
        <v>1537</v>
      </c>
      <c r="I654" s="13"/>
      <c r="J654" s="13" t="s">
        <v>624</v>
      </c>
      <c r="K654" s="13" t="s">
        <v>624</v>
      </c>
      <c r="L654" s="13" t="s">
        <v>1539</v>
      </c>
      <c r="M654" s="13"/>
    </row>
    <row r="655" customFormat="false" ht="15" hidden="false" customHeight="false" outlineLevel="0" collapsed="false">
      <c r="A655" s="13" t="s">
        <v>610</v>
      </c>
      <c r="B655" s="13" t="s">
        <v>609</v>
      </c>
      <c r="C655" s="13" t="s">
        <v>1536</v>
      </c>
      <c r="D655" s="13" t="s">
        <v>61</v>
      </c>
      <c r="E655" s="13" t="s">
        <v>978</v>
      </c>
      <c r="F655" s="13" t="s">
        <v>979</v>
      </c>
      <c r="G655" s="61" t="n">
        <v>232117189241</v>
      </c>
      <c r="H655" s="13" t="s">
        <v>1537</v>
      </c>
      <c r="I655" s="13"/>
      <c r="J655" s="13" t="s">
        <v>1538</v>
      </c>
      <c r="K655" s="13" t="s">
        <v>1538</v>
      </c>
      <c r="L655" s="13" t="s">
        <v>1539</v>
      </c>
      <c r="M655" s="13"/>
    </row>
    <row r="656" customFormat="false" ht="15" hidden="false" customHeight="false" outlineLevel="0" collapsed="false">
      <c r="A656" s="13" t="s">
        <v>610</v>
      </c>
      <c r="B656" s="13" t="s">
        <v>609</v>
      </c>
      <c r="C656" s="13" t="s">
        <v>1540</v>
      </c>
      <c r="D656" s="13" t="s">
        <v>61</v>
      </c>
      <c r="E656" s="13" t="s">
        <v>978</v>
      </c>
      <c r="F656" s="13" t="s">
        <v>979</v>
      </c>
      <c r="G656" s="61" t="n">
        <v>653177723083</v>
      </c>
      <c r="H656" s="13" t="s">
        <v>1537</v>
      </c>
      <c r="I656" s="13"/>
      <c r="J656" s="13" t="s">
        <v>1541</v>
      </c>
      <c r="K656" s="13" t="s">
        <v>1541</v>
      </c>
      <c r="L656" s="13" t="s">
        <v>1542</v>
      </c>
      <c r="M656" s="13"/>
    </row>
    <row r="657" customFormat="false" ht="15" hidden="false" customHeight="false" outlineLevel="0" collapsed="false">
      <c r="A657" s="13" t="s">
        <v>610</v>
      </c>
      <c r="B657" s="13" t="s">
        <v>609</v>
      </c>
      <c r="C657" s="13" t="s">
        <v>1543</v>
      </c>
      <c r="D657" s="13" t="s">
        <v>61</v>
      </c>
      <c r="E657" s="13" t="s">
        <v>978</v>
      </c>
      <c r="F657" s="13" t="s">
        <v>979</v>
      </c>
      <c r="G657" s="61" t="n">
        <v>700922359619</v>
      </c>
      <c r="H657" s="13" t="s">
        <v>1537</v>
      </c>
      <c r="I657" s="13"/>
      <c r="J657" s="13" t="s">
        <v>1544</v>
      </c>
      <c r="K657" s="13" t="s">
        <v>1544</v>
      </c>
      <c r="L657" s="13" t="s">
        <v>1539</v>
      </c>
      <c r="M657" s="13"/>
    </row>
    <row r="658" customFormat="false" ht="15" hidden="false" customHeight="false" outlineLevel="0" collapsed="false">
      <c r="A658" s="13" t="s">
        <v>610</v>
      </c>
      <c r="B658" s="13" t="s">
        <v>609</v>
      </c>
      <c r="C658" s="13" t="s">
        <v>1545</v>
      </c>
      <c r="D658" s="13" t="s">
        <v>61</v>
      </c>
      <c r="E658" s="13" t="s">
        <v>978</v>
      </c>
      <c r="F658" s="13" t="s">
        <v>979</v>
      </c>
      <c r="G658" s="61" t="n">
        <v>1118254000000</v>
      </c>
      <c r="H658" s="13" t="s">
        <v>1537</v>
      </c>
      <c r="I658" s="13"/>
      <c r="J658" s="13" t="s">
        <v>622</v>
      </c>
      <c r="K658" s="13" t="s">
        <v>622</v>
      </c>
      <c r="L658" s="13" t="s">
        <v>1539</v>
      </c>
      <c r="M658" s="13"/>
    </row>
    <row r="659" customFormat="false" ht="15" hidden="false" customHeight="false" outlineLevel="0" collapsed="false">
      <c r="A659" s="13" t="s">
        <v>610</v>
      </c>
      <c r="B659" s="13" t="s">
        <v>609</v>
      </c>
      <c r="C659" s="13" t="s">
        <v>1546</v>
      </c>
      <c r="D659" s="13" t="s">
        <v>61</v>
      </c>
      <c r="E659" s="13" t="s">
        <v>978</v>
      </c>
      <c r="F659" s="13" t="s">
        <v>979</v>
      </c>
      <c r="G659" s="61" t="n">
        <v>497371000000</v>
      </c>
      <c r="H659" s="13" t="s">
        <v>1537</v>
      </c>
      <c r="I659" s="13"/>
      <c r="J659" s="13" t="s">
        <v>1547</v>
      </c>
      <c r="K659" s="13" t="s">
        <v>1547</v>
      </c>
      <c r="L659" s="13" t="s">
        <v>1539</v>
      </c>
      <c r="M659" s="13"/>
    </row>
    <row r="660" customFormat="false" ht="15" hidden="false" customHeight="false" outlineLevel="0" collapsed="false">
      <c r="A660" s="13" t="s">
        <v>610</v>
      </c>
      <c r="B660" s="13" t="s">
        <v>609</v>
      </c>
      <c r="C660" s="13" t="s">
        <v>1548</v>
      </c>
      <c r="D660" s="13" t="s">
        <v>61</v>
      </c>
      <c r="E660" s="13" t="s">
        <v>978</v>
      </c>
      <c r="F660" s="13" t="s">
        <v>979</v>
      </c>
      <c r="G660" s="61" t="n">
        <v>248039000000</v>
      </c>
      <c r="H660" s="13" t="s">
        <v>1537</v>
      </c>
      <c r="I660" s="13"/>
      <c r="J660" s="13" t="s">
        <v>624</v>
      </c>
      <c r="K660" s="13" t="s">
        <v>624</v>
      </c>
      <c r="L660" s="13" t="s">
        <v>1539</v>
      </c>
      <c r="M660" s="13"/>
    </row>
    <row r="661" customFormat="false" ht="15" hidden="false" customHeight="false" outlineLevel="0" collapsed="false">
      <c r="A661" s="13" t="s">
        <v>610</v>
      </c>
      <c r="B661" s="13" t="s">
        <v>609</v>
      </c>
      <c r="C661" s="13" t="s">
        <v>1536</v>
      </c>
      <c r="D661" s="13" t="s">
        <v>61</v>
      </c>
      <c r="E661" s="13" t="s">
        <v>981</v>
      </c>
      <c r="F661" s="13" t="s">
        <v>982</v>
      </c>
      <c r="G661" s="61" t="n">
        <v>629608688874</v>
      </c>
      <c r="H661" s="13" t="s">
        <v>1537</v>
      </c>
      <c r="I661" s="13"/>
      <c r="J661" s="13"/>
      <c r="K661" s="13" t="s">
        <v>1538</v>
      </c>
      <c r="L661" s="13" t="s">
        <v>1539</v>
      </c>
      <c r="M661" s="13" t="s">
        <v>1549</v>
      </c>
    </row>
    <row r="662" customFormat="false" ht="15" hidden="false" customHeight="false" outlineLevel="0" collapsed="false">
      <c r="A662" s="13" t="s">
        <v>610</v>
      </c>
      <c r="B662" s="13" t="s">
        <v>609</v>
      </c>
      <c r="C662" s="13" t="s">
        <v>1540</v>
      </c>
      <c r="D662" s="13" t="s">
        <v>61</v>
      </c>
      <c r="E662" s="13" t="s">
        <v>981</v>
      </c>
      <c r="F662" s="13" t="s">
        <v>982</v>
      </c>
      <c r="G662" s="61" t="n">
        <v>700922359619</v>
      </c>
      <c r="H662" s="13" t="s">
        <v>1537</v>
      </c>
      <c r="I662" s="13"/>
      <c r="J662" s="13"/>
      <c r="K662" s="13" t="s">
        <v>1541</v>
      </c>
      <c r="L662" s="13" t="s">
        <v>1542</v>
      </c>
      <c r="M662" s="13" t="s">
        <v>1549</v>
      </c>
    </row>
    <row r="663" customFormat="false" ht="15" hidden="false" customHeight="false" outlineLevel="0" collapsed="false">
      <c r="A663" s="13" t="s">
        <v>610</v>
      </c>
      <c r="B663" s="13" t="s">
        <v>609</v>
      </c>
      <c r="C663" s="13" t="s">
        <v>1543</v>
      </c>
      <c r="D663" s="13" t="s">
        <v>61</v>
      </c>
      <c r="E663" s="13" t="s">
        <v>981</v>
      </c>
      <c r="F663" s="13" t="s">
        <v>982</v>
      </c>
      <c r="G663" s="61" t="n">
        <v>1118254250664</v>
      </c>
      <c r="H663" s="13" t="s">
        <v>1537</v>
      </c>
      <c r="I663" s="13"/>
      <c r="J663" s="13"/>
      <c r="K663" s="13" t="s">
        <v>1544</v>
      </c>
      <c r="L663" s="13" t="s">
        <v>1539</v>
      </c>
      <c r="M663" s="13" t="s">
        <v>1549</v>
      </c>
    </row>
    <row r="664" customFormat="false" ht="15" hidden="false" customHeight="false" outlineLevel="0" collapsed="false">
      <c r="A664" s="13" t="s">
        <v>610</v>
      </c>
      <c r="B664" s="13" t="s">
        <v>609</v>
      </c>
      <c r="C664" s="13" t="s">
        <v>1545</v>
      </c>
      <c r="D664" s="13" t="s">
        <v>61</v>
      </c>
      <c r="E664" s="13" t="s">
        <v>981</v>
      </c>
      <c r="F664" s="13" t="s">
        <v>982</v>
      </c>
      <c r="G664" s="61" t="n">
        <v>515185000000</v>
      </c>
      <c r="H664" s="13" t="s">
        <v>1537</v>
      </c>
      <c r="I664" s="13"/>
      <c r="J664" s="13"/>
      <c r="K664" s="13" t="s">
        <v>622</v>
      </c>
      <c r="L664" s="13" t="s">
        <v>1539</v>
      </c>
      <c r="M664" s="13" t="s">
        <v>1549</v>
      </c>
    </row>
    <row r="665" customFormat="false" ht="15" hidden="false" customHeight="false" outlineLevel="0" collapsed="false">
      <c r="A665" s="13" t="s">
        <v>610</v>
      </c>
      <c r="B665" s="13" t="s">
        <v>609</v>
      </c>
      <c r="C665" s="13" t="s">
        <v>1546</v>
      </c>
      <c r="D665" s="13" t="s">
        <v>61</v>
      </c>
      <c r="E665" s="13" t="s">
        <v>981</v>
      </c>
      <c r="F665" s="13" t="s">
        <v>982</v>
      </c>
      <c r="G665" s="61" t="n">
        <v>248039000000</v>
      </c>
      <c r="H665" s="13" t="s">
        <v>1537</v>
      </c>
      <c r="I665" s="13"/>
      <c r="J665" s="13"/>
      <c r="K665" s="13" t="s">
        <v>1547</v>
      </c>
      <c r="L665" s="13" t="s">
        <v>1539</v>
      </c>
      <c r="M665" s="13" t="s">
        <v>1549</v>
      </c>
    </row>
    <row r="666" customFormat="false" ht="15" hidden="false" customHeight="false" outlineLevel="0" collapsed="false">
      <c r="A666" s="13" t="s">
        <v>610</v>
      </c>
      <c r="B666" s="13" t="s">
        <v>609</v>
      </c>
      <c r="C666" s="13" t="s">
        <v>1548</v>
      </c>
      <c r="D666" s="13" t="s">
        <v>61</v>
      </c>
      <c r="E666" s="13" t="s">
        <v>981</v>
      </c>
      <c r="F666" s="13" t="s">
        <v>982</v>
      </c>
      <c r="G666" s="61" t="n">
        <v>1826263000000</v>
      </c>
      <c r="H666" s="13" t="s">
        <v>1537</v>
      </c>
      <c r="I666" s="13"/>
      <c r="J666" s="13"/>
      <c r="K666" s="13" t="s">
        <v>624</v>
      </c>
      <c r="L666" s="13" t="s">
        <v>1539</v>
      </c>
      <c r="M666" s="13" t="s">
        <v>1549</v>
      </c>
    </row>
    <row r="667" customFormat="false" ht="15" hidden="false" customHeight="false" outlineLevel="0" collapsed="false">
      <c r="A667" s="13" t="s">
        <v>610</v>
      </c>
      <c r="B667" s="13" t="s">
        <v>609</v>
      </c>
      <c r="C667" s="13" t="s">
        <v>1540</v>
      </c>
      <c r="D667" s="13" t="s">
        <v>61</v>
      </c>
      <c r="E667" s="13" t="s">
        <v>984</v>
      </c>
      <c r="F667" s="13" t="s">
        <v>985</v>
      </c>
      <c r="G667" s="61" t="n">
        <v>-23569034209</v>
      </c>
      <c r="H667" s="13" t="s">
        <v>1537</v>
      </c>
      <c r="I667" s="13"/>
      <c r="J667" s="13" t="s">
        <v>1541</v>
      </c>
      <c r="K667" s="13" t="s">
        <v>1541</v>
      </c>
      <c r="L667" s="13" t="s">
        <v>1542</v>
      </c>
      <c r="M667" s="13"/>
    </row>
    <row r="668" customFormat="false" ht="15" hidden="false" customHeight="false" outlineLevel="0" collapsed="false">
      <c r="A668" s="13" t="s">
        <v>610</v>
      </c>
      <c r="B668" s="13" t="s">
        <v>609</v>
      </c>
      <c r="C668" s="13" t="s">
        <v>1546</v>
      </c>
      <c r="D668" s="13" t="s">
        <v>61</v>
      </c>
      <c r="E668" s="13" t="s">
        <v>984</v>
      </c>
      <c r="F668" s="13" t="s">
        <v>985</v>
      </c>
      <c r="G668" s="61" t="n">
        <v>17814000000</v>
      </c>
      <c r="H668" s="13" t="s">
        <v>1537</v>
      </c>
      <c r="I668" s="13"/>
      <c r="J668" s="13" t="s">
        <v>1547</v>
      </c>
      <c r="K668" s="13" t="s">
        <v>1547</v>
      </c>
      <c r="L668" s="13" t="s">
        <v>1539</v>
      </c>
      <c r="M668" s="13"/>
    </row>
    <row r="669" customFormat="false" ht="15" hidden="false" customHeight="false" outlineLevel="0" collapsed="false">
      <c r="A669" s="13" t="s">
        <v>610</v>
      </c>
      <c r="B669" s="13" t="s">
        <v>609</v>
      </c>
      <c r="C669" s="13" t="s">
        <v>1548</v>
      </c>
      <c r="D669" s="13" t="s">
        <v>61</v>
      </c>
      <c r="E669" s="13" t="s">
        <v>984</v>
      </c>
      <c r="F669" s="13" t="s">
        <v>985</v>
      </c>
      <c r="G669" s="61" t="n">
        <v>29169000000</v>
      </c>
      <c r="H669" s="13" t="s">
        <v>1537</v>
      </c>
      <c r="I669" s="13"/>
      <c r="J669" s="13" t="s">
        <v>624</v>
      </c>
      <c r="K669" s="13" t="s">
        <v>624</v>
      </c>
      <c r="L669" s="13" t="s">
        <v>1539</v>
      </c>
      <c r="M669" s="13"/>
    </row>
    <row r="670" customFormat="false" ht="15" hidden="false" customHeight="false" outlineLevel="0" collapsed="false">
      <c r="A670" s="13" t="s">
        <v>610</v>
      </c>
      <c r="B670" s="13" t="s">
        <v>609</v>
      </c>
      <c r="C670" s="13" t="s">
        <v>1546</v>
      </c>
      <c r="D670" s="13" t="s">
        <v>61</v>
      </c>
      <c r="E670" s="13" t="s">
        <v>987</v>
      </c>
      <c r="F670" s="13" t="s">
        <v>988</v>
      </c>
      <c r="G670" s="61" t="n">
        <v>29169000000</v>
      </c>
      <c r="H670" s="13" t="s">
        <v>1537</v>
      </c>
      <c r="I670" s="13"/>
      <c r="J670" s="13" t="s">
        <v>1547</v>
      </c>
      <c r="K670" s="13" t="s">
        <v>1547</v>
      </c>
      <c r="L670" s="13" t="s">
        <v>1539</v>
      </c>
      <c r="M670" s="13"/>
    </row>
    <row r="671" customFormat="false" ht="15" hidden="false" customHeight="false" outlineLevel="0" collapsed="false">
      <c r="A671" s="13" t="s">
        <v>610</v>
      </c>
      <c r="B671" s="13" t="s">
        <v>609</v>
      </c>
      <c r="C671" s="13" t="s">
        <v>1536</v>
      </c>
      <c r="D671" s="13" t="s">
        <v>61</v>
      </c>
      <c r="E671" s="13" t="s">
        <v>990</v>
      </c>
      <c r="F671" s="13" t="s">
        <v>991</v>
      </c>
      <c r="G671" s="61" t="n">
        <v>93881891402</v>
      </c>
      <c r="H671" s="13" t="s">
        <v>1537</v>
      </c>
      <c r="I671" s="13"/>
      <c r="J671" s="13" t="s">
        <v>1538</v>
      </c>
      <c r="K671" s="13" t="s">
        <v>1538</v>
      </c>
      <c r="L671" s="13" t="s">
        <v>1539</v>
      </c>
      <c r="M671" s="13"/>
    </row>
    <row r="672" customFormat="false" ht="15" hidden="false" customHeight="false" outlineLevel="0" collapsed="false">
      <c r="A672" s="13" t="s">
        <v>610</v>
      </c>
      <c r="B672" s="13" t="s">
        <v>609</v>
      </c>
      <c r="C672" s="13" t="s">
        <v>1540</v>
      </c>
      <c r="D672" s="13" t="s">
        <v>61</v>
      </c>
      <c r="E672" s="13" t="s">
        <v>990</v>
      </c>
      <c r="F672" s="13" t="s">
        <v>991</v>
      </c>
      <c r="G672" s="61" t="n">
        <v>336786662790</v>
      </c>
      <c r="H672" s="13" t="s">
        <v>1537</v>
      </c>
      <c r="I672" s="13"/>
      <c r="J672" s="13" t="s">
        <v>1541</v>
      </c>
      <c r="K672" s="13" t="s">
        <v>1541</v>
      </c>
      <c r="L672" s="13" t="s">
        <v>1542</v>
      </c>
      <c r="M672" s="13"/>
    </row>
    <row r="673" customFormat="false" ht="15" hidden="false" customHeight="false" outlineLevel="0" collapsed="false">
      <c r="A673" s="13" t="s">
        <v>610</v>
      </c>
      <c r="B673" s="13" t="s">
        <v>609</v>
      </c>
      <c r="C673" s="13" t="s">
        <v>1543</v>
      </c>
      <c r="D673" s="13" t="s">
        <v>61</v>
      </c>
      <c r="E673" s="13" t="s">
        <v>990</v>
      </c>
      <c r="F673" s="13" t="s">
        <v>991</v>
      </c>
      <c r="G673" s="61" t="n">
        <v>210474822261</v>
      </c>
      <c r="H673" s="13" t="s">
        <v>1537</v>
      </c>
      <c r="I673" s="13"/>
      <c r="J673" s="13" t="s">
        <v>1544</v>
      </c>
      <c r="K673" s="13" t="s">
        <v>1544</v>
      </c>
      <c r="L673" s="13" t="s">
        <v>1539</v>
      </c>
      <c r="M673" s="13"/>
    </row>
    <row r="674" customFormat="false" ht="15" hidden="false" customHeight="false" outlineLevel="0" collapsed="false">
      <c r="A674" s="13" t="s">
        <v>610</v>
      </c>
      <c r="B674" s="13" t="s">
        <v>609</v>
      </c>
      <c r="C674" s="13" t="s">
        <v>1545</v>
      </c>
      <c r="D674" s="13" t="s">
        <v>61</v>
      </c>
      <c r="E674" s="13" t="s">
        <v>990</v>
      </c>
      <c r="F674" s="13" t="s">
        <v>991</v>
      </c>
      <c r="G674" s="61" t="n">
        <v>55917000000</v>
      </c>
      <c r="H674" s="13" t="s">
        <v>1537</v>
      </c>
      <c r="I674" s="13"/>
      <c r="J674" s="13" t="s">
        <v>622</v>
      </c>
      <c r="K674" s="13" t="s">
        <v>622</v>
      </c>
      <c r="L674" s="13" t="s">
        <v>1539</v>
      </c>
      <c r="M674" s="13"/>
    </row>
    <row r="675" customFormat="false" ht="15" hidden="false" customHeight="false" outlineLevel="0" collapsed="false">
      <c r="A675" s="13" t="s">
        <v>610</v>
      </c>
      <c r="B675" s="13" t="s">
        <v>609</v>
      </c>
      <c r="C675" s="13" t="s">
        <v>1546</v>
      </c>
      <c r="D675" s="13" t="s">
        <v>61</v>
      </c>
      <c r="E675" s="13" t="s">
        <v>990</v>
      </c>
      <c r="F675" s="13" t="s">
        <v>991</v>
      </c>
      <c r="G675" s="61" t="n">
        <v>273248000000</v>
      </c>
      <c r="H675" s="13" t="s">
        <v>1537</v>
      </c>
      <c r="I675" s="13"/>
      <c r="J675" s="13" t="s">
        <v>1547</v>
      </c>
      <c r="K675" s="13" t="s">
        <v>1547</v>
      </c>
      <c r="L675" s="13" t="s">
        <v>1539</v>
      </c>
      <c r="M675" s="13"/>
    </row>
    <row r="676" customFormat="false" ht="15" hidden="false" customHeight="false" outlineLevel="0" collapsed="false">
      <c r="A676" s="13" t="s">
        <v>610</v>
      </c>
      <c r="B676" s="13" t="s">
        <v>609</v>
      </c>
      <c r="C676" s="13" t="s">
        <v>1548</v>
      </c>
      <c r="D676" s="13" t="s">
        <v>61</v>
      </c>
      <c r="E676" s="13" t="s">
        <v>990</v>
      </c>
      <c r="F676" s="13" t="s">
        <v>991</v>
      </c>
      <c r="G676" s="61" t="n">
        <v>129670000000</v>
      </c>
      <c r="H676" s="13" t="s">
        <v>1537</v>
      </c>
      <c r="I676" s="13"/>
      <c r="J676" s="13" t="s">
        <v>624</v>
      </c>
      <c r="K676" s="13" t="s">
        <v>624</v>
      </c>
      <c r="L676" s="13" t="s">
        <v>1539</v>
      </c>
      <c r="M676" s="13"/>
    </row>
    <row r="677" customFormat="false" ht="15" hidden="false" customHeight="false" outlineLevel="0" collapsed="false">
      <c r="A677" s="13" t="s">
        <v>610</v>
      </c>
      <c r="B677" s="13" t="s">
        <v>609</v>
      </c>
      <c r="C677" s="13" t="s">
        <v>1536</v>
      </c>
      <c r="D677" s="13" t="s">
        <v>61</v>
      </c>
      <c r="E677" s="13" t="s">
        <v>993</v>
      </c>
      <c r="F677" s="13" t="s">
        <v>994</v>
      </c>
      <c r="G677" s="61" t="n">
        <v>-550711027296</v>
      </c>
      <c r="H677" s="13" t="s">
        <v>1537</v>
      </c>
      <c r="I677" s="13"/>
      <c r="J677" s="13" t="s">
        <v>1538</v>
      </c>
      <c r="K677" s="13" t="s">
        <v>1538</v>
      </c>
      <c r="L677" s="13" t="s">
        <v>1539</v>
      </c>
      <c r="M677" s="13"/>
    </row>
    <row r="678" customFormat="false" ht="15" hidden="false" customHeight="false" outlineLevel="0" collapsed="false">
      <c r="A678" s="13" t="s">
        <v>610</v>
      </c>
      <c r="B678" s="13" t="s">
        <v>609</v>
      </c>
      <c r="C678" s="13" t="s">
        <v>1540</v>
      </c>
      <c r="D678" s="13" t="s">
        <v>61</v>
      </c>
      <c r="E678" s="13" t="s">
        <v>993</v>
      </c>
      <c r="F678" s="13" t="s">
        <v>994</v>
      </c>
      <c r="G678" s="61" t="n">
        <v>-468280289395</v>
      </c>
      <c r="H678" s="13" t="s">
        <v>1537</v>
      </c>
      <c r="I678" s="13"/>
      <c r="J678" s="13" t="s">
        <v>1541</v>
      </c>
      <c r="K678" s="13" t="s">
        <v>1541</v>
      </c>
      <c r="L678" s="13" t="s">
        <v>1542</v>
      </c>
      <c r="M678" s="13"/>
    </row>
    <row r="679" customFormat="false" ht="15" hidden="false" customHeight="false" outlineLevel="0" collapsed="false">
      <c r="A679" s="13" t="s">
        <v>610</v>
      </c>
      <c r="B679" s="13" t="s">
        <v>609</v>
      </c>
      <c r="C679" s="13" t="s">
        <v>1543</v>
      </c>
      <c r="D679" s="13" t="s">
        <v>61</v>
      </c>
      <c r="E679" s="13" t="s">
        <v>993</v>
      </c>
      <c r="F679" s="13" t="s">
        <v>994</v>
      </c>
      <c r="G679" s="61" t="n">
        <v>-678222368151</v>
      </c>
      <c r="H679" s="13" t="s">
        <v>1537</v>
      </c>
      <c r="I679" s="13"/>
      <c r="J679" s="13" t="s">
        <v>1544</v>
      </c>
      <c r="K679" s="13" t="s">
        <v>1544</v>
      </c>
      <c r="L679" s="13" t="s">
        <v>1539</v>
      </c>
      <c r="M679" s="13"/>
    </row>
    <row r="680" customFormat="false" ht="15" hidden="false" customHeight="false" outlineLevel="0" collapsed="false">
      <c r="A680" s="13" t="s">
        <v>610</v>
      </c>
      <c r="B680" s="13" t="s">
        <v>609</v>
      </c>
      <c r="C680" s="13" t="s">
        <v>1545</v>
      </c>
      <c r="D680" s="13" t="s">
        <v>61</v>
      </c>
      <c r="E680" s="13" t="s">
        <v>993</v>
      </c>
      <c r="F680" s="13" t="s">
        <v>994</v>
      </c>
      <c r="G680" s="61" t="n">
        <v>-585390000000</v>
      </c>
      <c r="H680" s="13" t="s">
        <v>1537</v>
      </c>
      <c r="I680" s="13"/>
      <c r="J680" s="13" t="s">
        <v>622</v>
      </c>
      <c r="K680" s="13" t="s">
        <v>622</v>
      </c>
      <c r="L680" s="13" t="s">
        <v>1539</v>
      </c>
      <c r="M680" s="13"/>
    </row>
    <row r="681" customFormat="false" ht="15" hidden="false" customHeight="false" outlineLevel="0" collapsed="false">
      <c r="A681" s="13" t="s">
        <v>610</v>
      </c>
      <c r="B681" s="13" t="s">
        <v>609</v>
      </c>
      <c r="C681" s="13" t="s">
        <v>1546</v>
      </c>
      <c r="D681" s="13" t="s">
        <v>61</v>
      </c>
      <c r="E681" s="13" t="s">
        <v>993</v>
      </c>
      <c r="F681" s="13" t="s">
        <v>994</v>
      </c>
      <c r="G681" s="61" t="n">
        <v>-532317000000</v>
      </c>
      <c r="H681" s="13" t="s">
        <v>1537</v>
      </c>
      <c r="I681" s="13"/>
      <c r="J681" s="13" t="s">
        <v>1547</v>
      </c>
      <c r="K681" s="13" t="s">
        <v>1547</v>
      </c>
      <c r="L681" s="13" t="s">
        <v>1539</v>
      </c>
      <c r="M681" s="13"/>
    </row>
    <row r="682" customFormat="false" ht="15" hidden="false" customHeight="false" outlineLevel="0" collapsed="false">
      <c r="A682" s="13" t="s">
        <v>610</v>
      </c>
      <c r="B682" s="13" t="s">
        <v>609</v>
      </c>
      <c r="C682" s="13" t="s">
        <v>1548</v>
      </c>
      <c r="D682" s="13" t="s">
        <v>61</v>
      </c>
      <c r="E682" s="13" t="s">
        <v>993</v>
      </c>
      <c r="F682" s="13" t="s">
        <v>994</v>
      </c>
      <c r="G682" s="61" t="n">
        <v>-612150000000</v>
      </c>
      <c r="H682" s="13" t="s">
        <v>1537</v>
      </c>
      <c r="I682" s="13"/>
      <c r="J682" s="13" t="s">
        <v>624</v>
      </c>
      <c r="K682" s="13" t="s">
        <v>624</v>
      </c>
      <c r="L682" s="13" t="s">
        <v>1539</v>
      </c>
      <c r="M682" s="13"/>
    </row>
    <row r="683" customFormat="false" ht="15" hidden="false" customHeight="false" outlineLevel="0" collapsed="false">
      <c r="A683" s="13" t="s">
        <v>610</v>
      </c>
      <c r="B683" s="13" t="s">
        <v>609</v>
      </c>
      <c r="C683" s="13" t="s">
        <v>1536</v>
      </c>
      <c r="D683" s="13" t="s">
        <v>61</v>
      </c>
      <c r="E683" s="13" t="s">
        <v>996</v>
      </c>
      <c r="F683" s="13" t="s">
        <v>997</v>
      </c>
      <c r="G683" s="61" t="n">
        <v>854320635527</v>
      </c>
      <c r="H683" s="13" t="s">
        <v>1537</v>
      </c>
      <c r="I683" s="13"/>
      <c r="J683" s="13" t="s">
        <v>1538</v>
      </c>
      <c r="K683" s="13" t="s">
        <v>1538</v>
      </c>
      <c r="L683" s="13" t="s">
        <v>1539</v>
      </c>
      <c r="M683" s="13"/>
    </row>
    <row r="684" customFormat="false" ht="15" hidden="false" customHeight="false" outlineLevel="0" collapsed="false">
      <c r="A684" s="13" t="s">
        <v>610</v>
      </c>
      <c r="B684" s="13" t="s">
        <v>609</v>
      </c>
      <c r="C684" s="13" t="s">
        <v>1540</v>
      </c>
      <c r="D684" s="13" t="s">
        <v>61</v>
      </c>
      <c r="E684" s="13" t="s">
        <v>996</v>
      </c>
      <c r="F684" s="13" t="s">
        <v>997</v>
      </c>
      <c r="G684" s="61" t="n">
        <v>179238263141</v>
      </c>
      <c r="H684" s="13" t="s">
        <v>1537</v>
      </c>
      <c r="I684" s="13"/>
      <c r="J684" s="13" t="s">
        <v>1541</v>
      </c>
      <c r="K684" s="13" t="s">
        <v>1541</v>
      </c>
      <c r="L684" s="13" t="s">
        <v>1542</v>
      </c>
      <c r="M684" s="13"/>
    </row>
    <row r="685" customFormat="false" ht="15" hidden="false" customHeight="false" outlineLevel="0" collapsed="false">
      <c r="A685" s="13" t="s">
        <v>610</v>
      </c>
      <c r="B685" s="13" t="s">
        <v>609</v>
      </c>
      <c r="C685" s="13" t="s">
        <v>1543</v>
      </c>
      <c r="D685" s="13" t="s">
        <v>61</v>
      </c>
      <c r="E685" s="13" t="s">
        <v>996</v>
      </c>
      <c r="F685" s="13" t="s">
        <v>997</v>
      </c>
      <c r="G685" s="61" t="n">
        <v>885079436934</v>
      </c>
      <c r="H685" s="13" t="s">
        <v>1537</v>
      </c>
      <c r="I685" s="13"/>
      <c r="J685" s="13" t="s">
        <v>1544</v>
      </c>
      <c r="K685" s="13" t="s">
        <v>1544</v>
      </c>
      <c r="L685" s="13" t="s">
        <v>1539</v>
      </c>
      <c r="M685" s="13"/>
    </row>
    <row r="686" customFormat="false" ht="15" hidden="false" customHeight="false" outlineLevel="0" collapsed="false">
      <c r="A686" s="13" t="s">
        <v>610</v>
      </c>
      <c r="B686" s="13" t="s">
        <v>609</v>
      </c>
      <c r="C686" s="13" t="s">
        <v>1545</v>
      </c>
      <c r="D686" s="13" t="s">
        <v>61</v>
      </c>
      <c r="E686" s="13" t="s">
        <v>996</v>
      </c>
      <c r="F686" s="13" t="s">
        <v>997</v>
      </c>
      <c r="G686" s="61" t="n">
        <v>-73596000000</v>
      </c>
      <c r="H686" s="13" t="s">
        <v>1537</v>
      </c>
      <c r="I686" s="13"/>
      <c r="J686" s="13" t="s">
        <v>622</v>
      </c>
      <c r="K686" s="13" t="s">
        <v>622</v>
      </c>
      <c r="L686" s="13" t="s">
        <v>1539</v>
      </c>
      <c r="M686" s="13"/>
    </row>
    <row r="687" customFormat="false" ht="15" hidden="false" customHeight="false" outlineLevel="0" collapsed="false">
      <c r="A687" s="13" t="s">
        <v>610</v>
      </c>
      <c r="B687" s="13" t="s">
        <v>609</v>
      </c>
      <c r="C687" s="13" t="s">
        <v>1546</v>
      </c>
      <c r="D687" s="13" t="s">
        <v>61</v>
      </c>
      <c r="E687" s="13" t="s">
        <v>996</v>
      </c>
      <c r="F687" s="13" t="s">
        <v>997</v>
      </c>
      <c r="G687" s="61" t="n">
        <v>9737000000</v>
      </c>
      <c r="H687" s="13" t="s">
        <v>1537</v>
      </c>
      <c r="I687" s="13"/>
      <c r="J687" s="13" t="s">
        <v>1547</v>
      </c>
      <c r="K687" s="13" t="s">
        <v>1547</v>
      </c>
      <c r="L687" s="13" t="s">
        <v>1539</v>
      </c>
      <c r="M687" s="13"/>
    </row>
    <row r="688" customFormat="false" ht="15" hidden="false" customHeight="false" outlineLevel="0" collapsed="false">
      <c r="A688" s="13" t="s">
        <v>610</v>
      </c>
      <c r="B688" s="13" t="s">
        <v>609</v>
      </c>
      <c r="C688" s="13" t="s">
        <v>1548</v>
      </c>
      <c r="D688" s="13" t="s">
        <v>61</v>
      </c>
      <c r="E688" s="13" t="s">
        <v>996</v>
      </c>
      <c r="F688" s="13" t="s">
        <v>997</v>
      </c>
      <c r="G688" s="61" t="n">
        <v>2023440000000</v>
      </c>
      <c r="H688" s="13" t="s">
        <v>1537</v>
      </c>
      <c r="I688" s="13"/>
      <c r="J688" s="13" t="s">
        <v>624</v>
      </c>
      <c r="K688" s="13" t="s">
        <v>624</v>
      </c>
      <c r="L688" s="13" t="s">
        <v>1539</v>
      </c>
      <c r="M688" s="13"/>
    </row>
    <row r="689" customFormat="false" ht="15" hidden="false" customHeight="false" outlineLevel="0" collapsed="false">
      <c r="A689" s="13" t="s">
        <v>610</v>
      </c>
      <c r="B689" s="13" t="s">
        <v>609</v>
      </c>
      <c r="C689" s="13" t="s">
        <v>1536</v>
      </c>
      <c r="D689" s="13" t="s">
        <v>61</v>
      </c>
      <c r="E689" s="13" t="s">
        <v>999</v>
      </c>
      <c r="F689" s="13" t="s">
        <v>1000</v>
      </c>
      <c r="G689" s="61" t="n">
        <v>397491499633</v>
      </c>
      <c r="H689" s="13" t="s">
        <v>1537</v>
      </c>
      <c r="I689" s="13"/>
      <c r="J689" s="13" t="s">
        <v>1538</v>
      </c>
      <c r="K689" s="13" t="s">
        <v>1538</v>
      </c>
      <c r="L689" s="13" t="s">
        <v>1539</v>
      </c>
      <c r="M689" s="13"/>
    </row>
    <row r="690" customFormat="false" ht="15" hidden="false" customHeight="false" outlineLevel="0" collapsed="false">
      <c r="A690" s="13" t="s">
        <v>610</v>
      </c>
      <c r="B690" s="13" t="s">
        <v>609</v>
      </c>
      <c r="C690" s="13" t="s">
        <v>1540</v>
      </c>
      <c r="D690" s="13" t="s">
        <v>61</v>
      </c>
      <c r="E690" s="13" t="s">
        <v>999</v>
      </c>
      <c r="F690" s="13" t="s">
        <v>1000</v>
      </c>
      <c r="G690" s="61" t="n">
        <v>47744636536</v>
      </c>
      <c r="H690" s="13" t="s">
        <v>1537</v>
      </c>
      <c r="I690" s="13"/>
      <c r="J690" s="13" t="s">
        <v>1541</v>
      </c>
      <c r="K690" s="13" t="s">
        <v>1541</v>
      </c>
      <c r="L690" s="13" t="s">
        <v>1542</v>
      </c>
      <c r="M690" s="13"/>
    </row>
    <row r="691" customFormat="false" ht="15" hidden="false" customHeight="false" outlineLevel="0" collapsed="false">
      <c r="A691" s="13" t="s">
        <v>610</v>
      </c>
      <c r="B691" s="13" t="s">
        <v>609</v>
      </c>
      <c r="C691" s="13" t="s">
        <v>1543</v>
      </c>
      <c r="D691" s="13" t="s">
        <v>61</v>
      </c>
      <c r="E691" s="13" t="s">
        <v>999</v>
      </c>
      <c r="F691" s="13" t="s">
        <v>1000</v>
      </c>
      <c r="G691" s="61" t="n">
        <v>417331891045</v>
      </c>
      <c r="H691" s="13" t="s">
        <v>1537</v>
      </c>
      <c r="I691" s="13"/>
      <c r="J691" s="13" t="s">
        <v>1544</v>
      </c>
      <c r="K691" s="13" t="s">
        <v>1544</v>
      </c>
      <c r="L691" s="13" t="s">
        <v>1539</v>
      </c>
      <c r="M691" s="13"/>
    </row>
    <row r="692" customFormat="false" ht="15" hidden="false" customHeight="false" outlineLevel="0" collapsed="false">
      <c r="A692" s="13" t="s">
        <v>610</v>
      </c>
      <c r="B692" s="13" t="s">
        <v>609</v>
      </c>
      <c r="C692" s="13" t="s">
        <v>1545</v>
      </c>
      <c r="D692" s="13" t="s">
        <v>61</v>
      </c>
      <c r="E692" s="13" t="s">
        <v>999</v>
      </c>
      <c r="F692" s="13" t="s">
        <v>1000</v>
      </c>
      <c r="G692" s="61" t="n">
        <v>-603069000000</v>
      </c>
      <c r="H692" s="13" t="s">
        <v>1537</v>
      </c>
      <c r="I692" s="13"/>
      <c r="J692" s="13" t="s">
        <v>622</v>
      </c>
      <c r="K692" s="13" t="s">
        <v>622</v>
      </c>
      <c r="L692" s="13" t="s">
        <v>1539</v>
      </c>
      <c r="M692" s="13"/>
    </row>
    <row r="693" customFormat="false" ht="15" hidden="false" customHeight="false" outlineLevel="0" collapsed="false">
      <c r="A693" s="13" t="s">
        <v>610</v>
      </c>
      <c r="B693" s="13" t="s">
        <v>609</v>
      </c>
      <c r="C693" s="13" t="s">
        <v>1546</v>
      </c>
      <c r="D693" s="13" t="s">
        <v>61</v>
      </c>
      <c r="E693" s="13" t="s">
        <v>999</v>
      </c>
      <c r="F693" s="13" t="s">
        <v>1000</v>
      </c>
      <c r="G693" s="61" t="n">
        <v>-249332000000</v>
      </c>
      <c r="H693" s="13" t="s">
        <v>1537</v>
      </c>
      <c r="I693" s="13"/>
      <c r="J693" s="13" t="s">
        <v>1547</v>
      </c>
      <c r="K693" s="13" t="s">
        <v>1547</v>
      </c>
      <c r="L693" s="13" t="s">
        <v>1539</v>
      </c>
      <c r="M693" s="13"/>
    </row>
    <row r="694" customFormat="false" ht="15" hidden="false" customHeight="false" outlineLevel="0" collapsed="false">
      <c r="A694" s="13" t="s">
        <v>610</v>
      </c>
      <c r="B694" s="13" t="s">
        <v>609</v>
      </c>
      <c r="C694" s="13" t="s">
        <v>1548</v>
      </c>
      <c r="D694" s="13" t="s">
        <v>61</v>
      </c>
      <c r="E694" s="13" t="s">
        <v>999</v>
      </c>
      <c r="F694" s="13" t="s">
        <v>1000</v>
      </c>
      <c r="G694" s="61" t="n">
        <v>1540960000000</v>
      </c>
      <c r="H694" s="13" t="s">
        <v>1537</v>
      </c>
      <c r="I694" s="13"/>
      <c r="J694" s="13" t="s">
        <v>624</v>
      </c>
      <c r="K694" s="13" t="s">
        <v>624</v>
      </c>
      <c r="L694" s="13" t="s">
        <v>1539</v>
      </c>
      <c r="M694" s="13"/>
    </row>
    <row r="695" customFormat="false" ht="15" hidden="false" customHeight="false" outlineLevel="0" collapsed="false">
      <c r="A695" s="13" t="s">
        <v>610</v>
      </c>
      <c r="B695" s="13" t="s">
        <v>609</v>
      </c>
      <c r="C695" s="13" t="s">
        <v>1536</v>
      </c>
      <c r="D695" s="13" t="s">
        <v>61</v>
      </c>
      <c r="E695" s="13" t="s">
        <v>1002</v>
      </c>
      <c r="F695" s="13" t="s">
        <v>1003</v>
      </c>
      <c r="G695" s="61" t="n">
        <v>629608688874</v>
      </c>
      <c r="H695" s="13" t="s">
        <v>1537</v>
      </c>
      <c r="I695" s="13"/>
      <c r="J695" s="13" t="s">
        <v>1538</v>
      </c>
      <c r="K695" s="13" t="s">
        <v>1538</v>
      </c>
      <c r="L695" s="13" t="s">
        <v>1539</v>
      </c>
      <c r="M695" s="13"/>
    </row>
    <row r="696" customFormat="false" ht="15" hidden="false" customHeight="false" outlineLevel="0" collapsed="false">
      <c r="A696" s="13" t="s">
        <v>610</v>
      </c>
      <c r="B696" s="13" t="s">
        <v>609</v>
      </c>
      <c r="C696" s="13" t="s">
        <v>1540</v>
      </c>
      <c r="D696" s="13" t="s">
        <v>61</v>
      </c>
      <c r="E696" s="13" t="s">
        <v>1002</v>
      </c>
      <c r="F696" s="13" t="s">
        <v>1003</v>
      </c>
      <c r="G696" s="61" t="n">
        <v>700922359619</v>
      </c>
      <c r="H696" s="13" t="s">
        <v>1537</v>
      </c>
      <c r="I696" s="13"/>
      <c r="J696" s="13" t="s">
        <v>1541</v>
      </c>
      <c r="K696" s="13" t="s">
        <v>1541</v>
      </c>
      <c r="L696" s="13" t="s">
        <v>1542</v>
      </c>
      <c r="M696" s="13"/>
    </row>
    <row r="697" customFormat="false" ht="15" hidden="false" customHeight="false" outlineLevel="0" collapsed="false">
      <c r="A697" s="13" t="s">
        <v>610</v>
      </c>
      <c r="B697" s="13" t="s">
        <v>609</v>
      </c>
      <c r="C697" s="13" t="s">
        <v>1543</v>
      </c>
      <c r="D697" s="13" t="s">
        <v>61</v>
      </c>
      <c r="E697" s="13" t="s">
        <v>1002</v>
      </c>
      <c r="F697" s="13" t="s">
        <v>1003</v>
      </c>
      <c r="G697" s="61" t="n">
        <v>1118254250664</v>
      </c>
      <c r="H697" s="13" t="s">
        <v>1537</v>
      </c>
      <c r="I697" s="13"/>
      <c r="J697" s="13" t="s">
        <v>1544</v>
      </c>
      <c r="K697" s="13" t="s">
        <v>1544</v>
      </c>
      <c r="L697" s="13" t="s">
        <v>1539</v>
      </c>
      <c r="M697" s="13"/>
    </row>
    <row r="698" customFormat="false" ht="15" hidden="false" customHeight="false" outlineLevel="0" collapsed="false">
      <c r="A698" s="13" t="s">
        <v>610</v>
      </c>
      <c r="B698" s="13" t="s">
        <v>609</v>
      </c>
      <c r="C698" s="13" t="s">
        <v>1545</v>
      </c>
      <c r="D698" s="13" t="s">
        <v>61</v>
      </c>
      <c r="E698" s="13" t="s">
        <v>1002</v>
      </c>
      <c r="F698" s="13" t="s">
        <v>1003</v>
      </c>
      <c r="G698" s="61" t="n">
        <v>515185000000</v>
      </c>
      <c r="H698" s="13" t="s">
        <v>1537</v>
      </c>
      <c r="I698" s="13"/>
      <c r="J698" s="13" t="s">
        <v>622</v>
      </c>
      <c r="K698" s="13" t="s">
        <v>622</v>
      </c>
      <c r="L698" s="13" t="s">
        <v>1539</v>
      </c>
      <c r="M698" s="13"/>
    </row>
    <row r="699" customFormat="false" ht="15" hidden="false" customHeight="false" outlineLevel="0" collapsed="false">
      <c r="A699" s="13" t="s">
        <v>610</v>
      </c>
      <c r="B699" s="13" t="s">
        <v>609</v>
      </c>
      <c r="C699" s="13" t="s">
        <v>1546</v>
      </c>
      <c r="D699" s="13" t="s">
        <v>61</v>
      </c>
      <c r="E699" s="13" t="s">
        <v>1002</v>
      </c>
      <c r="F699" s="13" t="s">
        <v>1003</v>
      </c>
      <c r="G699" s="61" t="n">
        <v>248039000000</v>
      </c>
      <c r="H699" s="13" t="s">
        <v>1537</v>
      </c>
      <c r="I699" s="13"/>
      <c r="J699" s="13" t="s">
        <v>1547</v>
      </c>
      <c r="K699" s="13" t="s">
        <v>1547</v>
      </c>
      <c r="L699" s="13" t="s">
        <v>1539</v>
      </c>
      <c r="M699" s="13"/>
    </row>
    <row r="700" customFormat="false" ht="15" hidden="false" customHeight="false" outlineLevel="0" collapsed="false">
      <c r="A700" s="13" t="s">
        <v>610</v>
      </c>
      <c r="B700" s="13" t="s">
        <v>609</v>
      </c>
      <c r="C700" s="13" t="s">
        <v>1548</v>
      </c>
      <c r="D700" s="13" t="s">
        <v>61</v>
      </c>
      <c r="E700" s="13" t="s">
        <v>1002</v>
      </c>
      <c r="F700" s="13" t="s">
        <v>1003</v>
      </c>
      <c r="G700" s="61" t="n">
        <v>1826263000000</v>
      </c>
      <c r="H700" s="13" t="s">
        <v>1537</v>
      </c>
      <c r="I700" s="13"/>
      <c r="J700" s="13" t="s">
        <v>624</v>
      </c>
      <c r="K700" s="13" t="s">
        <v>624</v>
      </c>
      <c r="L700" s="13" t="s">
        <v>1539</v>
      </c>
      <c r="M700" s="13"/>
    </row>
    <row r="701" customFormat="false" ht="15" hidden="false" customHeight="false" outlineLevel="0" collapsed="false">
      <c r="A701" s="13" t="s">
        <v>610</v>
      </c>
      <c r="B701" s="13" t="s">
        <v>609</v>
      </c>
      <c r="C701" s="13" t="s">
        <v>1545</v>
      </c>
      <c r="D701" s="13" t="s">
        <v>1567</v>
      </c>
      <c r="E701" s="13" t="s">
        <v>1568</v>
      </c>
      <c r="F701" s="13" t="s">
        <v>1569</v>
      </c>
      <c r="G701" s="61" t="n">
        <v>494344000000</v>
      </c>
      <c r="H701" s="13" t="s">
        <v>1537</v>
      </c>
      <c r="I701" s="13" t="s">
        <v>1570</v>
      </c>
      <c r="J701" s="13"/>
      <c r="K701" s="13" t="s">
        <v>1571</v>
      </c>
      <c r="L701" s="13" t="s">
        <v>1539</v>
      </c>
      <c r="M701" s="13"/>
    </row>
    <row r="702" customFormat="false" ht="15" hidden="false" customHeight="false" outlineLevel="0" collapsed="false">
      <c r="A702" s="13" t="s">
        <v>610</v>
      </c>
      <c r="B702" s="13" t="s">
        <v>609</v>
      </c>
      <c r="C702" s="13" t="s">
        <v>1546</v>
      </c>
      <c r="D702" s="13" t="s">
        <v>1567</v>
      </c>
      <c r="E702" s="13" t="s">
        <v>1568</v>
      </c>
      <c r="F702" s="13" t="s">
        <v>1569</v>
      </c>
      <c r="G702" s="61" t="n">
        <v>627524000000</v>
      </c>
      <c r="H702" s="13" t="s">
        <v>1537</v>
      </c>
      <c r="I702" s="13" t="s">
        <v>1570</v>
      </c>
      <c r="J702" s="13"/>
      <c r="K702" s="13" t="s">
        <v>1572</v>
      </c>
      <c r="L702" s="13" t="s">
        <v>1539</v>
      </c>
      <c r="M702" s="13"/>
    </row>
    <row r="703" customFormat="false" ht="15" hidden="false" customHeight="false" outlineLevel="0" collapsed="false">
      <c r="A703" s="13" t="s">
        <v>610</v>
      </c>
      <c r="B703" s="13" t="s">
        <v>609</v>
      </c>
      <c r="C703" s="13" t="s">
        <v>1548</v>
      </c>
      <c r="D703" s="13" t="s">
        <v>1567</v>
      </c>
      <c r="E703" s="13" t="s">
        <v>1568</v>
      </c>
      <c r="F703" s="13" t="s">
        <v>1569</v>
      </c>
      <c r="G703" s="61" t="n">
        <v>682662000000</v>
      </c>
      <c r="H703" s="13" t="s">
        <v>1537</v>
      </c>
      <c r="I703" s="13" t="s">
        <v>1570</v>
      </c>
      <c r="J703" s="13"/>
      <c r="K703" s="13" t="s">
        <v>1572</v>
      </c>
      <c r="L703" s="13" t="s">
        <v>1539</v>
      </c>
      <c r="M703" s="13"/>
    </row>
    <row r="704" customFormat="false" ht="15" hidden="false" customHeight="false" outlineLevel="0" collapsed="false">
      <c r="A704" s="13" t="s">
        <v>610</v>
      </c>
      <c r="B704" s="13" t="s">
        <v>609</v>
      </c>
      <c r="C704" s="13" t="s">
        <v>1545</v>
      </c>
      <c r="D704" s="13" t="s">
        <v>1567</v>
      </c>
      <c r="E704" s="13" t="s">
        <v>1568</v>
      </c>
      <c r="F704" s="13" t="s">
        <v>1573</v>
      </c>
      <c r="G704" s="61" t="n">
        <v>480804000000</v>
      </c>
      <c r="H704" s="13" t="s">
        <v>1537</v>
      </c>
      <c r="I704" s="13" t="s">
        <v>1570</v>
      </c>
      <c r="J704" s="13"/>
      <c r="K704" s="13" t="s">
        <v>1571</v>
      </c>
      <c r="L704" s="13" t="s">
        <v>1539</v>
      </c>
      <c r="M704" s="13"/>
    </row>
    <row r="705" customFormat="false" ht="15" hidden="false" customHeight="false" outlineLevel="0" collapsed="false">
      <c r="A705" s="13" t="s">
        <v>610</v>
      </c>
      <c r="B705" s="13" t="s">
        <v>609</v>
      </c>
      <c r="C705" s="13" t="s">
        <v>1546</v>
      </c>
      <c r="D705" s="13" t="s">
        <v>1567</v>
      </c>
      <c r="E705" s="13" t="s">
        <v>1568</v>
      </c>
      <c r="F705" s="13" t="s">
        <v>1573</v>
      </c>
      <c r="G705" s="61" t="n">
        <v>591952000000</v>
      </c>
      <c r="H705" s="13" t="s">
        <v>1537</v>
      </c>
      <c r="I705" s="13" t="s">
        <v>1570</v>
      </c>
      <c r="J705" s="13"/>
      <c r="K705" s="13" t="s">
        <v>1572</v>
      </c>
      <c r="L705" s="13" t="s">
        <v>1539</v>
      </c>
      <c r="M705" s="13"/>
    </row>
    <row r="706" customFormat="false" ht="15" hidden="false" customHeight="false" outlineLevel="0" collapsed="false">
      <c r="A706" s="13" t="s">
        <v>610</v>
      </c>
      <c r="B706" s="13" t="s">
        <v>609</v>
      </c>
      <c r="C706" s="13" t="s">
        <v>1548</v>
      </c>
      <c r="D706" s="13" t="s">
        <v>1567</v>
      </c>
      <c r="E706" s="13" t="s">
        <v>1568</v>
      </c>
      <c r="F706" s="13" t="s">
        <v>1573</v>
      </c>
      <c r="G706" s="61" t="n">
        <v>646735000000</v>
      </c>
      <c r="H706" s="13" t="s">
        <v>1537</v>
      </c>
      <c r="I706" s="13" t="s">
        <v>1570</v>
      </c>
      <c r="J706" s="13"/>
      <c r="K706" s="13" t="s">
        <v>1572</v>
      </c>
      <c r="L706" s="13" t="s">
        <v>1539</v>
      </c>
      <c r="M706" s="13"/>
    </row>
    <row r="707" customFormat="false" ht="15" hidden="false" customHeight="false" outlineLevel="0" collapsed="false">
      <c r="A707" s="13" t="s">
        <v>610</v>
      </c>
      <c r="B707" s="13" t="s">
        <v>609</v>
      </c>
      <c r="C707" s="13" t="s">
        <v>1545</v>
      </c>
      <c r="D707" s="13" t="s">
        <v>1567</v>
      </c>
      <c r="E707" s="13" t="s">
        <v>1568</v>
      </c>
      <c r="F707" s="13" t="s">
        <v>1574</v>
      </c>
      <c r="G707" s="61" t="n">
        <v>312261000000</v>
      </c>
      <c r="H707" s="13" t="s">
        <v>1537</v>
      </c>
      <c r="I707" s="13" t="s">
        <v>1570</v>
      </c>
      <c r="J707" s="13"/>
      <c r="K707" s="13" t="s">
        <v>1571</v>
      </c>
      <c r="L707" s="13" t="s">
        <v>1539</v>
      </c>
      <c r="M707" s="13"/>
    </row>
    <row r="708" customFormat="false" ht="15" hidden="false" customHeight="false" outlineLevel="0" collapsed="false">
      <c r="A708" s="13" t="s">
        <v>610</v>
      </c>
      <c r="B708" s="13" t="s">
        <v>609</v>
      </c>
      <c r="C708" s="13" t="s">
        <v>1546</v>
      </c>
      <c r="D708" s="13" t="s">
        <v>1567</v>
      </c>
      <c r="E708" s="13" t="s">
        <v>1568</v>
      </c>
      <c r="F708" s="13" t="s">
        <v>1574</v>
      </c>
      <c r="G708" s="61" t="n">
        <v>365347000000</v>
      </c>
      <c r="H708" s="13" t="s">
        <v>1537</v>
      </c>
      <c r="I708" s="13" t="s">
        <v>1570</v>
      </c>
      <c r="J708" s="13"/>
      <c r="K708" s="13" t="s">
        <v>1572</v>
      </c>
      <c r="L708" s="13" t="s">
        <v>1539</v>
      </c>
      <c r="M708" s="13"/>
    </row>
    <row r="709" customFormat="false" ht="15" hidden="false" customHeight="false" outlineLevel="0" collapsed="false">
      <c r="A709" s="13" t="s">
        <v>610</v>
      </c>
      <c r="B709" s="13" t="s">
        <v>609</v>
      </c>
      <c r="C709" s="13" t="s">
        <v>1548</v>
      </c>
      <c r="D709" s="13" t="s">
        <v>1567</v>
      </c>
      <c r="E709" s="13" t="s">
        <v>1568</v>
      </c>
      <c r="F709" s="13" t="s">
        <v>1574</v>
      </c>
      <c r="G709" s="61" t="n">
        <v>381421000000</v>
      </c>
      <c r="H709" s="13" t="s">
        <v>1537</v>
      </c>
      <c r="I709" s="13" t="s">
        <v>1570</v>
      </c>
      <c r="J709" s="13"/>
      <c r="K709" s="13" t="s">
        <v>1572</v>
      </c>
      <c r="L709" s="13" t="s">
        <v>1539</v>
      </c>
      <c r="M709" s="13"/>
    </row>
    <row r="710" customFormat="false" ht="15" hidden="false" customHeight="false" outlineLevel="0" collapsed="false">
      <c r="A710" s="13" t="s">
        <v>610</v>
      </c>
      <c r="B710" s="13" t="s">
        <v>609</v>
      </c>
      <c r="C710" s="13" t="s">
        <v>1545</v>
      </c>
      <c r="D710" s="13" t="s">
        <v>1567</v>
      </c>
      <c r="E710" s="13" t="s">
        <v>1568</v>
      </c>
      <c r="F710" s="13" t="s">
        <v>1575</v>
      </c>
      <c r="G710" s="61" t="n">
        <v>226561000000</v>
      </c>
      <c r="H710" s="13" t="s">
        <v>1537</v>
      </c>
      <c r="I710" s="13" t="s">
        <v>1570</v>
      </c>
      <c r="J710" s="13"/>
      <c r="K710" s="13" t="s">
        <v>1571</v>
      </c>
      <c r="L710" s="13" t="s">
        <v>1539</v>
      </c>
      <c r="M710" s="13"/>
    </row>
    <row r="711" customFormat="false" ht="15" hidden="false" customHeight="false" outlineLevel="0" collapsed="false">
      <c r="A711" s="13" t="s">
        <v>610</v>
      </c>
      <c r="B711" s="13" t="s">
        <v>609</v>
      </c>
      <c r="C711" s="13" t="s">
        <v>1546</v>
      </c>
      <c r="D711" s="13" t="s">
        <v>1567</v>
      </c>
      <c r="E711" s="13" t="s">
        <v>1568</v>
      </c>
      <c r="F711" s="13" t="s">
        <v>1575</v>
      </c>
      <c r="G711" s="61" t="n">
        <v>320854000000</v>
      </c>
      <c r="H711" s="13" t="s">
        <v>1537</v>
      </c>
      <c r="I711" s="13" t="s">
        <v>1570</v>
      </c>
      <c r="J711" s="13"/>
      <c r="K711" s="13" t="s">
        <v>1572</v>
      </c>
      <c r="L711" s="13" t="s">
        <v>1539</v>
      </c>
      <c r="M711" s="13"/>
    </row>
    <row r="712" customFormat="false" ht="15" hidden="false" customHeight="false" outlineLevel="0" collapsed="false">
      <c r="A712" s="13" t="s">
        <v>610</v>
      </c>
      <c r="B712" s="13" t="s">
        <v>609</v>
      </c>
      <c r="C712" s="13" t="s">
        <v>1548</v>
      </c>
      <c r="D712" s="13" t="s">
        <v>1567</v>
      </c>
      <c r="E712" s="13" t="s">
        <v>1568</v>
      </c>
      <c r="F712" s="13" t="s">
        <v>1575</v>
      </c>
      <c r="G712" s="61" t="n">
        <v>289631000000</v>
      </c>
      <c r="H712" s="13" t="s">
        <v>1537</v>
      </c>
      <c r="I712" s="13" t="s">
        <v>1570</v>
      </c>
      <c r="J712" s="13"/>
      <c r="K712" s="13" t="s">
        <v>1572</v>
      </c>
      <c r="L712" s="13" t="s">
        <v>1539</v>
      </c>
      <c r="M712" s="13"/>
    </row>
    <row r="713" customFormat="false" ht="15" hidden="false" customHeight="false" outlineLevel="0" collapsed="false">
      <c r="A713" s="13" t="s">
        <v>610</v>
      </c>
      <c r="B713" s="13" t="s">
        <v>609</v>
      </c>
      <c r="C713" s="13" t="s">
        <v>1545</v>
      </c>
      <c r="D713" s="13" t="s">
        <v>1567</v>
      </c>
      <c r="E713" s="13" t="s">
        <v>1568</v>
      </c>
      <c r="F713" s="13" t="s">
        <v>1576</v>
      </c>
      <c r="G713" s="61" t="n">
        <v>45807000000</v>
      </c>
      <c r="H713" s="13" t="s">
        <v>1537</v>
      </c>
      <c r="I713" s="13" t="s">
        <v>1570</v>
      </c>
      <c r="J713" s="13"/>
      <c r="K713" s="13" t="s">
        <v>1571</v>
      </c>
      <c r="L713" s="13" t="s">
        <v>1539</v>
      </c>
      <c r="M713" s="13"/>
    </row>
    <row r="714" customFormat="false" ht="15" hidden="false" customHeight="false" outlineLevel="0" collapsed="false">
      <c r="A714" s="13" t="s">
        <v>610</v>
      </c>
      <c r="B714" s="13" t="s">
        <v>609</v>
      </c>
      <c r="C714" s="13" t="s">
        <v>1546</v>
      </c>
      <c r="D714" s="13" t="s">
        <v>1567</v>
      </c>
      <c r="E714" s="13" t="s">
        <v>1568</v>
      </c>
      <c r="F714" s="13" t="s">
        <v>1576</v>
      </c>
      <c r="G714" s="61" t="n">
        <v>54444000000</v>
      </c>
      <c r="H714" s="13" t="s">
        <v>1537</v>
      </c>
      <c r="I714" s="13" t="s">
        <v>1570</v>
      </c>
      <c r="J714" s="13"/>
      <c r="K714" s="13" t="s">
        <v>1572</v>
      </c>
      <c r="L714" s="13" t="s">
        <v>1539</v>
      </c>
      <c r="M714" s="13"/>
    </row>
    <row r="715" customFormat="false" ht="15" hidden="false" customHeight="false" outlineLevel="0" collapsed="false">
      <c r="A715" s="13" t="s">
        <v>610</v>
      </c>
      <c r="B715" s="13" t="s">
        <v>609</v>
      </c>
      <c r="C715" s="13" t="s">
        <v>1548</v>
      </c>
      <c r="D715" s="13" t="s">
        <v>1567</v>
      </c>
      <c r="E715" s="13" t="s">
        <v>1568</v>
      </c>
      <c r="F715" s="13" t="s">
        <v>1576</v>
      </c>
      <c r="G715" s="61" t="n">
        <v>82506000000</v>
      </c>
      <c r="H715" s="13" t="s">
        <v>1537</v>
      </c>
      <c r="I715" s="13" t="s">
        <v>1570</v>
      </c>
      <c r="J715" s="13"/>
      <c r="K715" s="13" t="s">
        <v>1572</v>
      </c>
      <c r="L715" s="13" t="s">
        <v>1539</v>
      </c>
      <c r="M715" s="13"/>
    </row>
    <row r="716" customFormat="false" ht="15" hidden="false" customHeight="false" outlineLevel="0" collapsed="false">
      <c r="A716" s="13" t="s">
        <v>610</v>
      </c>
      <c r="B716" s="13" t="s">
        <v>609</v>
      </c>
      <c r="C716" s="13" t="s">
        <v>1545</v>
      </c>
      <c r="D716" s="13" t="s">
        <v>1567</v>
      </c>
      <c r="E716" s="13" t="s">
        <v>1568</v>
      </c>
      <c r="F716" s="13" t="s">
        <v>1577</v>
      </c>
      <c r="G716" s="61" t="n">
        <v>260240000000</v>
      </c>
      <c r="H716" s="13" t="s">
        <v>1537</v>
      </c>
      <c r="I716" s="13" t="s">
        <v>1570</v>
      </c>
      <c r="J716" s="13"/>
      <c r="K716" s="13" t="s">
        <v>1571</v>
      </c>
      <c r="L716" s="13" t="s">
        <v>1539</v>
      </c>
      <c r="M716" s="13"/>
    </row>
    <row r="717" customFormat="false" ht="15" hidden="false" customHeight="false" outlineLevel="0" collapsed="false">
      <c r="A717" s="13" t="s">
        <v>610</v>
      </c>
      <c r="B717" s="13" t="s">
        <v>609</v>
      </c>
      <c r="C717" s="13" t="s">
        <v>1546</v>
      </c>
      <c r="D717" s="13" t="s">
        <v>1567</v>
      </c>
      <c r="E717" s="13" t="s">
        <v>1568</v>
      </c>
      <c r="F717" s="13" t="s">
        <v>1577</v>
      </c>
      <c r="G717" s="61" t="n">
        <v>536498000000</v>
      </c>
      <c r="H717" s="13" t="s">
        <v>1537</v>
      </c>
      <c r="I717" s="13" t="s">
        <v>1570</v>
      </c>
      <c r="J717" s="13"/>
      <c r="K717" s="13" t="s">
        <v>1572</v>
      </c>
      <c r="L717" s="13" t="s">
        <v>1539</v>
      </c>
      <c r="M717" s="13"/>
    </row>
    <row r="718" customFormat="false" ht="15" hidden="false" customHeight="false" outlineLevel="0" collapsed="false">
      <c r="A718" s="13" t="s">
        <v>610</v>
      </c>
      <c r="B718" s="13" t="s">
        <v>609</v>
      </c>
      <c r="C718" s="13" t="s">
        <v>1548</v>
      </c>
      <c r="D718" s="13" t="s">
        <v>1567</v>
      </c>
      <c r="E718" s="13" t="s">
        <v>1568</v>
      </c>
      <c r="F718" s="13" t="s">
        <v>1577</v>
      </c>
      <c r="G718" s="61" t="n">
        <v>609058000000</v>
      </c>
      <c r="H718" s="13" t="s">
        <v>1537</v>
      </c>
      <c r="I718" s="13" t="s">
        <v>1570</v>
      </c>
      <c r="J718" s="13"/>
      <c r="K718" s="13" t="s">
        <v>1572</v>
      </c>
      <c r="L718" s="13" t="s">
        <v>1539</v>
      </c>
      <c r="M718" s="13"/>
    </row>
    <row r="719" customFormat="false" ht="15" hidden="false" customHeight="false" outlineLevel="0" collapsed="false">
      <c r="A719" s="13" t="s">
        <v>610</v>
      </c>
      <c r="B719" s="13" t="s">
        <v>609</v>
      </c>
      <c r="C719" s="13" t="s">
        <v>1545</v>
      </c>
      <c r="D719" s="13" t="s">
        <v>1567</v>
      </c>
      <c r="E719" s="13" t="s">
        <v>1568</v>
      </c>
      <c r="F719" s="13" t="s">
        <v>1578</v>
      </c>
      <c r="G719" s="61" t="n">
        <v>389546000000</v>
      </c>
      <c r="H719" s="13" t="s">
        <v>1537</v>
      </c>
      <c r="I719" s="13" t="s">
        <v>1570</v>
      </c>
      <c r="J719" s="13"/>
      <c r="K719" s="13" t="s">
        <v>1571</v>
      </c>
      <c r="L719" s="13" t="s">
        <v>1539</v>
      </c>
      <c r="M719" s="13"/>
    </row>
    <row r="720" customFormat="false" ht="15" hidden="false" customHeight="false" outlineLevel="0" collapsed="false">
      <c r="A720" s="13" t="s">
        <v>610</v>
      </c>
      <c r="B720" s="13" t="s">
        <v>609</v>
      </c>
      <c r="C720" s="13" t="s">
        <v>1546</v>
      </c>
      <c r="D720" s="13" t="s">
        <v>1567</v>
      </c>
      <c r="E720" s="13" t="s">
        <v>1568</v>
      </c>
      <c r="F720" s="13" t="s">
        <v>1578</v>
      </c>
      <c r="G720" s="61" t="n">
        <v>338776000000</v>
      </c>
      <c r="H720" s="13" t="s">
        <v>1537</v>
      </c>
      <c r="I720" s="13" t="s">
        <v>1570</v>
      </c>
      <c r="J720" s="13"/>
      <c r="K720" s="13" t="s">
        <v>1572</v>
      </c>
      <c r="L720" s="13" t="s">
        <v>1539</v>
      </c>
      <c r="M720" s="13"/>
    </row>
    <row r="721" customFormat="false" ht="15" hidden="false" customHeight="false" outlineLevel="0" collapsed="false">
      <c r="A721" s="13" t="s">
        <v>610</v>
      </c>
      <c r="B721" s="13" t="s">
        <v>609</v>
      </c>
      <c r="C721" s="13" t="s">
        <v>1548</v>
      </c>
      <c r="D721" s="13" t="s">
        <v>1567</v>
      </c>
      <c r="E721" s="13" t="s">
        <v>1568</v>
      </c>
      <c r="F721" s="13" t="s">
        <v>1578</v>
      </c>
      <c r="G721" s="61" t="n">
        <v>431289000000</v>
      </c>
      <c r="H721" s="13" t="s">
        <v>1537</v>
      </c>
      <c r="I721" s="13" t="s">
        <v>1570</v>
      </c>
      <c r="J721" s="13"/>
      <c r="K721" s="13" t="s">
        <v>1572</v>
      </c>
      <c r="L721" s="13" t="s">
        <v>1539</v>
      </c>
      <c r="M721" s="13"/>
    </row>
    <row r="722" customFormat="false" ht="15" hidden="false" customHeight="false" outlineLevel="0" collapsed="false">
      <c r="A722" s="13" t="s">
        <v>610</v>
      </c>
      <c r="B722" s="13" t="s">
        <v>609</v>
      </c>
      <c r="C722" s="13" t="s">
        <v>1545</v>
      </c>
      <c r="D722" s="13" t="s">
        <v>1567</v>
      </c>
      <c r="E722" s="13" t="s">
        <v>1568</v>
      </c>
      <c r="F722" s="13" t="s">
        <v>1579</v>
      </c>
      <c r="G722" s="61" t="n">
        <v>264539000000</v>
      </c>
      <c r="H722" s="13" t="s">
        <v>1537</v>
      </c>
      <c r="I722" s="13" t="s">
        <v>1570</v>
      </c>
      <c r="J722" s="13"/>
      <c r="K722" s="13" t="s">
        <v>1571</v>
      </c>
      <c r="L722" s="13" t="s">
        <v>1539</v>
      </c>
      <c r="M722" s="13"/>
    </row>
    <row r="723" customFormat="false" ht="15" hidden="false" customHeight="false" outlineLevel="0" collapsed="false">
      <c r="A723" s="13" t="s">
        <v>610</v>
      </c>
      <c r="B723" s="13" t="s">
        <v>609</v>
      </c>
      <c r="C723" s="13" t="s">
        <v>1546</v>
      </c>
      <c r="D723" s="13" t="s">
        <v>1567</v>
      </c>
      <c r="E723" s="13" t="s">
        <v>1568</v>
      </c>
      <c r="F723" s="13" t="s">
        <v>1579</v>
      </c>
      <c r="G723" s="61" t="n">
        <v>275330000000</v>
      </c>
      <c r="H723" s="13" t="s">
        <v>1537</v>
      </c>
      <c r="I723" s="13" t="s">
        <v>1570</v>
      </c>
      <c r="J723" s="13"/>
      <c r="K723" s="13" t="s">
        <v>1572</v>
      </c>
      <c r="L723" s="13" t="s">
        <v>1539</v>
      </c>
      <c r="M723" s="13"/>
    </row>
    <row r="724" customFormat="false" ht="15" hidden="false" customHeight="false" outlineLevel="0" collapsed="false">
      <c r="A724" s="13" t="s">
        <v>610</v>
      </c>
      <c r="B724" s="13" t="s">
        <v>609</v>
      </c>
      <c r="C724" s="13" t="s">
        <v>1548</v>
      </c>
      <c r="D724" s="13" t="s">
        <v>1567</v>
      </c>
      <c r="E724" s="13" t="s">
        <v>1568</v>
      </c>
      <c r="F724" s="13" t="s">
        <v>1579</v>
      </c>
      <c r="G724" s="61" t="n">
        <v>333142000000</v>
      </c>
      <c r="H724" s="13" t="s">
        <v>1537</v>
      </c>
      <c r="I724" s="13" t="s">
        <v>1570</v>
      </c>
      <c r="J724" s="13"/>
      <c r="K724" s="13" t="s">
        <v>1572</v>
      </c>
      <c r="L724" s="13" t="s">
        <v>1539</v>
      </c>
      <c r="M724" s="13"/>
    </row>
    <row r="725" customFormat="false" ht="15" hidden="false" customHeight="false" outlineLevel="0" collapsed="false">
      <c r="A725" s="13" t="s">
        <v>610</v>
      </c>
      <c r="B725" s="13" t="s">
        <v>609</v>
      </c>
      <c r="C725" s="13" t="s">
        <v>1545</v>
      </c>
      <c r="D725" s="13" t="s">
        <v>1567</v>
      </c>
      <c r="E725" s="13" t="s">
        <v>1568</v>
      </c>
      <c r="F725" s="13" t="s">
        <v>1580</v>
      </c>
      <c r="G725" s="61" t="n">
        <v>29072000000</v>
      </c>
      <c r="H725" s="13" t="s">
        <v>1537</v>
      </c>
      <c r="I725" s="13" t="s">
        <v>1570</v>
      </c>
      <c r="J725" s="13"/>
      <c r="K725" s="13" t="s">
        <v>1571</v>
      </c>
      <c r="L725" s="13" t="s">
        <v>1539</v>
      </c>
      <c r="M725" s="13"/>
    </row>
    <row r="726" customFormat="false" ht="15" hidden="false" customHeight="false" outlineLevel="0" collapsed="false">
      <c r="A726" s="13" t="s">
        <v>610</v>
      </c>
      <c r="B726" s="13" t="s">
        <v>609</v>
      </c>
      <c r="C726" s="13" t="s">
        <v>1546</v>
      </c>
      <c r="D726" s="13" t="s">
        <v>1567</v>
      </c>
      <c r="E726" s="13" t="s">
        <v>1568</v>
      </c>
      <c r="F726" s="13" t="s">
        <v>1580</v>
      </c>
      <c r="G726" s="61" t="n">
        <v>37620000000</v>
      </c>
      <c r="H726" s="13" t="s">
        <v>1537</v>
      </c>
      <c r="I726" s="13" t="s">
        <v>1570</v>
      </c>
      <c r="J726" s="13"/>
      <c r="K726" s="13" t="s">
        <v>1572</v>
      </c>
      <c r="L726" s="13" t="s">
        <v>1539</v>
      </c>
      <c r="M726" s="13"/>
    </row>
    <row r="727" customFormat="false" ht="15" hidden="false" customHeight="false" outlineLevel="0" collapsed="false">
      <c r="A727" s="13" t="s">
        <v>610</v>
      </c>
      <c r="B727" s="13" t="s">
        <v>609</v>
      </c>
      <c r="C727" s="13" t="s">
        <v>1548</v>
      </c>
      <c r="D727" s="13" t="s">
        <v>1567</v>
      </c>
      <c r="E727" s="13" t="s">
        <v>1568</v>
      </c>
      <c r="F727" s="13" t="s">
        <v>1580</v>
      </c>
      <c r="G727" s="61" t="n">
        <v>45134000000</v>
      </c>
      <c r="H727" s="13" t="s">
        <v>1537</v>
      </c>
      <c r="I727" s="13" t="s">
        <v>1570</v>
      </c>
      <c r="J727" s="13"/>
      <c r="K727" s="13" t="s">
        <v>1572</v>
      </c>
      <c r="L727" s="13" t="s">
        <v>1539</v>
      </c>
      <c r="M727" s="13"/>
    </row>
    <row r="728" customFormat="false" ht="15" hidden="false" customHeight="false" outlineLevel="0" collapsed="false">
      <c r="A728" s="13" t="s">
        <v>610</v>
      </c>
      <c r="B728" s="13" t="s">
        <v>609</v>
      </c>
      <c r="C728" s="13" t="s">
        <v>1546</v>
      </c>
      <c r="D728" s="13" t="s">
        <v>1567</v>
      </c>
      <c r="E728" s="13" t="s">
        <v>1568</v>
      </c>
      <c r="F728" s="13" t="s">
        <v>1581</v>
      </c>
      <c r="G728" s="61" t="n">
        <v>-807914000000</v>
      </c>
      <c r="H728" s="13" t="s">
        <v>1537</v>
      </c>
      <c r="I728" s="13" t="s">
        <v>1570</v>
      </c>
      <c r="J728" s="13"/>
      <c r="K728" s="13" t="s">
        <v>1572</v>
      </c>
      <c r="L728" s="13" t="s">
        <v>1539</v>
      </c>
      <c r="M728" s="13"/>
    </row>
    <row r="729" customFormat="false" ht="15" hidden="false" customHeight="false" outlineLevel="0" collapsed="false">
      <c r="A729" s="13" t="s">
        <v>610</v>
      </c>
      <c r="B729" s="13" t="s">
        <v>609</v>
      </c>
      <c r="C729" s="13" t="s">
        <v>1548</v>
      </c>
      <c r="D729" s="13" t="s">
        <v>1567</v>
      </c>
      <c r="E729" s="13" t="s">
        <v>1568</v>
      </c>
      <c r="F729" s="13" t="s">
        <v>1581</v>
      </c>
      <c r="G729" s="61" t="n">
        <v>-912138000000</v>
      </c>
      <c r="H729" s="13" t="s">
        <v>1537</v>
      </c>
      <c r="I729" s="13" t="s">
        <v>1570</v>
      </c>
      <c r="J729" s="13"/>
      <c r="K729" s="13" t="s">
        <v>1572</v>
      </c>
      <c r="L729" s="13" t="s">
        <v>1539</v>
      </c>
      <c r="M729" s="13"/>
    </row>
    <row r="730" customFormat="false" ht="15" hidden="false" customHeight="false" outlineLevel="0" collapsed="false">
      <c r="A730" s="13" t="s">
        <v>610</v>
      </c>
      <c r="B730" s="13" t="s">
        <v>609</v>
      </c>
      <c r="C730" s="13" t="s">
        <v>1536</v>
      </c>
      <c r="D730" s="13" t="s">
        <v>1567</v>
      </c>
      <c r="E730" s="13" t="s">
        <v>1568</v>
      </c>
      <c r="F730" s="13" t="s">
        <v>1582</v>
      </c>
      <c r="G730" s="61" t="n">
        <v>1283798609174</v>
      </c>
      <c r="H730" s="13" t="s">
        <v>1537</v>
      </c>
      <c r="I730" s="13" t="s">
        <v>1570</v>
      </c>
      <c r="J730" s="13"/>
      <c r="K730" s="13" t="s">
        <v>1583</v>
      </c>
      <c r="L730" s="13" t="s">
        <v>1539</v>
      </c>
      <c r="M730" s="13"/>
    </row>
    <row r="731" customFormat="false" ht="15" hidden="false" customHeight="false" outlineLevel="0" collapsed="false">
      <c r="A731" s="13" t="s">
        <v>610</v>
      </c>
      <c r="B731" s="13" t="s">
        <v>609</v>
      </c>
      <c r="C731" s="13" t="s">
        <v>1540</v>
      </c>
      <c r="D731" s="13" t="s">
        <v>1567</v>
      </c>
      <c r="E731" s="13" t="s">
        <v>1568</v>
      </c>
      <c r="F731" s="13" t="s">
        <v>1582</v>
      </c>
      <c r="G731" s="61" t="n">
        <v>1924453140978</v>
      </c>
      <c r="H731" s="13" t="s">
        <v>1537</v>
      </c>
      <c r="I731" s="13" t="s">
        <v>1570</v>
      </c>
      <c r="J731" s="13"/>
      <c r="K731" s="13" t="s">
        <v>1584</v>
      </c>
      <c r="L731" s="13" t="s">
        <v>1542</v>
      </c>
      <c r="M731" s="13"/>
    </row>
    <row r="732" customFormat="false" ht="15" hidden="false" customHeight="false" outlineLevel="0" collapsed="false">
      <c r="A732" s="13" t="s">
        <v>610</v>
      </c>
      <c r="B732" s="13" t="s">
        <v>609</v>
      </c>
      <c r="C732" s="13" t="s">
        <v>1543</v>
      </c>
      <c r="D732" s="13" t="s">
        <v>1567</v>
      </c>
      <c r="E732" s="13" t="s">
        <v>1568</v>
      </c>
      <c r="F732" s="13" t="s">
        <v>1582</v>
      </c>
      <c r="G732" s="61" t="n">
        <v>1934163680964</v>
      </c>
      <c r="H732" s="13" t="s">
        <v>1537</v>
      </c>
      <c r="I732" s="13" t="s">
        <v>1570</v>
      </c>
      <c r="J732" s="13"/>
      <c r="K732" s="13" t="s">
        <v>1585</v>
      </c>
      <c r="L732" s="13" t="s">
        <v>1539</v>
      </c>
      <c r="M732" s="13"/>
    </row>
    <row r="733" customFormat="false" ht="15" hidden="false" customHeight="false" outlineLevel="0" collapsed="false">
      <c r="A733" s="13" t="s">
        <v>610</v>
      </c>
      <c r="B733" s="13" t="s">
        <v>609</v>
      </c>
      <c r="C733" s="13" t="s">
        <v>1545</v>
      </c>
      <c r="D733" s="13" t="s">
        <v>1567</v>
      </c>
      <c r="E733" s="13" t="s">
        <v>1568</v>
      </c>
      <c r="F733" s="13" t="s">
        <v>1582</v>
      </c>
      <c r="G733" s="61" t="n">
        <v>2503174000000</v>
      </c>
      <c r="H733" s="13" t="s">
        <v>1537</v>
      </c>
      <c r="I733" s="13" t="s">
        <v>1570</v>
      </c>
      <c r="J733" s="13"/>
      <c r="K733" s="13" t="s">
        <v>1571</v>
      </c>
      <c r="L733" s="13" t="s">
        <v>1539</v>
      </c>
      <c r="M733" s="13"/>
    </row>
    <row r="734" customFormat="false" ht="15" hidden="false" customHeight="false" outlineLevel="0" collapsed="false">
      <c r="A734" s="13" t="s">
        <v>610</v>
      </c>
      <c r="B734" s="13" t="s">
        <v>609</v>
      </c>
      <c r="C734" s="13" t="s">
        <v>1546</v>
      </c>
      <c r="D734" s="13" t="s">
        <v>1567</v>
      </c>
      <c r="E734" s="13" t="s">
        <v>1568</v>
      </c>
      <c r="F734" s="13" t="s">
        <v>1582</v>
      </c>
      <c r="G734" s="61" t="n">
        <v>2340431000000</v>
      </c>
      <c r="H734" s="13" t="s">
        <v>1537</v>
      </c>
      <c r="I734" s="13" t="s">
        <v>1570</v>
      </c>
      <c r="J734" s="13"/>
      <c r="K734" s="13" t="s">
        <v>1572</v>
      </c>
      <c r="L734" s="13" t="s">
        <v>1539</v>
      </c>
      <c r="M734" s="13"/>
    </row>
    <row r="735" customFormat="false" ht="15" hidden="false" customHeight="false" outlineLevel="0" collapsed="false">
      <c r="A735" s="13" t="s">
        <v>610</v>
      </c>
      <c r="B735" s="13" t="s">
        <v>609</v>
      </c>
      <c r="C735" s="13" t="s">
        <v>1548</v>
      </c>
      <c r="D735" s="13" t="s">
        <v>1567</v>
      </c>
      <c r="E735" s="13" t="s">
        <v>1568</v>
      </c>
      <c r="F735" s="13" t="s">
        <v>1582</v>
      </c>
      <c r="G735" s="61" t="n">
        <v>2589440000000</v>
      </c>
      <c r="H735" s="13" t="s">
        <v>1537</v>
      </c>
      <c r="I735" s="13" t="s">
        <v>1570</v>
      </c>
      <c r="J735" s="13"/>
      <c r="K735" s="13" t="s">
        <v>1572</v>
      </c>
      <c r="L735" s="13" t="s">
        <v>1539</v>
      </c>
      <c r="M735" s="13"/>
    </row>
    <row r="736" customFormat="false" ht="15" hidden="false" customHeight="false" outlineLevel="0" collapsed="false">
      <c r="A736" s="13" t="s">
        <v>610</v>
      </c>
      <c r="B736" s="13" t="s">
        <v>609</v>
      </c>
      <c r="C736" s="13" t="s">
        <v>1546</v>
      </c>
      <c r="D736" s="13" t="s">
        <v>1567</v>
      </c>
      <c r="E736" s="13" t="s">
        <v>1586</v>
      </c>
      <c r="F736" s="13" t="s">
        <v>1587</v>
      </c>
      <c r="G736" s="61" t="n">
        <v>632856000000</v>
      </c>
      <c r="H736" s="13" t="s">
        <v>1537</v>
      </c>
      <c r="I736" s="13" t="s">
        <v>1588</v>
      </c>
      <c r="J736" s="13"/>
      <c r="K736" s="13" t="s">
        <v>1572</v>
      </c>
      <c r="L736" s="13" t="s">
        <v>1539</v>
      </c>
      <c r="M736" s="13"/>
    </row>
    <row r="737" customFormat="false" ht="15" hidden="false" customHeight="false" outlineLevel="0" collapsed="false">
      <c r="A737" s="13" t="s">
        <v>610</v>
      </c>
      <c r="B737" s="13" t="s">
        <v>609</v>
      </c>
      <c r="C737" s="13" t="s">
        <v>1548</v>
      </c>
      <c r="D737" s="13" t="s">
        <v>1567</v>
      </c>
      <c r="E737" s="13" t="s">
        <v>1586</v>
      </c>
      <c r="F737" s="13" t="s">
        <v>1587</v>
      </c>
      <c r="G737" s="61" t="n">
        <v>730391000000</v>
      </c>
      <c r="H737" s="13" t="s">
        <v>1537</v>
      </c>
      <c r="I737" s="13" t="s">
        <v>1588</v>
      </c>
      <c r="J737" s="13"/>
      <c r="K737" s="13" t="s">
        <v>1572</v>
      </c>
      <c r="L737" s="13" t="s">
        <v>1539</v>
      </c>
      <c r="M737" s="13"/>
    </row>
    <row r="738" customFormat="false" ht="15" hidden="false" customHeight="false" outlineLevel="0" collapsed="false">
      <c r="A738" s="13" t="s">
        <v>610</v>
      </c>
      <c r="B738" s="13" t="s">
        <v>609</v>
      </c>
      <c r="C738" s="13" t="s">
        <v>1536</v>
      </c>
      <c r="D738" s="13" t="s">
        <v>1567</v>
      </c>
      <c r="E738" s="13" t="s">
        <v>1586</v>
      </c>
      <c r="F738" s="13" t="s">
        <v>1589</v>
      </c>
      <c r="G738" s="61" t="n">
        <v>94151640132</v>
      </c>
      <c r="H738" s="13" t="s">
        <v>1537</v>
      </c>
      <c r="I738" s="13" t="s">
        <v>1588</v>
      </c>
      <c r="J738" s="13"/>
      <c r="K738" s="13" t="s">
        <v>1583</v>
      </c>
      <c r="L738" s="13" t="s">
        <v>1539</v>
      </c>
      <c r="M738" s="13"/>
    </row>
    <row r="739" customFormat="false" ht="15" hidden="false" customHeight="false" outlineLevel="0" collapsed="false">
      <c r="A739" s="13" t="s">
        <v>610</v>
      </c>
      <c r="B739" s="13" t="s">
        <v>609</v>
      </c>
      <c r="C739" s="13" t="s">
        <v>1540</v>
      </c>
      <c r="D739" s="13" t="s">
        <v>1567</v>
      </c>
      <c r="E739" s="13" t="s">
        <v>1586</v>
      </c>
      <c r="F739" s="13" t="s">
        <v>1589</v>
      </c>
      <c r="G739" s="61" t="n">
        <v>139434588806</v>
      </c>
      <c r="H739" s="13" t="s">
        <v>1537</v>
      </c>
      <c r="I739" s="13" t="s">
        <v>1588</v>
      </c>
      <c r="J739" s="13"/>
      <c r="K739" s="13" t="s">
        <v>1584</v>
      </c>
      <c r="L739" s="13" t="s">
        <v>1542</v>
      </c>
      <c r="M739" s="13"/>
    </row>
    <row r="740" customFormat="false" ht="15" hidden="false" customHeight="false" outlineLevel="0" collapsed="false">
      <c r="A740" s="13" t="s">
        <v>610</v>
      </c>
      <c r="B740" s="13" t="s">
        <v>609</v>
      </c>
      <c r="C740" s="13" t="s">
        <v>1543</v>
      </c>
      <c r="D740" s="13" t="s">
        <v>1567</v>
      </c>
      <c r="E740" s="13" t="s">
        <v>1586</v>
      </c>
      <c r="F740" s="13" t="s">
        <v>1589</v>
      </c>
      <c r="G740" s="61" t="n">
        <v>178767908884</v>
      </c>
      <c r="H740" s="13" t="s">
        <v>1537</v>
      </c>
      <c r="I740" s="13" t="s">
        <v>1588</v>
      </c>
      <c r="J740" s="13"/>
      <c r="K740" s="13" t="s">
        <v>1585</v>
      </c>
      <c r="L740" s="13" t="s">
        <v>1539</v>
      </c>
      <c r="M740" s="13"/>
    </row>
    <row r="741" customFormat="false" ht="15" hidden="false" customHeight="false" outlineLevel="0" collapsed="false">
      <c r="A741" s="13" t="s">
        <v>610</v>
      </c>
      <c r="B741" s="13" t="s">
        <v>609</v>
      </c>
      <c r="C741" s="13" t="s">
        <v>1545</v>
      </c>
      <c r="D741" s="13" t="s">
        <v>1567</v>
      </c>
      <c r="E741" s="13" t="s">
        <v>1586</v>
      </c>
      <c r="F741" s="13" t="s">
        <v>1589</v>
      </c>
      <c r="G741" s="61" t="n">
        <v>228430000000</v>
      </c>
      <c r="H741" s="13" t="s">
        <v>1537</v>
      </c>
      <c r="I741" s="13" t="s">
        <v>1588</v>
      </c>
      <c r="J741" s="13"/>
      <c r="K741" s="13" t="s">
        <v>1571</v>
      </c>
      <c r="L741" s="13" t="s">
        <v>1539</v>
      </c>
      <c r="M741" s="13"/>
    </row>
    <row r="742" customFormat="false" ht="15" hidden="false" customHeight="false" outlineLevel="0" collapsed="false">
      <c r="A742" s="13" t="s">
        <v>610</v>
      </c>
      <c r="B742" s="13" t="s">
        <v>609</v>
      </c>
      <c r="C742" s="13" t="s">
        <v>1546</v>
      </c>
      <c r="D742" s="13" t="s">
        <v>1567</v>
      </c>
      <c r="E742" s="13" t="s">
        <v>1586</v>
      </c>
      <c r="F742" s="13" t="s">
        <v>1589</v>
      </c>
      <c r="G742" s="61" t="n">
        <v>278152000000</v>
      </c>
      <c r="H742" s="13" t="s">
        <v>1537</v>
      </c>
      <c r="I742" s="13" t="s">
        <v>1588</v>
      </c>
      <c r="J742" s="13"/>
      <c r="K742" s="13" t="s">
        <v>1572</v>
      </c>
      <c r="L742" s="13" t="s">
        <v>1539</v>
      </c>
      <c r="M742" s="13"/>
    </row>
    <row r="743" customFormat="false" ht="15" hidden="false" customHeight="false" outlineLevel="0" collapsed="false">
      <c r="A743" s="13" t="s">
        <v>610</v>
      </c>
      <c r="B743" s="13" t="s">
        <v>609</v>
      </c>
      <c r="C743" s="13" t="s">
        <v>1548</v>
      </c>
      <c r="D743" s="13" t="s">
        <v>1567</v>
      </c>
      <c r="E743" s="13" t="s">
        <v>1586</v>
      </c>
      <c r="F743" s="13" t="s">
        <v>1589</v>
      </c>
      <c r="G743" s="61" t="n">
        <v>277365000000</v>
      </c>
      <c r="H743" s="13" t="s">
        <v>1537</v>
      </c>
      <c r="I743" s="13" t="s">
        <v>1588</v>
      </c>
      <c r="J743" s="13"/>
      <c r="K743" s="13" t="s">
        <v>1572</v>
      </c>
      <c r="L743" s="13" t="s">
        <v>1539</v>
      </c>
      <c r="M743" s="13"/>
    </row>
    <row r="744" customFormat="false" ht="15" hidden="false" customHeight="false" outlineLevel="0" collapsed="false">
      <c r="A744" s="13" t="s">
        <v>610</v>
      </c>
      <c r="B744" s="13" t="s">
        <v>609</v>
      </c>
      <c r="C744" s="13" t="s">
        <v>1536</v>
      </c>
      <c r="D744" s="13" t="s">
        <v>1567</v>
      </c>
      <c r="E744" s="13" t="s">
        <v>1586</v>
      </c>
      <c r="F744" s="13" t="s">
        <v>1590</v>
      </c>
      <c r="G744" s="61" t="n">
        <v>84019999072</v>
      </c>
      <c r="H744" s="13" t="s">
        <v>1537</v>
      </c>
      <c r="I744" s="13" t="s">
        <v>1588</v>
      </c>
      <c r="J744" s="13"/>
      <c r="K744" s="13" t="s">
        <v>1583</v>
      </c>
      <c r="L744" s="13" t="s">
        <v>1539</v>
      </c>
      <c r="M744" s="13"/>
    </row>
    <row r="745" customFormat="false" ht="15" hidden="false" customHeight="false" outlineLevel="0" collapsed="false">
      <c r="A745" s="13" t="s">
        <v>610</v>
      </c>
      <c r="B745" s="13" t="s">
        <v>609</v>
      </c>
      <c r="C745" s="13" t="s">
        <v>1540</v>
      </c>
      <c r="D745" s="13" t="s">
        <v>1567</v>
      </c>
      <c r="E745" s="13" t="s">
        <v>1586</v>
      </c>
      <c r="F745" s="13" t="s">
        <v>1590</v>
      </c>
      <c r="G745" s="61" t="n">
        <v>111052598370</v>
      </c>
      <c r="H745" s="13" t="s">
        <v>1537</v>
      </c>
      <c r="I745" s="13" t="s">
        <v>1588</v>
      </c>
      <c r="J745" s="13"/>
      <c r="K745" s="13" t="s">
        <v>1584</v>
      </c>
      <c r="L745" s="13" t="s">
        <v>1542</v>
      </c>
      <c r="M745" s="13"/>
    </row>
    <row r="746" customFormat="false" ht="15" hidden="false" customHeight="false" outlineLevel="0" collapsed="false">
      <c r="A746" s="13" t="s">
        <v>610</v>
      </c>
      <c r="B746" s="13" t="s">
        <v>609</v>
      </c>
      <c r="C746" s="13" t="s">
        <v>1543</v>
      </c>
      <c r="D746" s="13" t="s">
        <v>1567</v>
      </c>
      <c r="E746" s="13" t="s">
        <v>1586</v>
      </c>
      <c r="F746" s="13" t="s">
        <v>1590</v>
      </c>
      <c r="G746" s="61" t="n">
        <v>149028787879</v>
      </c>
      <c r="H746" s="13" t="s">
        <v>1537</v>
      </c>
      <c r="I746" s="13" t="s">
        <v>1588</v>
      </c>
      <c r="J746" s="13"/>
      <c r="K746" s="13" t="s">
        <v>1585</v>
      </c>
      <c r="L746" s="13" t="s">
        <v>1539</v>
      </c>
      <c r="M746" s="13"/>
    </row>
    <row r="747" customFormat="false" ht="15" hidden="false" customHeight="false" outlineLevel="0" collapsed="false">
      <c r="A747" s="13" t="s">
        <v>610</v>
      </c>
      <c r="B747" s="13" t="s">
        <v>609</v>
      </c>
      <c r="C747" s="13" t="s">
        <v>1545</v>
      </c>
      <c r="D747" s="13" t="s">
        <v>1567</v>
      </c>
      <c r="E747" s="13" t="s">
        <v>1586</v>
      </c>
      <c r="F747" s="13" t="s">
        <v>1590</v>
      </c>
      <c r="G747" s="61" t="n">
        <v>193944000000</v>
      </c>
      <c r="H747" s="13" t="s">
        <v>1537</v>
      </c>
      <c r="I747" s="13" t="s">
        <v>1588</v>
      </c>
      <c r="J747" s="13"/>
      <c r="K747" s="13" t="s">
        <v>1571</v>
      </c>
      <c r="L747" s="13" t="s">
        <v>1539</v>
      </c>
      <c r="M747" s="13"/>
    </row>
    <row r="748" customFormat="false" ht="15" hidden="false" customHeight="false" outlineLevel="0" collapsed="false">
      <c r="A748" s="13" t="s">
        <v>610</v>
      </c>
      <c r="B748" s="13" t="s">
        <v>609</v>
      </c>
      <c r="C748" s="13" t="s">
        <v>1546</v>
      </c>
      <c r="D748" s="13" t="s">
        <v>1567</v>
      </c>
      <c r="E748" s="13" t="s">
        <v>1586</v>
      </c>
      <c r="F748" s="13" t="s">
        <v>1590</v>
      </c>
      <c r="G748" s="61" t="n">
        <v>225642000000</v>
      </c>
      <c r="H748" s="13" t="s">
        <v>1537</v>
      </c>
      <c r="I748" s="13" t="s">
        <v>1588</v>
      </c>
      <c r="J748" s="13"/>
      <c r="K748" s="13" t="s">
        <v>1572</v>
      </c>
      <c r="L748" s="13" t="s">
        <v>1539</v>
      </c>
      <c r="M748" s="13"/>
    </row>
    <row r="749" customFormat="false" ht="15" hidden="false" customHeight="false" outlineLevel="0" collapsed="false">
      <c r="A749" s="13" t="s">
        <v>610</v>
      </c>
      <c r="B749" s="13" t="s">
        <v>609</v>
      </c>
      <c r="C749" s="13" t="s">
        <v>1548</v>
      </c>
      <c r="D749" s="13" t="s">
        <v>1567</v>
      </c>
      <c r="E749" s="13" t="s">
        <v>1586</v>
      </c>
      <c r="F749" s="13" t="s">
        <v>1590</v>
      </c>
      <c r="G749" s="61" t="n">
        <v>261685000000</v>
      </c>
      <c r="H749" s="13" t="s">
        <v>1537</v>
      </c>
      <c r="I749" s="13" t="s">
        <v>1588</v>
      </c>
      <c r="J749" s="13"/>
      <c r="K749" s="13" t="s">
        <v>1572</v>
      </c>
      <c r="L749" s="13" t="s">
        <v>1539</v>
      </c>
      <c r="M749" s="13"/>
    </row>
    <row r="750" customFormat="false" ht="15" hidden="false" customHeight="false" outlineLevel="0" collapsed="false">
      <c r="A750" s="13" t="s">
        <v>610</v>
      </c>
      <c r="B750" s="13" t="s">
        <v>609</v>
      </c>
      <c r="C750" s="13" t="s">
        <v>1545</v>
      </c>
      <c r="D750" s="13" t="s">
        <v>1567</v>
      </c>
      <c r="E750" s="13" t="s">
        <v>1586</v>
      </c>
      <c r="F750" s="13" t="s">
        <v>1591</v>
      </c>
      <c r="G750" s="61" t="n">
        <v>96494000000</v>
      </c>
      <c r="H750" s="13" t="s">
        <v>1537</v>
      </c>
      <c r="I750" s="13" t="s">
        <v>1588</v>
      </c>
      <c r="J750" s="13"/>
      <c r="K750" s="13" t="s">
        <v>1571</v>
      </c>
      <c r="L750" s="13" t="s">
        <v>1539</v>
      </c>
      <c r="M750" s="13"/>
    </row>
    <row r="751" customFormat="false" ht="15" hidden="false" customHeight="false" outlineLevel="0" collapsed="false">
      <c r="A751" s="13" t="s">
        <v>610</v>
      </c>
      <c r="B751" s="13" t="s">
        <v>609</v>
      </c>
      <c r="C751" s="13" t="s">
        <v>1546</v>
      </c>
      <c r="D751" s="13" t="s">
        <v>1567</v>
      </c>
      <c r="E751" s="13" t="s">
        <v>1586</v>
      </c>
      <c r="F751" s="13" t="s">
        <v>1591</v>
      </c>
      <c r="G751" s="61" t="n">
        <v>118922000000</v>
      </c>
      <c r="H751" s="13" t="s">
        <v>1537</v>
      </c>
      <c r="I751" s="13" t="s">
        <v>1588</v>
      </c>
      <c r="J751" s="13"/>
      <c r="K751" s="13" t="s">
        <v>1572</v>
      </c>
      <c r="L751" s="13" t="s">
        <v>1539</v>
      </c>
      <c r="M751" s="13"/>
    </row>
    <row r="752" customFormat="false" ht="15" hidden="false" customHeight="false" outlineLevel="0" collapsed="false">
      <c r="A752" s="13" t="s">
        <v>610</v>
      </c>
      <c r="B752" s="13" t="s">
        <v>609</v>
      </c>
      <c r="C752" s="13" t="s">
        <v>1548</v>
      </c>
      <c r="D752" s="13" t="s">
        <v>1567</v>
      </c>
      <c r="E752" s="13" t="s">
        <v>1586</v>
      </c>
      <c r="F752" s="13" t="s">
        <v>1591</v>
      </c>
      <c r="G752" s="61" t="n">
        <v>85142000000</v>
      </c>
      <c r="H752" s="13" t="s">
        <v>1537</v>
      </c>
      <c r="I752" s="13" t="s">
        <v>1588</v>
      </c>
      <c r="J752" s="13"/>
      <c r="K752" s="13" t="s">
        <v>1572</v>
      </c>
      <c r="L752" s="13" t="s">
        <v>1539</v>
      </c>
      <c r="M752" s="13"/>
    </row>
    <row r="753" customFormat="false" ht="15" hidden="false" customHeight="false" outlineLevel="0" collapsed="false">
      <c r="A753" s="13" t="s">
        <v>610</v>
      </c>
      <c r="B753" s="13" t="s">
        <v>609</v>
      </c>
      <c r="C753" s="13" t="s">
        <v>1545</v>
      </c>
      <c r="D753" s="13" t="s">
        <v>1567</v>
      </c>
      <c r="E753" s="13" t="s">
        <v>1586</v>
      </c>
      <c r="F753" s="13" t="s">
        <v>1592</v>
      </c>
      <c r="G753" s="61" t="n">
        <v>49998000000</v>
      </c>
      <c r="H753" s="13" t="s">
        <v>1537</v>
      </c>
      <c r="I753" s="13" t="s">
        <v>1588</v>
      </c>
      <c r="J753" s="13"/>
      <c r="K753" s="13" t="s">
        <v>1571</v>
      </c>
      <c r="L753" s="13" t="s">
        <v>1539</v>
      </c>
      <c r="M753" s="13"/>
    </row>
    <row r="754" customFormat="false" ht="15" hidden="false" customHeight="false" outlineLevel="0" collapsed="false">
      <c r="A754" s="13" t="s">
        <v>610</v>
      </c>
      <c r="B754" s="13" t="s">
        <v>609</v>
      </c>
      <c r="C754" s="13" t="s">
        <v>1546</v>
      </c>
      <c r="D754" s="13" t="s">
        <v>1567</v>
      </c>
      <c r="E754" s="13" t="s">
        <v>1586</v>
      </c>
      <c r="F754" s="13" t="s">
        <v>1592</v>
      </c>
      <c r="G754" s="61" t="n">
        <v>63386000000</v>
      </c>
      <c r="H754" s="13" t="s">
        <v>1537</v>
      </c>
      <c r="I754" s="13" t="s">
        <v>1588</v>
      </c>
      <c r="J754" s="13"/>
      <c r="K754" s="13" t="s">
        <v>1572</v>
      </c>
      <c r="L754" s="13" t="s">
        <v>1539</v>
      </c>
      <c r="M754" s="13"/>
    </row>
    <row r="755" customFormat="false" ht="15" hidden="false" customHeight="false" outlineLevel="0" collapsed="false">
      <c r="A755" s="13" t="s">
        <v>610</v>
      </c>
      <c r="B755" s="13" t="s">
        <v>609</v>
      </c>
      <c r="C755" s="13" t="s">
        <v>1548</v>
      </c>
      <c r="D755" s="13" t="s">
        <v>1567</v>
      </c>
      <c r="E755" s="13" t="s">
        <v>1586</v>
      </c>
      <c r="F755" s="13" t="s">
        <v>1592</v>
      </c>
      <c r="G755" s="61" t="n">
        <v>69869000000</v>
      </c>
      <c r="H755" s="13" t="s">
        <v>1537</v>
      </c>
      <c r="I755" s="13" t="s">
        <v>1588</v>
      </c>
      <c r="J755" s="13"/>
      <c r="K755" s="13" t="s">
        <v>1572</v>
      </c>
      <c r="L755" s="13" t="s">
        <v>1539</v>
      </c>
      <c r="M755" s="13"/>
    </row>
    <row r="756" customFormat="false" ht="15" hidden="false" customHeight="false" outlineLevel="0" collapsed="false">
      <c r="A756" s="13" t="s">
        <v>610</v>
      </c>
      <c r="B756" s="13" t="s">
        <v>609</v>
      </c>
      <c r="C756" s="13" t="s">
        <v>1545</v>
      </c>
      <c r="D756" s="13" t="s">
        <v>1567</v>
      </c>
      <c r="E756" s="13" t="s">
        <v>1586</v>
      </c>
      <c r="F756" s="13" t="s">
        <v>1593</v>
      </c>
      <c r="G756" s="61" t="n">
        <v>34788000000</v>
      </c>
      <c r="H756" s="13" t="s">
        <v>1537</v>
      </c>
      <c r="I756" s="13" t="s">
        <v>1588</v>
      </c>
      <c r="J756" s="13"/>
      <c r="K756" s="13" t="s">
        <v>1571</v>
      </c>
      <c r="L756" s="13" t="s">
        <v>1539</v>
      </c>
      <c r="M756" s="13"/>
    </row>
    <row r="757" customFormat="false" ht="15" hidden="false" customHeight="false" outlineLevel="0" collapsed="false">
      <c r="A757" s="13" t="s">
        <v>610</v>
      </c>
      <c r="B757" s="13" t="s">
        <v>609</v>
      </c>
      <c r="C757" s="13" t="s">
        <v>1546</v>
      </c>
      <c r="D757" s="13" t="s">
        <v>1567</v>
      </c>
      <c r="E757" s="13" t="s">
        <v>1586</v>
      </c>
      <c r="F757" s="13" t="s">
        <v>1593</v>
      </c>
      <c r="G757" s="61" t="n">
        <v>69964000000</v>
      </c>
      <c r="H757" s="13" t="s">
        <v>1537</v>
      </c>
      <c r="I757" s="13" t="s">
        <v>1588</v>
      </c>
      <c r="J757" s="13"/>
      <c r="K757" s="13" t="s">
        <v>1572</v>
      </c>
      <c r="L757" s="13" t="s">
        <v>1539</v>
      </c>
      <c r="M757" s="13"/>
    </row>
    <row r="758" customFormat="false" ht="15" hidden="false" customHeight="false" outlineLevel="0" collapsed="false">
      <c r="A758" s="13" t="s">
        <v>610</v>
      </c>
      <c r="B758" s="13" t="s">
        <v>609</v>
      </c>
      <c r="C758" s="13" t="s">
        <v>1548</v>
      </c>
      <c r="D758" s="13" t="s">
        <v>1567</v>
      </c>
      <c r="E758" s="13" t="s">
        <v>1586</v>
      </c>
      <c r="F758" s="13" t="s">
        <v>1593</v>
      </c>
      <c r="G758" s="61" t="n">
        <v>80306000000</v>
      </c>
      <c r="H758" s="13" t="s">
        <v>1537</v>
      </c>
      <c r="I758" s="13" t="s">
        <v>1588</v>
      </c>
      <c r="J758" s="13"/>
      <c r="K758" s="13" t="s">
        <v>1572</v>
      </c>
      <c r="L758" s="13" t="s">
        <v>1539</v>
      </c>
      <c r="M758" s="13"/>
    </row>
    <row r="759" customFormat="false" ht="15" hidden="false" customHeight="false" outlineLevel="0" collapsed="false">
      <c r="A759" s="13" t="s">
        <v>610</v>
      </c>
      <c r="B759" s="13" t="s">
        <v>609</v>
      </c>
      <c r="C759" s="13" t="s">
        <v>1536</v>
      </c>
      <c r="D759" s="13" t="s">
        <v>1567</v>
      </c>
      <c r="E759" s="13" t="s">
        <v>1586</v>
      </c>
      <c r="F759" s="13" t="s">
        <v>1594</v>
      </c>
      <c r="G759" s="61" t="n">
        <v>18378409513</v>
      </c>
      <c r="H759" s="13" t="s">
        <v>1537</v>
      </c>
      <c r="I759" s="13" t="s">
        <v>1588</v>
      </c>
      <c r="J759" s="13"/>
      <c r="K759" s="13" t="s">
        <v>1583</v>
      </c>
      <c r="L759" s="13" t="s">
        <v>1539</v>
      </c>
      <c r="M759" s="13"/>
    </row>
    <row r="760" customFormat="false" ht="15" hidden="false" customHeight="false" outlineLevel="0" collapsed="false">
      <c r="A760" s="13" t="s">
        <v>610</v>
      </c>
      <c r="B760" s="13" t="s">
        <v>609</v>
      </c>
      <c r="C760" s="13" t="s">
        <v>1540</v>
      </c>
      <c r="D760" s="13" t="s">
        <v>1567</v>
      </c>
      <c r="E760" s="13" t="s">
        <v>1586</v>
      </c>
      <c r="F760" s="13" t="s">
        <v>1594</v>
      </c>
      <c r="G760" s="61" t="n">
        <v>18378409513</v>
      </c>
      <c r="H760" s="13" t="s">
        <v>1537</v>
      </c>
      <c r="I760" s="13" t="s">
        <v>1588</v>
      </c>
      <c r="J760" s="13"/>
      <c r="K760" s="13" t="s">
        <v>1584</v>
      </c>
      <c r="L760" s="13" t="s">
        <v>1542</v>
      </c>
      <c r="M760" s="13"/>
    </row>
    <row r="761" customFormat="false" ht="15" hidden="false" customHeight="false" outlineLevel="0" collapsed="false">
      <c r="A761" s="13" t="s">
        <v>610</v>
      </c>
      <c r="B761" s="13" t="s">
        <v>609</v>
      </c>
      <c r="C761" s="13" t="s">
        <v>1543</v>
      </c>
      <c r="D761" s="13" t="s">
        <v>1567</v>
      </c>
      <c r="E761" s="13" t="s">
        <v>1586</v>
      </c>
      <c r="F761" s="13" t="s">
        <v>1594</v>
      </c>
      <c r="G761" s="61" t="n">
        <v>18378409513</v>
      </c>
      <c r="H761" s="13" t="s">
        <v>1537</v>
      </c>
      <c r="I761" s="13" t="s">
        <v>1588</v>
      </c>
      <c r="J761" s="13"/>
      <c r="K761" s="13" t="s">
        <v>1585</v>
      </c>
      <c r="L761" s="13" t="s">
        <v>1539</v>
      </c>
      <c r="M761" s="13"/>
    </row>
    <row r="762" customFormat="false" ht="15" hidden="false" customHeight="false" outlineLevel="0" collapsed="false">
      <c r="A762" s="13" t="s">
        <v>610</v>
      </c>
      <c r="B762" s="13" t="s">
        <v>609</v>
      </c>
      <c r="C762" s="13" t="s">
        <v>1545</v>
      </c>
      <c r="D762" s="13" t="s">
        <v>1567</v>
      </c>
      <c r="E762" s="13" t="s">
        <v>1586</v>
      </c>
      <c r="F762" s="13" t="s">
        <v>1594</v>
      </c>
      <c r="G762" s="61" t="n">
        <v>18378000000</v>
      </c>
      <c r="H762" s="13" t="s">
        <v>1537</v>
      </c>
      <c r="I762" s="13" t="s">
        <v>1588</v>
      </c>
      <c r="J762" s="13"/>
      <c r="K762" s="13" t="s">
        <v>1571</v>
      </c>
      <c r="L762" s="13" t="s">
        <v>1539</v>
      </c>
      <c r="M762" s="13"/>
    </row>
    <row r="763" customFormat="false" ht="15" hidden="false" customHeight="false" outlineLevel="0" collapsed="false">
      <c r="A763" s="13" t="s">
        <v>610</v>
      </c>
      <c r="B763" s="13" t="s">
        <v>609</v>
      </c>
      <c r="C763" s="13" t="s">
        <v>1546</v>
      </c>
      <c r="D763" s="13" t="s">
        <v>1567</v>
      </c>
      <c r="E763" s="13" t="s">
        <v>1586</v>
      </c>
      <c r="F763" s="13" t="s">
        <v>1594</v>
      </c>
      <c r="G763" s="61" t="n">
        <v>18525000000</v>
      </c>
      <c r="H763" s="13" t="s">
        <v>1537</v>
      </c>
      <c r="I763" s="13" t="s">
        <v>1588</v>
      </c>
      <c r="J763" s="13"/>
      <c r="K763" s="13" t="s">
        <v>1572</v>
      </c>
      <c r="L763" s="13" t="s">
        <v>1539</v>
      </c>
      <c r="M763" s="13"/>
    </row>
    <row r="764" customFormat="false" ht="15" hidden="false" customHeight="false" outlineLevel="0" collapsed="false">
      <c r="A764" s="13" t="s">
        <v>610</v>
      </c>
      <c r="B764" s="13" t="s">
        <v>609</v>
      </c>
      <c r="C764" s="13" t="s">
        <v>1548</v>
      </c>
      <c r="D764" s="13" t="s">
        <v>1567</v>
      </c>
      <c r="E764" s="13" t="s">
        <v>1586</v>
      </c>
      <c r="F764" s="13" t="s">
        <v>1594</v>
      </c>
      <c r="G764" s="61" t="n">
        <v>18973000000</v>
      </c>
      <c r="H764" s="13" t="s">
        <v>1537</v>
      </c>
      <c r="I764" s="13" t="s">
        <v>1588</v>
      </c>
      <c r="J764" s="13"/>
      <c r="K764" s="13" t="s">
        <v>1572</v>
      </c>
      <c r="L764" s="13" t="s">
        <v>1539</v>
      </c>
      <c r="M764" s="13"/>
    </row>
    <row r="765" customFormat="false" ht="15" hidden="false" customHeight="false" outlineLevel="0" collapsed="false">
      <c r="A765" s="13" t="s">
        <v>610</v>
      </c>
      <c r="B765" s="13" t="s">
        <v>609</v>
      </c>
      <c r="C765" s="13" t="s">
        <v>1546</v>
      </c>
      <c r="D765" s="13" t="s">
        <v>1567</v>
      </c>
      <c r="E765" s="13" t="s">
        <v>1586</v>
      </c>
      <c r="F765" s="13" t="s">
        <v>1595</v>
      </c>
      <c r="G765" s="61" t="n">
        <v>16541000000</v>
      </c>
      <c r="H765" s="13" t="s">
        <v>1537</v>
      </c>
      <c r="I765" s="13" t="s">
        <v>1588</v>
      </c>
      <c r="J765" s="13"/>
      <c r="K765" s="13" t="s">
        <v>1572</v>
      </c>
      <c r="L765" s="13" t="s">
        <v>1539</v>
      </c>
      <c r="M765" s="13"/>
    </row>
    <row r="766" customFormat="false" ht="15" hidden="false" customHeight="false" outlineLevel="0" collapsed="false">
      <c r="A766" s="13" t="s">
        <v>610</v>
      </c>
      <c r="B766" s="13" t="s">
        <v>609</v>
      </c>
      <c r="C766" s="13" t="s">
        <v>1548</v>
      </c>
      <c r="D766" s="13" t="s">
        <v>1567</v>
      </c>
      <c r="E766" s="13" t="s">
        <v>1586</v>
      </c>
      <c r="F766" s="13" t="s">
        <v>1595</v>
      </c>
      <c r="G766" s="61" t="n">
        <v>6833000000</v>
      </c>
      <c r="H766" s="13" t="s">
        <v>1537</v>
      </c>
      <c r="I766" s="13" t="s">
        <v>1588</v>
      </c>
      <c r="J766" s="13"/>
      <c r="K766" s="13" t="s">
        <v>1572</v>
      </c>
      <c r="L766" s="13" t="s">
        <v>1539</v>
      </c>
      <c r="M766" s="13"/>
    </row>
    <row r="767" customFormat="false" ht="15" hidden="false" customHeight="false" outlineLevel="0" collapsed="false">
      <c r="A767" s="13" t="s">
        <v>610</v>
      </c>
      <c r="B767" s="13" t="s">
        <v>609</v>
      </c>
      <c r="C767" s="13" t="s">
        <v>1536</v>
      </c>
      <c r="D767" s="13" t="s">
        <v>1567</v>
      </c>
      <c r="E767" s="13" t="s">
        <v>1586</v>
      </c>
      <c r="F767" s="13" t="s">
        <v>1582</v>
      </c>
      <c r="G767" s="61" t="n">
        <v>864698280519</v>
      </c>
      <c r="H767" s="13" t="s">
        <v>1537</v>
      </c>
      <c r="I767" s="13" t="s">
        <v>1588</v>
      </c>
      <c r="J767" s="13"/>
      <c r="K767" s="13" t="s">
        <v>1583</v>
      </c>
      <c r="L767" s="13" t="s">
        <v>1539</v>
      </c>
      <c r="M767" s="13"/>
    </row>
    <row r="768" customFormat="false" ht="15" hidden="false" customHeight="false" outlineLevel="0" collapsed="false">
      <c r="A768" s="13" t="s">
        <v>610</v>
      </c>
      <c r="B768" s="13" t="s">
        <v>609</v>
      </c>
      <c r="C768" s="13" t="s">
        <v>1540</v>
      </c>
      <c r="D768" s="13" t="s">
        <v>1567</v>
      </c>
      <c r="E768" s="13" t="s">
        <v>1586</v>
      </c>
      <c r="F768" s="13" t="s">
        <v>1582</v>
      </c>
      <c r="G768" s="61" t="n">
        <v>1219420404326</v>
      </c>
      <c r="H768" s="13" t="s">
        <v>1537</v>
      </c>
      <c r="I768" s="13" t="s">
        <v>1588</v>
      </c>
      <c r="J768" s="13"/>
      <c r="K768" s="13" t="s">
        <v>1584</v>
      </c>
      <c r="L768" s="13" t="s">
        <v>1542</v>
      </c>
      <c r="M768" s="13"/>
    </row>
    <row r="769" customFormat="false" ht="15" hidden="false" customHeight="false" outlineLevel="0" collapsed="false">
      <c r="A769" s="13" t="s">
        <v>610</v>
      </c>
      <c r="B769" s="13" t="s">
        <v>609</v>
      </c>
      <c r="C769" s="13" t="s">
        <v>1543</v>
      </c>
      <c r="D769" s="13" t="s">
        <v>1567</v>
      </c>
      <c r="E769" s="13" t="s">
        <v>1586</v>
      </c>
      <c r="F769" s="13" t="s">
        <v>1582</v>
      </c>
      <c r="G769" s="61" t="n">
        <v>1377109387379</v>
      </c>
      <c r="H769" s="13" t="s">
        <v>1537</v>
      </c>
      <c r="I769" s="13" t="s">
        <v>1588</v>
      </c>
      <c r="J769" s="13"/>
      <c r="K769" s="13" t="s">
        <v>1585</v>
      </c>
      <c r="L769" s="13" t="s">
        <v>1539</v>
      </c>
      <c r="M769" s="13"/>
    </row>
    <row r="770" customFormat="false" ht="15" hidden="false" customHeight="false" outlineLevel="0" collapsed="false">
      <c r="A770" s="13" t="s">
        <v>610</v>
      </c>
      <c r="B770" s="13" t="s">
        <v>609</v>
      </c>
      <c r="C770" s="13" t="s">
        <v>1545</v>
      </c>
      <c r="D770" s="13" t="s">
        <v>1567</v>
      </c>
      <c r="E770" s="13" t="s">
        <v>1586</v>
      </c>
      <c r="F770" s="13" t="s">
        <v>1582</v>
      </c>
      <c r="G770" s="61" t="n">
        <v>1785154000000</v>
      </c>
      <c r="H770" s="13" t="s">
        <v>1537</v>
      </c>
      <c r="I770" s="13" t="s">
        <v>1588</v>
      </c>
      <c r="J770" s="13"/>
      <c r="K770" s="13" t="s">
        <v>1571</v>
      </c>
      <c r="L770" s="13" t="s">
        <v>1539</v>
      </c>
      <c r="M770" s="13"/>
    </row>
    <row r="771" customFormat="false" ht="15" hidden="false" customHeight="false" outlineLevel="0" collapsed="false">
      <c r="A771" s="13" t="s">
        <v>610</v>
      </c>
      <c r="B771" s="13" t="s">
        <v>609</v>
      </c>
      <c r="C771" s="13" t="s">
        <v>1546</v>
      </c>
      <c r="D771" s="13" t="s">
        <v>1567</v>
      </c>
      <c r="E771" s="13" t="s">
        <v>1586</v>
      </c>
      <c r="F771" s="13" t="s">
        <v>1582</v>
      </c>
      <c r="G771" s="61" t="n">
        <v>1423988000000</v>
      </c>
      <c r="H771" s="13" t="s">
        <v>1537</v>
      </c>
      <c r="I771" s="13" t="s">
        <v>1588</v>
      </c>
      <c r="J771" s="13"/>
      <c r="K771" s="13" t="s">
        <v>1572</v>
      </c>
      <c r="L771" s="13" t="s">
        <v>1539</v>
      </c>
      <c r="M771" s="13"/>
    </row>
    <row r="772" customFormat="false" ht="15" hidden="false" customHeight="false" outlineLevel="0" collapsed="false">
      <c r="A772" s="13" t="s">
        <v>610</v>
      </c>
      <c r="B772" s="13" t="s">
        <v>609</v>
      </c>
      <c r="C772" s="13" t="s">
        <v>1548</v>
      </c>
      <c r="D772" s="13" t="s">
        <v>1567</v>
      </c>
      <c r="E772" s="13" t="s">
        <v>1586</v>
      </c>
      <c r="F772" s="13" t="s">
        <v>1582</v>
      </c>
      <c r="G772" s="61" t="n">
        <v>1530564000000</v>
      </c>
      <c r="H772" s="13" t="s">
        <v>1537</v>
      </c>
      <c r="I772" s="13" t="s">
        <v>1588</v>
      </c>
      <c r="J772" s="13"/>
      <c r="K772" s="13" t="s">
        <v>1572</v>
      </c>
      <c r="L772" s="13" t="s">
        <v>1539</v>
      </c>
      <c r="M772" s="13"/>
    </row>
    <row r="773" customFormat="false" ht="15" hidden="false" customHeight="false" outlineLevel="0" collapsed="false">
      <c r="A773" s="13" t="s">
        <v>610</v>
      </c>
      <c r="B773" s="13" t="s">
        <v>609</v>
      </c>
      <c r="C773" s="13" t="s">
        <v>1536</v>
      </c>
      <c r="D773" s="13" t="s">
        <v>1567</v>
      </c>
      <c r="E773" s="13" t="s">
        <v>1596</v>
      </c>
      <c r="F773" s="13" t="s">
        <v>1589</v>
      </c>
      <c r="G773" s="61" t="n">
        <v>164719380302</v>
      </c>
      <c r="H773" s="13" t="s">
        <v>1537</v>
      </c>
      <c r="I773" s="13" t="s">
        <v>1597</v>
      </c>
      <c r="J773" s="13"/>
      <c r="K773" s="13" t="s">
        <v>1583</v>
      </c>
      <c r="L773" s="13" t="s">
        <v>1539</v>
      </c>
      <c r="M773" s="13"/>
    </row>
    <row r="774" customFormat="false" ht="15" hidden="false" customHeight="false" outlineLevel="0" collapsed="false">
      <c r="A774" s="13" t="s">
        <v>610</v>
      </c>
      <c r="B774" s="13" t="s">
        <v>609</v>
      </c>
      <c r="C774" s="13" t="s">
        <v>1540</v>
      </c>
      <c r="D774" s="13" t="s">
        <v>1567</v>
      </c>
      <c r="E774" s="13" t="s">
        <v>1596</v>
      </c>
      <c r="F774" s="13" t="s">
        <v>1589</v>
      </c>
      <c r="G774" s="61" t="n">
        <v>192508348302</v>
      </c>
      <c r="H774" s="13" t="s">
        <v>1537</v>
      </c>
      <c r="I774" s="13" t="s">
        <v>1597</v>
      </c>
      <c r="J774" s="13"/>
      <c r="K774" s="13" t="s">
        <v>1584</v>
      </c>
      <c r="L774" s="13" t="s">
        <v>1542</v>
      </c>
      <c r="M774" s="13"/>
    </row>
    <row r="775" customFormat="false" ht="15" hidden="false" customHeight="false" outlineLevel="0" collapsed="false">
      <c r="A775" s="13" t="s">
        <v>610</v>
      </c>
      <c r="B775" s="13" t="s">
        <v>609</v>
      </c>
      <c r="C775" s="13" t="s">
        <v>1543</v>
      </c>
      <c r="D775" s="13" t="s">
        <v>1567</v>
      </c>
      <c r="E775" s="13" t="s">
        <v>1596</v>
      </c>
      <c r="F775" s="13" t="s">
        <v>1589</v>
      </c>
      <c r="G775" s="61" t="n">
        <v>198219273763</v>
      </c>
      <c r="H775" s="13" t="s">
        <v>1537</v>
      </c>
      <c r="I775" s="13" t="s">
        <v>1597</v>
      </c>
      <c r="J775" s="13"/>
      <c r="K775" s="13" t="s">
        <v>1585</v>
      </c>
      <c r="L775" s="13" t="s">
        <v>1539</v>
      </c>
      <c r="M775" s="13"/>
    </row>
    <row r="776" customFormat="false" ht="15" hidden="false" customHeight="false" outlineLevel="0" collapsed="false">
      <c r="A776" s="13" t="s">
        <v>610</v>
      </c>
      <c r="B776" s="13" t="s">
        <v>609</v>
      </c>
      <c r="C776" s="13" t="s">
        <v>1545</v>
      </c>
      <c r="D776" s="13" t="s">
        <v>1567</v>
      </c>
      <c r="E776" s="13" t="s">
        <v>1596</v>
      </c>
      <c r="F776" s="13" t="s">
        <v>1589</v>
      </c>
      <c r="G776" s="61" t="n">
        <v>219840000000</v>
      </c>
      <c r="H776" s="13" t="s">
        <v>1537</v>
      </c>
      <c r="I776" s="13" t="s">
        <v>1597</v>
      </c>
      <c r="J776" s="13"/>
      <c r="K776" s="13" t="s">
        <v>1571</v>
      </c>
      <c r="L776" s="13" t="s">
        <v>1539</v>
      </c>
      <c r="M776" s="13"/>
    </row>
    <row r="777" customFormat="false" ht="15" hidden="false" customHeight="false" outlineLevel="0" collapsed="false">
      <c r="A777" s="13" t="s">
        <v>610</v>
      </c>
      <c r="B777" s="13" t="s">
        <v>609</v>
      </c>
      <c r="C777" s="13" t="s">
        <v>1546</v>
      </c>
      <c r="D777" s="13" t="s">
        <v>1567</v>
      </c>
      <c r="E777" s="13" t="s">
        <v>1596</v>
      </c>
      <c r="F777" s="13" t="s">
        <v>1589</v>
      </c>
      <c r="G777" s="61" t="n">
        <v>257565000000</v>
      </c>
      <c r="H777" s="13" t="s">
        <v>1537</v>
      </c>
      <c r="I777" s="13" t="s">
        <v>1597</v>
      </c>
      <c r="J777" s="13"/>
      <c r="K777" s="13" t="s">
        <v>1572</v>
      </c>
      <c r="L777" s="13" t="s">
        <v>1539</v>
      </c>
      <c r="M777" s="13"/>
    </row>
    <row r="778" customFormat="false" ht="15" hidden="false" customHeight="false" outlineLevel="0" collapsed="false">
      <c r="A778" s="13" t="s">
        <v>610</v>
      </c>
      <c r="B778" s="13" t="s">
        <v>609</v>
      </c>
      <c r="C778" s="13" t="s">
        <v>1548</v>
      </c>
      <c r="D778" s="13" t="s">
        <v>1567</v>
      </c>
      <c r="E778" s="13" t="s">
        <v>1596</v>
      </c>
      <c r="F778" s="13" t="s">
        <v>1589</v>
      </c>
      <c r="G778" s="61" t="n">
        <v>380930000000</v>
      </c>
      <c r="H778" s="13" t="s">
        <v>1537</v>
      </c>
      <c r="I778" s="13" t="s">
        <v>1597</v>
      </c>
      <c r="J778" s="13"/>
      <c r="K778" s="13" t="s">
        <v>1572</v>
      </c>
      <c r="L778" s="13" t="s">
        <v>1539</v>
      </c>
      <c r="M778" s="13"/>
    </row>
    <row r="779" customFormat="false" ht="15" hidden="false" customHeight="false" outlineLevel="0" collapsed="false">
      <c r="A779" s="13" t="s">
        <v>610</v>
      </c>
      <c r="B779" s="13" t="s">
        <v>609</v>
      </c>
      <c r="C779" s="13" t="s">
        <v>1536</v>
      </c>
      <c r="D779" s="13" t="s">
        <v>1567</v>
      </c>
      <c r="E779" s="13" t="s">
        <v>1596</v>
      </c>
      <c r="F779" s="13" t="s">
        <v>1598</v>
      </c>
      <c r="G779" s="61" t="n">
        <v>17520329209</v>
      </c>
      <c r="H779" s="13" t="s">
        <v>1537</v>
      </c>
      <c r="I779" s="13" t="s">
        <v>1597</v>
      </c>
      <c r="J779" s="13"/>
      <c r="K779" s="13" t="s">
        <v>1583</v>
      </c>
      <c r="L779" s="13" t="s">
        <v>1539</v>
      </c>
      <c r="M779" s="13"/>
    </row>
    <row r="780" customFormat="false" ht="15" hidden="false" customHeight="false" outlineLevel="0" collapsed="false">
      <c r="A780" s="13" t="s">
        <v>610</v>
      </c>
      <c r="B780" s="13" t="s">
        <v>609</v>
      </c>
      <c r="C780" s="13" t="s">
        <v>1540</v>
      </c>
      <c r="D780" s="13" t="s">
        <v>1567</v>
      </c>
      <c r="E780" s="13" t="s">
        <v>1596</v>
      </c>
      <c r="F780" s="13" t="s">
        <v>1598</v>
      </c>
      <c r="G780" s="61" t="n">
        <v>29331860054</v>
      </c>
      <c r="H780" s="13" t="s">
        <v>1537</v>
      </c>
      <c r="I780" s="13" t="s">
        <v>1597</v>
      </c>
      <c r="J780" s="13"/>
      <c r="K780" s="13" t="s">
        <v>1584</v>
      </c>
      <c r="L780" s="13" t="s">
        <v>1542</v>
      </c>
      <c r="M780" s="13"/>
    </row>
    <row r="781" customFormat="false" ht="15" hidden="false" customHeight="false" outlineLevel="0" collapsed="false">
      <c r="A781" s="13" t="s">
        <v>610</v>
      </c>
      <c r="B781" s="13" t="s">
        <v>609</v>
      </c>
      <c r="C781" s="13" t="s">
        <v>1543</v>
      </c>
      <c r="D781" s="13" t="s">
        <v>1567</v>
      </c>
      <c r="E781" s="13" t="s">
        <v>1596</v>
      </c>
      <c r="F781" s="13" t="s">
        <v>1598</v>
      </c>
      <c r="G781" s="61" t="n">
        <v>33119976143</v>
      </c>
      <c r="H781" s="13" t="s">
        <v>1537</v>
      </c>
      <c r="I781" s="13" t="s">
        <v>1597</v>
      </c>
      <c r="J781" s="13"/>
      <c r="K781" s="13" t="s">
        <v>1585</v>
      </c>
      <c r="L781" s="13" t="s">
        <v>1539</v>
      </c>
      <c r="M781" s="13"/>
    </row>
    <row r="782" customFormat="false" ht="15" hidden="false" customHeight="false" outlineLevel="0" collapsed="false">
      <c r="A782" s="13" t="s">
        <v>610</v>
      </c>
      <c r="B782" s="13" t="s">
        <v>609</v>
      </c>
      <c r="C782" s="13" t="s">
        <v>1545</v>
      </c>
      <c r="D782" s="13" t="s">
        <v>1567</v>
      </c>
      <c r="E782" s="13" t="s">
        <v>1596</v>
      </c>
      <c r="F782" s="13" t="s">
        <v>1598</v>
      </c>
      <c r="G782" s="61" t="n">
        <v>34372000000</v>
      </c>
      <c r="H782" s="13" t="s">
        <v>1537</v>
      </c>
      <c r="I782" s="13" t="s">
        <v>1597</v>
      </c>
      <c r="J782" s="13"/>
      <c r="K782" s="13" t="s">
        <v>1571</v>
      </c>
      <c r="L782" s="13" t="s">
        <v>1539</v>
      </c>
      <c r="M782" s="13"/>
    </row>
    <row r="783" customFormat="false" ht="15" hidden="false" customHeight="false" outlineLevel="0" collapsed="false">
      <c r="A783" s="13" t="s">
        <v>610</v>
      </c>
      <c r="B783" s="13" t="s">
        <v>609</v>
      </c>
      <c r="C783" s="13" t="s">
        <v>1546</v>
      </c>
      <c r="D783" s="13" t="s">
        <v>1567</v>
      </c>
      <c r="E783" s="13" t="s">
        <v>1596</v>
      </c>
      <c r="F783" s="13" t="s">
        <v>1598</v>
      </c>
      <c r="G783" s="61" t="n">
        <v>40273000000</v>
      </c>
      <c r="H783" s="13" t="s">
        <v>1537</v>
      </c>
      <c r="I783" s="13" t="s">
        <v>1597</v>
      </c>
      <c r="J783" s="13"/>
      <c r="K783" s="13" t="s">
        <v>1572</v>
      </c>
      <c r="L783" s="13" t="s">
        <v>1539</v>
      </c>
      <c r="M783" s="13"/>
    </row>
    <row r="784" customFormat="false" ht="15" hidden="false" customHeight="false" outlineLevel="0" collapsed="false">
      <c r="A784" s="13" t="s">
        <v>610</v>
      </c>
      <c r="B784" s="13" t="s">
        <v>609</v>
      </c>
      <c r="C784" s="13" t="s">
        <v>1548</v>
      </c>
      <c r="D784" s="13" t="s">
        <v>1567</v>
      </c>
      <c r="E784" s="13" t="s">
        <v>1596</v>
      </c>
      <c r="F784" s="13" t="s">
        <v>1598</v>
      </c>
      <c r="G784" s="61" t="n">
        <v>89043000000</v>
      </c>
      <c r="H784" s="13" t="s">
        <v>1537</v>
      </c>
      <c r="I784" s="13" t="s">
        <v>1597</v>
      </c>
      <c r="J784" s="13"/>
      <c r="K784" s="13" t="s">
        <v>1572</v>
      </c>
      <c r="L784" s="13" t="s">
        <v>1539</v>
      </c>
      <c r="M784" s="13"/>
    </row>
    <row r="785" customFormat="false" ht="15" hidden="false" customHeight="false" outlineLevel="0" collapsed="false">
      <c r="A785" s="13" t="s">
        <v>610</v>
      </c>
      <c r="B785" s="13" t="s">
        <v>609</v>
      </c>
      <c r="C785" s="13" t="s">
        <v>1536</v>
      </c>
      <c r="D785" s="13" t="s">
        <v>1567</v>
      </c>
      <c r="E785" s="13" t="s">
        <v>1596</v>
      </c>
      <c r="F785" s="13" t="s">
        <v>1590</v>
      </c>
      <c r="G785" s="61" t="n">
        <v>18983030015</v>
      </c>
      <c r="H785" s="13" t="s">
        <v>1537</v>
      </c>
      <c r="I785" s="13" t="s">
        <v>1597</v>
      </c>
      <c r="J785" s="13"/>
      <c r="K785" s="13" t="s">
        <v>1583</v>
      </c>
      <c r="L785" s="13" t="s">
        <v>1539</v>
      </c>
      <c r="M785" s="13"/>
    </row>
    <row r="786" customFormat="false" ht="15" hidden="false" customHeight="false" outlineLevel="0" collapsed="false">
      <c r="A786" s="13" t="s">
        <v>610</v>
      </c>
      <c r="B786" s="13" t="s">
        <v>609</v>
      </c>
      <c r="C786" s="13" t="s">
        <v>1540</v>
      </c>
      <c r="D786" s="13" t="s">
        <v>1567</v>
      </c>
      <c r="E786" s="13" t="s">
        <v>1596</v>
      </c>
      <c r="F786" s="13" t="s">
        <v>1590</v>
      </c>
      <c r="G786" s="61" t="n">
        <v>38462510464</v>
      </c>
      <c r="H786" s="13" t="s">
        <v>1537</v>
      </c>
      <c r="I786" s="13" t="s">
        <v>1597</v>
      </c>
      <c r="J786" s="13"/>
      <c r="K786" s="13" t="s">
        <v>1584</v>
      </c>
      <c r="L786" s="13" t="s">
        <v>1542</v>
      </c>
      <c r="M786" s="13"/>
    </row>
    <row r="787" customFormat="false" ht="15" hidden="false" customHeight="false" outlineLevel="0" collapsed="false">
      <c r="A787" s="13" t="s">
        <v>610</v>
      </c>
      <c r="B787" s="13" t="s">
        <v>609</v>
      </c>
      <c r="C787" s="13" t="s">
        <v>1543</v>
      </c>
      <c r="D787" s="13" t="s">
        <v>1567</v>
      </c>
      <c r="E787" s="13" t="s">
        <v>1596</v>
      </c>
      <c r="F787" s="13" t="s">
        <v>1590</v>
      </c>
      <c r="G787" s="61" t="n">
        <v>51029747812</v>
      </c>
      <c r="H787" s="13" t="s">
        <v>1537</v>
      </c>
      <c r="I787" s="13" t="s">
        <v>1597</v>
      </c>
      <c r="J787" s="13"/>
      <c r="K787" s="13" t="s">
        <v>1585</v>
      </c>
      <c r="L787" s="13" t="s">
        <v>1539</v>
      </c>
      <c r="M787" s="13"/>
    </row>
    <row r="788" customFormat="false" ht="15" hidden="false" customHeight="false" outlineLevel="0" collapsed="false">
      <c r="A788" s="13" t="s">
        <v>610</v>
      </c>
      <c r="B788" s="13" t="s">
        <v>609</v>
      </c>
      <c r="C788" s="13" t="s">
        <v>1545</v>
      </c>
      <c r="D788" s="13" t="s">
        <v>1567</v>
      </c>
      <c r="E788" s="13" t="s">
        <v>1596</v>
      </c>
      <c r="F788" s="13" t="s">
        <v>1590</v>
      </c>
      <c r="G788" s="61" t="n">
        <v>61901000000</v>
      </c>
      <c r="H788" s="13" t="s">
        <v>1537</v>
      </c>
      <c r="I788" s="13" t="s">
        <v>1597</v>
      </c>
      <c r="J788" s="13"/>
      <c r="K788" s="13" t="s">
        <v>1571</v>
      </c>
      <c r="L788" s="13" t="s">
        <v>1539</v>
      </c>
      <c r="M788" s="13"/>
    </row>
    <row r="789" customFormat="false" ht="15" hidden="false" customHeight="false" outlineLevel="0" collapsed="false">
      <c r="A789" s="13" t="s">
        <v>610</v>
      </c>
      <c r="B789" s="13" t="s">
        <v>609</v>
      </c>
      <c r="C789" s="13" t="s">
        <v>1546</v>
      </c>
      <c r="D789" s="13" t="s">
        <v>1567</v>
      </c>
      <c r="E789" s="13" t="s">
        <v>1596</v>
      </c>
      <c r="F789" s="13" t="s">
        <v>1590</v>
      </c>
      <c r="G789" s="61" t="n">
        <v>65940000000</v>
      </c>
      <c r="H789" s="13" t="s">
        <v>1537</v>
      </c>
      <c r="I789" s="13" t="s">
        <v>1597</v>
      </c>
      <c r="J789" s="13"/>
      <c r="K789" s="13" t="s">
        <v>1572</v>
      </c>
      <c r="L789" s="13" t="s">
        <v>1539</v>
      </c>
      <c r="M789" s="13"/>
    </row>
    <row r="790" customFormat="false" ht="15" hidden="false" customHeight="false" outlineLevel="0" collapsed="false">
      <c r="A790" s="13" t="s">
        <v>610</v>
      </c>
      <c r="B790" s="13" t="s">
        <v>609</v>
      </c>
      <c r="C790" s="13" t="s">
        <v>1548</v>
      </c>
      <c r="D790" s="13" t="s">
        <v>1567</v>
      </c>
      <c r="E790" s="13" t="s">
        <v>1596</v>
      </c>
      <c r="F790" s="13" t="s">
        <v>1590</v>
      </c>
      <c r="G790" s="61" t="n">
        <v>76121000000</v>
      </c>
      <c r="H790" s="13" t="s">
        <v>1537</v>
      </c>
      <c r="I790" s="13" t="s">
        <v>1597</v>
      </c>
      <c r="J790" s="13"/>
      <c r="K790" s="13" t="s">
        <v>1572</v>
      </c>
      <c r="L790" s="13" t="s">
        <v>1539</v>
      </c>
      <c r="M790" s="13"/>
    </row>
    <row r="791" customFormat="false" ht="15" hidden="false" customHeight="false" outlineLevel="0" collapsed="false">
      <c r="A791" s="13" t="s">
        <v>610</v>
      </c>
      <c r="B791" s="13" t="s">
        <v>609</v>
      </c>
      <c r="C791" s="13" t="s">
        <v>1536</v>
      </c>
      <c r="D791" s="13" t="s">
        <v>1567</v>
      </c>
      <c r="E791" s="13" t="s">
        <v>1596</v>
      </c>
      <c r="F791" s="13" t="s">
        <v>1599</v>
      </c>
      <c r="G791" s="61" t="n">
        <v>30690974480</v>
      </c>
      <c r="H791" s="13" t="s">
        <v>1537</v>
      </c>
      <c r="I791" s="13" t="s">
        <v>1597</v>
      </c>
      <c r="J791" s="13"/>
      <c r="K791" s="13" t="s">
        <v>1583</v>
      </c>
      <c r="L791" s="13" t="s">
        <v>1539</v>
      </c>
      <c r="M791" s="13"/>
    </row>
    <row r="792" customFormat="false" ht="15" hidden="false" customHeight="false" outlineLevel="0" collapsed="false">
      <c r="A792" s="13" t="s">
        <v>610</v>
      </c>
      <c r="B792" s="13" t="s">
        <v>609</v>
      </c>
      <c r="C792" s="13" t="s">
        <v>1540</v>
      </c>
      <c r="D792" s="13" t="s">
        <v>1567</v>
      </c>
      <c r="E792" s="13" t="s">
        <v>1596</v>
      </c>
      <c r="F792" s="13" t="s">
        <v>1599</v>
      </c>
      <c r="G792" s="61" t="n">
        <v>30618359408</v>
      </c>
      <c r="H792" s="13" t="s">
        <v>1537</v>
      </c>
      <c r="I792" s="13" t="s">
        <v>1597</v>
      </c>
      <c r="J792" s="13"/>
      <c r="K792" s="13" t="s">
        <v>1584</v>
      </c>
      <c r="L792" s="13" t="s">
        <v>1542</v>
      </c>
      <c r="M792" s="13"/>
    </row>
    <row r="793" customFormat="false" ht="15" hidden="false" customHeight="false" outlineLevel="0" collapsed="false">
      <c r="A793" s="13" t="s">
        <v>610</v>
      </c>
      <c r="B793" s="13" t="s">
        <v>609</v>
      </c>
      <c r="C793" s="13" t="s">
        <v>1543</v>
      </c>
      <c r="D793" s="13" t="s">
        <v>1567</v>
      </c>
      <c r="E793" s="13" t="s">
        <v>1596</v>
      </c>
      <c r="F793" s="13" t="s">
        <v>1599</v>
      </c>
      <c r="G793" s="61" t="n">
        <v>38144930006</v>
      </c>
      <c r="H793" s="13" t="s">
        <v>1537</v>
      </c>
      <c r="I793" s="13" t="s">
        <v>1597</v>
      </c>
      <c r="J793" s="13"/>
      <c r="K793" s="13" t="s">
        <v>1585</v>
      </c>
      <c r="L793" s="13" t="s">
        <v>1539</v>
      </c>
      <c r="M793" s="13"/>
    </row>
    <row r="794" customFormat="false" ht="15" hidden="false" customHeight="false" outlineLevel="0" collapsed="false">
      <c r="A794" s="13" t="s">
        <v>610</v>
      </c>
      <c r="B794" s="13" t="s">
        <v>609</v>
      </c>
      <c r="C794" s="13" t="s">
        <v>1545</v>
      </c>
      <c r="D794" s="13" t="s">
        <v>1567</v>
      </c>
      <c r="E794" s="13" t="s">
        <v>1596</v>
      </c>
      <c r="F794" s="13" t="s">
        <v>1599</v>
      </c>
      <c r="G794" s="61" t="n">
        <v>53224000000</v>
      </c>
      <c r="H794" s="13" t="s">
        <v>1537</v>
      </c>
      <c r="I794" s="13" t="s">
        <v>1597</v>
      </c>
      <c r="J794" s="13"/>
      <c r="K794" s="13" t="s">
        <v>1571</v>
      </c>
      <c r="L794" s="13" t="s">
        <v>1539</v>
      </c>
      <c r="M794" s="13"/>
    </row>
    <row r="795" customFormat="false" ht="15" hidden="false" customHeight="false" outlineLevel="0" collapsed="false">
      <c r="A795" s="13" t="s">
        <v>610</v>
      </c>
      <c r="B795" s="13" t="s">
        <v>609</v>
      </c>
      <c r="C795" s="13" t="s">
        <v>1546</v>
      </c>
      <c r="D795" s="13" t="s">
        <v>1567</v>
      </c>
      <c r="E795" s="13" t="s">
        <v>1596</v>
      </c>
      <c r="F795" s="13" t="s">
        <v>1599</v>
      </c>
      <c r="G795" s="61" t="n">
        <v>60698000000</v>
      </c>
      <c r="H795" s="13" t="s">
        <v>1537</v>
      </c>
      <c r="I795" s="13" t="s">
        <v>1597</v>
      </c>
      <c r="J795" s="13"/>
      <c r="K795" s="13" t="s">
        <v>1572</v>
      </c>
      <c r="L795" s="13" t="s">
        <v>1539</v>
      </c>
      <c r="M795" s="13"/>
    </row>
    <row r="796" customFormat="false" ht="15" hidden="false" customHeight="false" outlineLevel="0" collapsed="false">
      <c r="A796" s="13" t="s">
        <v>610</v>
      </c>
      <c r="B796" s="13" t="s">
        <v>609</v>
      </c>
      <c r="C796" s="13" t="s">
        <v>1548</v>
      </c>
      <c r="D796" s="13" t="s">
        <v>1567</v>
      </c>
      <c r="E796" s="13" t="s">
        <v>1596</v>
      </c>
      <c r="F796" s="13" t="s">
        <v>1599</v>
      </c>
      <c r="G796" s="61" t="n">
        <v>68667000000</v>
      </c>
      <c r="H796" s="13" t="s">
        <v>1537</v>
      </c>
      <c r="I796" s="13" t="s">
        <v>1597</v>
      </c>
      <c r="J796" s="13"/>
      <c r="K796" s="13" t="s">
        <v>1572</v>
      </c>
      <c r="L796" s="13" t="s">
        <v>1539</v>
      </c>
      <c r="M796" s="13"/>
    </row>
    <row r="797" customFormat="false" ht="15" hidden="false" customHeight="false" outlineLevel="0" collapsed="false">
      <c r="A797" s="13" t="s">
        <v>610</v>
      </c>
      <c r="B797" s="13" t="s">
        <v>609</v>
      </c>
      <c r="C797" s="13" t="s">
        <v>1540</v>
      </c>
      <c r="D797" s="13" t="s">
        <v>1567</v>
      </c>
      <c r="E797" s="13" t="s">
        <v>1596</v>
      </c>
      <c r="F797" s="13" t="s">
        <v>1600</v>
      </c>
      <c r="G797" s="61" t="n">
        <v>32653358800</v>
      </c>
      <c r="H797" s="13" t="s">
        <v>1537</v>
      </c>
      <c r="I797" s="13" t="s">
        <v>1597</v>
      </c>
      <c r="J797" s="13"/>
      <c r="K797" s="13" t="s">
        <v>1584</v>
      </c>
      <c r="L797" s="13" t="s">
        <v>1542</v>
      </c>
      <c r="M797" s="13"/>
    </row>
    <row r="798" customFormat="false" ht="15" hidden="false" customHeight="false" outlineLevel="0" collapsed="false">
      <c r="A798" s="13" t="s">
        <v>610</v>
      </c>
      <c r="B798" s="13" t="s">
        <v>609</v>
      </c>
      <c r="C798" s="13" t="s">
        <v>1543</v>
      </c>
      <c r="D798" s="13" t="s">
        <v>1567</v>
      </c>
      <c r="E798" s="13" t="s">
        <v>1596</v>
      </c>
      <c r="F798" s="13" t="s">
        <v>1600</v>
      </c>
      <c r="G798" s="61" t="n">
        <v>38556418849</v>
      </c>
      <c r="H798" s="13" t="s">
        <v>1537</v>
      </c>
      <c r="I798" s="13" t="s">
        <v>1597</v>
      </c>
      <c r="J798" s="13"/>
      <c r="K798" s="13" t="s">
        <v>1585</v>
      </c>
      <c r="L798" s="13" t="s">
        <v>1539</v>
      </c>
      <c r="M798" s="13"/>
    </row>
    <row r="799" customFormat="false" ht="15" hidden="false" customHeight="false" outlineLevel="0" collapsed="false">
      <c r="A799" s="13" t="s">
        <v>610</v>
      </c>
      <c r="B799" s="13" t="s">
        <v>609</v>
      </c>
      <c r="C799" s="13" t="s">
        <v>1545</v>
      </c>
      <c r="D799" s="13" t="s">
        <v>1567</v>
      </c>
      <c r="E799" s="13" t="s">
        <v>1596</v>
      </c>
      <c r="F799" s="13" t="s">
        <v>1600</v>
      </c>
      <c r="G799" s="61" t="n">
        <v>45760000000</v>
      </c>
      <c r="H799" s="13" t="s">
        <v>1537</v>
      </c>
      <c r="I799" s="13" t="s">
        <v>1597</v>
      </c>
      <c r="J799" s="13"/>
      <c r="K799" s="13" t="s">
        <v>1571</v>
      </c>
      <c r="L799" s="13" t="s">
        <v>1539</v>
      </c>
      <c r="M799" s="13"/>
    </row>
    <row r="800" customFormat="false" ht="15" hidden="false" customHeight="false" outlineLevel="0" collapsed="false">
      <c r="A800" s="13" t="s">
        <v>610</v>
      </c>
      <c r="B800" s="13" t="s">
        <v>609</v>
      </c>
      <c r="C800" s="13" t="s">
        <v>1546</v>
      </c>
      <c r="D800" s="13" t="s">
        <v>1567</v>
      </c>
      <c r="E800" s="13" t="s">
        <v>1596</v>
      </c>
      <c r="F800" s="13" t="s">
        <v>1600</v>
      </c>
      <c r="G800" s="61" t="n">
        <v>49664000000</v>
      </c>
      <c r="H800" s="13" t="s">
        <v>1537</v>
      </c>
      <c r="I800" s="13" t="s">
        <v>1597</v>
      </c>
      <c r="J800" s="13"/>
      <c r="K800" s="13" t="s">
        <v>1572</v>
      </c>
      <c r="L800" s="13" t="s">
        <v>1539</v>
      </c>
      <c r="M800" s="13"/>
    </row>
    <row r="801" customFormat="false" ht="15" hidden="false" customHeight="false" outlineLevel="0" collapsed="false">
      <c r="A801" s="13" t="s">
        <v>610</v>
      </c>
      <c r="B801" s="13" t="s">
        <v>609</v>
      </c>
      <c r="C801" s="13" t="s">
        <v>1548</v>
      </c>
      <c r="D801" s="13" t="s">
        <v>1567</v>
      </c>
      <c r="E801" s="13" t="s">
        <v>1596</v>
      </c>
      <c r="F801" s="13" t="s">
        <v>1600</v>
      </c>
      <c r="G801" s="61" t="n">
        <v>52139000000</v>
      </c>
      <c r="H801" s="13" t="s">
        <v>1537</v>
      </c>
      <c r="I801" s="13" t="s">
        <v>1597</v>
      </c>
      <c r="J801" s="13"/>
      <c r="K801" s="13" t="s">
        <v>1572</v>
      </c>
      <c r="L801" s="13" t="s">
        <v>1539</v>
      </c>
      <c r="M801" s="13"/>
    </row>
    <row r="802" customFormat="false" ht="15" hidden="false" customHeight="false" outlineLevel="0" collapsed="false">
      <c r="A802" s="13" t="s">
        <v>610</v>
      </c>
      <c r="B802" s="13" t="s">
        <v>609</v>
      </c>
      <c r="C802" s="13" t="s">
        <v>1536</v>
      </c>
      <c r="D802" s="13" t="s">
        <v>1567</v>
      </c>
      <c r="E802" s="13" t="s">
        <v>1596</v>
      </c>
      <c r="F802" s="13" t="s">
        <v>1601</v>
      </c>
      <c r="G802" s="61" t="n">
        <v>20905888279</v>
      </c>
      <c r="H802" s="13" t="s">
        <v>1537</v>
      </c>
      <c r="I802" s="13" t="s">
        <v>1597</v>
      </c>
      <c r="J802" s="13"/>
      <c r="K802" s="13" t="s">
        <v>1583</v>
      </c>
      <c r="L802" s="13" t="s">
        <v>1539</v>
      </c>
      <c r="M802" s="13"/>
    </row>
    <row r="803" customFormat="false" ht="15" hidden="false" customHeight="false" outlineLevel="0" collapsed="false">
      <c r="A803" s="13" t="s">
        <v>610</v>
      </c>
      <c r="B803" s="13" t="s">
        <v>609</v>
      </c>
      <c r="C803" s="13" t="s">
        <v>1540</v>
      </c>
      <c r="D803" s="13" t="s">
        <v>1567</v>
      </c>
      <c r="E803" s="13" t="s">
        <v>1596</v>
      </c>
      <c r="F803" s="13" t="s">
        <v>1601</v>
      </c>
      <c r="G803" s="61" t="n">
        <v>23689258082</v>
      </c>
      <c r="H803" s="13" t="s">
        <v>1537</v>
      </c>
      <c r="I803" s="13" t="s">
        <v>1597</v>
      </c>
      <c r="J803" s="13"/>
      <c r="K803" s="13" t="s">
        <v>1584</v>
      </c>
      <c r="L803" s="13" t="s">
        <v>1542</v>
      </c>
      <c r="M803" s="13"/>
    </row>
    <row r="804" customFormat="false" ht="15" hidden="false" customHeight="false" outlineLevel="0" collapsed="false">
      <c r="A804" s="13" t="s">
        <v>610</v>
      </c>
      <c r="B804" s="13" t="s">
        <v>609</v>
      </c>
      <c r="C804" s="13" t="s">
        <v>1543</v>
      </c>
      <c r="D804" s="13" t="s">
        <v>1567</v>
      </c>
      <c r="E804" s="13" t="s">
        <v>1596</v>
      </c>
      <c r="F804" s="13" t="s">
        <v>1601</v>
      </c>
      <c r="G804" s="61" t="n">
        <v>25042880282</v>
      </c>
      <c r="H804" s="13" t="s">
        <v>1537</v>
      </c>
      <c r="I804" s="13" t="s">
        <v>1597</v>
      </c>
      <c r="J804" s="13"/>
      <c r="K804" s="13" t="s">
        <v>1585</v>
      </c>
      <c r="L804" s="13" t="s">
        <v>1539</v>
      </c>
      <c r="M804" s="13"/>
    </row>
    <row r="805" customFormat="false" ht="15" hidden="false" customHeight="false" outlineLevel="0" collapsed="false">
      <c r="A805" s="13" t="s">
        <v>610</v>
      </c>
      <c r="B805" s="13" t="s">
        <v>609</v>
      </c>
      <c r="C805" s="13" t="s">
        <v>1545</v>
      </c>
      <c r="D805" s="13" t="s">
        <v>1567</v>
      </c>
      <c r="E805" s="13" t="s">
        <v>1596</v>
      </c>
      <c r="F805" s="13" t="s">
        <v>1601</v>
      </c>
      <c r="G805" s="61" t="n">
        <v>27572000000</v>
      </c>
      <c r="H805" s="13" t="s">
        <v>1537</v>
      </c>
      <c r="I805" s="13" t="s">
        <v>1597</v>
      </c>
      <c r="J805" s="13"/>
      <c r="K805" s="13" t="s">
        <v>1571</v>
      </c>
      <c r="L805" s="13" t="s">
        <v>1539</v>
      </c>
      <c r="M805" s="13"/>
    </row>
    <row r="806" customFormat="false" ht="15" hidden="false" customHeight="false" outlineLevel="0" collapsed="false">
      <c r="A806" s="13" t="s">
        <v>610</v>
      </c>
      <c r="B806" s="13" t="s">
        <v>609</v>
      </c>
      <c r="C806" s="13" t="s">
        <v>1546</v>
      </c>
      <c r="D806" s="13" t="s">
        <v>1567</v>
      </c>
      <c r="E806" s="13" t="s">
        <v>1596</v>
      </c>
      <c r="F806" s="13" t="s">
        <v>1601</v>
      </c>
      <c r="G806" s="61" t="n">
        <v>37415000000</v>
      </c>
      <c r="H806" s="13" t="s">
        <v>1537</v>
      </c>
      <c r="I806" s="13" t="s">
        <v>1597</v>
      </c>
      <c r="J806" s="13"/>
      <c r="K806" s="13" t="s">
        <v>1572</v>
      </c>
      <c r="L806" s="13" t="s">
        <v>1539</v>
      </c>
      <c r="M806" s="13"/>
    </row>
    <row r="807" customFormat="false" ht="15" hidden="false" customHeight="false" outlineLevel="0" collapsed="false">
      <c r="A807" s="13" t="s">
        <v>610</v>
      </c>
      <c r="B807" s="13" t="s">
        <v>609</v>
      </c>
      <c r="C807" s="13" t="s">
        <v>1548</v>
      </c>
      <c r="D807" s="13" t="s">
        <v>1567</v>
      </c>
      <c r="E807" s="13" t="s">
        <v>1596</v>
      </c>
      <c r="F807" s="13" t="s">
        <v>1601</v>
      </c>
      <c r="G807" s="61" t="n">
        <v>50290000000</v>
      </c>
      <c r="H807" s="13" t="s">
        <v>1537</v>
      </c>
      <c r="I807" s="13" t="s">
        <v>1597</v>
      </c>
      <c r="J807" s="13"/>
      <c r="K807" s="13" t="s">
        <v>1572</v>
      </c>
      <c r="L807" s="13" t="s">
        <v>1539</v>
      </c>
      <c r="M807" s="13"/>
    </row>
    <row r="808" customFormat="false" ht="15" hidden="false" customHeight="false" outlineLevel="0" collapsed="false">
      <c r="A808" s="13" t="s">
        <v>610</v>
      </c>
      <c r="B808" s="13" t="s">
        <v>609</v>
      </c>
      <c r="C808" s="13" t="s">
        <v>1536</v>
      </c>
      <c r="D808" s="13" t="s">
        <v>1567</v>
      </c>
      <c r="E808" s="13" t="s">
        <v>1596</v>
      </c>
      <c r="F808" s="13" t="s">
        <v>1602</v>
      </c>
      <c r="G808" s="61" t="n">
        <v>28565266736</v>
      </c>
      <c r="H808" s="13" t="s">
        <v>1537</v>
      </c>
      <c r="I808" s="13" t="s">
        <v>1597</v>
      </c>
      <c r="J808" s="13"/>
      <c r="K808" s="13" t="s">
        <v>1583</v>
      </c>
      <c r="L808" s="13" t="s">
        <v>1539</v>
      </c>
      <c r="M808" s="13"/>
    </row>
    <row r="809" customFormat="false" ht="15" hidden="false" customHeight="false" outlineLevel="0" collapsed="false">
      <c r="A809" s="13" t="s">
        <v>610</v>
      </c>
      <c r="B809" s="13" t="s">
        <v>609</v>
      </c>
      <c r="C809" s="13" t="s">
        <v>1540</v>
      </c>
      <c r="D809" s="13" t="s">
        <v>1567</v>
      </c>
      <c r="E809" s="13" t="s">
        <v>1596</v>
      </c>
      <c r="F809" s="13" t="s">
        <v>1602</v>
      </c>
      <c r="G809" s="61" t="n">
        <v>21831554389</v>
      </c>
      <c r="H809" s="13" t="s">
        <v>1537</v>
      </c>
      <c r="I809" s="13" t="s">
        <v>1597</v>
      </c>
      <c r="J809" s="13"/>
      <c r="K809" s="13" t="s">
        <v>1584</v>
      </c>
      <c r="L809" s="13" t="s">
        <v>1542</v>
      </c>
      <c r="M809" s="13"/>
    </row>
    <row r="810" customFormat="false" ht="15" hidden="false" customHeight="false" outlineLevel="0" collapsed="false">
      <c r="A810" s="13" t="s">
        <v>610</v>
      </c>
      <c r="B810" s="13" t="s">
        <v>609</v>
      </c>
      <c r="C810" s="13" t="s">
        <v>1543</v>
      </c>
      <c r="D810" s="13" t="s">
        <v>1567</v>
      </c>
      <c r="E810" s="13" t="s">
        <v>1596</v>
      </c>
      <c r="F810" s="13" t="s">
        <v>1602</v>
      </c>
      <c r="G810" s="61" t="n">
        <v>10903101831</v>
      </c>
      <c r="H810" s="13" t="s">
        <v>1537</v>
      </c>
      <c r="I810" s="13" t="s">
        <v>1597</v>
      </c>
      <c r="J810" s="13"/>
      <c r="K810" s="13" t="s">
        <v>1585</v>
      </c>
      <c r="L810" s="13" t="s">
        <v>1539</v>
      </c>
      <c r="M810" s="13"/>
    </row>
    <row r="811" customFormat="false" ht="15" hidden="false" customHeight="false" outlineLevel="0" collapsed="false">
      <c r="A811" s="13" t="s">
        <v>610</v>
      </c>
      <c r="B811" s="13" t="s">
        <v>609</v>
      </c>
      <c r="C811" s="13" t="s">
        <v>1546</v>
      </c>
      <c r="D811" s="13" t="s">
        <v>1567</v>
      </c>
      <c r="E811" s="13" t="s">
        <v>1596</v>
      </c>
      <c r="F811" s="13" t="s">
        <v>1602</v>
      </c>
      <c r="G811" s="61" t="n">
        <v>25951000000</v>
      </c>
      <c r="H811" s="13" t="s">
        <v>1537</v>
      </c>
      <c r="I811" s="13" t="s">
        <v>1597</v>
      </c>
      <c r="J811" s="13"/>
      <c r="K811" s="13" t="s">
        <v>1572</v>
      </c>
      <c r="L811" s="13" t="s">
        <v>1539</v>
      </c>
      <c r="M811" s="13"/>
    </row>
    <row r="812" customFormat="false" ht="15" hidden="false" customHeight="false" outlineLevel="0" collapsed="false">
      <c r="A812" s="13" t="s">
        <v>610</v>
      </c>
      <c r="B812" s="13" t="s">
        <v>609</v>
      </c>
      <c r="C812" s="13" t="s">
        <v>1548</v>
      </c>
      <c r="D812" s="13" t="s">
        <v>1567</v>
      </c>
      <c r="E812" s="13" t="s">
        <v>1596</v>
      </c>
      <c r="F812" s="13" t="s">
        <v>1602</v>
      </c>
      <c r="G812" s="61" t="n">
        <v>41051000000</v>
      </c>
      <c r="H812" s="13" t="s">
        <v>1537</v>
      </c>
      <c r="I812" s="13" t="s">
        <v>1597</v>
      </c>
      <c r="J812" s="13"/>
      <c r="K812" s="13" t="s">
        <v>1572</v>
      </c>
      <c r="L812" s="13" t="s">
        <v>1539</v>
      </c>
      <c r="M812" s="13"/>
    </row>
    <row r="813" customFormat="false" ht="15" hidden="false" customHeight="false" outlineLevel="0" collapsed="false">
      <c r="A813" s="13" t="s">
        <v>610</v>
      </c>
      <c r="B813" s="13" t="s">
        <v>609</v>
      </c>
      <c r="C813" s="13" t="s">
        <v>1536</v>
      </c>
      <c r="D813" s="13" t="s">
        <v>1567</v>
      </c>
      <c r="E813" s="13" t="s">
        <v>1596</v>
      </c>
      <c r="F813" s="13" t="s">
        <v>1603</v>
      </c>
      <c r="G813" s="61" t="n">
        <v>9283706794</v>
      </c>
      <c r="H813" s="13" t="s">
        <v>1537</v>
      </c>
      <c r="I813" s="13" t="s">
        <v>1597</v>
      </c>
      <c r="J813" s="13"/>
      <c r="K813" s="13" t="s">
        <v>1583</v>
      </c>
      <c r="L813" s="13" t="s">
        <v>1539</v>
      </c>
      <c r="M813" s="13"/>
    </row>
    <row r="814" customFormat="false" ht="15" hidden="false" customHeight="false" outlineLevel="0" collapsed="false">
      <c r="A814" s="13" t="s">
        <v>610</v>
      </c>
      <c r="B814" s="13" t="s">
        <v>609</v>
      </c>
      <c r="C814" s="13" t="s">
        <v>1540</v>
      </c>
      <c r="D814" s="13" t="s">
        <v>1567</v>
      </c>
      <c r="E814" s="13" t="s">
        <v>1596</v>
      </c>
      <c r="F814" s="13" t="s">
        <v>1603</v>
      </c>
      <c r="G814" s="61" t="n">
        <v>14500539037</v>
      </c>
      <c r="H814" s="13" t="s">
        <v>1537</v>
      </c>
      <c r="I814" s="13" t="s">
        <v>1597</v>
      </c>
      <c r="J814" s="13"/>
      <c r="K814" s="13" t="s">
        <v>1584</v>
      </c>
      <c r="L814" s="13" t="s">
        <v>1542</v>
      </c>
      <c r="M814" s="13"/>
    </row>
    <row r="815" customFormat="false" ht="15" hidden="false" customHeight="false" outlineLevel="0" collapsed="false">
      <c r="A815" s="13" t="s">
        <v>610</v>
      </c>
      <c r="B815" s="13" t="s">
        <v>609</v>
      </c>
      <c r="C815" s="13" t="s">
        <v>1543</v>
      </c>
      <c r="D815" s="13" t="s">
        <v>1567</v>
      </c>
      <c r="E815" s="13" t="s">
        <v>1596</v>
      </c>
      <c r="F815" s="13" t="s">
        <v>1603</v>
      </c>
      <c r="G815" s="61" t="n">
        <v>18229759864</v>
      </c>
      <c r="H815" s="13" t="s">
        <v>1537</v>
      </c>
      <c r="I815" s="13" t="s">
        <v>1597</v>
      </c>
      <c r="J815" s="13"/>
      <c r="K815" s="13" t="s">
        <v>1585</v>
      </c>
      <c r="L815" s="13" t="s">
        <v>1539</v>
      </c>
      <c r="M815" s="13"/>
    </row>
    <row r="816" customFormat="false" ht="15" hidden="false" customHeight="false" outlineLevel="0" collapsed="false">
      <c r="A816" s="13" t="s">
        <v>610</v>
      </c>
      <c r="B816" s="13" t="s">
        <v>609</v>
      </c>
      <c r="C816" s="13" t="s">
        <v>1545</v>
      </c>
      <c r="D816" s="13" t="s">
        <v>1567</v>
      </c>
      <c r="E816" s="13" t="s">
        <v>1596</v>
      </c>
      <c r="F816" s="13" t="s">
        <v>1603</v>
      </c>
      <c r="G816" s="61" t="n">
        <v>21196000000</v>
      </c>
      <c r="H816" s="13" t="s">
        <v>1537</v>
      </c>
      <c r="I816" s="13" t="s">
        <v>1597</v>
      </c>
      <c r="J816" s="13"/>
      <c r="K816" s="13" t="s">
        <v>1571</v>
      </c>
      <c r="L816" s="13" t="s">
        <v>1539</v>
      </c>
      <c r="M816" s="13"/>
    </row>
    <row r="817" customFormat="false" ht="15" hidden="false" customHeight="false" outlineLevel="0" collapsed="false">
      <c r="A817" s="13" t="s">
        <v>610</v>
      </c>
      <c r="B817" s="13" t="s">
        <v>609</v>
      </c>
      <c r="C817" s="13" t="s">
        <v>1546</v>
      </c>
      <c r="D817" s="13" t="s">
        <v>1567</v>
      </c>
      <c r="E817" s="13" t="s">
        <v>1596</v>
      </c>
      <c r="F817" s="13" t="s">
        <v>1603</v>
      </c>
      <c r="G817" s="61" t="n">
        <v>24203000000</v>
      </c>
      <c r="H817" s="13" t="s">
        <v>1537</v>
      </c>
      <c r="I817" s="13" t="s">
        <v>1597</v>
      </c>
      <c r="J817" s="13"/>
      <c r="K817" s="13" t="s">
        <v>1572</v>
      </c>
      <c r="L817" s="13" t="s">
        <v>1539</v>
      </c>
      <c r="M817" s="13"/>
    </row>
    <row r="818" customFormat="false" ht="15" hidden="false" customHeight="false" outlineLevel="0" collapsed="false">
      <c r="A818" s="13" t="s">
        <v>610</v>
      </c>
      <c r="B818" s="13" t="s">
        <v>609</v>
      </c>
      <c r="C818" s="13" t="s">
        <v>1548</v>
      </c>
      <c r="D818" s="13" t="s">
        <v>1567</v>
      </c>
      <c r="E818" s="13" t="s">
        <v>1596</v>
      </c>
      <c r="F818" s="13" t="s">
        <v>1603</v>
      </c>
      <c r="G818" s="61" t="n">
        <v>24748000000</v>
      </c>
      <c r="H818" s="13" t="s">
        <v>1537</v>
      </c>
      <c r="I818" s="13" t="s">
        <v>1597</v>
      </c>
      <c r="J818" s="13"/>
      <c r="K818" s="13" t="s">
        <v>1572</v>
      </c>
      <c r="L818" s="13" t="s">
        <v>1539</v>
      </c>
      <c r="M818" s="13"/>
    </row>
    <row r="819" customFormat="false" ht="15" hidden="false" customHeight="false" outlineLevel="0" collapsed="false">
      <c r="A819" s="13" t="s">
        <v>610</v>
      </c>
      <c r="B819" s="13" t="s">
        <v>609</v>
      </c>
      <c r="C819" s="13" t="s">
        <v>1536</v>
      </c>
      <c r="D819" s="13" t="s">
        <v>1567</v>
      </c>
      <c r="E819" s="13" t="s">
        <v>1596</v>
      </c>
      <c r="F819" s="13" t="s">
        <v>1604</v>
      </c>
      <c r="G819" s="61" t="n">
        <v>2454488872</v>
      </c>
      <c r="H819" s="13" t="s">
        <v>1537</v>
      </c>
      <c r="I819" s="13" t="s">
        <v>1597</v>
      </c>
      <c r="J819" s="13"/>
      <c r="K819" s="13" t="s">
        <v>1583</v>
      </c>
      <c r="L819" s="13" t="s">
        <v>1539</v>
      </c>
      <c r="M819" s="13"/>
    </row>
    <row r="820" customFormat="false" ht="15" hidden="false" customHeight="false" outlineLevel="0" collapsed="false">
      <c r="A820" s="13" t="s">
        <v>610</v>
      </c>
      <c r="B820" s="13" t="s">
        <v>609</v>
      </c>
      <c r="C820" s="13" t="s">
        <v>1540</v>
      </c>
      <c r="D820" s="13" t="s">
        <v>1567</v>
      </c>
      <c r="E820" s="13" t="s">
        <v>1596</v>
      </c>
      <c r="F820" s="13" t="s">
        <v>1604</v>
      </c>
      <c r="G820" s="61" t="n">
        <v>3087370579</v>
      </c>
      <c r="H820" s="13" t="s">
        <v>1537</v>
      </c>
      <c r="I820" s="13" t="s">
        <v>1597</v>
      </c>
      <c r="J820" s="13"/>
      <c r="K820" s="13" t="s">
        <v>1584</v>
      </c>
      <c r="L820" s="13" t="s">
        <v>1542</v>
      </c>
      <c r="M820" s="13"/>
    </row>
    <row r="821" customFormat="false" ht="15" hidden="false" customHeight="false" outlineLevel="0" collapsed="false">
      <c r="A821" s="13" t="s">
        <v>610</v>
      </c>
      <c r="B821" s="13" t="s">
        <v>609</v>
      </c>
      <c r="C821" s="13" t="s">
        <v>1543</v>
      </c>
      <c r="D821" s="13" t="s">
        <v>1567</v>
      </c>
      <c r="E821" s="13" t="s">
        <v>1596</v>
      </c>
      <c r="F821" s="13" t="s">
        <v>1604</v>
      </c>
      <c r="G821" s="61" t="n">
        <v>3409417356</v>
      </c>
      <c r="H821" s="13" t="s">
        <v>1537</v>
      </c>
      <c r="I821" s="13" t="s">
        <v>1597</v>
      </c>
      <c r="J821" s="13"/>
      <c r="K821" s="13" t="s">
        <v>1585</v>
      </c>
      <c r="L821" s="13" t="s">
        <v>1539</v>
      </c>
      <c r="M821" s="13"/>
    </row>
    <row r="822" customFormat="false" ht="15" hidden="false" customHeight="false" outlineLevel="0" collapsed="false">
      <c r="A822" s="13" t="s">
        <v>610</v>
      </c>
      <c r="B822" s="13" t="s">
        <v>609</v>
      </c>
      <c r="C822" s="13" t="s">
        <v>1545</v>
      </c>
      <c r="D822" s="13" t="s">
        <v>1567</v>
      </c>
      <c r="E822" s="13" t="s">
        <v>1596</v>
      </c>
      <c r="F822" s="13" t="s">
        <v>1604</v>
      </c>
      <c r="G822" s="61" t="n">
        <v>6601000000</v>
      </c>
      <c r="H822" s="13" t="s">
        <v>1537</v>
      </c>
      <c r="I822" s="13" t="s">
        <v>1597</v>
      </c>
      <c r="J822" s="13"/>
      <c r="K822" s="13" t="s">
        <v>1571</v>
      </c>
      <c r="L822" s="13" t="s">
        <v>1539</v>
      </c>
      <c r="M822" s="13"/>
    </row>
    <row r="823" customFormat="false" ht="15" hidden="false" customHeight="false" outlineLevel="0" collapsed="false">
      <c r="A823" s="13" t="s">
        <v>610</v>
      </c>
      <c r="B823" s="13" t="s">
        <v>609</v>
      </c>
      <c r="C823" s="13" t="s">
        <v>1546</v>
      </c>
      <c r="D823" s="13" t="s">
        <v>1567</v>
      </c>
      <c r="E823" s="13" t="s">
        <v>1596</v>
      </c>
      <c r="F823" s="13" t="s">
        <v>1604</v>
      </c>
      <c r="G823" s="61" t="n">
        <v>18627000000</v>
      </c>
      <c r="H823" s="13" t="s">
        <v>1537</v>
      </c>
      <c r="I823" s="13" t="s">
        <v>1597</v>
      </c>
      <c r="J823" s="13"/>
      <c r="K823" s="13" t="s">
        <v>1572</v>
      </c>
      <c r="L823" s="13" t="s">
        <v>1539</v>
      </c>
      <c r="M823" s="13"/>
    </row>
    <row r="824" customFormat="false" ht="15" hidden="false" customHeight="false" outlineLevel="0" collapsed="false">
      <c r="A824" s="13" t="s">
        <v>610</v>
      </c>
      <c r="B824" s="13" t="s">
        <v>609</v>
      </c>
      <c r="C824" s="13" t="s">
        <v>1548</v>
      </c>
      <c r="D824" s="13" t="s">
        <v>1567</v>
      </c>
      <c r="E824" s="13" t="s">
        <v>1596</v>
      </c>
      <c r="F824" s="13" t="s">
        <v>1604</v>
      </c>
      <c r="G824" s="61" t="n">
        <v>19408000000</v>
      </c>
      <c r="H824" s="13" t="s">
        <v>1537</v>
      </c>
      <c r="I824" s="13" t="s">
        <v>1597</v>
      </c>
      <c r="J824" s="13"/>
      <c r="K824" s="13" t="s">
        <v>1572</v>
      </c>
      <c r="L824" s="13" t="s">
        <v>1539</v>
      </c>
      <c r="M824" s="13"/>
    </row>
    <row r="825" customFormat="false" ht="15" hidden="false" customHeight="false" outlineLevel="0" collapsed="false">
      <c r="A825" s="13" t="s">
        <v>610</v>
      </c>
      <c r="B825" s="13" t="s">
        <v>609</v>
      </c>
      <c r="C825" s="13" t="s">
        <v>1536</v>
      </c>
      <c r="D825" s="13" t="s">
        <v>1567</v>
      </c>
      <c r="E825" s="13" t="s">
        <v>1596</v>
      </c>
      <c r="F825" s="13" t="s">
        <v>1605</v>
      </c>
      <c r="G825" s="61" t="n">
        <v>9928330977</v>
      </c>
      <c r="H825" s="13" t="s">
        <v>1537</v>
      </c>
      <c r="I825" s="13" t="s">
        <v>1597</v>
      </c>
      <c r="J825" s="13"/>
      <c r="K825" s="13" t="s">
        <v>1583</v>
      </c>
      <c r="L825" s="13" t="s">
        <v>1539</v>
      </c>
      <c r="M825" s="13"/>
    </row>
    <row r="826" customFormat="false" ht="15" hidden="false" customHeight="false" outlineLevel="0" collapsed="false">
      <c r="A826" s="13" t="s">
        <v>610</v>
      </c>
      <c r="B826" s="13" t="s">
        <v>609</v>
      </c>
      <c r="C826" s="13" t="s">
        <v>1540</v>
      </c>
      <c r="D826" s="13" t="s">
        <v>1567</v>
      </c>
      <c r="E826" s="13" t="s">
        <v>1596</v>
      </c>
      <c r="F826" s="13" t="s">
        <v>1605</v>
      </c>
      <c r="G826" s="61" t="n">
        <v>11066788766</v>
      </c>
      <c r="H826" s="13" t="s">
        <v>1537</v>
      </c>
      <c r="I826" s="13" t="s">
        <v>1597</v>
      </c>
      <c r="J826" s="13"/>
      <c r="K826" s="13" t="s">
        <v>1584</v>
      </c>
      <c r="L826" s="13" t="s">
        <v>1542</v>
      </c>
      <c r="M826" s="13"/>
    </row>
    <row r="827" customFormat="false" ht="15" hidden="false" customHeight="false" outlineLevel="0" collapsed="false">
      <c r="A827" s="13" t="s">
        <v>610</v>
      </c>
      <c r="B827" s="13" t="s">
        <v>609</v>
      </c>
      <c r="C827" s="13" t="s">
        <v>1543</v>
      </c>
      <c r="D827" s="13" t="s">
        <v>1567</v>
      </c>
      <c r="E827" s="13" t="s">
        <v>1596</v>
      </c>
      <c r="F827" s="13" t="s">
        <v>1605</v>
      </c>
      <c r="G827" s="61" t="n">
        <v>10588480914</v>
      </c>
      <c r="H827" s="13" t="s">
        <v>1537</v>
      </c>
      <c r="I827" s="13" t="s">
        <v>1597</v>
      </c>
      <c r="J827" s="13"/>
      <c r="K827" s="13" t="s">
        <v>1585</v>
      </c>
      <c r="L827" s="13" t="s">
        <v>1539</v>
      </c>
      <c r="M827" s="13"/>
    </row>
    <row r="828" customFormat="false" ht="15" hidden="false" customHeight="false" outlineLevel="0" collapsed="false">
      <c r="A828" s="13" t="s">
        <v>610</v>
      </c>
      <c r="B828" s="13" t="s">
        <v>609</v>
      </c>
      <c r="C828" s="13" t="s">
        <v>1545</v>
      </c>
      <c r="D828" s="13" t="s">
        <v>1567</v>
      </c>
      <c r="E828" s="13" t="s">
        <v>1596</v>
      </c>
      <c r="F828" s="13" t="s">
        <v>1605</v>
      </c>
      <c r="G828" s="61" t="n">
        <v>12119000000</v>
      </c>
      <c r="H828" s="13" t="s">
        <v>1537</v>
      </c>
      <c r="I828" s="13" t="s">
        <v>1597</v>
      </c>
      <c r="J828" s="13"/>
      <c r="K828" s="13" t="s">
        <v>1571</v>
      </c>
      <c r="L828" s="13" t="s">
        <v>1539</v>
      </c>
      <c r="M828" s="13"/>
    </row>
    <row r="829" customFormat="false" ht="15" hidden="false" customHeight="false" outlineLevel="0" collapsed="false">
      <c r="A829" s="13" t="s">
        <v>610</v>
      </c>
      <c r="B829" s="13" t="s">
        <v>609</v>
      </c>
      <c r="C829" s="13" t="s">
        <v>1546</v>
      </c>
      <c r="D829" s="13" t="s">
        <v>1567</v>
      </c>
      <c r="E829" s="13" t="s">
        <v>1596</v>
      </c>
      <c r="F829" s="13" t="s">
        <v>1605</v>
      </c>
      <c r="G829" s="61" t="n">
        <v>16247000000</v>
      </c>
      <c r="H829" s="13" t="s">
        <v>1537</v>
      </c>
      <c r="I829" s="13" t="s">
        <v>1597</v>
      </c>
      <c r="J829" s="13"/>
      <c r="K829" s="13" t="s">
        <v>1572</v>
      </c>
      <c r="L829" s="13" t="s">
        <v>1539</v>
      </c>
      <c r="M829" s="13"/>
    </row>
    <row r="830" customFormat="false" ht="15" hidden="false" customHeight="false" outlineLevel="0" collapsed="false">
      <c r="A830" s="13" t="s">
        <v>610</v>
      </c>
      <c r="B830" s="13" t="s">
        <v>609</v>
      </c>
      <c r="C830" s="13" t="s">
        <v>1548</v>
      </c>
      <c r="D830" s="13" t="s">
        <v>1567</v>
      </c>
      <c r="E830" s="13" t="s">
        <v>1596</v>
      </c>
      <c r="F830" s="13" t="s">
        <v>1605</v>
      </c>
      <c r="G830" s="61" t="n">
        <v>17081000000</v>
      </c>
      <c r="H830" s="13" t="s">
        <v>1537</v>
      </c>
      <c r="I830" s="13" t="s">
        <v>1597</v>
      </c>
      <c r="J830" s="13"/>
      <c r="K830" s="13" t="s">
        <v>1572</v>
      </c>
      <c r="L830" s="13" t="s">
        <v>1539</v>
      </c>
      <c r="M830" s="13"/>
    </row>
    <row r="831" customFormat="false" ht="15" hidden="false" customHeight="false" outlineLevel="0" collapsed="false">
      <c r="A831" s="13" t="s">
        <v>610</v>
      </c>
      <c r="B831" s="13" t="s">
        <v>609</v>
      </c>
      <c r="C831" s="13" t="s">
        <v>1536</v>
      </c>
      <c r="D831" s="13" t="s">
        <v>1567</v>
      </c>
      <c r="E831" s="13" t="s">
        <v>1596</v>
      </c>
      <c r="F831" s="13" t="s">
        <v>1606</v>
      </c>
      <c r="G831" s="61" t="n">
        <v>20456817125</v>
      </c>
      <c r="H831" s="13" t="s">
        <v>1537</v>
      </c>
      <c r="I831" s="13" t="s">
        <v>1597</v>
      </c>
      <c r="J831" s="13"/>
      <c r="K831" s="13" t="s">
        <v>1583</v>
      </c>
      <c r="L831" s="13" t="s">
        <v>1539</v>
      </c>
      <c r="M831" s="13"/>
    </row>
    <row r="832" customFormat="false" ht="15" hidden="false" customHeight="false" outlineLevel="0" collapsed="false">
      <c r="A832" s="13" t="s">
        <v>610</v>
      </c>
      <c r="B832" s="13" t="s">
        <v>609</v>
      </c>
      <c r="C832" s="13" t="s">
        <v>1540</v>
      </c>
      <c r="D832" s="13" t="s">
        <v>1567</v>
      </c>
      <c r="E832" s="13" t="s">
        <v>1596</v>
      </c>
      <c r="F832" s="13" t="s">
        <v>1606</v>
      </c>
      <c r="G832" s="61" t="n">
        <v>21471023128</v>
      </c>
      <c r="H832" s="13" t="s">
        <v>1537</v>
      </c>
      <c r="I832" s="13" t="s">
        <v>1597</v>
      </c>
      <c r="J832" s="13"/>
      <c r="K832" s="13" t="s">
        <v>1584</v>
      </c>
      <c r="L832" s="13" t="s">
        <v>1542</v>
      </c>
      <c r="M832" s="13"/>
    </row>
    <row r="833" customFormat="false" ht="15" hidden="false" customHeight="false" outlineLevel="0" collapsed="false">
      <c r="A833" s="13" t="s">
        <v>610</v>
      </c>
      <c r="B833" s="13" t="s">
        <v>609</v>
      </c>
      <c r="C833" s="13" t="s">
        <v>1543</v>
      </c>
      <c r="D833" s="13" t="s">
        <v>1567</v>
      </c>
      <c r="E833" s="13" t="s">
        <v>1596</v>
      </c>
      <c r="F833" s="13" t="s">
        <v>1606</v>
      </c>
      <c r="G833" s="61" t="n">
        <v>19272568449</v>
      </c>
      <c r="H833" s="13" t="s">
        <v>1537</v>
      </c>
      <c r="I833" s="13" t="s">
        <v>1597</v>
      </c>
      <c r="J833" s="13"/>
      <c r="K833" s="13" t="s">
        <v>1585</v>
      </c>
      <c r="L833" s="13" t="s">
        <v>1539</v>
      </c>
      <c r="M833" s="13"/>
    </row>
    <row r="834" customFormat="false" ht="15" hidden="false" customHeight="false" outlineLevel="0" collapsed="false">
      <c r="A834" s="13" t="s">
        <v>610</v>
      </c>
      <c r="B834" s="13" t="s">
        <v>609</v>
      </c>
      <c r="C834" s="13" t="s">
        <v>1545</v>
      </c>
      <c r="D834" s="13" t="s">
        <v>1567</v>
      </c>
      <c r="E834" s="13" t="s">
        <v>1596</v>
      </c>
      <c r="F834" s="13" t="s">
        <v>1606</v>
      </c>
      <c r="G834" s="61" t="n">
        <v>15434000000</v>
      </c>
      <c r="H834" s="13" t="s">
        <v>1537</v>
      </c>
      <c r="I834" s="13" t="s">
        <v>1597</v>
      </c>
      <c r="J834" s="13"/>
      <c r="K834" s="13" t="s">
        <v>1571</v>
      </c>
      <c r="L834" s="13" t="s">
        <v>1539</v>
      </c>
      <c r="M834" s="13"/>
    </row>
    <row r="835" customFormat="false" ht="15" hidden="false" customHeight="false" outlineLevel="0" collapsed="false">
      <c r="A835" s="13" t="s">
        <v>610</v>
      </c>
      <c r="B835" s="13" t="s">
        <v>609</v>
      </c>
      <c r="C835" s="13" t="s">
        <v>1546</v>
      </c>
      <c r="D835" s="13" t="s">
        <v>1567</v>
      </c>
      <c r="E835" s="13" t="s">
        <v>1596</v>
      </c>
      <c r="F835" s="13" t="s">
        <v>1606</v>
      </c>
      <c r="G835" s="61" t="n">
        <v>21901000000</v>
      </c>
      <c r="H835" s="13" t="s">
        <v>1537</v>
      </c>
      <c r="I835" s="13" t="s">
        <v>1597</v>
      </c>
      <c r="J835" s="13"/>
      <c r="K835" s="13" t="s">
        <v>1572</v>
      </c>
      <c r="L835" s="13" t="s">
        <v>1539</v>
      </c>
      <c r="M835" s="13"/>
    </row>
    <row r="836" customFormat="false" ht="15" hidden="false" customHeight="false" outlineLevel="0" collapsed="false">
      <c r="A836" s="13" t="s">
        <v>610</v>
      </c>
      <c r="B836" s="13" t="s">
        <v>609</v>
      </c>
      <c r="C836" s="13" t="s">
        <v>1548</v>
      </c>
      <c r="D836" s="13" t="s">
        <v>1567</v>
      </c>
      <c r="E836" s="13" t="s">
        <v>1596</v>
      </c>
      <c r="F836" s="13" t="s">
        <v>1606</v>
      </c>
      <c r="G836" s="61" t="n">
        <v>16555000000</v>
      </c>
      <c r="H836" s="13" t="s">
        <v>1537</v>
      </c>
      <c r="I836" s="13" t="s">
        <v>1597</v>
      </c>
      <c r="J836" s="13"/>
      <c r="K836" s="13" t="s">
        <v>1572</v>
      </c>
      <c r="L836" s="13" t="s">
        <v>1539</v>
      </c>
      <c r="M836" s="13"/>
    </row>
    <row r="837" customFormat="false" ht="15" hidden="false" customHeight="false" outlineLevel="0" collapsed="false">
      <c r="A837" s="13" t="s">
        <v>610</v>
      </c>
      <c r="B837" s="13" t="s">
        <v>609</v>
      </c>
      <c r="C837" s="13" t="s">
        <v>1536</v>
      </c>
      <c r="D837" s="13" t="s">
        <v>1567</v>
      </c>
      <c r="E837" s="13" t="s">
        <v>1596</v>
      </c>
      <c r="F837" s="13" t="s">
        <v>1607</v>
      </c>
      <c r="G837" s="61" t="n">
        <v>2375476567</v>
      </c>
      <c r="H837" s="13" t="s">
        <v>1537</v>
      </c>
      <c r="I837" s="13" t="s">
        <v>1597</v>
      </c>
      <c r="J837" s="13"/>
      <c r="K837" s="13" t="s">
        <v>1583</v>
      </c>
      <c r="L837" s="13" t="s">
        <v>1539</v>
      </c>
      <c r="M837" s="13"/>
    </row>
    <row r="838" customFormat="false" ht="15" hidden="false" customHeight="false" outlineLevel="0" collapsed="false">
      <c r="A838" s="13" t="s">
        <v>610</v>
      </c>
      <c r="B838" s="13" t="s">
        <v>609</v>
      </c>
      <c r="C838" s="13" t="s">
        <v>1540</v>
      </c>
      <c r="D838" s="13" t="s">
        <v>1567</v>
      </c>
      <c r="E838" s="13" t="s">
        <v>1596</v>
      </c>
      <c r="F838" s="13" t="s">
        <v>1607</v>
      </c>
      <c r="G838" s="61" t="n">
        <v>4496436472</v>
      </c>
      <c r="H838" s="13" t="s">
        <v>1537</v>
      </c>
      <c r="I838" s="13" t="s">
        <v>1597</v>
      </c>
      <c r="J838" s="13"/>
      <c r="K838" s="13" t="s">
        <v>1584</v>
      </c>
      <c r="L838" s="13" t="s">
        <v>1542</v>
      </c>
      <c r="M838" s="13"/>
    </row>
    <row r="839" customFormat="false" ht="15" hidden="false" customHeight="false" outlineLevel="0" collapsed="false">
      <c r="A839" s="13" t="s">
        <v>610</v>
      </c>
      <c r="B839" s="13" t="s">
        <v>609</v>
      </c>
      <c r="C839" s="13" t="s">
        <v>1543</v>
      </c>
      <c r="D839" s="13" t="s">
        <v>1567</v>
      </c>
      <c r="E839" s="13" t="s">
        <v>1596</v>
      </c>
      <c r="F839" s="13" t="s">
        <v>1607</v>
      </c>
      <c r="G839" s="61" t="n">
        <v>6296293019</v>
      </c>
      <c r="H839" s="13" t="s">
        <v>1537</v>
      </c>
      <c r="I839" s="13" t="s">
        <v>1597</v>
      </c>
      <c r="J839" s="13"/>
      <c r="K839" s="13" t="s">
        <v>1585</v>
      </c>
      <c r="L839" s="13" t="s">
        <v>1539</v>
      </c>
      <c r="M839" s="13"/>
    </row>
    <row r="840" customFormat="false" ht="15" hidden="false" customHeight="false" outlineLevel="0" collapsed="false">
      <c r="A840" s="13" t="s">
        <v>610</v>
      </c>
      <c r="B840" s="13" t="s">
        <v>609</v>
      </c>
      <c r="C840" s="13" t="s">
        <v>1545</v>
      </c>
      <c r="D840" s="13" t="s">
        <v>1567</v>
      </c>
      <c r="E840" s="13" t="s">
        <v>1596</v>
      </c>
      <c r="F840" s="13" t="s">
        <v>1607</v>
      </c>
      <c r="G840" s="61" t="n">
        <v>5982000000</v>
      </c>
      <c r="H840" s="13" t="s">
        <v>1537</v>
      </c>
      <c r="I840" s="13" t="s">
        <v>1597</v>
      </c>
      <c r="J840" s="13"/>
      <c r="K840" s="13" t="s">
        <v>1571</v>
      </c>
      <c r="L840" s="13" t="s">
        <v>1539</v>
      </c>
      <c r="M840" s="13"/>
    </row>
    <row r="841" customFormat="false" ht="15" hidden="false" customHeight="false" outlineLevel="0" collapsed="false">
      <c r="A841" s="13" t="s">
        <v>610</v>
      </c>
      <c r="B841" s="13" t="s">
        <v>609</v>
      </c>
      <c r="C841" s="13" t="s">
        <v>1546</v>
      </c>
      <c r="D841" s="13" t="s">
        <v>1567</v>
      </c>
      <c r="E841" s="13" t="s">
        <v>1596</v>
      </c>
      <c r="F841" s="13" t="s">
        <v>1607</v>
      </c>
      <c r="G841" s="61" t="n">
        <v>7725000000</v>
      </c>
      <c r="H841" s="13" t="s">
        <v>1537</v>
      </c>
      <c r="I841" s="13" t="s">
        <v>1597</v>
      </c>
      <c r="J841" s="13"/>
      <c r="K841" s="13" t="s">
        <v>1572</v>
      </c>
      <c r="L841" s="13" t="s">
        <v>1539</v>
      </c>
      <c r="M841" s="13"/>
    </row>
    <row r="842" customFormat="false" ht="15" hidden="false" customHeight="false" outlineLevel="0" collapsed="false">
      <c r="A842" s="13" t="s">
        <v>610</v>
      </c>
      <c r="B842" s="13" t="s">
        <v>609</v>
      </c>
      <c r="C842" s="13" t="s">
        <v>1548</v>
      </c>
      <c r="D842" s="13" t="s">
        <v>1567</v>
      </c>
      <c r="E842" s="13" t="s">
        <v>1596</v>
      </c>
      <c r="F842" s="13" t="s">
        <v>1607</v>
      </c>
      <c r="G842" s="61" t="n">
        <v>15387000000</v>
      </c>
      <c r="H842" s="13" t="s">
        <v>1537</v>
      </c>
      <c r="I842" s="13" t="s">
        <v>1597</v>
      </c>
      <c r="J842" s="13"/>
      <c r="K842" s="13" t="s">
        <v>1572</v>
      </c>
      <c r="L842" s="13" t="s">
        <v>1539</v>
      </c>
      <c r="M842" s="13"/>
    </row>
    <row r="843" customFormat="false" ht="15" hidden="false" customHeight="false" outlineLevel="0" collapsed="false">
      <c r="A843" s="13" t="s">
        <v>610</v>
      </c>
      <c r="B843" s="13" t="s">
        <v>609</v>
      </c>
      <c r="C843" s="13" t="s">
        <v>1536</v>
      </c>
      <c r="D843" s="13" t="s">
        <v>1567</v>
      </c>
      <c r="E843" s="13" t="s">
        <v>1596</v>
      </c>
      <c r="F843" s="13" t="s">
        <v>1608</v>
      </c>
      <c r="G843" s="61" t="n">
        <v>5348628251</v>
      </c>
      <c r="H843" s="13" t="s">
        <v>1537</v>
      </c>
      <c r="I843" s="13" t="s">
        <v>1597</v>
      </c>
      <c r="J843" s="13"/>
      <c r="K843" s="13" t="s">
        <v>1583</v>
      </c>
      <c r="L843" s="13" t="s">
        <v>1539</v>
      </c>
      <c r="M843" s="13"/>
    </row>
    <row r="844" customFormat="false" ht="15" hidden="false" customHeight="false" outlineLevel="0" collapsed="false">
      <c r="A844" s="13" t="s">
        <v>610</v>
      </c>
      <c r="B844" s="13" t="s">
        <v>609</v>
      </c>
      <c r="C844" s="13" t="s">
        <v>1540</v>
      </c>
      <c r="D844" s="13" t="s">
        <v>1567</v>
      </c>
      <c r="E844" s="13" t="s">
        <v>1596</v>
      </c>
      <c r="F844" s="13" t="s">
        <v>1608</v>
      </c>
      <c r="G844" s="61" t="n">
        <v>5805588885</v>
      </c>
      <c r="H844" s="13" t="s">
        <v>1537</v>
      </c>
      <c r="I844" s="13" t="s">
        <v>1597</v>
      </c>
      <c r="J844" s="13"/>
      <c r="K844" s="13" t="s">
        <v>1584</v>
      </c>
      <c r="L844" s="13" t="s">
        <v>1542</v>
      </c>
      <c r="M844" s="13"/>
    </row>
    <row r="845" customFormat="false" ht="15" hidden="false" customHeight="false" outlineLevel="0" collapsed="false">
      <c r="A845" s="13" t="s">
        <v>610</v>
      </c>
      <c r="B845" s="13" t="s">
        <v>609</v>
      </c>
      <c r="C845" s="13" t="s">
        <v>1543</v>
      </c>
      <c r="D845" s="13" t="s">
        <v>1567</v>
      </c>
      <c r="E845" s="13" t="s">
        <v>1596</v>
      </c>
      <c r="F845" s="13" t="s">
        <v>1608</v>
      </c>
      <c r="G845" s="61" t="n">
        <v>7272991554</v>
      </c>
      <c r="H845" s="13" t="s">
        <v>1537</v>
      </c>
      <c r="I845" s="13" t="s">
        <v>1597</v>
      </c>
      <c r="J845" s="13"/>
      <c r="K845" s="13" t="s">
        <v>1585</v>
      </c>
      <c r="L845" s="13" t="s">
        <v>1539</v>
      </c>
      <c r="M845" s="13"/>
    </row>
    <row r="846" customFormat="false" ht="15" hidden="false" customHeight="false" outlineLevel="0" collapsed="false">
      <c r="A846" s="13" t="s">
        <v>610</v>
      </c>
      <c r="B846" s="13" t="s">
        <v>609</v>
      </c>
      <c r="C846" s="13" t="s">
        <v>1545</v>
      </c>
      <c r="D846" s="13" t="s">
        <v>1567</v>
      </c>
      <c r="E846" s="13" t="s">
        <v>1596</v>
      </c>
      <c r="F846" s="13" t="s">
        <v>1608</v>
      </c>
      <c r="G846" s="61" t="n">
        <v>8296000000</v>
      </c>
      <c r="H846" s="13" t="s">
        <v>1537</v>
      </c>
      <c r="I846" s="13" t="s">
        <v>1597</v>
      </c>
      <c r="J846" s="13"/>
      <c r="K846" s="13" t="s">
        <v>1571</v>
      </c>
      <c r="L846" s="13" t="s">
        <v>1539</v>
      </c>
      <c r="M846" s="13"/>
    </row>
    <row r="847" customFormat="false" ht="15" hidden="false" customHeight="false" outlineLevel="0" collapsed="false">
      <c r="A847" s="13" t="s">
        <v>610</v>
      </c>
      <c r="B847" s="13" t="s">
        <v>609</v>
      </c>
      <c r="C847" s="13" t="s">
        <v>1546</v>
      </c>
      <c r="D847" s="13" t="s">
        <v>1567</v>
      </c>
      <c r="E847" s="13" t="s">
        <v>1596</v>
      </c>
      <c r="F847" s="13" t="s">
        <v>1608</v>
      </c>
      <c r="G847" s="61" t="n">
        <v>9661000000</v>
      </c>
      <c r="H847" s="13" t="s">
        <v>1537</v>
      </c>
      <c r="I847" s="13" t="s">
        <v>1597</v>
      </c>
      <c r="J847" s="13"/>
      <c r="K847" s="13" t="s">
        <v>1572</v>
      </c>
      <c r="L847" s="13" t="s">
        <v>1539</v>
      </c>
      <c r="M847" s="13"/>
    </row>
    <row r="848" customFormat="false" ht="15" hidden="false" customHeight="false" outlineLevel="0" collapsed="false">
      <c r="A848" s="13" t="s">
        <v>610</v>
      </c>
      <c r="B848" s="13" t="s">
        <v>609</v>
      </c>
      <c r="C848" s="13" t="s">
        <v>1548</v>
      </c>
      <c r="D848" s="13" t="s">
        <v>1567</v>
      </c>
      <c r="E848" s="13" t="s">
        <v>1596</v>
      </c>
      <c r="F848" s="13" t="s">
        <v>1608</v>
      </c>
      <c r="G848" s="61" t="n">
        <v>13067000000</v>
      </c>
      <c r="H848" s="13" t="s">
        <v>1537</v>
      </c>
      <c r="I848" s="13" t="s">
        <v>1597</v>
      </c>
      <c r="J848" s="13"/>
      <c r="K848" s="13" t="s">
        <v>1572</v>
      </c>
      <c r="L848" s="13" t="s">
        <v>1539</v>
      </c>
      <c r="M848" s="13"/>
    </row>
    <row r="849" customFormat="false" ht="15" hidden="false" customHeight="false" outlineLevel="0" collapsed="false">
      <c r="A849" s="13" t="s">
        <v>610</v>
      </c>
      <c r="B849" s="13" t="s">
        <v>609</v>
      </c>
      <c r="C849" s="13" t="s">
        <v>1536</v>
      </c>
      <c r="D849" s="13" t="s">
        <v>1567</v>
      </c>
      <c r="E849" s="13" t="s">
        <v>1596</v>
      </c>
      <c r="F849" s="13" t="s">
        <v>1609</v>
      </c>
      <c r="G849" s="61" t="n">
        <v>2061009985</v>
      </c>
      <c r="H849" s="13" t="s">
        <v>1537</v>
      </c>
      <c r="I849" s="13" t="s">
        <v>1597</v>
      </c>
      <c r="J849" s="13"/>
      <c r="K849" s="13" t="s">
        <v>1583</v>
      </c>
      <c r="L849" s="13" t="s">
        <v>1539</v>
      </c>
      <c r="M849" s="13"/>
    </row>
    <row r="850" customFormat="false" ht="15" hidden="false" customHeight="false" outlineLevel="0" collapsed="false">
      <c r="A850" s="13" t="s">
        <v>610</v>
      </c>
      <c r="B850" s="13" t="s">
        <v>609</v>
      </c>
      <c r="C850" s="13" t="s">
        <v>1540</v>
      </c>
      <c r="D850" s="13" t="s">
        <v>1567</v>
      </c>
      <c r="E850" s="13" t="s">
        <v>1596</v>
      </c>
      <c r="F850" s="13" t="s">
        <v>1609</v>
      </c>
      <c r="G850" s="61" t="n">
        <v>2623400230</v>
      </c>
      <c r="H850" s="13" t="s">
        <v>1537</v>
      </c>
      <c r="I850" s="13" t="s">
        <v>1597</v>
      </c>
      <c r="J850" s="13"/>
      <c r="K850" s="13" t="s">
        <v>1584</v>
      </c>
      <c r="L850" s="13" t="s">
        <v>1542</v>
      </c>
      <c r="M850" s="13"/>
    </row>
    <row r="851" customFormat="false" ht="15" hidden="false" customHeight="false" outlineLevel="0" collapsed="false">
      <c r="A851" s="13" t="s">
        <v>610</v>
      </c>
      <c r="B851" s="13" t="s">
        <v>609</v>
      </c>
      <c r="C851" s="13" t="s">
        <v>1543</v>
      </c>
      <c r="D851" s="13" t="s">
        <v>1567</v>
      </c>
      <c r="E851" s="13" t="s">
        <v>1596</v>
      </c>
      <c r="F851" s="13" t="s">
        <v>1609</v>
      </c>
      <c r="G851" s="61" t="n">
        <v>3904332786</v>
      </c>
      <c r="H851" s="13" t="s">
        <v>1537</v>
      </c>
      <c r="I851" s="13" t="s">
        <v>1597</v>
      </c>
      <c r="J851" s="13"/>
      <c r="K851" s="13" t="s">
        <v>1585</v>
      </c>
      <c r="L851" s="13" t="s">
        <v>1539</v>
      </c>
      <c r="M851" s="13"/>
    </row>
    <row r="852" customFormat="false" ht="15" hidden="false" customHeight="false" outlineLevel="0" collapsed="false">
      <c r="A852" s="13" t="s">
        <v>610</v>
      </c>
      <c r="B852" s="13" t="s">
        <v>609</v>
      </c>
      <c r="C852" s="13" t="s">
        <v>1545</v>
      </c>
      <c r="D852" s="13" t="s">
        <v>1567</v>
      </c>
      <c r="E852" s="13" t="s">
        <v>1596</v>
      </c>
      <c r="F852" s="13" t="s">
        <v>1609</v>
      </c>
      <c r="G852" s="61" t="n">
        <v>6389000000</v>
      </c>
      <c r="H852" s="13" t="s">
        <v>1537</v>
      </c>
      <c r="I852" s="13" t="s">
        <v>1597</v>
      </c>
      <c r="J852" s="13"/>
      <c r="K852" s="13" t="s">
        <v>1571</v>
      </c>
      <c r="L852" s="13" t="s">
        <v>1539</v>
      </c>
      <c r="M852" s="13"/>
    </row>
    <row r="853" customFormat="false" ht="15" hidden="false" customHeight="false" outlineLevel="0" collapsed="false">
      <c r="A853" s="13" t="s">
        <v>610</v>
      </c>
      <c r="B853" s="13" t="s">
        <v>609</v>
      </c>
      <c r="C853" s="13" t="s">
        <v>1546</v>
      </c>
      <c r="D853" s="13" t="s">
        <v>1567</v>
      </c>
      <c r="E853" s="13" t="s">
        <v>1596</v>
      </c>
      <c r="F853" s="13" t="s">
        <v>1609</v>
      </c>
      <c r="G853" s="61" t="n">
        <v>10141000000</v>
      </c>
      <c r="H853" s="13" t="s">
        <v>1537</v>
      </c>
      <c r="I853" s="13" t="s">
        <v>1597</v>
      </c>
      <c r="J853" s="13"/>
      <c r="K853" s="13" t="s">
        <v>1572</v>
      </c>
      <c r="L853" s="13" t="s">
        <v>1539</v>
      </c>
      <c r="M853" s="13"/>
    </row>
    <row r="854" customFormat="false" ht="15" hidden="false" customHeight="false" outlineLevel="0" collapsed="false">
      <c r="A854" s="13" t="s">
        <v>610</v>
      </c>
      <c r="B854" s="13" t="s">
        <v>609</v>
      </c>
      <c r="C854" s="13" t="s">
        <v>1548</v>
      </c>
      <c r="D854" s="13" t="s">
        <v>1567</v>
      </c>
      <c r="E854" s="13" t="s">
        <v>1596</v>
      </c>
      <c r="F854" s="13" t="s">
        <v>1609</v>
      </c>
      <c r="G854" s="61" t="n">
        <v>11206000000</v>
      </c>
      <c r="H854" s="13" t="s">
        <v>1537</v>
      </c>
      <c r="I854" s="13" t="s">
        <v>1597</v>
      </c>
      <c r="J854" s="13"/>
      <c r="K854" s="13" t="s">
        <v>1572</v>
      </c>
      <c r="L854" s="13" t="s">
        <v>1539</v>
      </c>
      <c r="M854" s="13"/>
    </row>
    <row r="855" customFormat="false" ht="15" hidden="false" customHeight="false" outlineLevel="0" collapsed="false">
      <c r="A855" s="13" t="s">
        <v>610</v>
      </c>
      <c r="B855" s="13" t="s">
        <v>609</v>
      </c>
      <c r="C855" s="13" t="s">
        <v>1546</v>
      </c>
      <c r="D855" s="13" t="s">
        <v>1567</v>
      </c>
      <c r="E855" s="13" t="s">
        <v>1596</v>
      </c>
      <c r="F855" s="13" t="s">
        <v>1610</v>
      </c>
      <c r="G855" s="61" t="n">
        <v>11607000000</v>
      </c>
      <c r="H855" s="13" t="s">
        <v>1537</v>
      </c>
      <c r="I855" s="13" t="s">
        <v>1597</v>
      </c>
      <c r="J855" s="13"/>
      <c r="K855" s="13" t="s">
        <v>1572</v>
      </c>
      <c r="L855" s="13" t="s">
        <v>1539</v>
      </c>
      <c r="M855" s="13"/>
    </row>
    <row r="856" customFormat="false" ht="15" hidden="false" customHeight="false" outlineLevel="0" collapsed="false">
      <c r="A856" s="13" t="s">
        <v>610</v>
      </c>
      <c r="B856" s="13" t="s">
        <v>609</v>
      </c>
      <c r="C856" s="13" t="s">
        <v>1548</v>
      </c>
      <c r="D856" s="13" t="s">
        <v>1567</v>
      </c>
      <c r="E856" s="13" t="s">
        <v>1596</v>
      </c>
      <c r="F856" s="13" t="s">
        <v>1610</v>
      </c>
      <c r="G856" s="61" t="n">
        <v>11192000000</v>
      </c>
      <c r="H856" s="13" t="s">
        <v>1537</v>
      </c>
      <c r="I856" s="13" t="s">
        <v>1597</v>
      </c>
      <c r="J856" s="13"/>
      <c r="K856" s="13" t="s">
        <v>1572</v>
      </c>
      <c r="L856" s="13" t="s">
        <v>1539</v>
      </c>
      <c r="M856" s="13"/>
    </row>
    <row r="857" customFormat="false" ht="15" hidden="false" customHeight="false" outlineLevel="0" collapsed="false">
      <c r="A857" s="13" t="s">
        <v>610</v>
      </c>
      <c r="B857" s="13" t="s">
        <v>609</v>
      </c>
      <c r="C857" s="13" t="s">
        <v>1546</v>
      </c>
      <c r="D857" s="13" t="s">
        <v>1567</v>
      </c>
      <c r="E857" s="13" t="s">
        <v>1596</v>
      </c>
      <c r="F857" s="13" t="s">
        <v>1611</v>
      </c>
      <c r="G857" s="61" t="n">
        <v>6908000000</v>
      </c>
      <c r="H857" s="13" t="s">
        <v>1537</v>
      </c>
      <c r="I857" s="13" t="s">
        <v>1597</v>
      </c>
      <c r="J857" s="13"/>
      <c r="K857" s="13" t="s">
        <v>1572</v>
      </c>
      <c r="L857" s="13" t="s">
        <v>1539</v>
      </c>
      <c r="M857" s="13"/>
    </row>
    <row r="858" customFormat="false" ht="15" hidden="false" customHeight="false" outlineLevel="0" collapsed="false">
      <c r="A858" s="13" t="s">
        <v>610</v>
      </c>
      <c r="B858" s="13" t="s">
        <v>609</v>
      </c>
      <c r="C858" s="13" t="s">
        <v>1548</v>
      </c>
      <c r="D858" s="13" t="s">
        <v>1567</v>
      </c>
      <c r="E858" s="13" t="s">
        <v>1596</v>
      </c>
      <c r="F858" s="13" t="s">
        <v>1611</v>
      </c>
      <c r="G858" s="61" t="n">
        <v>9826000000</v>
      </c>
      <c r="H858" s="13" t="s">
        <v>1537</v>
      </c>
      <c r="I858" s="13" t="s">
        <v>1597</v>
      </c>
      <c r="J858" s="13"/>
      <c r="K858" s="13" t="s">
        <v>1572</v>
      </c>
      <c r="L858" s="13" t="s">
        <v>1539</v>
      </c>
      <c r="M858" s="13"/>
    </row>
    <row r="859" customFormat="false" ht="15" hidden="false" customHeight="false" outlineLevel="0" collapsed="false">
      <c r="A859" s="13" t="s">
        <v>610</v>
      </c>
      <c r="B859" s="13" t="s">
        <v>609</v>
      </c>
      <c r="C859" s="13" t="s">
        <v>1536</v>
      </c>
      <c r="D859" s="13" t="s">
        <v>1567</v>
      </c>
      <c r="E859" s="13" t="s">
        <v>1596</v>
      </c>
      <c r="F859" s="13" t="s">
        <v>1594</v>
      </c>
      <c r="G859" s="61" t="n">
        <v>8800651622</v>
      </c>
      <c r="H859" s="13" t="s">
        <v>1537</v>
      </c>
      <c r="I859" s="13" t="s">
        <v>1597</v>
      </c>
      <c r="J859" s="13"/>
      <c r="K859" s="13" t="s">
        <v>1583</v>
      </c>
      <c r="L859" s="13" t="s">
        <v>1539</v>
      </c>
      <c r="M859" s="13"/>
    </row>
    <row r="860" customFormat="false" ht="15" hidden="false" customHeight="false" outlineLevel="0" collapsed="false">
      <c r="A860" s="13" t="s">
        <v>610</v>
      </c>
      <c r="B860" s="13" t="s">
        <v>609</v>
      </c>
      <c r="C860" s="13" t="s">
        <v>1540</v>
      </c>
      <c r="D860" s="13" t="s">
        <v>1567</v>
      </c>
      <c r="E860" s="13" t="s">
        <v>1596</v>
      </c>
      <c r="F860" s="13" t="s">
        <v>1594</v>
      </c>
      <c r="G860" s="61" t="n">
        <v>8800651622</v>
      </c>
      <c r="H860" s="13" t="s">
        <v>1537</v>
      </c>
      <c r="I860" s="13" t="s">
        <v>1597</v>
      </c>
      <c r="J860" s="13"/>
      <c r="K860" s="13" t="s">
        <v>1584</v>
      </c>
      <c r="L860" s="13" t="s">
        <v>1542</v>
      </c>
      <c r="M860" s="13"/>
    </row>
    <row r="861" customFormat="false" ht="15" hidden="false" customHeight="false" outlineLevel="0" collapsed="false">
      <c r="A861" s="13" t="s">
        <v>610</v>
      </c>
      <c r="B861" s="13" t="s">
        <v>609</v>
      </c>
      <c r="C861" s="13" t="s">
        <v>1543</v>
      </c>
      <c r="D861" s="13" t="s">
        <v>1567</v>
      </c>
      <c r="E861" s="13" t="s">
        <v>1596</v>
      </c>
      <c r="F861" s="13" t="s">
        <v>1594</v>
      </c>
      <c r="G861" s="61" t="n">
        <v>8800651622</v>
      </c>
      <c r="H861" s="13" t="s">
        <v>1537</v>
      </c>
      <c r="I861" s="13" t="s">
        <v>1597</v>
      </c>
      <c r="J861" s="13"/>
      <c r="K861" s="13" t="s">
        <v>1585</v>
      </c>
      <c r="L861" s="13" t="s">
        <v>1539</v>
      </c>
      <c r="M861" s="13"/>
    </row>
    <row r="862" customFormat="false" ht="15" hidden="false" customHeight="false" outlineLevel="0" collapsed="false">
      <c r="A862" s="13" t="s">
        <v>610</v>
      </c>
      <c r="B862" s="13" t="s">
        <v>609</v>
      </c>
      <c r="C862" s="13" t="s">
        <v>1545</v>
      </c>
      <c r="D862" s="13" t="s">
        <v>1567</v>
      </c>
      <c r="E862" s="13" t="s">
        <v>1596</v>
      </c>
      <c r="F862" s="13" t="s">
        <v>1594</v>
      </c>
      <c r="G862" s="61" t="n">
        <v>9072000000</v>
      </c>
      <c r="H862" s="13" t="s">
        <v>1537</v>
      </c>
      <c r="I862" s="13" t="s">
        <v>1597</v>
      </c>
      <c r="J862" s="13"/>
      <c r="K862" s="13" t="s">
        <v>1571</v>
      </c>
      <c r="L862" s="13" t="s">
        <v>1539</v>
      </c>
      <c r="M862" s="13"/>
    </row>
    <row r="863" customFormat="false" ht="15" hidden="false" customHeight="false" outlineLevel="0" collapsed="false">
      <c r="A863" s="13" t="s">
        <v>610</v>
      </c>
      <c r="B863" s="13" t="s">
        <v>609</v>
      </c>
      <c r="C863" s="13" t="s">
        <v>1546</v>
      </c>
      <c r="D863" s="13" t="s">
        <v>1567</v>
      </c>
      <c r="E863" s="13" t="s">
        <v>1596</v>
      </c>
      <c r="F863" s="13" t="s">
        <v>1594</v>
      </c>
      <c r="G863" s="61" t="n">
        <v>8870000000</v>
      </c>
      <c r="H863" s="13" t="s">
        <v>1537</v>
      </c>
      <c r="I863" s="13" t="s">
        <v>1597</v>
      </c>
      <c r="J863" s="13"/>
      <c r="K863" s="13" t="s">
        <v>1572</v>
      </c>
      <c r="L863" s="13" t="s">
        <v>1539</v>
      </c>
      <c r="M863" s="13"/>
    </row>
    <row r="864" customFormat="false" ht="15" hidden="false" customHeight="false" outlineLevel="0" collapsed="false">
      <c r="A864" s="13" t="s">
        <v>610</v>
      </c>
      <c r="B864" s="13" t="s">
        <v>609</v>
      </c>
      <c r="C864" s="13" t="s">
        <v>1548</v>
      </c>
      <c r="D864" s="13" t="s">
        <v>1567</v>
      </c>
      <c r="E864" s="13" t="s">
        <v>1596</v>
      </c>
      <c r="F864" s="13" t="s">
        <v>1594</v>
      </c>
      <c r="G864" s="61" t="n">
        <v>9085000000</v>
      </c>
      <c r="H864" s="13" t="s">
        <v>1537</v>
      </c>
      <c r="I864" s="13" t="s">
        <v>1597</v>
      </c>
      <c r="J864" s="13"/>
      <c r="K864" s="13" t="s">
        <v>1572</v>
      </c>
      <c r="L864" s="13" t="s">
        <v>1539</v>
      </c>
      <c r="M864" s="13"/>
    </row>
    <row r="865" customFormat="false" ht="15" hidden="false" customHeight="false" outlineLevel="0" collapsed="false">
      <c r="A865" s="13" t="s">
        <v>610</v>
      </c>
      <c r="B865" s="13" t="s">
        <v>609</v>
      </c>
      <c r="C865" s="13" t="s">
        <v>1536</v>
      </c>
      <c r="D865" s="13" t="s">
        <v>1567</v>
      </c>
      <c r="E865" s="13" t="s">
        <v>1596</v>
      </c>
      <c r="F865" s="13" t="s">
        <v>1612</v>
      </c>
      <c r="G865" s="61" t="n">
        <v>3609618368</v>
      </c>
      <c r="H865" s="13" t="s">
        <v>1537</v>
      </c>
      <c r="I865" s="13" t="s">
        <v>1597</v>
      </c>
      <c r="J865" s="13"/>
      <c r="K865" s="13" t="s">
        <v>1583</v>
      </c>
      <c r="L865" s="13" t="s">
        <v>1539</v>
      </c>
      <c r="M865" s="13"/>
    </row>
    <row r="866" customFormat="false" ht="15" hidden="false" customHeight="false" outlineLevel="0" collapsed="false">
      <c r="A866" s="13" t="s">
        <v>610</v>
      </c>
      <c r="B866" s="13" t="s">
        <v>609</v>
      </c>
      <c r="C866" s="13" t="s">
        <v>1540</v>
      </c>
      <c r="D866" s="13" t="s">
        <v>1567</v>
      </c>
      <c r="E866" s="13" t="s">
        <v>1596</v>
      </c>
      <c r="F866" s="13" t="s">
        <v>1612</v>
      </c>
      <c r="G866" s="61" t="n">
        <v>4410794478</v>
      </c>
      <c r="H866" s="13" t="s">
        <v>1537</v>
      </c>
      <c r="I866" s="13" t="s">
        <v>1597</v>
      </c>
      <c r="J866" s="13"/>
      <c r="K866" s="13" t="s">
        <v>1584</v>
      </c>
      <c r="L866" s="13" t="s">
        <v>1542</v>
      </c>
      <c r="M866" s="13"/>
    </row>
    <row r="867" customFormat="false" ht="15" hidden="false" customHeight="false" outlineLevel="0" collapsed="false">
      <c r="A867" s="13" t="s">
        <v>610</v>
      </c>
      <c r="B867" s="13" t="s">
        <v>609</v>
      </c>
      <c r="C867" s="13" t="s">
        <v>1543</v>
      </c>
      <c r="D867" s="13" t="s">
        <v>1567</v>
      </c>
      <c r="E867" s="13" t="s">
        <v>1596</v>
      </c>
      <c r="F867" s="13" t="s">
        <v>1612</v>
      </c>
      <c r="G867" s="61" t="n">
        <v>4531517063</v>
      </c>
      <c r="H867" s="13" t="s">
        <v>1537</v>
      </c>
      <c r="I867" s="13" t="s">
        <v>1597</v>
      </c>
      <c r="J867" s="13"/>
      <c r="K867" s="13" t="s">
        <v>1585</v>
      </c>
      <c r="L867" s="13" t="s">
        <v>1539</v>
      </c>
      <c r="M867" s="13"/>
    </row>
    <row r="868" customFormat="false" ht="15" hidden="false" customHeight="false" outlineLevel="0" collapsed="false">
      <c r="A868" s="13" t="s">
        <v>610</v>
      </c>
      <c r="B868" s="13" t="s">
        <v>609</v>
      </c>
      <c r="C868" s="13" t="s">
        <v>1545</v>
      </c>
      <c r="D868" s="13" t="s">
        <v>1567</v>
      </c>
      <c r="E868" s="13" t="s">
        <v>1596</v>
      </c>
      <c r="F868" s="13" t="s">
        <v>1612</v>
      </c>
      <c r="G868" s="61" t="n">
        <v>5557000000</v>
      </c>
      <c r="H868" s="13" t="s">
        <v>1537</v>
      </c>
      <c r="I868" s="13" t="s">
        <v>1597</v>
      </c>
      <c r="J868" s="13"/>
      <c r="K868" s="13" t="s">
        <v>1571</v>
      </c>
      <c r="L868" s="13" t="s">
        <v>1539</v>
      </c>
      <c r="M868" s="13"/>
    </row>
    <row r="869" customFormat="false" ht="15" hidden="false" customHeight="false" outlineLevel="0" collapsed="false">
      <c r="A869" s="13" t="s">
        <v>610</v>
      </c>
      <c r="B869" s="13" t="s">
        <v>609</v>
      </c>
      <c r="C869" s="13" t="s">
        <v>1546</v>
      </c>
      <c r="D869" s="13" t="s">
        <v>1567</v>
      </c>
      <c r="E869" s="13" t="s">
        <v>1596</v>
      </c>
      <c r="F869" s="13" t="s">
        <v>1612</v>
      </c>
      <c r="G869" s="61" t="n">
        <v>7318000000</v>
      </c>
      <c r="H869" s="13" t="s">
        <v>1537</v>
      </c>
      <c r="I869" s="13" t="s">
        <v>1597</v>
      </c>
      <c r="J869" s="13"/>
      <c r="K869" s="13" t="s">
        <v>1572</v>
      </c>
      <c r="L869" s="13" t="s">
        <v>1539</v>
      </c>
      <c r="M869" s="13"/>
    </row>
    <row r="870" customFormat="false" ht="15" hidden="false" customHeight="false" outlineLevel="0" collapsed="false">
      <c r="A870" s="13" t="s">
        <v>610</v>
      </c>
      <c r="B870" s="13" t="s">
        <v>609</v>
      </c>
      <c r="C870" s="13" t="s">
        <v>1548</v>
      </c>
      <c r="D870" s="13" t="s">
        <v>1567</v>
      </c>
      <c r="E870" s="13" t="s">
        <v>1596</v>
      </c>
      <c r="F870" s="13" t="s">
        <v>1612</v>
      </c>
      <c r="G870" s="61" t="n">
        <v>7375000000</v>
      </c>
      <c r="H870" s="13" t="s">
        <v>1537</v>
      </c>
      <c r="I870" s="13" t="s">
        <v>1597</v>
      </c>
      <c r="J870" s="13"/>
      <c r="K870" s="13" t="s">
        <v>1572</v>
      </c>
      <c r="L870" s="13" t="s">
        <v>1539</v>
      </c>
      <c r="M870" s="13"/>
    </row>
    <row r="871" customFormat="false" ht="15" hidden="false" customHeight="false" outlineLevel="0" collapsed="false">
      <c r="A871" s="13" t="s">
        <v>610</v>
      </c>
      <c r="B871" s="13" t="s">
        <v>609</v>
      </c>
      <c r="C871" s="13" t="s">
        <v>1546</v>
      </c>
      <c r="D871" s="13" t="s">
        <v>1567</v>
      </c>
      <c r="E871" s="13" t="s">
        <v>1596</v>
      </c>
      <c r="F871" s="13" t="s">
        <v>1613</v>
      </c>
      <c r="G871" s="61" t="n">
        <v>8433000000</v>
      </c>
      <c r="H871" s="13" t="s">
        <v>1537</v>
      </c>
      <c r="I871" s="13" t="s">
        <v>1597</v>
      </c>
      <c r="J871" s="13"/>
      <c r="K871" s="13" t="s">
        <v>1572</v>
      </c>
      <c r="L871" s="13" t="s">
        <v>1539</v>
      </c>
      <c r="M871" s="13"/>
    </row>
    <row r="872" customFormat="false" ht="15" hidden="false" customHeight="false" outlineLevel="0" collapsed="false">
      <c r="A872" s="13" t="s">
        <v>610</v>
      </c>
      <c r="B872" s="13" t="s">
        <v>609</v>
      </c>
      <c r="C872" s="13" t="s">
        <v>1548</v>
      </c>
      <c r="D872" s="13" t="s">
        <v>1567</v>
      </c>
      <c r="E872" s="13" t="s">
        <v>1596</v>
      </c>
      <c r="F872" s="13" t="s">
        <v>1613</v>
      </c>
      <c r="G872" s="61" t="n">
        <v>9161000000</v>
      </c>
      <c r="H872" s="13" t="s">
        <v>1537</v>
      </c>
      <c r="I872" s="13" t="s">
        <v>1597</v>
      </c>
      <c r="J872" s="13"/>
      <c r="K872" s="13" t="s">
        <v>1572</v>
      </c>
      <c r="L872" s="13" t="s">
        <v>1539</v>
      </c>
      <c r="M872" s="13"/>
    </row>
    <row r="873" customFormat="false" ht="15" hidden="false" customHeight="false" outlineLevel="0" collapsed="false">
      <c r="A873" s="13" t="s">
        <v>610</v>
      </c>
      <c r="B873" s="13" t="s">
        <v>609</v>
      </c>
      <c r="C873" s="13" t="s">
        <v>1536</v>
      </c>
      <c r="D873" s="13" t="s">
        <v>1567</v>
      </c>
      <c r="E873" s="13" t="s">
        <v>1596</v>
      </c>
      <c r="F873" s="13" t="s">
        <v>1582</v>
      </c>
      <c r="G873" s="61" t="n">
        <v>392704802139</v>
      </c>
      <c r="H873" s="13" t="s">
        <v>1537</v>
      </c>
      <c r="I873" s="13" t="s">
        <v>1597</v>
      </c>
      <c r="J873" s="13"/>
      <c r="K873" s="13" t="s">
        <v>1583</v>
      </c>
      <c r="L873" s="13" t="s">
        <v>1539</v>
      </c>
      <c r="M873" s="13"/>
    </row>
    <row r="874" customFormat="false" ht="15" hidden="false" customHeight="false" outlineLevel="0" collapsed="false">
      <c r="A874" s="13" t="s">
        <v>610</v>
      </c>
      <c r="B874" s="13" t="s">
        <v>609</v>
      </c>
      <c r="C874" s="13" t="s">
        <v>1540</v>
      </c>
      <c r="D874" s="13" t="s">
        <v>1567</v>
      </c>
      <c r="E874" s="13" t="s">
        <v>1596</v>
      </c>
      <c r="F874" s="13" t="s">
        <v>1582</v>
      </c>
      <c r="G874" s="61" t="n">
        <v>462409623024</v>
      </c>
      <c r="H874" s="13" t="s">
        <v>1537</v>
      </c>
      <c r="I874" s="13" t="s">
        <v>1597</v>
      </c>
      <c r="J874" s="13"/>
      <c r="K874" s="13" t="s">
        <v>1584</v>
      </c>
      <c r="L874" s="13" t="s">
        <v>1542</v>
      </c>
      <c r="M874" s="13"/>
    </row>
    <row r="875" customFormat="false" ht="15" hidden="false" customHeight="false" outlineLevel="0" collapsed="false">
      <c r="A875" s="13" t="s">
        <v>610</v>
      </c>
      <c r="B875" s="13" t="s">
        <v>609</v>
      </c>
      <c r="C875" s="13" t="s">
        <v>1543</v>
      </c>
      <c r="D875" s="13" t="s">
        <v>1567</v>
      </c>
      <c r="E875" s="13" t="s">
        <v>1596</v>
      </c>
      <c r="F875" s="13" t="s">
        <v>1582</v>
      </c>
      <c r="G875" s="61" t="n">
        <v>502013236172</v>
      </c>
      <c r="H875" s="13" t="s">
        <v>1537</v>
      </c>
      <c r="I875" s="13" t="s">
        <v>1597</v>
      </c>
      <c r="J875" s="13"/>
      <c r="K875" s="13" t="s">
        <v>1585</v>
      </c>
      <c r="L875" s="13" t="s">
        <v>1539</v>
      </c>
      <c r="M875" s="13"/>
    </row>
    <row r="876" customFormat="false" ht="15" hidden="false" customHeight="false" outlineLevel="0" collapsed="false">
      <c r="A876" s="13" t="s">
        <v>610</v>
      </c>
      <c r="B876" s="13" t="s">
        <v>609</v>
      </c>
      <c r="C876" s="13" t="s">
        <v>1545</v>
      </c>
      <c r="D876" s="13" t="s">
        <v>1567</v>
      </c>
      <c r="E876" s="13" t="s">
        <v>1596</v>
      </c>
      <c r="F876" s="13" t="s">
        <v>1582</v>
      </c>
      <c r="G876" s="61" t="n">
        <v>576920000000</v>
      </c>
      <c r="H876" s="13" t="s">
        <v>1537</v>
      </c>
      <c r="I876" s="13" t="s">
        <v>1597</v>
      </c>
      <c r="J876" s="13"/>
      <c r="K876" s="13" t="s">
        <v>1571</v>
      </c>
      <c r="L876" s="13" t="s">
        <v>1539</v>
      </c>
      <c r="M876" s="13"/>
    </row>
    <row r="877" customFormat="false" ht="15" hidden="false" customHeight="false" outlineLevel="0" collapsed="false">
      <c r="A877" s="13" t="s">
        <v>610</v>
      </c>
      <c r="B877" s="13" t="s">
        <v>609</v>
      </c>
      <c r="C877" s="13" t="s">
        <v>1546</v>
      </c>
      <c r="D877" s="13" t="s">
        <v>1567</v>
      </c>
      <c r="E877" s="13" t="s">
        <v>1596</v>
      </c>
      <c r="F877" s="13" t="s">
        <v>1582</v>
      </c>
      <c r="G877" s="61" t="n">
        <v>689147000000</v>
      </c>
      <c r="H877" s="13" t="s">
        <v>1537</v>
      </c>
      <c r="I877" s="13" t="s">
        <v>1597</v>
      </c>
      <c r="J877" s="13"/>
      <c r="K877" s="13" t="s">
        <v>1572</v>
      </c>
      <c r="L877" s="13" t="s">
        <v>1539</v>
      </c>
      <c r="M877" s="13"/>
    </row>
    <row r="878" customFormat="false" ht="15" hidden="false" customHeight="false" outlineLevel="0" collapsed="false">
      <c r="A878" s="13" t="s">
        <v>610</v>
      </c>
      <c r="B878" s="13" t="s">
        <v>609</v>
      </c>
      <c r="C878" s="13" t="s">
        <v>1548</v>
      </c>
      <c r="D878" s="13" t="s">
        <v>1567</v>
      </c>
      <c r="E878" s="13" t="s">
        <v>1596</v>
      </c>
      <c r="F878" s="13" t="s">
        <v>1582</v>
      </c>
      <c r="G878" s="61" t="n">
        <v>922332000000</v>
      </c>
      <c r="H878" s="13" t="s">
        <v>1537</v>
      </c>
      <c r="I878" s="13" t="s">
        <v>1597</v>
      </c>
      <c r="J878" s="13"/>
      <c r="K878" s="13" t="s">
        <v>1572</v>
      </c>
      <c r="L878" s="13" t="s">
        <v>1539</v>
      </c>
      <c r="M878" s="13"/>
    </row>
    <row r="879" customFormat="false" ht="15" hidden="false" customHeight="false" outlineLevel="0" collapsed="false">
      <c r="A879" s="13" t="s">
        <v>610</v>
      </c>
      <c r="B879" s="13" t="s">
        <v>609</v>
      </c>
      <c r="C879" s="13" t="s">
        <v>1546</v>
      </c>
      <c r="D879" s="13" t="s">
        <v>1567</v>
      </c>
      <c r="E879" s="13" t="s">
        <v>1614</v>
      </c>
      <c r="F879" s="13" t="s">
        <v>1615</v>
      </c>
      <c r="G879" s="61" t="n">
        <v>10545000000</v>
      </c>
      <c r="H879" s="13" t="s">
        <v>1537</v>
      </c>
      <c r="I879" s="13" t="s">
        <v>1616</v>
      </c>
      <c r="J879" s="13"/>
      <c r="K879" s="13" t="s">
        <v>1572</v>
      </c>
      <c r="L879" s="13" t="s">
        <v>1539</v>
      </c>
      <c r="M879" s="13"/>
    </row>
    <row r="880" customFormat="false" ht="15" hidden="false" customHeight="false" outlineLevel="0" collapsed="false">
      <c r="A880" s="13" t="s">
        <v>610</v>
      </c>
      <c r="B880" s="13" t="s">
        <v>609</v>
      </c>
      <c r="C880" s="13" t="s">
        <v>1548</v>
      </c>
      <c r="D880" s="13" t="s">
        <v>1567</v>
      </c>
      <c r="E880" s="13" t="s">
        <v>1614</v>
      </c>
      <c r="F880" s="13" t="s">
        <v>1615</v>
      </c>
      <c r="G880" s="61" t="n">
        <v>11983000000</v>
      </c>
      <c r="H880" s="13" t="s">
        <v>1537</v>
      </c>
      <c r="I880" s="13" t="s">
        <v>1616</v>
      </c>
      <c r="J880" s="13"/>
      <c r="K880" s="13" t="s">
        <v>1572</v>
      </c>
      <c r="L880" s="13" t="s">
        <v>1539</v>
      </c>
      <c r="M880" s="13"/>
    </row>
    <row r="881" customFormat="false" ht="15" hidden="false" customHeight="false" outlineLevel="0" collapsed="false">
      <c r="A881" s="13" t="s">
        <v>610</v>
      </c>
      <c r="B881" s="13" t="s">
        <v>609</v>
      </c>
      <c r="C881" s="13" t="s">
        <v>1546</v>
      </c>
      <c r="D881" s="13" t="s">
        <v>1567</v>
      </c>
      <c r="E881" s="13" t="s">
        <v>1614</v>
      </c>
      <c r="F881" s="13" t="s">
        <v>1617</v>
      </c>
      <c r="G881" s="107" t="n">
        <v>0</v>
      </c>
      <c r="H881" s="13" t="s">
        <v>1537</v>
      </c>
      <c r="I881" s="13" t="s">
        <v>1616</v>
      </c>
      <c r="J881" s="13"/>
      <c r="K881" s="13" t="s">
        <v>1572</v>
      </c>
      <c r="L881" s="13" t="s">
        <v>1539</v>
      </c>
      <c r="M881" s="13"/>
    </row>
    <row r="882" customFormat="false" ht="15" hidden="false" customHeight="false" outlineLevel="0" collapsed="false">
      <c r="A882" s="13" t="s">
        <v>610</v>
      </c>
      <c r="B882" s="13" t="s">
        <v>609</v>
      </c>
      <c r="C882" s="13" t="s">
        <v>1548</v>
      </c>
      <c r="D882" s="13" t="s">
        <v>1567</v>
      </c>
      <c r="E882" s="13" t="s">
        <v>1614</v>
      </c>
      <c r="F882" s="13" t="s">
        <v>1617</v>
      </c>
      <c r="G882" s="61" t="n">
        <v>5368000000</v>
      </c>
      <c r="H882" s="13" t="s">
        <v>1537</v>
      </c>
      <c r="I882" s="13" t="s">
        <v>1616</v>
      </c>
      <c r="J882" s="13"/>
      <c r="K882" s="13" t="s">
        <v>1572</v>
      </c>
      <c r="L882" s="13" t="s">
        <v>1539</v>
      </c>
      <c r="M882" s="13"/>
    </row>
    <row r="883" customFormat="false" ht="15" hidden="false" customHeight="false" outlineLevel="0" collapsed="false">
      <c r="A883" s="13" t="s">
        <v>610</v>
      </c>
      <c r="B883" s="13" t="s">
        <v>609</v>
      </c>
      <c r="C883" s="13" t="s">
        <v>1546</v>
      </c>
      <c r="D883" s="13" t="s">
        <v>1567</v>
      </c>
      <c r="E883" s="13" t="s">
        <v>1614</v>
      </c>
      <c r="F883" s="13" t="s">
        <v>1618</v>
      </c>
      <c r="G883" s="107" t="n">
        <v>0</v>
      </c>
      <c r="H883" s="13" t="s">
        <v>1537</v>
      </c>
      <c r="I883" s="13" t="s">
        <v>1616</v>
      </c>
      <c r="J883" s="13"/>
      <c r="K883" s="13" t="s">
        <v>1572</v>
      </c>
      <c r="L883" s="13" t="s">
        <v>1539</v>
      </c>
      <c r="M883" s="13"/>
    </row>
    <row r="884" customFormat="false" ht="15" hidden="false" customHeight="false" outlineLevel="0" collapsed="false">
      <c r="A884" s="13" t="s">
        <v>610</v>
      </c>
      <c r="B884" s="13" t="s">
        <v>609</v>
      </c>
      <c r="C884" s="13" t="s">
        <v>1548</v>
      </c>
      <c r="D884" s="13" t="s">
        <v>1567</v>
      </c>
      <c r="E884" s="13" t="s">
        <v>1614</v>
      </c>
      <c r="F884" s="13" t="s">
        <v>1618</v>
      </c>
      <c r="G884" s="61" t="n">
        <v>357000000</v>
      </c>
      <c r="H884" s="13" t="s">
        <v>1537</v>
      </c>
      <c r="I884" s="13" t="s">
        <v>1616</v>
      </c>
      <c r="J884" s="13"/>
      <c r="K884" s="13" t="s">
        <v>1572</v>
      </c>
      <c r="L884" s="13" t="s">
        <v>1539</v>
      </c>
      <c r="M884" s="13"/>
    </row>
    <row r="885" customFormat="false" ht="15" hidden="false" customHeight="false" outlineLevel="0" collapsed="false">
      <c r="A885" s="13" t="s">
        <v>610</v>
      </c>
      <c r="B885" s="13" t="s">
        <v>609</v>
      </c>
      <c r="C885" s="13" t="s">
        <v>1536</v>
      </c>
      <c r="D885" s="13" t="s">
        <v>1567</v>
      </c>
      <c r="E885" s="13" t="s">
        <v>1614</v>
      </c>
      <c r="F885" s="13" t="s">
        <v>1619</v>
      </c>
      <c r="G885" s="61" t="n">
        <v>47937556</v>
      </c>
      <c r="H885" s="13" t="s">
        <v>1537</v>
      </c>
      <c r="I885" s="13" t="s">
        <v>1616</v>
      </c>
      <c r="J885" s="13"/>
      <c r="K885" s="13" t="s">
        <v>1583</v>
      </c>
      <c r="L885" s="13" t="s">
        <v>1539</v>
      </c>
      <c r="M885" s="13"/>
    </row>
    <row r="886" customFormat="false" ht="15" hidden="false" customHeight="false" outlineLevel="0" collapsed="false">
      <c r="A886" s="13" t="s">
        <v>610</v>
      </c>
      <c r="B886" s="13" t="s">
        <v>609</v>
      </c>
      <c r="C886" s="13" t="s">
        <v>1540</v>
      </c>
      <c r="D886" s="13" t="s">
        <v>1567</v>
      </c>
      <c r="E886" s="13" t="s">
        <v>1614</v>
      </c>
      <c r="F886" s="13" t="s">
        <v>1619</v>
      </c>
      <c r="G886" s="61" t="n">
        <v>23478263</v>
      </c>
      <c r="H886" s="13" t="s">
        <v>1537</v>
      </c>
      <c r="I886" s="13" t="s">
        <v>1616</v>
      </c>
      <c r="J886" s="13"/>
      <c r="K886" s="13" t="s">
        <v>1584</v>
      </c>
      <c r="L886" s="13" t="s">
        <v>1542</v>
      </c>
      <c r="M886" s="13"/>
    </row>
    <row r="887" customFormat="false" ht="15" hidden="false" customHeight="false" outlineLevel="0" collapsed="false">
      <c r="A887" s="13" t="s">
        <v>610</v>
      </c>
      <c r="B887" s="13" t="s">
        <v>609</v>
      </c>
      <c r="C887" s="13" t="s">
        <v>1543</v>
      </c>
      <c r="D887" s="13" t="s">
        <v>1567</v>
      </c>
      <c r="E887" s="13" t="s">
        <v>1614</v>
      </c>
      <c r="F887" s="13" t="s">
        <v>1619</v>
      </c>
      <c r="G887" s="61" t="n">
        <v>335543952</v>
      </c>
      <c r="H887" s="13" t="s">
        <v>1537</v>
      </c>
      <c r="I887" s="13" t="s">
        <v>1616</v>
      </c>
      <c r="J887" s="13"/>
      <c r="K887" s="13" t="s">
        <v>1585</v>
      </c>
      <c r="L887" s="13" t="s">
        <v>1539</v>
      </c>
      <c r="M887" s="13"/>
    </row>
    <row r="888" customFormat="false" ht="15" hidden="false" customHeight="false" outlineLevel="0" collapsed="false">
      <c r="A888" s="13" t="s">
        <v>610</v>
      </c>
      <c r="B888" s="13" t="s">
        <v>609</v>
      </c>
      <c r="C888" s="13" t="s">
        <v>1546</v>
      </c>
      <c r="D888" s="13" t="s">
        <v>1567</v>
      </c>
      <c r="E888" s="13" t="s">
        <v>1614</v>
      </c>
      <c r="F888" s="13" t="s">
        <v>1619</v>
      </c>
      <c r="G888" s="61" t="n">
        <v>207000000</v>
      </c>
      <c r="H888" s="13" t="s">
        <v>1537</v>
      </c>
      <c r="I888" s="13" t="s">
        <v>1616</v>
      </c>
      <c r="J888" s="13"/>
      <c r="K888" s="13" t="s">
        <v>1572</v>
      </c>
      <c r="L888" s="13" t="s">
        <v>1539</v>
      </c>
      <c r="M888" s="13"/>
    </row>
    <row r="889" customFormat="false" ht="15" hidden="false" customHeight="false" outlineLevel="0" collapsed="false">
      <c r="A889" s="13" t="s">
        <v>610</v>
      </c>
      <c r="B889" s="13" t="s">
        <v>609</v>
      </c>
      <c r="C889" s="13" t="s">
        <v>1548</v>
      </c>
      <c r="D889" s="13" t="s">
        <v>1567</v>
      </c>
      <c r="E889" s="13" t="s">
        <v>1614</v>
      </c>
      <c r="F889" s="13" t="s">
        <v>1619</v>
      </c>
      <c r="G889" s="107" t="n">
        <v>0</v>
      </c>
      <c r="H889" s="13" t="s">
        <v>1537</v>
      </c>
      <c r="I889" s="13" t="s">
        <v>1616</v>
      </c>
      <c r="J889" s="13"/>
      <c r="K889" s="13" t="s">
        <v>1572</v>
      </c>
      <c r="L889" s="13" t="s">
        <v>1539</v>
      </c>
      <c r="M889" s="13"/>
    </row>
    <row r="890" customFormat="false" ht="15" hidden="false" customHeight="false" outlineLevel="0" collapsed="false">
      <c r="A890" s="13" t="s">
        <v>610</v>
      </c>
      <c r="B890" s="13" t="s">
        <v>609</v>
      </c>
      <c r="C890" s="13" t="s">
        <v>1546</v>
      </c>
      <c r="D890" s="13" t="s">
        <v>1567</v>
      </c>
      <c r="E890" s="13" t="s">
        <v>1614</v>
      </c>
      <c r="F890" s="13" t="s">
        <v>1620</v>
      </c>
      <c r="G890" s="107" t="n">
        <v>0</v>
      </c>
      <c r="H890" s="13" t="s">
        <v>1537</v>
      </c>
      <c r="I890" s="13" t="s">
        <v>1616</v>
      </c>
      <c r="J890" s="13"/>
      <c r="K890" s="13" t="s">
        <v>1572</v>
      </c>
      <c r="L890" s="13" t="s">
        <v>1539</v>
      </c>
      <c r="M890" s="13"/>
    </row>
    <row r="891" customFormat="false" ht="15" hidden="false" customHeight="false" outlineLevel="0" collapsed="false">
      <c r="A891" s="13" t="s">
        <v>610</v>
      </c>
      <c r="B891" s="13" t="s">
        <v>609</v>
      </c>
      <c r="C891" s="13" t="s">
        <v>1548</v>
      </c>
      <c r="D891" s="13" t="s">
        <v>1567</v>
      </c>
      <c r="E891" s="13" t="s">
        <v>1614</v>
      </c>
      <c r="F891" s="13" t="s">
        <v>1620</v>
      </c>
      <c r="G891" s="61" t="n">
        <v>-10348000000</v>
      </c>
      <c r="H891" s="13" t="s">
        <v>1537</v>
      </c>
      <c r="I891" s="13" t="s">
        <v>1616</v>
      </c>
      <c r="J891" s="13"/>
      <c r="K891" s="13" t="s">
        <v>1572</v>
      </c>
      <c r="L891" s="13" t="s">
        <v>1539</v>
      </c>
      <c r="M891" s="13"/>
    </row>
    <row r="892" customFormat="false" ht="15" hidden="false" customHeight="false" outlineLevel="0" collapsed="false">
      <c r="A892" s="13" t="s">
        <v>610</v>
      </c>
      <c r="B892" s="13" t="s">
        <v>609</v>
      </c>
      <c r="C892" s="13" t="s">
        <v>1546</v>
      </c>
      <c r="D892" s="13" t="s">
        <v>1567</v>
      </c>
      <c r="E892" s="13" t="s">
        <v>1614</v>
      </c>
      <c r="F892" s="13" t="s">
        <v>1621</v>
      </c>
      <c r="G892" s="61" t="n">
        <v>-14307000000</v>
      </c>
      <c r="H892" s="13" t="s">
        <v>1537</v>
      </c>
      <c r="I892" s="13" t="s">
        <v>1616</v>
      </c>
      <c r="J892" s="13"/>
      <c r="K892" s="13" t="s">
        <v>1572</v>
      </c>
      <c r="L892" s="13" t="s">
        <v>1539</v>
      </c>
      <c r="M892" s="13"/>
    </row>
    <row r="893" customFormat="false" ht="15" hidden="false" customHeight="false" outlineLevel="0" collapsed="false">
      <c r="A893" s="13" t="s">
        <v>610</v>
      </c>
      <c r="B893" s="13" t="s">
        <v>609</v>
      </c>
      <c r="C893" s="13" t="s">
        <v>1548</v>
      </c>
      <c r="D893" s="13" t="s">
        <v>1567</v>
      </c>
      <c r="E893" s="13" t="s">
        <v>1614</v>
      </c>
      <c r="F893" s="13" t="s">
        <v>1621</v>
      </c>
      <c r="G893" s="61" t="n">
        <v>-4477000000</v>
      </c>
      <c r="H893" s="13" t="s">
        <v>1537</v>
      </c>
      <c r="I893" s="13" t="s">
        <v>1616</v>
      </c>
      <c r="J893" s="13"/>
      <c r="K893" s="13" t="s">
        <v>1572</v>
      </c>
      <c r="L893" s="13" t="s">
        <v>1539</v>
      </c>
      <c r="M893" s="13"/>
    </row>
    <row r="894" customFormat="false" ht="15" hidden="false" customHeight="false" outlineLevel="0" collapsed="false">
      <c r="A894" s="13" t="s">
        <v>610</v>
      </c>
      <c r="B894" s="13" t="s">
        <v>609</v>
      </c>
      <c r="C894" s="13" t="s">
        <v>1546</v>
      </c>
      <c r="D894" s="13" t="s">
        <v>1567</v>
      </c>
      <c r="E894" s="13" t="s">
        <v>1614</v>
      </c>
      <c r="F894" s="13" t="s">
        <v>1622</v>
      </c>
      <c r="G894" s="61" t="n">
        <v>-14742000000</v>
      </c>
      <c r="H894" s="13" t="s">
        <v>1537</v>
      </c>
      <c r="I894" s="13" t="s">
        <v>1616</v>
      </c>
      <c r="J894" s="13"/>
      <c r="K894" s="13" t="s">
        <v>1572</v>
      </c>
      <c r="L894" s="13" t="s">
        <v>1539</v>
      </c>
      <c r="M894" s="13"/>
    </row>
    <row r="895" customFormat="false" ht="15" hidden="false" customHeight="false" outlineLevel="0" collapsed="false">
      <c r="A895" s="13" t="s">
        <v>610</v>
      </c>
      <c r="B895" s="13" t="s">
        <v>609</v>
      </c>
      <c r="C895" s="13" t="s">
        <v>1548</v>
      </c>
      <c r="D895" s="13" t="s">
        <v>1567</v>
      </c>
      <c r="E895" s="13" t="s">
        <v>1614</v>
      </c>
      <c r="F895" s="13" t="s">
        <v>1622</v>
      </c>
      <c r="G895" s="107" t="n">
        <v>0</v>
      </c>
      <c r="H895" s="13" t="s">
        <v>1537</v>
      </c>
      <c r="I895" s="13" t="s">
        <v>1616</v>
      </c>
      <c r="J895" s="13"/>
      <c r="K895" s="13" t="s">
        <v>1572</v>
      </c>
      <c r="L895" s="13" t="s">
        <v>1539</v>
      </c>
      <c r="M895" s="13"/>
    </row>
    <row r="896" customFormat="false" ht="15" hidden="false" customHeight="false" outlineLevel="0" collapsed="false">
      <c r="A896" s="13" t="s">
        <v>610</v>
      </c>
      <c r="B896" s="13" t="s">
        <v>609</v>
      </c>
      <c r="C896" s="13" t="s">
        <v>1546</v>
      </c>
      <c r="D896" s="13" t="s">
        <v>1567</v>
      </c>
      <c r="E896" s="13" t="s">
        <v>1614</v>
      </c>
      <c r="F896" s="13" t="s">
        <v>1623</v>
      </c>
      <c r="G896" s="61" t="n">
        <v>-6480000000</v>
      </c>
      <c r="H896" s="13" t="s">
        <v>1537</v>
      </c>
      <c r="I896" s="13" t="s">
        <v>1616</v>
      </c>
      <c r="J896" s="13"/>
      <c r="K896" s="13" t="s">
        <v>1572</v>
      </c>
      <c r="L896" s="13" t="s">
        <v>1539</v>
      </c>
      <c r="M896" s="13"/>
    </row>
    <row r="897" customFormat="false" ht="15" hidden="false" customHeight="false" outlineLevel="0" collapsed="false">
      <c r="A897" s="13" t="s">
        <v>610</v>
      </c>
      <c r="B897" s="13" t="s">
        <v>609</v>
      </c>
      <c r="C897" s="13" t="s">
        <v>1548</v>
      </c>
      <c r="D897" s="13" t="s">
        <v>1567</v>
      </c>
      <c r="E897" s="13" t="s">
        <v>1614</v>
      </c>
      <c r="F897" s="13" t="s">
        <v>1623</v>
      </c>
      <c r="G897" s="107" t="n">
        <v>0</v>
      </c>
      <c r="H897" s="13" t="s">
        <v>1537</v>
      </c>
      <c r="I897" s="13" t="s">
        <v>1616</v>
      </c>
      <c r="J897" s="13"/>
      <c r="K897" s="13" t="s">
        <v>1572</v>
      </c>
      <c r="L897" s="13" t="s">
        <v>1539</v>
      </c>
      <c r="M897" s="13"/>
    </row>
    <row r="898" customFormat="false" ht="15" hidden="false" customHeight="false" outlineLevel="0" collapsed="false">
      <c r="A898" s="13" t="s">
        <v>610</v>
      </c>
      <c r="B898" s="13" t="s">
        <v>609</v>
      </c>
      <c r="C898" s="13" t="s">
        <v>1536</v>
      </c>
      <c r="D898" s="13" t="s">
        <v>1567</v>
      </c>
      <c r="E898" s="13" t="s">
        <v>1614</v>
      </c>
      <c r="F898" s="13" t="s">
        <v>1582</v>
      </c>
      <c r="G898" s="61" t="n">
        <v>28429533228</v>
      </c>
      <c r="H898" s="13" t="s">
        <v>1537</v>
      </c>
      <c r="I898" s="13" t="s">
        <v>1616</v>
      </c>
      <c r="J898" s="13"/>
      <c r="K898" s="13" t="s">
        <v>1583</v>
      </c>
      <c r="L898" s="13" t="s">
        <v>1539</v>
      </c>
      <c r="M898" s="13"/>
    </row>
    <row r="899" customFormat="false" ht="15" hidden="false" customHeight="false" outlineLevel="0" collapsed="false">
      <c r="A899" s="13" t="s">
        <v>610</v>
      </c>
      <c r="B899" s="13" t="s">
        <v>609</v>
      </c>
      <c r="C899" s="13" t="s">
        <v>1540</v>
      </c>
      <c r="D899" s="13" t="s">
        <v>1567</v>
      </c>
      <c r="E899" s="13" t="s">
        <v>1614</v>
      </c>
      <c r="F899" s="13" t="s">
        <v>1582</v>
      </c>
      <c r="G899" s="61" t="n">
        <v>24028154926</v>
      </c>
      <c r="H899" s="13" t="s">
        <v>1537</v>
      </c>
      <c r="I899" s="13" t="s">
        <v>1616</v>
      </c>
      <c r="J899" s="13"/>
      <c r="K899" s="13" t="s">
        <v>1584</v>
      </c>
      <c r="L899" s="13" t="s">
        <v>1542</v>
      </c>
      <c r="M899" s="13"/>
    </row>
    <row r="900" customFormat="false" ht="15" hidden="false" customHeight="false" outlineLevel="0" collapsed="false">
      <c r="A900" s="13" t="s">
        <v>610</v>
      </c>
      <c r="B900" s="13" t="s">
        <v>609</v>
      </c>
      <c r="C900" s="13" t="s">
        <v>1543</v>
      </c>
      <c r="D900" s="13" t="s">
        <v>1567</v>
      </c>
      <c r="E900" s="13" t="s">
        <v>1614</v>
      </c>
      <c r="F900" s="13" t="s">
        <v>1582</v>
      </c>
      <c r="G900" s="61" t="n">
        <v>4159861446</v>
      </c>
      <c r="H900" s="13" t="s">
        <v>1537</v>
      </c>
      <c r="I900" s="13" t="s">
        <v>1616</v>
      </c>
      <c r="J900" s="13"/>
      <c r="K900" s="13" t="s">
        <v>1585</v>
      </c>
      <c r="L900" s="13" t="s">
        <v>1539</v>
      </c>
      <c r="M900" s="13"/>
    </row>
    <row r="901" customFormat="false" ht="15" hidden="false" customHeight="false" outlineLevel="0" collapsed="false">
      <c r="A901" s="13" t="s">
        <v>610</v>
      </c>
      <c r="B901" s="13" t="s">
        <v>609</v>
      </c>
      <c r="C901" s="13" t="s">
        <v>1545</v>
      </c>
      <c r="D901" s="13" t="s">
        <v>1567</v>
      </c>
      <c r="E901" s="13" t="s">
        <v>1614</v>
      </c>
      <c r="F901" s="13" t="s">
        <v>1582</v>
      </c>
      <c r="G901" s="61" t="n">
        <v>7014000000</v>
      </c>
      <c r="H901" s="13" t="s">
        <v>1537</v>
      </c>
      <c r="I901" s="13" t="s">
        <v>1616</v>
      </c>
      <c r="J901" s="13"/>
      <c r="K901" s="13" t="s">
        <v>1571</v>
      </c>
      <c r="L901" s="13" t="s">
        <v>1539</v>
      </c>
      <c r="M901" s="13"/>
    </row>
    <row r="902" customFormat="false" ht="15" hidden="false" customHeight="false" outlineLevel="0" collapsed="false">
      <c r="A902" s="13" t="s">
        <v>610</v>
      </c>
      <c r="B902" s="13" t="s">
        <v>609</v>
      </c>
      <c r="C902" s="13" t="s">
        <v>1546</v>
      </c>
      <c r="D902" s="13" t="s">
        <v>1567</v>
      </c>
      <c r="E902" s="13" t="s">
        <v>1614</v>
      </c>
      <c r="F902" s="13" t="s">
        <v>1582</v>
      </c>
      <c r="G902" s="61" t="n">
        <v>-24777000000</v>
      </c>
      <c r="H902" s="13" t="s">
        <v>1537</v>
      </c>
      <c r="I902" s="13" t="s">
        <v>1616</v>
      </c>
      <c r="J902" s="13"/>
      <c r="K902" s="13" t="s">
        <v>1572</v>
      </c>
      <c r="L902" s="13" t="s">
        <v>1539</v>
      </c>
      <c r="M902" s="13"/>
    </row>
    <row r="903" customFormat="false" ht="15" hidden="false" customHeight="false" outlineLevel="0" collapsed="false">
      <c r="A903" s="13" t="s">
        <v>610</v>
      </c>
      <c r="B903" s="13" t="s">
        <v>609</v>
      </c>
      <c r="C903" s="13" t="s">
        <v>1548</v>
      </c>
      <c r="D903" s="13" t="s">
        <v>1567</v>
      </c>
      <c r="E903" s="13" t="s">
        <v>1614</v>
      </c>
      <c r="F903" s="13" t="s">
        <v>1582</v>
      </c>
      <c r="G903" s="61" t="n">
        <v>2883000000</v>
      </c>
      <c r="H903" s="13" t="s">
        <v>1537</v>
      </c>
      <c r="I903" s="13" t="s">
        <v>1616</v>
      </c>
      <c r="J903" s="13"/>
      <c r="K903" s="13" t="s">
        <v>1572</v>
      </c>
      <c r="L903" s="13" t="s">
        <v>1539</v>
      </c>
      <c r="M903" s="13"/>
    </row>
    <row r="904" customFormat="false" ht="15" hidden="false" customHeight="false" outlineLevel="0" collapsed="false">
      <c r="A904" s="13" t="s">
        <v>610</v>
      </c>
      <c r="B904" s="13" t="s">
        <v>609</v>
      </c>
      <c r="C904" s="13" t="s">
        <v>1536</v>
      </c>
      <c r="D904" s="13" t="s">
        <v>1567</v>
      </c>
      <c r="E904" s="13" t="s">
        <v>1624</v>
      </c>
      <c r="F904" s="13" t="s">
        <v>1625</v>
      </c>
      <c r="G904" s="61" t="n">
        <v>12000705445</v>
      </c>
      <c r="H904" s="13" t="s">
        <v>1626</v>
      </c>
      <c r="I904" s="13" t="s">
        <v>110</v>
      </c>
      <c r="J904" s="13"/>
      <c r="K904" s="13" t="s">
        <v>1583</v>
      </c>
      <c r="L904" s="13" t="s">
        <v>1539</v>
      </c>
      <c r="M904" s="13"/>
    </row>
    <row r="905" customFormat="false" ht="15" hidden="false" customHeight="false" outlineLevel="0" collapsed="false">
      <c r="A905" s="13" t="s">
        <v>610</v>
      </c>
      <c r="B905" s="13" t="s">
        <v>609</v>
      </c>
      <c r="C905" s="13" t="s">
        <v>1540</v>
      </c>
      <c r="D905" s="13" t="s">
        <v>1567</v>
      </c>
      <c r="E905" s="13" t="s">
        <v>1624</v>
      </c>
      <c r="F905" s="13" t="s">
        <v>1625</v>
      </c>
      <c r="G905" s="61" t="n">
        <v>12000705445</v>
      </c>
      <c r="H905" s="13" t="s">
        <v>1626</v>
      </c>
      <c r="I905" s="13" t="s">
        <v>110</v>
      </c>
      <c r="J905" s="13"/>
      <c r="K905" s="13" t="s">
        <v>1584</v>
      </c>
      <c r="L905" s="13" t="s">
        <v>1542</v>
      </c>
      <c r="M905" s="13"/>
    </row>
    <row r="906" customFormat="false" ht="15" hidden="false" customHeight="false" outlineLevel="0" collapsed="false">
      <c r="A906" s="13" t="s">
        <v>610</v>
      </c>
      <c r="B906" s="13" t="s">
        <v>609</v>
      </c>
      <c r="C906" s="13" t="s">
        <v>1543</v>
      </c>
      <c r="D906" s="13" t="s">
        <v>1567</v>
      </c>
      <c r="E906" s="13" t="s">
        <v>1624</v>
      </c>
      <c r="F906" s="13" t="s">
        <v>1625</v>
      </c>
      <c r="G906" s="61" t="n">
        <v>12000705445</v>
      </c>
      <c r="H906" s="13" t="s">
        <v>1626</v>
      </c>
      <c r="I906" s="13" t="s">
        <v>110</v>
      </c>
      <c r="J906" s="13"/>
      <c r="K906" s="13" t="s">
        <v>1585</v>
      </c>
      <c r="L906" s="13" t="s">
        <v>1539</v>
      </c>
      <c r="M906" s="13"/>
    </row>
    <row r="907" customFormat="false" ht="15" hidden="false" customHeight="false" outlineLevel="0" collapsed="false">
      <c r="A907" s="13" t="s">
        <v>610</v>
      </c>
      <c r="B907" s="13" t="s">
        <v>609</v>
      </c>
      <c r="C907" s="13" t="s">
        <v>1545</v>
      </c>
      <c r="D907" s="13" t="s">
        <v>1567</v>
      </c>
      <c r="E907" s="13" t="s">
        <v>1624</v>
      </c>
      <c r="F907" s="13" t="s">
        <v>1625</v>
      </c>
      <c r="G907" s="61" t="n">
        <v>12000705445</v>
      </c>
      <c r="H907" s="13" t="s">
        <v>1626</v>
      </c>
      <c r="I907" s="13" t="s">
        <v>110</v>
      </c>
      <c r="J907" s="13"/>
      <c r="K907" s="13" t="s">
        <v>1571</v>
      </c>
      <c r="L907" s="13" t="s">
        <v>1539</v>
      </c>
      <c r="M907" s="13"/>
    </row>
    <row r="908" customFormat="false" ht="15" hidden="false" customHeight="false" outlineLevel="0" collapsed="false">
      <c r="A908" s="13" t="s">
        <v>610</v>
      </c>
      <c r="B908" s="13" t="s">
        <v>609</v>
      </c>
      <c r="C908" s="13" t="s">
        <v>1546</v>
      </c>
      <c r="D908" s="13" t="s">
        <v>1567</v>
      </c>
      <c r="E908" s="13" t="s">
        <v>1624</v>
      </c>
      <c r="F908" s="13" t="s">
        <v>1625</v>
      </c>
      <c r="G908" s="61" t="n">
        <v>12000705445</v>
      </c>
      <c r="H908" s="13" t="s">
        <v>1626</v>
      </c>
      <c r="I908" s="13" t="s">
        <v>110</v>
      </c>
      <c r="J908" s="13"/>
      <c r="K908" s="13" t="s">
        <v>1572</v>
      </c>
      <c r="L908" s="13" t="s">
        <v>1539</v>
      </c>
      <c r="M908" s="13"/>
    </row>
    <row r="909" customFormat="false" ht="15" hidden="false" customHeight="false" outlineLevel="0" collapsed="false">
      <c r="A909" s="13" t="s">
        <v>610</v>
      </c>
      <c r="B909" s="13" t="s">
        <v>609</v>
      </c>
      <c r="C909" s="13" t="s">
        <v>1548</v>
      </c>
      <c r="D909" s="13" t="s">
        <v>1567</v>
      </c>
      <c r="E909" s="13" t="s">
        <v>1624</v>
      </c>
      <c r="F909" s="13" t="s">
        <v>1625</v>
      </c>
      <c r="G909" s="61" t="n">
        <v>12202405868</v>
      </c>
      <c r="H909" s="13" t="s">
        <v>1626</v>
      </c>
      <c r="I909" s="13" t="s">
        <v>110</v>
      </c>
      <c r="J909" s="13"/>
      <c r="K909" s="13" t="s">
        <v>1572</v>
      </c>
      <c r="L909" s="13" t="s">
        <v>1539</v>
      </c>
      <c r="M909" s="13"/>
    </row>
    <row r="910" customFormat="false" ht="15" hidden="false" customHeight="false" outlineLevel="0" collapsed="false">
      <c r="A910" s="13" t="s">
        <v>610</v>
      </c>
      <c r="B910" s="13" t="s">
        <v>609</v>
      </c>
      <c r="C910" s="13" t="s">
        <v>1536</v>
      </c>
      <c r="D910" s="13" t="s">
        <v>1567</v>
      </c>
      <c r="E910" s="13" t="s">
        <v>1586</v>
      </c>
      <c r="F910" s="13" t="s">
        <v>1627</v>
      </c>
      <c r="G910" s="61" t="n">
        <v>255673214045</v>
      </c>
      <c r="H910" s="13" t="s">
        <v>1537</v>
      </c>
      <c r="I910" s="13" t="s">
        <v>1588</v>
      </c>
      <c r="J910" s="13"/>
      <c r="K910" s="13" t="s">
        <v>1583</v>
      </c>
      <c r="L910" s="13" t="s">
        <v>1539</v>
      </c>
      <c r="M910" s="13"/>
    </row>
    <row r="911" customFormat="false" ht="15" hidden="false" customHeight="false" outlineLevel="0" collapsed="false">
      <c r="A911" s="13" t="s">
        <v>610</v>
      </c>
      <c r="B911" s="13" t="s">
        <v>609</v>
      </c>
      <c r="C911" s="13" t="s">
        <v>1540</v>
      </c>
      <c r="D911" s="13" t="s">
        <v>1567</v>
      </c>
      <c r="E911" s="13" t="s">
        <v>1586</v>
      </c>
      <c r="F911" s="13" t="s">
        <v>1627</v>
      </c>
      <c r="G911" s="61" t="n">
        <v>365894592513</v>
      </c>
      <c r="H911" s="13" t="s">
        <v>1537</v>
      </c>
      <c r="I911" s="13" t="s">
        <v>1588</v>
      </c>
      <c r="J911" s="13"/>
      <c r="K911" s="13" t="s">
        <v>1584</v>
      </c>
      <c r="L911" s="13" t="s">
        <v>1542</v>
      </c>
      <c r="M911" s="13"/>
    </row>
    <row r="912" customFormat="false" ht="15" hidden="false" customHeight="false" outlineLevel="0" collapsed="false">
      <c r="A912" s="13" t="s">
        <v>610</v>
      </c>
      <c r="B912" s="13" t="s">
        <v>609</v>
      </c>
      <c r="C912" s="13" t="s">
        <v>1543</v>
      </c>
      <c r="D912" s="13" t="s">
        <v>1567</v>
      </c>
      <c r="E912" s="13" t="s">
        <v>1586</v>
      </c>
      <c r="F912" s="13" t="s">
        <v>1627</v>
      </c>
      <c r="G912" s="61" t="n">
        <v>481880938211</v>
      </c>
      <c r="H912" s="13" t="s">
        <v>1537</v>
      </c>
      <c r="I912" s="13" t="s">
        <v>1588</v>
      </c>
      <c r="J912" s="13"/>
      <c r="K912" s="13" t="s">
        <v>1585</v>
      </c>
      <c r="L912" s="13" t="s">
        <v>1539</v>
      </c>
      <c r="M912" s="13"/>
    </row>
    <row r="913" customFormat="false" ht="15" hidden="false" customHeight="false" outlineLevel="0" collapsed="false">
      <c r="A913" s="13" t="s">
        <v>610</v>
      </c>
      <c r="B913" s="13" t="s">
        <v>609</v>
      </c>
      <c r="C913" s="13" t="s">
        <v>1545</v>
      </c>
      <c r="D913" s="13" t="s">
        <v>1567</v>
      </c>
      <c r="E913" s="13" t="s">
        <v>1586</v>
      </c>
      <c r="F913" s="13" t="s">
        <v>1627</v>
      </c>
      <c r="G913" s="61" t="n">
        <v>672126000000</v>
      </c>
      <c r="H913" s="13" t="s">
        <v>1537</v>
      </c>
      <c r="I913" s="13" t="s">
        <v>1588</v>
      </c>
      <c r="J913" s="13"/>
      <c r="K913" s="13" t="s">
        <v>1571</v>
      </c>
      <c r="L913" s="13" t="s">
        <v>1539</v>
      </c>
      <c r="M913" s="13"/>
    </row>
    <row r="914" customFormat="false" ht="15" hidden="false" customHeight="false" outlineLevel="0" collapsed="false">
      <c r="A914" s="13" t="s">
        <v>610</v>
      </c>
      <c r="B914" s="13" t="s">
        <v>609</v>
      </c>
      <c r="C914" s="13" t="s">
        <v>1536</v>
      </c>
      <c r="D914" s="13" t="s">
        <v>1567</v>
      </c>
      <c r="E914" s="13" t="s">
        <v>1586</v>
      </c>
      <c r="F914" s="13" t="s">
        <v>1628</v>
      </c>
      <c r="G914" s="61" t="n">
        <v>107522125465</v>
      </c>
      <c r="H914" s="13" t="s">
        <v>1537</v>
      </c>
      <c r="I914" s="13" t="s">
        <v>1588</v>
      </c>
      <c r="J914" s="13"/>
      <c r="K914" s="13" t="s">
        <v>1583</v>
      </c>
      <c r="L914" s="13" t="s">
        <v>1539</v>
      </c>
      <c r="M914" s="13"/>
    </row>
    <row r="915" customFormat="false" ht="15" hidden="false" customHeight="false" outlineLevel="0" collapsed="false">
      <c r="A915" s="13" t="s">
        <v>610</v>
      </c>
      <c r="B915" s="13" t="s">
        <v>609</v>
      </c>
      <c r="C915" s="13" t="s">
        <v>1540</v>
      </c>
      <c r="D915" s="13" t="s">
        <v>1567</v>
      </c>
      <c r="E915" s="13" t="s">
        <v>1586</v>
      </c>
      <c r="F915" s="13" t="s">
        <v>1628</v>
      </c>
      <c r="G915" s="61" t="n">
        <v>189986508260</v>
      </c>
      <c r="H915" s="13" t="s">
        <v>1537</v>
      </c>
      <c r="I915" s="13" t="s">
        <v>1588</v>
      </c>
      <c r="J915" s="13"/>
      <c r="K915" s="13" t="s">
        <v>1584</v>
      </c>
      <c r="L915" s="13" t="s">
        <v>1542</v>
      </c>
      <c r="M915" s="13"/>
    </row>
    <row r="916" customFormat="false" ht="15" hidden="false" customHeight="false" outlineLevel="0" collapsed="false">
      <c r="A916" s="13" t="s">
        <v>610</v>
      </c>
      <c r="B916" s="13" t="s">
        <v>609</v>
      </c>
      <c r="C916" s="13" t="s">
        <v>1543</v>
      </c>
      <c r="D916" s="13" t="s">
        <v>1567</v>
      </c>
      <c r="E916" s="13" t="s">
        <v>1586</v>
      </c>
      <c r="F916" s="13" t="s">
        <v>1628</v>
      </c>
      <c r="G916" s="61" t="n">
        <v>183278794685</v>
      </c>
      <c r="H916" s="13" t="s">
        <v>1537</v>
      </c>
      <c r="I916" s="13" t="s">
        <v>1588</v>
      </c>
      <c r="J916" s="13"/>
      <c r="K916" s="13" t="s">
        <v>1585</v>
      </c>
      <c r="L916" s="13" t="s">
        <v>1539</v>
      </c>
      <c r="M916" s="13"/>
    </row>
    <row r="917" customFormat="false" ht="15" hidden="false" customHeight="false" outlineLevel="0" collapsed="false">
      <c r="A917" s="13" t="s">
        <v>610</v>
      </c>
      <c r="B917" s="13" t="s">
        <v>609</v>
      </c>
      <c r="C917" s="13" t="s">
        <v>1545</v>
      </c>
      <c r="D917" s="13" t="s">
        <v>1567</v>
      </c>
      <c r="E917" s="13" t="s">
        <v>1586</v>
      </c>
      <c r="F917" s="13" t="s">
        <v>1628</v>
      </c>
      <c r="G917" s="61" t="n">
        <v>490996000000</v>
      </c>
      <c r="H917" s="13" t="s">
        <v>1537</v>
      </c>
      <c r="I917" s="13" t="s">
        <v>1588</v>
      </c>
      <c r="J917" s="13"/>
      <c r="K917" s="13" t="s">
        <v>1571</v>
      </c>
      <c r="L917" s="13" t="s">
        <v>1539</v>
      </c>
      <c r="M917" s="13"/>
    </row>
    <row r="918" customFormat="false" ht="15" hidden="false" customHeight="false" outlineLevel="0" collapsed="false">
      <c r="A918" s="13" t="s">
        <v>610</v>
      </c>
      <c r="B918" s="13" t="s">
        <v>609</v>
      </c>
      <c r="C918" s="13" t="s">
        <v>1545</v>
      </c>
      <c r="D918" s="13" t="s">
        <v>1567</v>
      </c>
      <c r="E918" s="13" t="s">
        <v>1596</v>
      </c>
      <c r="F918" s="13" t="s">
        <v>1629</v>
      </c>
      <c r="G918" s="61" t="n">
        <v>16221000000</v>
      </c>
      <c r="H918" s="13" t="s">
        <v>1537</v>
      </c>
      <c r="I918" s="13" t="s">
        <v>1597</v>
      </c>
      <c r="J918" s="13"/>
      <c r="K918" s="13" t="s">
        <v>1571</v>
      </c>
      <c r="L918" s="13" t="s">
        <v>1539</v>
      </c>
      <c r="M918" s="13"/>
    </row>
    <row r="919" customFormat="false" ht="15" hidden="false" customHeight="false" outlineLevel="0" collapsed="false">
      <c r="A919" s="13" t="s">
        <v>610</v>
      </c>
      <c r="B919" s="13" t="s">
        <v>609</v>
      </c>
      <c r="C919" s="13" t="s">
        <v>1536</v>
      </c>
      <c r="D919" s="13" t="s">
        <v>1567</v>
      </c>
      <c r="E919" s="13" t="s">
        <v>1596</v>
      </c>
      <c r="F919" s="13" t="s">
        <v>1630</v>
      </c>
      <c r="G919" s="61" t="n">
        <v>9386707702</v>
      </c>
      <c r="H919" s="13" t="s">
        <v>1537</v>
      </c>
      <c r="I919" s="13" t="s">
        <v>1597</v>
      </c>
      <c r="J919" s="13"/>
      <c r="K919" s="13" t="s">
        <v>1583</v>
      </c>
      <c r="L919" s="13" t="s">
        <v>1539</v>
      </c>
      <c r="M919" s="13"/>
    </row>
    <row r="920" customFormat="false" ht="15" hidden="false" customHeight="false" outlineLevel="0" collapsed="false">
      <c r="A920" s="13" t="s">
        <v>610</v>
      </c>
      <c r="B920" s="13" t="s">
        <v>609</v>
      </c>
      <c r="C920" s="13" t="s">
        <v>1540</v>
      </c>
      <c r="D920" s="13" t="s">
        <v>1567</v>
      </c>
      <c r="E920" s="13" t="s">
        <v>1596</v>
      </c>
      <c r="F920" s="13" t="s">
        <v>1630</v>
      </c>
      <c r="G920" s="61" t="n">
        <v>6228304907</v>
      </c>
      <c r="H920" s="13" t="s">
        <v>1537</v>
      </c>
      <c r="I920" s="13" t="s">
        <v>1597</v>
      </c>
      <c r="J920" s="13"/>
      <c r="K920" s="13" t="s">
        <v>1584</v>
      </c>
      <c r="L920" s="13" t="s">
        <v>1542</v>
      </c>
      <c r="M920" s="13"/>
    </row>
    <row r="921" customFormat="false" ht="15" hidden="false" customHeight="false" outlineLevel="0" collapsed="false">
      <c r="A921" s="13" t="s">
        <v>610</v>
      </c>
      <c r="B921" s="13" t="s">
        <v>609</v>
      </c>
      <c r="C921" s="13" t="s">
        <v>1543</v>
      </c>
      <c r="D921" s="13" t="s">
        <v>1567</v>
      </c>
      <c r="E921" s="13" t="s">
        <v>1596</v>
      </c>
      <c r="F921" s="13" t="s">
        <v>1630</v>
      </c>
      <c r="G921" s="61" t="n">
        <v>6522092246</v>
      </c>
      <c r="H921" s="13" t="s">
        <v>1537</v>
      </c>
      <c r="I921" s="13" t="s">
        <v>1597</v>
      </c>
      <c r="J921" s="13"/>
      <c r="K921" s="13" t="s">
        <v>1585</v>
      </c>
      <c r="L921" s="13" t="s">
        <v>1539</v>
      </c>
      <c r="M921" s="13"/>
    </row>
    <row r="922" customFormat="false" ht="15" hidden="false" customHeight="false" outlineLevel="0" collapsed="false">
      <c r="A922" s="13" t="s">
        <v>610</v>
      </c>
      <c r="B922" s="13" t="s">
        <v>609</v>
      </c>
      <c r="C922" s="13" t="s">
        <v>1545</v>
      </c>
      <c r="D922" s="13" t="s">
        <v>1567</v>
      </c>
      <c r="E922" s="13" t="s">
        <v>1596</v>
      </c>
      <c r="F922" s="13" t="s">
        <v>1630</v>
      </c>
      <c r="G922" s="61" t="n">
        <v>8710000000</v>
      </c>
      <c r="H922" s="13" t="s">
        <v>1537</v>
      </c>
      <c r="I922" s="13" t="s">
        <v>1597</v>
      </c>
      <c r="J922" s="13"/>
      <c r="K922" s="13" t="s">
        <v>1571</v>
      </c>
      <c r="L922" s="13" t="s">
        <v>1539</v>
      </c>
      <c r="M922" s="13"/>
    </row>
    <row r="923" customFormat="false" ht="15" hidden="false" customHeight="false" outlineLevel="0" collapsed="false">
      <c r="A923" s="13" t="s">
        <v>610</v>
      </c>
      <c r="B923" s="13" t="s">
        <v>609</v>
      </c>
      <c r="C923" s="13" t="s">
        <v>1536</v>
      </c>
      <c r="D923" s="13" t="s">
        <v>1567</v>
      </c>
      <c r="E923" s="13" t="s">
        <v>1596</v>
      </c>
      <c r="F923" s="13" t="s">
        <v>1631</v>
      </c>
      <c r="G923" s="61" t="n">
        <v>1934818851</v>
      </c>
      <c r="H923" s="13" t="s">
        <v>1537</v>
      </c>
      <c r="I923" s="13" t="s">
        <v>1597</v>
      </c>
      <c r="J923" s="13"/>
      <c r="K923" s="13" t="s">
        <v>1583</v>
      </c>
      <c r="L923" s="13" t="s">
        <v>1539</v>
      </c>
      <c r="M923" s="13"/>
    </row>
    <row r="924" customFormat="false" ht="15" hidden="false" customHeight="false" outlineLevel="0" collapsed="false">
      <c r="A924" s="13" t="s">
        <v>610</v>
      </c>
      <c r="B924" s="13" t="s">
        <v>609</v>
      </c>
      <c r="C924" s="13" t="s">
        <v>1540</v>
      </c>
      <c r="D924" s="13" t="s">
        <v>1567</v>
      </c>
      <c r="E924" s="13" t="s">
        <v>1596</v>
      </c>
      <c r="F924" s="13" t="s">
        <v>1631</v>
      </c>
      <c r="G924" s="61" t="n">
        <v>3906003284</v>
      </c>
      <c r="H924" s="13" t="s">
        <v>1537</v>
      </c>
      <c r="I924" s="13" t="s">
        <v>1597</v>
      </c>
      <c r="J924" s="13"/>
      <c r="K924" s="13" t="s">
        <v>1584</v>
      </c>
      <c r="L924" s="13" t="s">
        <v>1542</v>
      </c>
      <c r="M924" s="13"/>
    </row>
    <row r="925" customFormat="false" ht="15" hidden="false" customHeight="false" outlineLevel="0" collapsed="false">
      <c r="A925" s="13" t="s">
        <v>610</v>
      </c>
      <c r="B925" s="13" t="s">
        <v>609</v>
      </c>
      <c r="C925" s="13" t="s">
        <v>1543</v>
      </c>
      <c r="D925" s="13" t="s">
        <v>1567</v>
      </c>
      <c r="E925" s="13" t="s">
        <v>1596</v>
      </c>
      <c r="F925" s="13" t="s">
        <v>1631</v>
      </c>
      <c r="G925" s="61" t="n">
        <v>4175232178</v>
      </c>
      <c r="H925" s="13" t="s">
        <v>1537</v>
      </c>
      <c r="I925" s="13" t="s">
        <v>1597</v>
      </c>
      <c r="J925" s="13"/>
      <c r="K925" s="13" t="s">
        <v>1585</v>
      </c>
      <c r="L925" s="13" t="s">
        <v>1539</v>
      </c>
      <c r="M925" s="13"/>
    </row>
    <row r="926" customFormat="false" ht="15" hidden="false" customHeight="false" outlineLevel="0" collapsed="false">
      <c r="A926" s="13" t="s">
        <v>610</v>
      </c>
      <c r="B926" s="13" t="s">
        <v>609</v>
      </c>
      <c r="C926" s="13" t="s">
        <v>1545</v>
      </c>
      <c r="D926" s="13" t="s">
        <v>1567</v>
      </c>
      <c r="E926" s="13" t="s">
        <v>1596</v>
      </c>
      <c r="F926" s="13" t="s">
        <v>1631</v>
      </c>
      <c r="G926" s="61" t="n">
        <v>6798000000</v>
      </c>
      <c r="H926" s="13" t="s">
        <v>1537</v>
      </c>
      <c r="I926" s="13" t="s">
        <v>1597</v>
      </c>
      <c r="J926" s="13"/>
      <c r="K926" s="13" t="s">
        <v>1571</v>
      </c>
      <c r="L926" s="13" t="s">
        <v>1539</v>
      </c>
      <c r="M926" s="13"/>
    </row>
    <row r="927" customFormat="false" ht="15" hidden="false" customHeight="false" outlineLevel="0" collapsed="false">
      <c r="A927" s="13" t="s">
        <v>610</v>
      </c>
      <c r="B927" s="13" t="s">
        <v>609</v>
      </c>
      <c r="C927" s="13" t="s">
        <v>1545</v>
      </c>
      <c r="D927" s="13" t="s">
        <v>1567</v>
      </c>
      <c r="E927" s="13" t="s">
        <v>1596</v>
      </c>
      <c r="F927" s="13" t="s">
        <v>1632</v>
      </c>
      <c r="G927" s="61" t="n">
        <v>11876000000</v>
      </c>
      <c r="H927" s="13" t="s">
        <v>1537</v>
      </c>
      <c r="I927" s="13" t="s">
        <v>1597</v>
      </c>
      <c r="J927" s="13"/>
      <c r="K927" s="13" t="s">
        <v>1571</v>
      </c>
      <c r="L927" s="13" t="s">
        <v>1539</v>
      </c>
      <c r="M927" s="13"/>
    </row>
    <row r="928" customFormat="false" ht="15" hidden="false" customHeight="false" outlineLevel="0" collapsed="false">
      <c r="A928" s="13" t="s">
        <v>610</v>
      </c>
      <c r="B928" s="13" t="s">
        <v>609</v>
      </c>
      <c r="C928" s="13" t="s">
        <v>1536</v>
      </c>
      <c r="D928" s="13" t="s">
        <v>1567</v>
      </c>
      <c r="E928" s="13" t="s">
        <v>1614</v>
      </c>
      <c r="F928" s="13" t="s">
        <v>1633</v>
      </c>
      <c r="G928" s="61" t="n">
        <v>3527379071</v>
      </c>
      <c r="H928" s="13" t="s">
        <v>1537</v>
      </c>
      <c r="I928" s="13" t="s">
        <v>1616</v>
      </c>
      <c r="J928" s="13"/>
      <c r="K928" s="13" t="s">
        <v>1583</v>
      </c>
      <c r="L928" s="13" t="s">
        <v>1539</v>
      </c>
      <c r="M928" s="13"/>
    </row>
    <row r="929" customFormat="false" ht="15" hidden="false" customHeight="false" outlineLevel="0" collapsed="false">
      <c r="A929" s="13" t="s">
        <v>610</v>
      </c>
      <c r="B929" s="13" t="s">
        <v>609</v>
      </c>
      <c r="C929" s="13" t="s">
        <v>1540</v>
      </c>
      <c r="D929" s="13" t="s">
        <v>1567</v>
      </c>
      <c r="E929" s="13" t="s">
        <v>1614</v>
      </c>
      <c r="F929" s="13" t="s">
        <v>1633</v>
      </c>
      <c r="G929" s="61" t="n">
        <v>3879358096</v>
      </c>
      <c r="H929" s="13" t="s">
        <v>1537</v>
      </c>
      <c r="I929" s="13" t="s">
        <v>1616</v>
      </c>
      <c r="J929" s="13"/>
      <c r="K929" s="13" t="s">
        <v>1584</v>
      </c>
      <c r="L929" s="13" t="s">
        <v>1542</v>
      </c>
      <c r="M929" s="13"/>
    </row>
    <row r="930" customFormat="false" ht="15" hidden="false" customHeight="false" outlineLevel="0" collapsed="false">
      <c r="A930" s="13" t="s">
        <v>610</v>
      </c>
      <c r="B930" s="13" t="s">
        <v>609</v>
      </c>
      <c r="C930" s="13" t="s">
        <v>1543</v>
      </c>
      <c r="D930" s="13" t="s">
        <v>1567</v>
      </c>
      <c r="E930" s="13" t="s">
        <v>1614</v>
      </c>
      <c r="F930" s="13" t="s">
        <v>1633</v>
      </c>
      <c r="G930" s="61" t="n">
        <v>5872537731</v>
      </c>
      <c r="H930" s="13" t="s">
        <v>1537</v>
      </c>
      <c r="I930" s="13" t="s">
        <v>1616</v>
      </c>
      <c r="J930" s="13"/>
      <c r="K930" s="13" t="s">
        <v>1585</v>
      </c>
      <c r="L930" s="13" t="s">
        <v>1539</v>
      </c>
      <c r="M930" s="13"/>
    </row>
    <row r="931" customFormat="false" ht="15" hidden="false" customHeight="false" outlineLevel="0" collapsed="false">
      <c r="A931" s="13" t="s">
        <v>610</v>
      </c>
      <c r="B931" s="13" t="s">
        <v>609</v>
      </c>
      <c r="C931" s="13" t="s">
        <v>1545</v>
      </c>
      <c r="D931" s="13" t="s">
        <v>1567</v>
      </c>
      <c r="E931" s="13" t="s">
        <v>1614</v>
      </c>
      <c r="F931" s="13" t="s">
        <v>1633</v>
      </c>
      <c r="G931" s="61" t="n">
        <v>7404000000</v>
      </c>
      <c r="H931" s="13" t="s">
        <v>1537</v>
      </c>
      <c r="I931" s="13" t="s">
        <v>1616</v>
      </c>
      <c r="J931" s="13"/>
      <c r="K931" s="13" t="s">
        <v>1571</v>
      </c>
      <c r="L931" s="13" t="s">
        <v>1539</v>
      </c>
      <c r="M931" s="13"/>
    </row>
    <row r="932" customFormat="false" ht="15" hidden="false" customHeight="false" outlineLevel="0" collapsed="false">
      <c r="A932" s="13" t="s">
        <v>610</v>
      </c>
      <c r="B932" s="13" t="s">
        <v>609</v>
      </c>
      <c r="C932" s="13" t="s">
        <v>1545</v>
      </c>
      <c r="D932" s="13" t="s">
        <v>1567</v>
      </c>
      <c r="E932" s="13" t="s">
        <v>1614</v>
      </c>
      <c r="F932" s="13" t="s">
        <v>1634</v>
      </c>
      <c r="G932" s="61" t="n">
        <v>3410000000</v>
      </c>
      <c r="H932" s="13" t="s">
        <v>1537</v>
      </c>
      <c r="I932" s="13" t="s">
        <v>1616</v>
      </c>
      <c r="J932" s="13"/>
      <c r="K932" s="13" t="s">
        <v>1571</v>
      </c>
      <c r="L932" s="13" t="s">
        <v>1539</v>
      </c>
      <c r="M932" s="13"/>
    </row>
    <row r="933" customFormat="false" ht="15" hidden="false" customHeight="false" outlineLevel="0" collapsed="false">
      <c r="A933" s="13" t="s">
        <v>610</v>
      </c>
      <c r="B933" s="13" t="s">
        <v>609</v>
      </c>
      <c r="C933" s="13" t="s">
        <v>1543</v>
      </c>
      <c r="D933" s="13" t="s">
        <v>1567</v>
      </c>
      <c r="E933" s="13" t="s">
        <v>1614</v>
      </c>
      <c r="F933" s="13" t="s">
        <v>1635</v>
      </c>
      <c r="G933" s="61" t="n">
        <v>1361415645</v>
      </c>
      <c r="H933" s="13" t="s">
        <v>1537</v>
      </c>
      <c r="I933" s="13" t="s">
        <v>1616</v>
      </c>
      <c r="J933" s="13"/>
      <c r="K933" s="13" t="s">
        <v>1585</v>
      </c>
      <c r="L933" s="13" t="s">
        <v>1539</v>
      </c>
      <c r="M933" s="13"/>
    </row>
    <row r="934" customFormat="false" ht="15" hidden="false" customHeight="false" outlineLevel="0" collapsed="false">
      <c r="A934" s="13" t="s">
        <v>610</v>
      </c>
      <c r="B934" s="13" t="s">
        <v>609</v>
      </c>
      <c r="C934" s="13" t="s">
        <v>1545</v>
      </c>
      <c r="D934" s="13" t="s">
        <v>1567</v>
      </c>
      <c r="E934" s="13" t="s">
        <v>1614</v>
      </c>
      <c r="F934" s="13" t="s">
        <v>1635</v>
      </c>
      <c r="G934" s="61" t="n">
        <v>1423000000</v>
      </c>
      <c r="H934" s="13" t="s">
        <v>1537</v>
      </c>
      <c r="I934" s="13" t="s">
        <v>1616</v>
      </c>
      <c r="J934" s="13"/>
      <c r="K934" s="13" t="s">
        <v>1571</v>
      </c>
      <c r="L934" s="13" t="s">
        <v>1539</v>
      </c>
      <c r="M934" s="13"/>
    </row>
    <row r="935" customFormat="false" ht="15" hidden="false" customHeight="false" outlineLevel="0" collapsed="false">
      <c r="A935" s="13" t="s">
        <v>610</v>
      </c>
      <c r="B935" s="13" t="s">
        <v>609</v>
      </c>
      <c r="C935" s="13" t="s">
        <v>1545</v>
      </c>
      <c r="D935" s="13" t="s">
        <v>1567</v>
      </c>
      <c r="E935" s="13" t="s">
        <v>1614</v>
      </c>
      <c r="F935" s="13" t="s">
        <v>1636</v>
      </c>
      <c r="G935" s="107" t="n">
        <v>0</v>
      </c>
      <c r="H935" s="13" t="s">
        <v>1537</v>
      </c>
      <c r="I935" s="13" t="s">
        <v>1616</v>
      </c>
      <c r="J935" s="13"/>
      <c r="K935" s="13" t="s">
        <v>1571</v>
      </c>
      <c r="L935" s="13" t="s">
        <v>1539</v>
      </c>
      <c r="M935" s="13"/>
    </row>
    <row r="936" customFormat="false" ht="15" hidden="false" customHeight="false" outlineLevel="0" collapsed="false">
      <c r="A936" s="13" t="s">
        <v>610</v>
      </c>
      <c r="B936" s="13" t="s">
        <v>609</v>
      </c>
      <c r="C936" s="13" t="s">
        <v>1540</v>
      </c>
      <c r="D936" s="13" t="s">
        <v>1567</v>
      </c>
      <c r="E936" s="13" t="s">
        <v>1614</v>
      </c>
      <c r="F936" s="13" t="s">
        <v>1637</v>
      </c>
      <c r="G936" s="61" t="n">
        <v>3094587853</v>
      </c>
      <c r="H936" s="13" t="s">
        <v>1537</v>
      </c>
      <c r="I936" s="13" t="s">
        <v>1616</v>
      </c>
      <c r="J936" s="13"/>
      <c r="K936" s="13" t="s">
        <v>1584</v>
      </c>
      <c r="L936" s="13" t="s">
        <v>1542</v>
      </c>
      <c r="M936" s="13"/>
    </row>
    <row r="937" customFormat="false" ht="15" hidden="false" customHeight="false" outlineLevel="0" collapsed="false">
      <c r="A937" s="13" t="s">
        <v>610</v>
      </c>
      <c r="B937" s="13" t="s">
        <v>609</v>
      </c>
      <c r="C937" s="13" t="s">
        <v>1543</v>
      </c>
      <c r="D937" s="13" t="s">
        <v>1567</v>
      </c>
      <c r="E937" s="13" t="s">
        <v>1614</v>
      </c>
      <c r="F937" s="13" t="s">
        <v>1637</v>
      </c>
      <c r="G937" s="61" t="n">
        <v>630057010</v>
      </c>
      <c r="H937" s="13" t="s">
        <v>1537</v>
      </c>
      <c r="I937" s="13" t="s">
        <v>1616</v>
      </c>
      <c r="J937" s="13"/>
      <c r="K937" s="13" t="s">
        <v>1585</v>
      </c>
      <c r="L937" s="13" t="s">
        <v>1539</v>
      </c>
      <c r="M937" s="13"/>
    </row>
    <row r="938" customFormat="false" ht="15" hidden="false" customHeight="false" outlineLevel="0" collapsed="false">
      <c r="A938" s="13" t="s">
        <v>610</v>
      </c>
      <c r="B938" s="13" t="s">
        <v>609</v>
      </c>
      <c r="C938" s="13" t="s">
        <v>1545</v>
      </c>
      <c r="D938" s="13" t="s">
        <v>1567</v>
      </c>
      <c r="E938" s="13" t="s">
        <v>1614</v>
      </c>
      <c r="F938" s="13" t="s">
        <v>1637</v>
      </c>
      <c r="G938" s="107" t="n">
        <v>0</v>
      </c>
      <c r="H938" s="13" t="s">
        <v>1537</v>
      </c>
      <c r="I938" s="13" t="s">
        <v>1616</v>
      </c>
      <c r="J938" s="13"/>
      <c r="K938" s="13" t="s">
        <v>1571</v>
      </c>
      <c r="L938" s="13" t="s">
        <v>1539</v>
      </c>
      <c r="M938" s="13"/>
    </row>
    <row r="939" customFormat="false" ht="15" hidden="false" customHeight="false" outlineLevel="0" collapsed="false">
      <c r="A939" s="13" t="s">
        <v>610</v>
      </c>
      <c r="B939" s="13" t="s">
        <v>609</v>
      </c>
      <c r="C939" s="13" t="s">
        <v>1545</v>
      </c>
      <c r="D939" s="13" t="s">
        <v>1567</v>
      </c>
      <c r="E939" s="13" t="s">
        <v>1614</v>
      </c>
      <c r="F939" s="13" t="s">
        <v>1638</v>
      </c>
      <c r="G939" s="61" t="n">
        <v>-2717000000</v>
      </c>
      <c r="H939" s="13" t="s">
        <v>1537</v>
      </c>
      <c r="I939" s="13" t="s">
        <v>1616</v>
      </c>
      <c r="J939" s="13"/>
      <c r="K939" s="13" t="s">
        <v>1571</v>
      </c>
      <c r="L939" s="13" t="s">
        <v>1539</v>
      </c>
      <c r="M939" s="13"/>
    </row>
    <row r="940" customFormat="false" ht="15" hidden="false" customHeight="false" outlineLevel="0" collapsed="false">
      <c r="A940" s="13" t="s">
        <v>610</v>
      </c>
      <c r="B940" s="13" t="s">
        <v>609</v>
      </c>
      <c r="C940" s="13" t="s">
        <v>1536</v>
      </c>
      <c r="D940" s="13" t="s">
        <v>1567</v>
      </c>
      <c r="E940" s="13" t="s">
        <v>1614</v>
      </c>
      <c r="F940" s="13" t="s">
        <v>1639</v>
      </c>
      <c r="G940" s="61" t="n">
        <v>-6285305582</v>
      </c>
      <c r="H940" s="13" t="s">
        <v>1537</v>
      </c>
      <c r="I940" s="13" t="s">
        <v>1616</v>
      </c>
      <c r="J940" s="13"/>
      <c r="K940" s="13" t="s">
        <v>1583</v>
      </c>
      <c r="L940" s="13" t="s">
        <v>1539</v>
      </c>
      <c r="M940" s="13"/>
    </row>
    <row r="941" customFormat="false" ht="15" hidden="false" customHeight="false" outlineLevel="0" collapsed="false">
      <c r="A941" s="13" t="s">
        <v>610</v>
      </c>
      <c r="B941" s="13" t="s">
        <v>609</v>
      </c>
      <c r="C941" s="13" t="s">
        <v>1540</v>
      </c>
      <c r="D941" s="13" t="s">
        <v>1567</v>
      </c>
      <c r="E941" s="13" t="s">
        <v>1614</v>
      </c>
      <c r="F941" s="13" t="s">
        <v>1639</v>
      </c>
      <c r="G941" s="61" t="n">
        <v>-3780227687</v>
      </c>
      <c r="H941" s="13" t="s">
        <v>1537</v>
      </c>
      <c r="I941" s="13" t="s">
        <v>1616</v>
      </c>
      <c r="J941" s="13"/>
      <c r="K941" s="13" t="s">
        <v>1584</v>
      </c>
      <c r="L941" s="13" t="s">
        <v>1542</v>
      </c>
      <c r="M941" s="13"/>
    </row>
    <row r="942" customFormat="false" ht="15" hidden="false" customHeight="false" outlineLevel="0" collapsed="false">
      <c r="A942" s="13" t="s">
        <v>610</v>
      </c>
      <c r="B942" s="13" t="s">
        <v>609</v>
      </c>
      <c r="C942" s="13" t="s">
        <v>1543</v>
      </c>
      <c r="D942" s="13" t="s">
        <v>1567</v>
      </c>
      <c r="E942" s="13" t="s">
        <v>1614</v>
      </c>
      <c r="F942" s="13" t="s">
        <v>1639</v>
      </c>
      <c r="G942" s="61" t="n">
        <v>-4650070919</v>
      </c>
      <c r="H942" s="13" t="s">
        <v>1537</v>
      </c>
      <c r="I942" s="13" t="s">
        <v>1616</v>
      </c>
      <c r="J942" s="13"/>
      <c r="K942" s="13" t="s">
        <v>1585</v>
      </c>
      <c r="L942" s="13" t="s">
        <v>1539</v>
      </c>
      <c r="M942" s="13"/>
    </row>
    <row r="943" customFormat="false" ht="15" hidden="false" customHeight="false" outlineLevel="0" collapsed="false">
      <c r="A943" s="13" t="s">
        <v>610</v>
      </c>
      <c r="B943" s="13" t="s">
        <v>609</v>
      </c>
      <c r="C943" s="13" t="s">
        <v>1545</v>
      </c>
      <c r="D943" s="13" t="s">
        <v>1567</v>
      </c>
      <c r="E943" s="13" t="s">
        <v>1614</v>
      </c>
      <c r="F943" s="13" t="s">
        <v>1639</v>
      </c>
      <c r="G943" s="61" t="n">
        <v>-1116000000</v>
      </c>
      <c r="H943" s="13" t="s">
        <v>1537</v>
      </c>
      <c r="I943" s="13" t="s">
        <v>1616</v>
      </c>
      <c r="J943" s="13"/>
      <c r="K943" s="13" t="s">
        <v>1571</v>
      </c>
      <c r="L943" s="13" t="s">
        <v>1539</v>
      </c>
      <c r="M943" s="13"/>
    </row>
    <row r="944" customFormat="false" ht="15" hidden="false" customHeight="false" outlineLevel="0" collapsed="false">
      <c r="A944" s="13" t="s">
        <v>610</v>
      </c>
      <c r="B944" s="13" t="s">
        <v>609</v>
      </c>
      <c r="C944" s="13" t="s">
        <v>1545</v>
      </c>
      <c r="D944" s="13" t="s">
        <v>1567</v>
      </c>
      <c r="E944" s="13" t="s">
        <v>1614</v>
      </c>
      <c r="F944" s="13" t="s">
        <v>1640</v>
      </c>
      <c r="G944" s="61" t="n">
        <v>-1390000000</v>
      </c>
      <c r="H944" s="13" t="s">
        <v>1537</v>
      </c>
      <c r="I944" s="13" t="s">
        <v>1616</v>
      </c>
      <c r="J944" s="13"/>
      <c r="K944" s="13" t="s">
        <v>1571</v>
      </c>
      <c r="L944" s="13" t="s">
        <v>1539</v>
      </c>
      <c r="M944" s="13"/>
    </row>
    <row r="945" customFormat="false" ht="15" hidden="false" customHeight="false" outlineLevel="0" collapsed="false">
      <c r="A945" s="13" t="s">
        <v>610</v>
      </c>
      <c r="B945" s="13" t="s">
        <v>609</v>
      </c>
      <c r="C945" s="13" t="s">
        <v>1536</v>
      </c>
      <c r="D945" s="13" t="s">
        <v>1567</v>
      </c>
      <c r="E945" s="13" t="s">
        <v>1568</v>
      </c>
      <c r="F945" s="13" t="s">
        <v>1641</v>
      </c>
      <c r="G945" s="61" t="n">
        <v>467640506965</v>
      </c>
      <c r="H945" s="13" t="s">
        <v>1537</v>
      </c>
      <c r="I945" s="13" t="s">
        <v>1570</v>
      </c>
      <c r="J945" s="13"/>
      <c r="K945" s="13" t="s">
        <v>1583</v>
      </c>
      <c r="L945" s="13" t="s">
        <v>1539</v>
      </c>
      <c r="M945" s="13"/>
    </row>
    <row r="946" customFormat="false" ht="15" hidden="false" customHeight="false" outlineLevel="0" collapsed="false">
      <c r="A946" s="13" t="s">
        <v>610</v>
      </c>
      <c r="B946" s="13" t="s">
        <v>609</v>
      </c>
      <c r="C946" s="13" t="s">
        <v>1540</v>
      </c>
      <c r="D946" s="13" t="s">
        <v>1567</v>
      </c>
      <c r="E946" s="13" t="s">
        <v>1568</v>
      </c>
      <c r="F946" s="13" t="s">
        <v>1641</v>
      </c>
      <c r="G946" s="61" t="n">
        <v>753471843387</v>
      </c>
      <c r="H946" s="13" t="s">
        <v>1537</v>
      </c>
      <c r="I946" s="13" t="s">
        <v>1570</v>
      </c>
      <c r="J946" s="13"/>
      <c r="K946" s="13" t="s">
        <v>1584</v>
      </c>
      <c r="L946" s="13" t="s">
        <v>1542</v>
      </c>
      <c r="M946" s="13"/>
    </row>
    <row r="947" customFormat="false" ht="15" hidden="false" customHeight="false" outlineLevel="0" collapsed="false">
      <c r="A947" s="13" t="s">
        <v>610</v>
      </c>
      <c r="B947" s="13" t="s">
        <v>609</v>
      </c>
      <c r="C947" s="13" t="s">
        <v>1543</v>
      </c>
      <c r="D947" s="13" t="s">
        <v>1567</v>
      </c>
      <c r="E947" s="13" t="s">
        <v>1568</v>
      </c>
      <c r="F947" s="13" t="s">
        <v>1641</v>
      </c>
      <c r="G947" s="61" t="n">
        <v>817003131432</v>
      </c>
      <c r="H947" s="13" t="s">
        <v>1537</v>
      </c>
      <c r="I947" s="13" t="s">
        <v>1570</v>
      </c>
      <c r="J947" s="13"/>
      <c r="K947" s="13" t="s">
        <v>1585</v>
      </c>
      <c r="L947" s="13" t="s">
        <v>1539</v>
      </c>
      <c r="M947" s="13"/>
    </row>
    <row r="948" customFormat="false" ht="15" hidden="false" customHeight="false" outlineLevel="0" collapsed="false">
      <c r="A948" s="13" t="s">
        <v>610</v>
      </c>
      <c r="B948" s="13" t="s">
        <v>609</v>
      </c>
      <c r="C948" s="13" t="s">
        <v>1536</v>
      </c>
      <c r="D948" s="13" t="s">
        <v>1567</v>
      </c>
      <c r="E948" s="13" t="s">
        <v>1568</v>
      </c>
      <c r="F948" s="13" t="s">
        <v>1628</v>
      </c>
      <c r="G948" s="61" t="n">
        <v>253936863405</v>
      </c>
      <c r="H948" s="13" t="s">
        <v>1537</v>
      </c>
      <c r="I948" s="13" t="s">
        <v>1570</v>
      </c>
      <c r="J948" s="13"/>
      <c r="K948" s="13" t="s">
        <v>1583</v>
      </c>
      <c r="L948" s="13" t="s">
        <v>1539</v>
      </c>
      <c r="M948" s="13"/>
    </row>
    <row r="949" customFormat="false" ht="15" hidden="false" customHeight="false" outlineLevel="0" collapsed="false">
      <c r="A949" s="13" t="s">
        <v>610</v>
      </c>
      <c r="B949" s="13" t="s">
        <v>609</v>
      </c>
      <c r="C949" s="13" t="s">
        <v>1540</v>
      </c>
      <c r="D949" s="13" t="s">
        <v>1567</v>
      </c>
      <c r="E949" s="13" t="s">
        <v>1568</v>
      </c>
      <c r="F949" s="13" t="s">
        <v>1628</v>
      </c>
      <c r="G949" s="61" t="n">
        <v>417781280603</v>
      </c>
      <c r="H949" s="13" t="s">
        <v>1537</v>
      </c>
      <c r="I949" s="13" t="s">
        <v>1570</v>
      </c>
      <c r="J949" s="13"/>
      <c r="K949" s="13" t="s">
        <v>1584</v>
      </c>
      <c r="L949" s="13" t="s">
        <v>1542</v>
      </c>
      <c r="M949" s="13"/>
    </row>
    <row r="950" customFormat="false" ht="15" hidden="false" customHeight="false" outlineLevel="0" collapsed="false">
      <c r="A950" s="13" t="s">
        <v>610</v>
      </c>
      <c r="B950" s="13" t="s">
        <v>609</v>
      </c>
      <c r="C950" s="13" t="s">
        <v>1543</v>
      </c>
      <c r="D950" s="13" t="s">
        <v>1567</v>
      </c>
      <c r="E950" s="13" t="s">
        <v>1568</v>
      </c>
      <c r="F950" s="13" t="s">
        <v>1628</v>
      </c>
      <c r="G950" s="61" t="n">
        <v>431771186720</v>
      </c>
      <c r="H950" s="13" t="s">
        <v>1537</v>
      </c>
      <c r="I950" s="13" t="s">
        <v>1570</v>
      </c>
      <c r="J950" s="13"/>
      <c r="K950" s="13" t="s">
        <v>1585</v>
      </c>
      <c r="L950" s="13" t="s">
        <v>1539</v>
      </c>
      <c r="M950" s="13"/>
    </row>
    <row r="951" customFormat="false" ht="15" hidden="false" customHeight="false" outlineLevel="0" collapsed="false">
      <c r="A951" s="13" t="s">
        <v>610</v>
      </c>
      <c r="B951" s="13" t="s">
        <v>609</v>
      </c>
      <c r="C951" s="13" t="s">
        <v>1536</v>
      </c>
      <c r="D951" s="13" t="s">
        <v>1567</v>
      </c>
      <c r="E951" s="13" t="s">
        <v>1568</v>
      </c>
      <c r="F951" s="13" t="s">
        <v>1642</v>
      </c>
      <c r="G951" s="61" t="n">
        <v>202306035034</v>
      </c>
      <c r="H951" s="13" t="s">
        <v>1537</v>
      </c>
      <c r="I951" s="13" t="s">
        <v>1570</v>
      </c>
      <c r="J951" s="13"/>
      <c r="K951" s="13" t="s">
        <v>1583</v>
      </c>
      <c r="L951" s="13" t="s">
        <v>1539</v>
      </c>
      <c r="M951" s="13"/>
    </row>
    <row r="952" customFormat="false" ht="15" hidden="false" customHeight="false" outlineLevel="0" collapsed="false">
      <c r="A952" s="13" t="s">
        <v>610</v>
      </c>
      <c r="B952" s="13" t="s">
        <v>609</v>
      </c>
      <c r="C952" s="13" t="s">
        <v>1540</v>
      </c>
      <c r="D952" s="13" t="s">
        <v>1567</v>
      </c>
      <c r="E952" s="13" t="s">
        <v>1568</v>
      </c>
      <c r="F952" s="13" t="s">
        <v>1642</v>
      </c>
      <c r="G952" s="61" t="n">
        <v>264925183181</v>
      </c>
      <c r="H952" s="13" t="s">
        <v>1537</v>
      </c>
      <c r="I952" s="13" t="s">
        <v>1570</v>
      </c>
      <c r="J952" s="13"/>
      <c r="K952" s="13" t="s">
        <v>1584</v>
      </c>
      <c r="L952" s="13" t="s">
        <v>1542</v>
      </c>
      <c r="M952" s="13"/>
    </row>
    <row r="953" customFormat="false" ht="15" hidden="false" customHeight="false" outlineLevel="0" collapsed="false">
      <c r="A953" s="13" t="s">
        <v>610</v>
      </c>
      <c r="B953" s="13" t="s">
        <v>609</v>
      </c>
      <c r="C953" s="13" t="s">
        <v>1543</v>
      </c>
      <c r="D953" s="13" t="s">
        <v>1567</v>
      </c>
      <c r="E953" s="13" t="s">
        <v>1568</v>
      </c>
      <c r="F953" s="13" t="s">
        <v>1642</v>
      </c>
      <c r="G953" s="61" t="n">
        <v>274869160543</v>
      </c>
      <c r="H953" s="13" t="s">
        <v>1537</v>
      </c>
      <c r="I953" s="13" t="s">
        <v>1570</v>
      </c>
      <c r="J953" s="13"/>
      <c r="K953" s="13" t="s">
        <v>1585</v>
      </c>
      <c r="L953" s="13" t="s">
        <v>1539</v>
      </c>
      <c r="M953" s="13"/>
    </row>
    <row r="954" customFormat="false" ht="15" hidden="false" customHeight="false" outlineLevel="0" collapsed="false">
      <c r="A954" s="13" t="s">
        <v>610</v>
      </c>
      <c r="B954" s="13" t="s">
        <v>609</v>
      </c>
      <c r="C954" s="13" t="s">
        <v>1536</v>
      </c>
      <c r="D954" s="13" t="s">
        <v>1567</v>
      </c>
      <c r="E954" s="13" t="s">
        <v>1568</v>
      </c>
      <c r="F954" s="13" t="s">
        <v>1643</v>
      </c>
      <c r="G954" s="61" t="n">
        <v>277355030730</v>
      </c>
      <c r="H954" s="13" t="s">
        <v>1537</v>
      </c>
      <c r="I954" s="13" t="s">
        <v>1570</v>
      </c>
      <c r="J954" s="13"/>
      <c r="K954" s="13" t="s">
        <v>1583</v>
      </c>
      <c r="L954" s="13" t="s">
        <v>1539</v>
      </c>
      <c r="M954" s="13"/>
    </row>
    <row r="955" customFormat="false" ht="15" hidden="false" customHeight="false" outlineLevel="0" collapsed="false">
      <c r="A955" s="13" t="s">
        <v>610</v>
      </c>
      <c r="B955" s="13" t="s">
        <v>609</v>
      </c>
      <c r="C955" s="13" t="s">
        <v>1540</v>
      </c>
      <c r="D955" s="13" t="s">
        <v>1567</v>
      </c>
      <c r="E955" s="13" t="s">
        <v>1568</v>
      </c>
      <c r="F955" s="13" t="s">
        <v>1643</v>
      </c>
      <c r="G955" s="61" t="n">
        <v>375603580623</v>
      </c>
      <c r="H955" s="13" t="s">
        <v>1537</v>
      </c>
      <c r="I955" s="13" t="s">
        <v>1570</v>
      </c>
      <c r="J955" s="13"/>
      <c r="K955" s="13" t="s">
        <v>1584</v>
      </c>
      <c r="L955" s="13" t="s">
        <v>1542</v>
      </c>
      <c r="M955" s="13"/>
    </row>
    <row r="956" customFormat="false" ht="15" hidden="false" customHeight="false" outlineLevel="0" collapsed="false">
      <c r="A956" s="13" t="s">
        <v>610</v>
      </c>
      <c r="B956" s="13" t="s">
        <v>609</v>
      </c>
      <c r="C956" s="13" t="s">
        <v>1543</v>
      </c>
      <c r="D956" s="13" t="s">
        <v>1567</v>
      </c>
      <c r="E956" s="13" t="s">
        <v>1568</v>
      </c>
      <c r="F956" s="13" t="s">
        <v>1643</v>
      </c>
      <c r="G956" s="61" t="n">
        <v>255930627005</v>
      </c>
      <c r="H956" s="13" t="s">
        <v>1537</v>
      </c>
      <c r="I956" s="13" t="s">
        <v>1570</v>
      </c>
      <c r="J956" s="13"/>
      <c r="K956" s="13" t="s">
        <v>1585</v>
      </c>
      <c r="L956" s="13" t="s">
        <v>1539</v>
      </c>
      <c r="M956" s="13"/>
    </row>
    <row r="957" customFormat="false" ht="15" hidden="false" customHeight="false" outlineLevel="0" collapsed="false">
      <c r="A957" s="13" t="s">
        <v>610</v>
      </c>
      <c r="B957" s="13" t="s">
        <v>609</v>
      </c>
      <c r="C957" s="13" t="s">
        <v>1536</v>
      </c>
      <c r="D957" s="13" t="s">
        <v>1567</v>
      </c>
      <c r="E957" s="13" t="s">
        <v>1568</v>
      </c>
      <c r="F957" s="13" t="s">
        <v>1644</v>
      </c>
      <c r="G957" s="61" t="n">
        <v>65311157335</v>
      </c>
      <c r="H957" s="13" t="s">
        <v>1537</v>
      </c>
      <c r="I957" s="13" t="s">
        <v>1570</v>
      </c>
      <c r="J957" s="13"/>
      <c r="K957" s="13" t="s">
        <v>1583</v>
      </c>
      <c r="L957" s="13" t="s">
        <v>1539</v>
      </c>
      <c r="M957" s="13"/>
    </row>
    <row r="958" customFormat="false" ht="15" hidden="false" customHeight="false" outlineLevel="0" collapsed="false">
      <c r="A958" s="13" t="s">
        <v>610</v>
      </c>
      <c r="B958" s="13" t="s">
        <v>609</v>
      </c>
      <c r="C958" s="13" t="s">
        <v>1540</v>
      </c>
      <c r="D958" s="13" t="s">
        <v>1567</v>
      </c>
      <c r="E958" s="13" t="s">
        <v>1568</v>
      </c>
      <c r="F958" s="13" t="s">
        <v>1644</v>
      </c>
      <c r="G958" s="61" t="n">
        <v>99318704278</v>
      </c>
      <c r="H958" s="13" t="s">
        <v>1537</v>
      </c>
      <c r="I958" s="13" t="s">
        <v>1570</v>
      </c>
      <c r="J958" s="13"/>
      <c r="K958" s="13" t="s">
        <v>1584</v>
      </c>
      <c r="L958" s="13" t="s">
        <v>1542</v>
      </c>
      <c r="M958" s="13"/>
    </row>
    <row r="959" customFormat="false" ht="15" hidden="false" customHeight="false" outlineLevel="0" collapsed="false">
      <c r="A959" s="13" t="s">
        <v>610</v>
      </c>
      <c r="B959" s="13" t="s">
        <v>609</v>
      </c>
      <c r="C959" s="13" t="s">
        <v>1543</v>
      </c>
      <c r="D959" s="13" t="s">
        <v>1567</v>
      </c>
      <c r="E959" s="13" t="s">
        <v>1568</v>
      </c>
      <c r="F959" s="13" t="s">
        <v>1644</v>
      </c>
      <c r="G959" s="61" t="n">
        <v>116524563580</v>
      </c>
      <c r="H959" s="13" t="s">
        <v>1537</v>
      </c>
      <c r="I959" s="13" t="s">
        <v>1570</v>
      </c>
      <c r="J959" s="13"/>
      <c r="K959" s="13" t="s">
        <v>1585</v>
      </c>
      <c r="L959" s="13" t="s">
        <v>1539</v>
      </c>
      <c r="M959" s="13"/>
    </row>
    <row r="960" customFormat="false" ht="15" hidden="false" customHeight="false" outlineLevel="0" collapsed="false">
      <c r="A960" s="13" t="s">
        <v>610</v>
      </c>
      <c r="B960" s="13" t="s">
        <v>609</v>
      </c>
      <c r="C960" s="13" t="s">
        <v>1536</v>
      </c>
      <c r="D960" s="13" t="s">
        <v>1567</v>
      </c>
      <c r="E960" s="13" t="s">
        <v>1568</v>
      </c>
      <c r="F960" s="13" t="s">
        <v>1645</v>
      </c>
      <c r="G960" s="61" t="n">
        <v>31961173808</v>
      </c>
      <c r="H960" s="13" t="s">
        <v>1537</v>
      </c>
      <c r="I960" s="13" t="s">
        <v>1570</v>
      </c>
      <c r="J960" s="13"/>
      <c r="K960" s="13" t="s">
        <v>1583</v>
      </c>
      <c r="L960" s="13" t="s">
        <v>1539</v>
      </c>
      <c r="M960" s="13"/>
    </row>
    <row r="961" customFormat="false" ht="15" hidden="false" customHeight="false" outlineLevel="0" collapsed="false">
      <c r="A961" s="13" t="s">
        <v>610</v>
      </c>
      <c r="B961" s="13" t="s">
        <v>609</v>
      </c>
      <c r="C961" s="13" t="s">
        <v>1540</v>
      </c>
      <c r="D961" s="13" t="s">
        <v>1567</v>
      </c>
      <c r="E961" s="13" t="s">
        <v>1568</v>
      </c>
      <c r="F961" s="13" t="s">
        <v>1645</v>
      </c>
      <c r="G961" s="61" t="n">
        <v>24610350166</v>
      </c>
      <c r="H961" s="13" t="s">
        <v>1537</v>
      </c>
      <c r="I961" s="13" t="s">
        <v>1570</v>
      </c>
      <c r="J961" s="13"/>
      <c r="K961" s="13" t="s">
        <v>1584</v>
      </c>
      <c r="L961" s="13" t="s">
        <v>1542</v>
      </c>
      <c r="M961" s="13"/>
    </row>
    <row r="962" customFormat="false" ht="15" hidden="false" customHeight="false" outlineLevel="0" collapsed="false">
      <c r="A962" s="13" t="s">
        <v>610</v>
      </c>
      <c r="B962" s="13" t="s">
        <v>609</v>
      </c>
      <c r="C962" s="13" t="s">
        <v>1543</v>
      </c>
      <c r="D962" s="13" t="s">
        <v>1567</v>
      </c>
      <c r="E962" s="13" t="s">
        <v>1568</v>
      </c>
      <c r="F962" s="13" t="s">
        <v>1645</v>
      </c>
      <c r="G962" s="61" t="n">
        <v>29019651480</v>
      </c>
      <c r="H962" s="13" t="s">
        <v>1537</v>
      </c>
      <c r="I962" s="13" t="s">
        <v>1570</v>
      </c>
      <c r="J962" s="13"/>
      <c r="K962" s="13" t="s">
        <v>1585</v>
      </c>
      <c r="L962" s="13" t="s">
        <v>1539</v>
      </c>
      <c r="M962" s="13"/>
    </row>
    <row r="963" customFormat="false" ht="15" hidden="false" customHeight="false" outlineLevel="0" collapsed="false">
      <c r="A963" s="13" t="s">
        <v>610</v>
      </c>
      <c r="B963" s="13" t="s">
        <v>609</v>
      </c>
      <c r="C963" s="13" t="s">
        <v>1536</v>
      </c>
      <c r="D963" s="13" t="s">
        <v>1567</v>
      </c>
      <c r="E963" s="13" t="s">
        <v>1568</v>
      </c>
      <c r="F963" s="13" t="s">
        <v>1646</v>
      </c>
      <c r="G963" s="61" t="n">
        <v>19592014413</v>
      </c>
      <c r="H963" s="13" t="s">
        <v>1537</v>
      </c>
      <c r="I963" s="13" t="s">
        <v>1570</v>
      </c>
      <c r="J963" s="13"/>
      <c r="K963" s="13" t="s">
        <v>1583</v>
      </c>
      <c r="L963" s="13" t="s">
        <v>1539</v>
      </c>
      <c r="M963" s="13"/>
    </row>
    <row r="964" customFormat="false" ht="15" hidden="false" customHeight="false" outlineLevel="0" collapsed="false">
      <c r="A964" s="13" t="s">
        <v>610</v>
      </c>
      <c r="B964" s="13" t="s">
        <v>609</v>
      </c>
      <c r="C964" s="13" t="s">
        <v>1540</v>
      </c>
      <c r="D964" s="13" t="s">
        <v>1567</v>
      </c>
      <c r="E964" s="13" t="s">
        <v>1568</v>
      </c>
      <c r="F964" s="13" t="s">
        <v>1646</v>
      </c>
      <c r="G964" s="61" t="n">
        <v>24274417444</v>
      </c>
      <c r="H964" s="13" t="s">
        <v>1537</v>
      </c>
      <c r="I964" s="13" t="s">
        <v>1570</v>
      </c>
      <c r="J964" s="13"/>
      <c r="K964" s="13" t="s">
        <v>1584</v>
      </c>
      <c r="L964" s="13" t="s">
        <v>1542</v>
      </c>
      <c r="M964" s="13"/>
    </row>
    <row r="965" customFormat="false" ht="15" hidden="false" customHeight="false" outlineLevel="0" collapsed="false">
      <c r="A965" s="13" t="s">
        <v>610</v>
      </c>
      <c r="B965" s="13" t="s">
        <v>609</v>
      </c>
      <c r="C965" s="13" t="s">
        <v>1543</v>
      </c>
      <c r="D965" s="13" t="s">
        <v>1567</v>
      </c>
      <c r="E965" s="13" t="s">
        <v>1568</v>
      </c>
      <c r="F965" s="13" t="s">
        <v>1646</v>
      </c>
      <c r="G965" s="61" t="n">
        <v>28113500871</v>
      </c>
      <c r="H965" s="13" t="s">
        <v>1537</v>
      </c>
      <c r="I965" s="13" t="s">
        <v>1570</v>
      </c>
      <c r="J965" s="13"/>
      <c r="K965" s="13" t="s">
        <v>1585</v>
      </c>
      <c r="L965" s="13" t="s">
        <v>1539</v>
      </c>
      <c r="M965" s="13"/>
    </row>
    <row r="966" customFormat="false" ht="15" hidden="false" customHeight="false" outlineLevel="0" collapsed="false">
      <c r="A966" s="13" t="s">
        <v>610</v>
      </c>
      <c r="B966" s="13" t="s">
        <v>609</v>
      </c>
      <c r="C966" s="13" t="s">
        <v>1536</v>
      </c>
      <c r="D966" s="13" t="s">
        <v>1567</v>
      </c>
      <c r="E966" s="13" t="s">
        <v>1568</v>
      </c>
      <c r="F966" s="13" t="s">
        <v>1647</v>
      </c>
      <c r="G966" s="61" t="n">
        <v>-34304172516</v>
      </c>
      <c r="H966" s="13" t="s">
        <v>1537</v>
      </c>
      <c r="I966" s="13" t="s">
        <v>1570</v>
      </c>
      <c r="J966" s="13"/>
      <c r="K966" s="13" t="s">
        <v>1583</v>
      </c>
      <c r="L966" s="13" t="s">
        <v>1539</v>
      </c>
      <c r="M966" s="13"/>
    </row>
    <row r="967" customFormat="false" ht="15" hidden="false" customHeight="false" outlineLevel="0" collapsed="false">
      <c r="A967" s="13" t="s">
        <v>610</v>
      </c>
      <c r="B967" s="13" t="s">
        <v>609</v>
      </c>
      <c r="C967" s="13" t="s">
        <v>1540</v>
      </c>
      <c r="D967" s="13" t="s">
        <v>1567</v>
      </c>
      <c r="E967" s="13" t="s">
        <v>1568</v>
      </c>
      <c r="F967" s="13" t="s">
        <v>1647</v>
      </c>
      <c r="G967" s="61" t="n">
        <v>-35532218704</v>
      </c>
      <c r="H967" s="13" t="s">
        <v>1537</v>
      </c>
      <c r="I967" s="13" t="s">
        <v>1570</v>
      </c>
      <c r="J967" s="13"/>
      <c r="K967" s="13" t="s">
        <v>1584</v>
      </c>
      <c r="L967" s="13" t="s">
        <v>1542</v>
      </c>
      <c r="M967" s="13"/>
    </row>
    <row r="968" customFormat="false" ht="15" hidden="false" customHeight="false" outlineLevel="0" collapsed="false">
      <c r="A968" s="13" t="s">
        <v>610</v>
      </c>
      <c r="B968" s="13" t="s">
        <v>609</v>
      </c>
      <c r="C968" s="13" t="s">
        <v>1543</v>
      </c>
      <c r="D968" s="13" t="s">
        <v>1567</v>
      </c>
      <c r="E968" s="13" t="s">
        <v>1568</v>
      </c>
      <c r="F968" s="13" t="s">
        <v>1647</v>
      </c>
      <c r="G968" s="61" t="n">
        <v>-19068140667</v>
      </c>
      <c r="H968" s="13" t="s">
        <v>1537</v>
      </c>
      <c r="I968" s="13" t="s">
        <v>1570</v>
      </c>
      <c r="J968" s="13"/>
      <c r="K968" s="13" t="s">
        <v>1585</v>
      </c>
      <c r="L968" s="13" t="s">
        <v>1539</v>
      </c>
      <c r="M968" s="13"/>
    </row>
    <row r="969" customFormat="false" ht="15" hidden="false" customHeight="false" outlineLevel="0" collapsed="false">
      <c r="A969" s="13" t="s">
        <v>610</v>
      </c>
      <c r="B969" s="13" t="s">
        <v>609</v>
      </c>
      <c r="C969" s="13" t="s">
        <v>1536</v>
      </c>
      <c r="D969" s="13" t="s">
        <v>1567</v>
      </c>
      <c r="E969" s="13" t="s">
        <v>1586</v>
      </c>
      <c r="F969" s="13" t="s">
        <v>1648</v>
      </c>
      <c r="G969" s="61" t="n">
        <v>115642159760</v>
      </c>
      <c r="H969" s="13" t="s">
        <v>1537</v>
      </c>
      <c r="I969" s="13" t="s">
        <v>1588</v>
      </c>
      <c r="J969" s="13"/>
      <c r="K969" s="13" t="s">
        <v>1583</v>
      </c>
      <c r="L969" s="13" t="s">
        <v>1539</v>
      </c>
      <c r="M969" s="13"/>
    </row>
    <row r="970" customFormat="false" ht="15" hidden="false" customHeight="false" outlineLevel="0" collapsed="false">
      <c r="A970" s="13" t="s">
        <v>610</v>
      </c>
      <c r="B970" s="13" t="s">
        <v>609</v>
      </c>
      <c r="C970" s="13" t="s">
        <v>1540</v>
      </c>
      <c r="D970" s="13" t="s">
        <v>1567</v>
      </c>
      <c r="E970" s="13" t="s">
        <v>1586</v>
      </c>
      <c r="F970" s="13" t="s">
        <v>1648</v>
      </c>
      <c r="G970" s="61" t="n">
        <v>132129711402</v>
      </c>
      <c r="H970" s="13" t="s">
        <v>1537</v>
      </c>
      <c r="I970" s="13" t="s">
        <v>1588</v>
      </c>
      <c r="J970" s="13"/>
      <c r="K970" s="13" t="s">
        <v>1584</v>
      </c>
      <c r="L970" s="13" t="s">
        <v>1542</v>
      </c>
      <c r="M970" s="13"/>
    </row>
    <row r="971" customFormat="false" ht="15" hidden="false" customHeight="false" outlineLevel="0" collapsed="false">
      <c r="A971" s="13" t="s">
        <v>610</v>
      </c>
      <c r="B971" s="13" t="s">
        <v>609</v>
      </c>
      <c r="C971" s="13" t="s">
        <v>1543</v>
      </c>
      <c r="D971" s="13" t="s">
        <v>1567</v>
      </c>
      <c r="E971" s="13" t="s">
        <v>1586</v>
      </c>
      <c r="F971" s="13" t="s">
        <v>1648</v>
      </c>
      <c r="G971" s="61" t="n">
        <v>160368000858</v>
      </c>
      <c r="H971" s="13" t="s">
        <v>1537</v>
      </c>
      <c r="I971" s="13" t="s">
        <v>1588</v>
      </c>
      <c r="J971" s="13"/>
      <c r="K971" s="13" t="s">
        <v>1585</v>
      </c>
      <c r="L971" s="13" t="s">
        <v>1539</v>
      </c>
      <c r="M971" s="13"/>
    </row>
    <row r="972" customFormat="false" ht="15" hidden="false" customHeight="false" outlineLevel="0" collapsed="false">
      <c r="A972" s="13" t="s">
        <v>610</v>
      </c>
      <c r="B972" s="13" t="s">
        <v>609</v>
      </c>
      <c r="C972" s="13" t="s">
        <v>1536</v>
      </c>
      <c r="D972" s="13" t="s">
        <v>1567</v>
      </c>
      <c r="E972" s="13" t="s">
        <v>1586</v>
      </c>
      <c r="F972" s="13" t="s">
        <v>1642</v>
      </c>
      <c r="G972" s="61" t="n">
        <v>75567244808</v>
      </c>
      <c r="H972" s="13" t="s">
        <v>1537</v>
      </c>
      <c r="I972" s="13" t="s">
        <v>1588</v>
      </c>
      <c r="J972" s="13"/>
      <c r="K972" s="13" t="s">
        <v>1583</v>
      </c>
      <c r="L972" s="13" t="s">
        <v>1539</v>
      </c>
      <c r="M972" s="13"/>
    </row>
    <row r="973" customFormat="false" ht="15" hidden="false" customHeight="false" outlineLevel="0" collapsed="false">
      <c r="A973" s="13" t="s">
        <v>610</v>
      </c>
      <c r="B973" s="13" t="s">
        <v>609</v>
      </c>
      <c r="C973" s="13" t="s">
        <v>1540</v>
      </c>
      <c r="D973" s="13" t="s">
        <v>1567</v>
      </c>
      <c r="E973" s="13" t="s">
        <v>1586</v>
      </c>
      <c r="F973" s="13" t="s">
        <v>1642</v>
      </c>
      <c r="G973" s="61" t="n">
        <v>118194588834</v>
      </c>
      <c r="H973" s="13" t="s">
        <v>1537</v>
      </c>
      <c r="I973" s="13" t="s">
        <v>1588</v>
      </c>
      <c r="J973" s="13"/>
      <c r="K973" s="13" t="s">
        <v>1584</v>
      </c>
      <c r="L973" s="13" t="s">
        <v>1542</v>
      </c>
      <c r="M973" s="13"/>
    </row>
    <row r="974" customFormat="false" ht="15" hidden="false" customHeight="false" outlineLevel="0" collapsed="false">
      <c r="A974" s="13" t="s">
        <v>610</v>
      </c>
      <c r="B974" s="13" t="s">
        <v>609</v>
      </c>
      <c r="C974" s="13" t="s">
        <v>1543</v>
      </c>
      <c r="D974" s="13" t="s">
        <v>1567</v>
      </c>
      <c r="E974" s="13" t="s">
        <v>1586</v>
      </c>
      <c r="F974" s="13" t="s">
        <v>1642</v>
      </c>
      <c r="G974" s="61" t="n">
        <v>104817649529</v>
      </c>
      <c r="H974" s="13" t="s">
        <v>1537</v>
      </c>
      <c r="I974" s="13" t="s">
        <v>1588</v>
      </c>
      <c r="J974" s="13"/>
      <c r="K974" s="13" t="s">
        <v>1585</v>
      </c>
      <c r="L974" s="13" t="s">
        <v>1539</v>
      </c>
      <c r="M974" s="13"/>
    </row>
    <row r="975" customFormat="false" ht="15" hidden="false" customHeight="false" outlineLevel="0" collapsed="false">
      <c r="A975" s="13" t="s">
        <v>610</v>
      </c>
      <c r="B975" s="13" t="s">
        <v>609</v>
      </c>
      <c r="C975" s="13" t="s">
        <v>1536</v>
      </c>
      <c r="D975" s="13" t="s">
        <v>1567</v>
      </c>
      <c r="E975" s="13" t="s">
        <v>1586</v>
      </c>
      <c r="F975" s="13" t="s">
        <v>1643</v>
      </c>
      <c r="G975" s="61" t="n">
        <v>107641067638</v>
      </c>
      <c r="H975" s="13" t="s">
        <v>1537</v>
      </c>
      <c r="I975" s="13" t="s">
        <v>1588</v>
      </c>
      <c r="J975" s="13"/>
      <c r="K975" s="13" t="s">
        <v>1583</v>
      </c>
      <c r="L975" s="13" t="s">
        <v>1539</v>
      </c>
      <c r="M975" s="13"/>
    </row>
    <row r="976" customFormat="false" ht="15" hidden="false" customHeight="false" outlineLevel="0" collapsed="false">
      <c r="A976" s="13" t="s">
        <v>610</v>
      </c>
      <c r="B976" s="13" t="s">
        <v>609</v>
      </c>
      <c r="C976" s="13" t="s">
        <v>1540</v>
      </c>
      <c r="D976" s="13" t="s">
        <v>1567</v>
      </c>
      <c r="E976" s="13" t="s">
        <v>1586</v>
      </c>
      <c r="F976" s="13" t="s">
        <v>1643</v>
      </c>
      <c r="G976" s="61" t="n">
        <v>124437522136</v>
      </c>
      <c r="H976" s="13" t="s">
        <v>1537</v>
      </c>
      <c r="I976" s="13" t="s">
        <v>1588</v>
      </c>
      <c r="J976" s="13"/>
      <c r="K976" s="13" t="s">
        <v>1584</v>
      </c>
      <c r="L976" s="13" t="s">
        <v>1542</v>
      </c>
      <c r="M976" s="13"/>
    </row>
    <row r="977" customFormat="false" ht="15" hidden="false" customHeight="false" outlineLevel="0" collapsed="false">
      <c r="A977" s="13" t="s">
        <v>610</v>
      </c>
      <c r="B977" s="13" t="s">
        <v>609</v>
      </c>
      <c r="C977" s="13" t="s">
        <v>1543</v>
      </c>
      <c r="D977" s="13" t="s">
        <v>1567</v>
      </c>
      <c r="E977" s="13" t="s">
        <v>1586</v>
      </c>
      <c r="F977" s="13" t="s">
        <v>1643</v>
      </c>
      <c r="G977" s="61" t="n">
        <v>79199047177</v>
      </c>
      <c r="H977" s="13" t="s">
        <v>1537</v>
      </c>
      <c r="I977" s="13" t="s">
        <v>1588</v>
      </c>
      <c r="J977" s="13"/>
      <c r="K977" s="13" t="s">
        <v>1585</v>
      </c>
      <c r="L977" s="13" t="s">
        <v>1539</v>
      </c>
      <c r="M977" s="13"/>
    </row>
    <row r="978" customFormat="false" ht="15" hidden="false" customHeight="false" outlineLevel="0" collapsed="false">
      <c r="A978" s="13" t="s">
        <v>610</v>
      </c>
      <c r="B978" s="13" t="s">
        <v>609</v>
      </c>
      <c r="C978" s="13" t="s">
        <v>1536</v>
      </c>
      <c r="D978" s="13" t="s">
        <v>1567</v>
      </c>
      <c r="E978" s="13" t="s">
        <v>1586</v>
      </c>
      <c r="F978" s="13" t="s">
        <v>1646</v>
      </c>
      <c r="G978" s="61" t="n">
        <v>1782870474</v>
      </c>
      <c r="H978" s="13" t="s">
        <v>1537</v>
      </c>
      <c r="I978" s="13" t="s">
        <v>1588</v>
      </c>
      <c r="J978" s="13"/>
      <c r="K978" s="13" t="s">
        <v>1583</v>
      </c>
      <c r="L978" s="13" t="s">
        <v>1539</v>
      </c>
      <c r="M978" s="13"/>
    </row>
    <row r="979" customFormat="false" ht="15" hidden="false" customHeight="false" outlineLevel="0" collapsed="false">
      <c r="A979" s="13" t="s">
        <v>610</v>
      </c>
      <c r="B979" s="13" t="s">
        <v>609</v>
      </c>
      <c r="C979" s="13" t="s">
        <v>1540</v>
      </c>
      <c r="D979" s="13" t="s">
        <v>1567</v>
      </c>
      <c r="E979" s="13" t="s">
        <v>1586</v>
      </c>
      <c r="F979" s="13" t="s">
        <v>1646</v>
      </c>
      <c r="G979" s="61" t="n">
        <v>11915524107</v>
      </c>
      <c r="H979" s="13" t="s">
        <v>1537</v>
      </c>
      <c r="I979" s="13" t="s">
        <v>1588</v>
      </c>
      <c r="J979" s="13"/>
      <c r="K979" s="13" t="s">
        <v>1584</v>
      </c>
      <c r="L979" s="13" t="s">
        <v>1542</v>
      </c>
      <c r="M979" s="13"/>
    </row>
    <row r="980" customFormat="false" ht="15" hidden="false" customHeight="false" outlineLevel="0" collapsed="false">
      <c r="A980" s="13" t="s">
        <v>610</v>
      </c>
      <c r="B980" s="13" t="s">
        <v>609</v>
      </c>
      <c r="C980" s="13" t="s">
        <v>1543</v>
      </c>
      <c r="D980" s="13" t="s">
        <v>1567</v>
      </c>
      <c r="E980" s="13" t="s">
        <v>1586</v>
      </c>
      <c r="F980" s="13" t="s">
        <v>1646</v>
      </c>
      <c r="G980" s="61" t="n">
        <v>15919398340</v>
      </c>
      <c r="H980" s="13" t="s">
        <v>1537</v>
      </c>
      <c r="I980" s="13" t="s">
        <v>1588</v>
      </c>
      <c r="J980" s="13"/>
      <c r="K980" s="13" t="s">
        <v>1585</v>
      </c>
      <c r="L980" s="13" t="s">
        <v>1539</v>
      </c>
      <c r="M980" s="13"/>
    </row>
    <row r="981" customFormat="false" ht="15" hidden="false" customHeight="false" outlineLevel="0" collapsed="false">
      <c r="A981" s="13" t="s">
        <v>610</v>
      </c>
      <c r="B981" s="13" t="s">
        <v>609</v>
      </c>
      <c r="C981" s="13" t="s">
        <v>1536</v>
      </c>
      <c r="D981" s="13" t="s">
        <v>1567</v>
      </c>
      <c r="E981" s="13" t="s">
        <v>1586</v>
      </c>
      <c r="F981" s="13" t="s">
        <v>1644</v>
      </c>
      <c r="G981" s="61" t="n">
        <v>4319549612</v>
      </c>
      <c r="H981" s="13" t="s">
        <v>1537</v>
      </c>
      <c r="I981" s="13" t="s">
        <v>1588</v>
      </c>
      <c r="J981" s="13"/>
      <c r="K981" s="13" t="s">
        <v>1583</v>
      </c>
      <c r="L981" s="13" t="s">
        <v>1539</v>
      </c>
      <c r="M981" s="13"/>
    </row>
    <row r="982" customFormat="false" ht="15" hidden="false" customHeight="false" outlineLevel="0" collapsed="false">
      <c r="A982" s="13" t="s">
        <v>610</v>
      </c>
      <c r="B982" s="13" t="s">
        <v>609</v>
      </c>
      <c r="C982" s="13" t="s">
        <v>1540</v>
      </c>
      <c r="D982" s="13" t="s">
        <v>1567</v>
      </c>
      <c r="E982" s="13" t="s">
        <v>1586</v>
      </c>
      <c r="F982" s="13" t="s">
        <v>1644</v>
      </c>
      <c r="G982" s="61" t="n">
        <v>7996360385</v>
      </c>
      <c r="H982" s="13" t="s">
        <v>1537</v>
      </c>
      <c r="I982" s="13" t="s">
        <v>1588</v>
      </c>
      <c r="J982" s="13"/>
      <c r="K982" s="13" t="s">
        <v>1584</v>
      </c>
      <c r="L982" s="13" t="s">
        <v>1542</v>
      </c>
      <c r="M982" s="13"/>
    </row>
    <row r="983" customFormat="false" ht="15" hidden="false" customHeight="false" outlineLevel="0" collapsed="false">
      <c r="A983" s="13" t="s">
        <v>610</v>
      </c>
      <c r="B983" s="13" t="s">
        <v>609</v>
      </c>
      <c r="C983" s="13" t="s">
        <v>1543</v>
      </c>
      <c r="D983" s="13" t="s">
        <v>1567</v>
      </c>
      <c r="E983" s="13" t="s">
        <v>1586</v>
      </c>
      <c r="F983" s="13" t="s">
        <v>1644</v>
      </c>
      <c r="G983" s="61" t="n">
        <v>5470452303</v>
      </c>
      <c r="H983" s="13" t="s">
        <v>1537</v>
      </c>
      <c r="I983" s="13" t="s">
        <v>1588</v>
      </c>
      <c r="J983" s="13"/>
      <c r="K983" s="13" t="s">
        <v>1585</v>
      </c>
      <c r="L983" s="13" t="s">
        <v>1539</v>
      </c>
      <c r="M983" s="13"/>
    </row>
    <row r="984" customFormat="false" ht="15" hidden="false" customHeight="false" outlineLevel="0" collapsed="false">
      <c r="A984" s="13" t="s">
        <v>610</v>
      </c>
      <c r="B984" s="13" t="s">
        <v>609</v>
      </c>
      <c r="C984" s="13" t="s">
        <v>1540</v>
      </c>
      <c r="D984" s="13" t="s">
        <v>1567</v>
      </c>
      <c r="E984" s="13" t="s">
        <v>1596</v>
      </c>
      <c r="F984" s="13" t="s">
        <v>1649</v>
      </c>
      <c r="G984" s="61" t="n">
        <v>2152821401</v>
      </c>
      <c r="H984" s="13" t="s">
        <v>1537</v>
      </c>
      <c r="I984" s="13" t="s">
        <v>1597</v>
      </c>
      <c r="J984" s="13"/>
      <c r="K984" s="13" t="s">
        <v>1584</v>
      </c>
      <c r="L984" s="13" t="s">
        <v>1542</v>
      </c>
      <c r="M984" s="13"/>
    </row>
    <row r="985" customFormat="false" ht="15" hidden="false" customHeight="false" outlineLevel="0" collapsed="false">
      <c r="A985" s="13" t="s">
        <v>610</v>
      </c>
      <c r="B985" s="13" t="s">
        <v>609</v>
      </c>
      <c r="C985" s="13" t="s">
        <v>1543</v>
      </c>
      <c r="D985" s="13" t="s">
        <v>1567</v>
      </c>
      <c r="E985" s="13" t="s">
        <v>1596</v>
      </c>
      <c r="F985" s="13" t="s">
        <v>1649</v>
      </c>
      <c r="G985" s="61" t="n">
        <v>2801789879</v>
      </c>
      <c r="H985" s="13" t="s">
        <v>1537</v>
      </c>
      <c r="I985" s="13" t="s">
        <v>1597</v>
      </c>
      <c r="J985" s="13"/>
      <c r="K985" s="13" t="s">
        <v>1585</v>
      </c>
      <c r="L985" s="13" t="s">
        <v>1539</v>
      </c>
      <c r="M985" s="13"/>
    </row>
    <row r="986" customFormat="false" ht="15" hidden="false" customHeight="false" outlineLevel="0" collapsed="false">
      <c r="A986" s="13" t="s">
        <v>610</v>
      </c>
      <c r="B986" s="13" t="s">
        <v>609</v>
      </c>
      <c r="C986" s="13" t="s">
        <v>1543</v>
      </c>
      <c r="D986" s="13" t="s">
        <v>1567</v>
      </c>
      <c r="E986" s="13" t="s">
        <v>1596</v>
      </c>
      <c r="F986" s="13" t="s">
        <v>1650</v>
      </c>
      <c r="G986" s="61" t="n">
        <v>2502241856</v>
      </c>
      <c r="H986" s="13" t="s">
        <v>1537</v>
      </c>
      <c r="I986" s="13" t="s">
        <v>1597</v>
      </c>
      <c r="J986" s="13"/>
      <c r="K986" s="13" t="s">
        <v>1585</v>
      </c>
      <c r="L986" s="13" t="s">
        <v>1539</v>
      </c>
      <c r="M986" s="13"/>
    </row>
    <row r="987" customFormat="false" ht="15" hidden="false" customHeight="false" outlineLevel="0" collapsed="false">
      <c r="A987" s="13" t="s">
        <v>610</v>
      </c>
      <c r="B987" s="13" t="s">
        <v>609</v>
      </c>
      <c r="C987" s="13" t="s">
        <v>1543</v>
      </c>
      <c r="D987" s="13" t="s">
        <v>1567</v>
      </c>
      <c r="E987" s="13" t="s">
        <v>1596</v>
      </c>
      <c r="F987" s="13" t="s">
        <v>1651</v>
      </c>
      <c r="G987" s="61" t="n">
        <v>1868653063</v>
      </c>
      <c r="H987" s="13" t="s">
        <v>1537</v>
      </c>
      <c r="I987" s="13" t="s">
        <v>1597</v>
      </c>
      <c r="J987" s="13"/>
      <c r="K987" s="13" t="s">
        <v>1585</v>
      </c>
      <c r="L987" s="13" t="s">
        <v>1539</v>
      </c>
      <c r="M987" s="13"/>
    </row>
    <row r="988" customFormat="false" ht="15" hidden="false" customHeight="false" outlineLevel="0" collapsed="false">
      <c r="A988" s="13" t="s">
        <v>610</v>
      </c>
      <c r="B988" s="13" t="s">
        <v>609</v>
      </c>
      <c r="C988" s="13" t="s">
        <v>1536</v>
      </c>
      <c r="D988" s="13" t="s">
        <v>1567</v>
      </c>
      <c r="E988" s="13" t="s">
        <v>1596</v>
      </c>
      <c r="F988" s="13" t="s">
        <v>1652</v>
      </c>
      <c r="G988" s="61" t="n">
        <v>938392549</v>
      </c>
      <c r="H988" s="13" t="s">
        <v>1537</v>
      </c>
      <c r="I988" s="13" t="s">
        <v>1597</v>
      </c>
      <c r="J988" s="13"/>
      <c r="K988" s="13" t="s">
        <v>1583</v>
      </c>
      <c r="L988" s="13" t="s">
        <v>1539</v>
      </c>
      <c r="M988" s="13"/>
    </row>
    <row r="989" customFormat="false" ht="15" hidden="false" customHeight="false" outlineLevel="0" collapsed="false">
      <c r="A989" s="13" t="s">
        <v>610</v>
      </c>
      <c r="B989" s="13" t="s">
        <v>609</v>
      </c>
      <c r="C989" s="13" t="s">
        <v>1540</v>
      </c>
      <c r="D989" s="13" t="s">
        <v>1567</v>
      </c>
      <c r="E989" s="13" t="s">
        <v>1596</v>
      </c>
      <c r="F989" s="13" t="s">
        <v>1652</v>
      </c>
      <c r="G989" s="61" t="n">
        <v>1024613276</v>
      </c>
      <c r="H989" s="13" t="s">
        <v>1537</v>
      </c>
      <c r="I989" s="13" t="s">
        <v>1597</v>
      </c>
      <c r="J989" s="13"/>
      <c r="K989" s="13" t="s">
        <v>1584</v>
      </c>
      <c r="L989" s="13" t="s">
        <v>1542</v>
      </c>
      <c r="M989" s="13"/>
    </row>
    <row r="990" customFormat="false" ht="15" hidden="false" customHeight="false" outlineLevel="0" collapsed="false">
      <c r="A990" s="13" t="s">
        <v>610</v>
      </c>
      <c r="B990" s="13" t="s">
        <v>609</v>
      </c>
      <c r="C990" s="13" t="s">
        <v>1543</v>
      </c>
      <c r="D990" s="13" t="s">
        <v>1567</v>
      </c>
      <c r="E990" s="13" t="s">
        <v>1596</v>
      </c>
      <c r="F990" s="13" t="s">
        <v>1652</v>
      </c>
      <c r="G990" s="61" t="n">
        <v>665268349</v>
      </c>
      <c r="H990" s="13" t="s">
        <v>1537</v>
      </c>
      <c r="I990" s="13" t="s">
        <v>1597</v>
      </c>
      <c r="J990" s="13"/>
      <c r="K990" s="13" t="s">
        <v>1585</v>
      </c>
      <c r="L990" s="13" t="s">
        <v>1539</v>
      </c>
      <c r="M990" s="13"/>
    </row>
    <row r="991" customFormat="false" ht="15" hidden="false" customHeight="false" outlineLevel="0" collapsed="false">
      <c r="A991" s="13" t="s">
        <v>610</v>
      </c>
      <c r="B991" s="13" t="s">
        <v>609</v>
      </c>
      <c r="C991" s="13" t="s">
        <v>1536</v>
      </c>
      <c r="D991" s="13" t="s">
        <v>1567</v>
      </c>
      <c r="E991" s="13" t="s">
        <v>1596</v>
      </c>
      <c r="F991" s="13" t="s">
        <v>1653</v>
      </c>
      <c r="G991" s="61" t="n">
        <v>175000000</v>
      </c>
      <c r="H991" s="13" t="s">
        <v>1537</v>
      </c>
      <c r="I991" s="13" t="s">
        <v>1597</v>
      </c>
      <c r="J991" s="13"/>
      <c r="K991" s="13" t="s">
        <v>1583</v>
      </c>
      <c r="L991" s="13" t="s">
        <v>1539</v>
      </c>
      <c r="M991" s="13"/>
    </row>
    <row r="992" customFormat="false" ht="15" hidden="false" customHeight="false" outlineLevel="0" collapsed="false">
      <c r="A992" s="13" t="s">
        <v>610</v>
      </c>
      <c r="B992" s="13" t="s">
        <v>609</v>
      </c>
      <c r="C992" s="13" t="s">
        <v>1540</v>
      </c>
      <c r="D992" s="13" t="s">
        <v>1567</v>
      </c>
      <c r="E992" s="13" t="s">
        <v>1596</v>
      </c>
      <c r="F992" s="13" t="s">
        <v>1653</v>
      </c>
      <c r="G992" s="61" t="n">
        <v>339819910</v>
      </c>
      <c r="H992" s="13" t="s">
        <v>1537</v>
      </c>
      <c r="I992" s="13" t="s">
        <v>1597</v>
      </c>
      <c r="J992" s="13"/>
      <c r="K992" s="13" t="s">
        <v>1584</v>
      </c>
      <c r="L992" s="13" t="s">
        <v>1542</v>
      </c>
      <c r="M992" s="13"/>
    </row>
    <row r="993" customFormat="false" ht="15" hidden="false" customHeight="false" outlineLevel="0" collapsed="false">
      <c r="A993" s="13" t="s">
        <v>610</v>
      </c>
      <c r="B993" s="13" t="s">
        <v>609</v>
      </c>
      <c r="C993" s="13" t="s">
        <v>1543</v>
      </c>
      <c r="D993" s="13" t="s">
        <v>1567</v>
      </c>
      <c r="E993" s="13" t="s">
        <v>1596</v>
      </c>
      <c r="F993" s="13" t="s">
        <v>1653</v>
      </c>
      <c r="G993" s="61" t="n">
        <v>447084725</v>
      </c>
      <c r="H993" s="13" t="s">
        <v>1537</v>
      </c>
      <c r="I993" s="13" t="s">
        <v>1597</v>
      </c>
      <c r="J993" s="13"/>
      <c r="K993" s="13" t="s">
        <v>1585</v>
      </c>
      <c r="L993" s="13" t="s">
        <v>1539</v>
      </c>
      <c r="M993" s="13"/>
    </row>
    <row r="994" customFormat="false" ht="15" hidden="false" customHeight="false" outlineLevel="0" collapsed="false">
      <c r="A994" s="13" t="s">
        <v>610</v>
      </c>
      <c r="B994" s="13" t="s">
        <v>609</v>
      </c>
      <c r="C994" s="13" t="s">
        <v>1543</v>
      </c>
      <c r="D994" s="13" t="s">
        <v>1567</v>
      </c>
      <c r="E994" s="13" t="s">
        <v>1596</v>
      </c>
      <c r="F994" s="13" t="s">
        <v>1654</v>
      </c>
      <c r="G994" s="61" t="n">
        <v>5708532563</v>
      </c>
      <c r="H994" s="13" t="s">
        <v>1537</v>
      </c>
      <c r="I994" s="13" t="s">
        <v>1597</v>
      </c>
      <c r="J994" s="13"/>
      <c r="K994" s="13" t="s">
        <v>1585</v>
      </c>
      <c r="L994" s="13" t="s">
        <v>1539</v>
      </c>
      <c r="M994" s="13"/>
    </row>
    <row r="995" customFormat="false" ht="15" hidden="false" customHeight="false" outlineLevel="0" collapsed="false">
      <c r="A995" s="13" t="s">
        <v>610</v>
      </c>
      <c r="B995" s="13" t="s">
        <v>609</v>
      </c>
      <c r="C995" s="13" t="s">
        <v>1543</v>
      </c>
      <c r="D995" s="13" t="s">
        <v>1567</v>
      </c>
      <c r="E995" s="13" t="s">
        <v>1614</v>
      </c>
      <c r="F995" s="13" t="s">
        <v>1655</v>
      </c>
      <c r="G995" s="61" t="n">
        <v>181162115</v>
      </c>
      <c r="H995" s="13" t="s">
        <v>1537</v>
      </c>
      <c r="I995" s="13" t="s">
        <v>1616</v>
      </c>
      <c r="J995" s="13"/>
      <c r="K995" s="13" t="s">
        <v>1585</v>
      </c>
      <c r="L995" s="13" t="s">
        <v>1539</v>
      </c>
      <c r="M995" s="13"/>
    </row>
    <row r="996" customFormat="false" ht="15" hidden="false" customHeight="false" outlineLevel="0" collapsed="false">
      <c r="A996" s="13" t="s">
        <v>610</v>
      </c>
      <c r="B996" s="13" t="s">
        <v>609</v>
      </c>
      <c r="C996" s="13" t="s">
        <v>1540</v>
      </c>
      <c r="D996" s="13" t="s">
        <v>1567</v>
      </c>
      <c r="E996" s="13" t="s">
        <v>1614</v>
      </c>
      <c r="F996" s="13" t="s">
        <v>1656</v>
      </c>
      <c r="G996" s="61" t="n">
        <v>19094307244</v>
      </c>
      <c r="H996" s="13" t="s">
        <v>1537</v>
      </c>
      <c r="I996" s="13" t="s">
        <v>1616</v>
      </c>
      <c r="J996" s="13"/>
      <c r="K996" s="13" t="s">
        <v>1584</v>
      </c>
      <c r="L996" s="13" t="s">
        <v>1542</v>
      </c>
      <c r="M996" s="13"/>
    </row>
    <row r="997" customFormat="false" ht="15" hidden="false" customHeight="false" outlineLevel="0" collapsed="false">
      <c r="A997" s="13" t="s">
        <v>610</v>
      </c>
      <c r="B997" s="13" t="s">
        <v>609</v>
      </c>
      <c r="C997" s="13" t="s">
        <v>1543</v>
      </c>
      <c r="D997" s="13" t="s">
        <v>1567</v>
      </c>
      <c r="E997" s="13" t="s">
        <v>1614</v>
      </c>
      <c r="F997" s="13" t="s">
        <v>1656</v>
      </c>
      <c r="G997" s="107" t="n">
        <v>0</v>
      </c>
      <c r="H997" s="13" t="s">
        <v>1537</v>
      </c>
      <c r="I997" s="13" t="s">
        <v>1616</v>
      </c>
      <c r="J997" s="13"/>
      <c r="K997" s="13" t="s">
        <v>1585</v>
      </c>
      <c r="L997" s="13" t="s">
        <v>1539</v>
      </c>
      <c r="M997" s="13"/>
    </row>
    <row r="998" customFormat="false" ht="15" hidden="false" customHeight="false" outlineLevel="0" collapsed="false">
      <c r="A998" s="13" t="s">
        <v>610</v>
      </c>
      <c r="B998" s="13" t="s">
        <v>609</v>
      </c>
      <c r="C998" s="13" t="s">
        <v>1543</v>
      </c>
      <c r="D998" s="13" t="s">
        <v>1567</v>
      </c>
      <c r="E998" s="13" t="s">
        <v>1614</v>
      </c>
      <c r="F998" s="13" t="s">
        <v>1657</v>
      </c>
      <c r="G998" s="61" t="n">
        <v>-166370135</v>
      </c>
      <c r="H998" s="13" t="s">
        <v>1537</v>
      </c>
      <c r="I998" s="13" t="s">
        <v>1616</v>
      </c>
      <c r="J998" s="13"/>
      <c r="K998" s="13" t="s">
        <v>1585</v>
      </c>
      <c r="L998" s="13" t="s">
        <v>1539</v>
      </c>
      <c r="M998" s="13"/>
    </row>
    <row r="999" customFormat="false" ht="15" hidden="false" customHeight="false" outlineLevel="0" collapsed="false">
      <c r="A999" s="13" t="s">
        <v>610</v>
      </c>
      <c r="B999" s="13" t="s">
        <v>609</v>
      </c>
      <c r="C999" s="13" t="s">
        <v>1543</v>
      </c>
      <c r="D999" s="13" t="s">
        <v>1567</v>
      </c>
      <c r="E999" s="13" t="s">
        <v>1614</v>
      </c>
      <c r="F999" s="13" t="s">
        <v>1658</v>
      </c>
      <c r="G999" s="61" t="n">
        <v>-349349093</v>
      </c>
      <c r="H999" s="13" t="s">
        <v>1537</v>
      </c>
      <c r="I999" s="13" t="s">
        <v>1616</v>
      </c>
      <c r="J999" s="13"/>
      <c r="K999" s="13" t="s">
        <v>1585</v>
      </c>
      <c r="L999" s="13" t="s">
        <v>1539</v>
      </c>
      <c r="M999" s="13"/>
    </row>
    <row r="1000" customFormat="false" ht="15" hidden="false" customHeight="false" outlineLevel="0" collapsed="false">
      <c r="A1000" s="13" t="s">
        <v>610</v>
      </c>
      <c r="B1000" s="13" t="s">
        <v>609</v>
      </c>
      <c r="C1000" s="13" t="s">
        <v>1536</v>
      </c>
      <c r="D1000" s="13" t="s">
        <v>1567</v>
      </c>
      <c r="E1000" s="13" t="s">
        <v>1614</v>
      </c>
      <c r="F1000" s="13" t="s">
        <v>1659</v>
      </c>
      <c r="G1000" s="61" t="n">
        <v>1259564549</v>
      </c>
      <c r="H1000" s="13" t="s">
        <v>1537</v>
      </c>
      <c r="I1000" s="13" t="s">
        <v>1616</v>
      </c>
      <c r="J1000" s="13"/>
      <c r="K1000" s="13" t="s">
        <v>1583</v>
      </c>
      <c r="L1000" s="13" t="s">
        <v>1539</v>
      </c>
      <c r="M1000" s="13"/>
    </row>
    <row r="1001" customFormat="false" ht="15" hidden="false" customHeight="false" outlineLevel="0" collapsed="false">
      <c r="A1001" s="13" t="s">
        <v>610</v>
      </c>
      <c r="B1001" s="13" t="s">
        <v>609</v>
      </c>
      <c r="C1001" s="13" t="s">
        <v>1540</v>
      </c>
      <c r="D1001" s="13" t="s">
        <v>1567</v>
      </c>
      <c r="E1001" s="13" t="s">
        <v>1614</v>
      </c>
      <c r="F1001" s="13" t="s">
        <v>1659</v>
      </c>
      <c r="G1001" s="61" t="n">
        <v>2519117690</v>
      </c>
      <c r="H1001" s="13" t="s">
        <v>1537</v>
      </c>
      <c r="I1001" s="13" t="s">
        <v>1616</v>
      </c>
      <c r="J1001" s="13"/>
      <c r="K1001" s="13" t="s">
        <v>1584</v>
      </c>
      <c r="L1001" s="13" t="s">
        <v>1542</v>
      </c>
      <c r="M1001" s="13"/>
    </row>
    <row r="1002" customFormat="false" ht="15" hidden="false" customHeight="false" outlineLevel="0" collapsed="false">
      <c r="A1002" s="13" t="s">
        <v>610</v>
      </c>
      <c r="B1002" s="13" t="s">
        <v>609</v>
      </c>
      <c r="C1002" s="13" t="s">
        <v>1543</v>
      </c>
      <c r="D1002" s="13" t="s">
        <v>1567</v>
      </c>
      <c r="E1002" s="13" t="s">
        <v>1614</v>
      </c>
      <c r="F1002" s="13" t="s">
        <v>1659</v>
      </c>
      <c r="G1002" s="61" t="n">
        <v>944935140</v>
      </c>
      <c r="H1002" s="13" t="s">
        <v>1537</v>
      </c>
      <c r="I1002" s="13" t="s">
        <v>1616</v>
      </c>
      <c r="J1002" s="13"/>
      <c r="K1002" s="13" t="s">
        <v>1585</v>
      </c>
      <c r="L1002" s="13" t="s">
        <v>1539</v>
      </c>
      <c r="M1002" s="13"/>
    </row>
    <row r="1003" customFormat="false" ht="15" hidden="false" customHeight="false" outlineLevel="0" collapsed="false">
      <c r="A1003" s="13" t="s">
        <v>610</v>
      </c>
      <c r="B1003" s="13" t="s">
        <v>609</v>
      </c>
      <c r="C1003" s="13" t="s">
        <v>1536</v>
      </c>
      <c r="D1003" s="13" t="s">
        <v>1567</v>
      </c>
      <c r="E1003" s="13" t="s">
        <v>1596</v>
      </c>
      <c r="F1003" s="13" t="s">
        <v>1660</v>
      </c>
      <c r="G1003" s="61" t="n">
        <v>6679307854</v>
      </c>
      <c r="H1003" s="13" t="s">
        <v>1537</v>
      </c>
      <c r="I1003" s="13" t="s">
        <v>1597</v>
      </c>
      <c r="J1003" s="13"/>
      <c r="K1003" s="13" t="s">
        <v>1583</v>
      </c>
      <c r="L1003" s="13" t="s">
        <v>1539</v>
      </c>
      <c r="M1003" s="13"/>
    </row>
    <row r="1004" customFormat="false" ht="15" hidden="false" customHeight="false" outlineLevel="0" collapsed="false">
      <c r="A1004" s="13" t="s">
        <v>610</v>
      </c>
      <c r="B1004" s="13" t="s">
        <v>609</v>
      </c>
      <c r="C1004" s="13" t="s">
        <v>1540</v>
      </c>
      <c r="D1004" s="13" t="s">
        <v>1567</v>
      </c>
      <c r="E1004" s="13" t="s">
        <v>1596</v>
      </c>
      <c r="F1004" s="13" t="s">
        <v>1660</v>
      </c>
      <c r="G1004" s="61" t="n">
        <v>3400217550</v>
      </c>
      <c r="H1004" s="13" t="s">
        <v>1537</v>
      </c>
      <c r="I1004" s="13" t="s">
        <v>1597</v>
      </c>
      <c r="J1004" s="13"/>
      <c r="K1004" s="13" t="s">
        <v>1584</v>
      </c>
      <c r="L1004" s="13" t="s">
        <v>1542</v>
      </c>
      <c r="M1004" s="13"/>
    </row>
    <row r="1005" customFormat="false" ht="15" hidden="false" customHeight="false" outlineLevel="0" collapsed="false">
      <c r="A1005" s="13" t="s">
        <v>610</v>
      </c>
      <c r="B1005" s="13" t="s">
        <v>609</v>
      </c>
      <c r="C1005" s="13" t="s">
        <v>1536</v>
      </c>
      <c r="D1005" s="13" t="s">
        <v>1567</v>
      </c>
      <c r="E1005" s="13" t="s">
        <v>1614</v>
      </c>
      <c r="F1005" s="13" t="s">
        <v>1661</v>
      </c>
      <c r="G1005" s="61" t="n">
        <v>108657000</v>
      </c>
      <c r="H1005" s="13" t="s">
        <v>1537</v>
      </c>
      <c r="I1005" s="13" t="s">
        <v>1616</v>
      </c>
      <c r="J1005" s="13"/>
      <c r="K1005" s="13" t="s">
        <v>1583</v>
      </c>
      <c r="L1005" s="13" t="s">
        <v>1539</v>
      </c>
      <c r="M1005" s="13"/>
    </row>
    <row r="1006" customFormat="false" ht="15" hidden="false" customHeight="false" outlineLevel="0" collapsed="false">
      <c r="A1006" s="13" t="s">
        <v>610</v>
      </c>
      <c r="B1006" s="13" t="s">
        <v>609</v>
      </c>
      <c r="C1006" s="13" t="s">
        <v>1540</v>
      </c>
      <c r="D1006" s="13" t="s">
        <v>1567</v>
      </c>
      <c r="E1006" s="13" t="s">
        <v>1614</v>
      </c>
      <c r="F1006" s="13" t="s">
        <v>1661</v>
      </c>
      <c r="G1006" s="61" t="n">
        <v>313000000</v>
      </c>
      <c r="H1006" s="13" t="s">
        <v>1537</v>
      </c>
      <c r="I1006" s="13" t="s">
        <v>1616</v>
      </c>
      <c r="J1006" s="13"/>
      <c r="K1006" s="13" t="s">
        <v>1584</v>
      </c>
      <c r="L1006" s="13" t="s">
        <v>1542</v>
      </c>
      <c r="M1006" s="13"/>
    </row>
    <row r="1007" customFormat="false" ht="15" hidden="false" customHeight="false" outlineLevel="0" collapsed="false">
      <c r="A1007" s="13" t="s">
        <v>610</v>
      </c>
      <c r="B1007" s="13" t="s">
        <v>609</v>
      </c>
      <c r="C1007" s="13" t="s">
        <v>1536</v>
      </c>
      <c r="D1007" s="13" t="s">
        <v>1567</v>
      </c>
      <c r="E1007" s="13" t="s">
        <v>1614</v>
      </c>
      <c r="F1007" s="13" t="s">
        <v>1662</v>
      </c>
      <c r="G1007" s="61" t="n">
        <v>14463026219</v>
      </c>
      <c r="H1007" s="13" t="s">
        <v>1537</v>
      </c>
      <c r="I1007" s="13" t="s">
        <v>1616</v>
      </c>
      <c r="J1007" s="13"/>
      <c r="K1007" s="13" t="s">
        <v>1583</v>
      </c>
      <c r="L1007" s="13" t="s">
        <v>1539</v>
      </c>
      <c r="M1007" s="13"/>
    </row>
    <row r="1008" customFormat="false" ht="15" hidden="false" customHeight="false" outlineLevel="0" collapsed="false">
      <c r="A1008" s="13" t="s">
        <v>610</v>
      </c>
      <c r="B1008" s="13" t="s">
        <v>609</v>
      </c>
      <c r="C1008" s="13" t="s">
        <v>1540</v>
      </c>
      <c r="D1008" s="13" t="s">
        <v>1567</v>
      </c>
      <c r="E1008" s="13" t="s">
        <v>1614</v>
      </c>
      <c r="F1008" s="13" t="s">
        <v>1662</v>
      </c>
      <c r="G1008" s="107" t="n">
        <v>0</v>
      </c>
      <c r="H1008" s="13" t="s">
        <v>1537</v>
      </c>
      <c r="I1008" s="13" t="s">
        <v>1616</v>
      </c>
      <c r="J1008" s="13"/>
      <c r="K1008" s="13" t="s">
        <v>1584</v>
      </c>
      <c r="L1008" s="13" t="s">
        <v>1542</v>
      </c>
      <c r="M1008" s="13"/>
    </row>
    <row r="1009" customFormat="false" ht="15" hidden="false" customHeight="false" outlineLevel="0" collapsed="false">
      <c r="A1009" s="13" t="s">
        <v>610</v>
      </c>
      <c r="B1009" s="13" t="s">
        <v>609</v>
      </c>
      <c r="C1009" s="13" t="s">
        <v>1536</v>
      </c>
      <c r="D1009" s="13" t="s">
        <v>1567</v>
      </c>
      <c r="E1009" s="13" t="s">
        <v>1614</v>
      </c>
      <c r="F1009" s="13" t="s">
        <v>1663</v>
      </c>
      <c r="G1009" s="61" t="n">
        <v>15308274415</v>
      </c>
      <c r="H1009" s="13" t="s">
        <v>1537</v>
      </c>
      <c r="I1009" s="13" t="s">
        <v>1616</v>
      </c>
      <c r="J1009" s="13"/>
      <c r="K1009" s="13" t="s">
        <v>1583</v>
      </c>
      <c r="L1009" s="13" t="s">
        <v>1539</v>
      </c>
      <c r="M1009" s="13"/>
    </row>
    <row r="1010" customFormat="false" ht="15" hidden="false" customHeight="false" outlineLevel="0" collapsed="false">
      <c r="A1010" s="13" t="s">
        <v>610</v>
      </c>
      <c r="B1010" s="13" t="s">
        <v>609</v>
      </c>
      <c r="C1010" s="13" t="s">
        <v>1540</v>
      </c>
      <c r="D1010" s="13" t="s">
        <v>1567</v>
      </c>
      <c r="E1010" s="13" t="s">
        <v>1614</v>
      </c>
      <c r="F1010" s="13" t="s">
        <v>1663</v>
      </c>
      <c r="G1010" s="61" t="n">
        <v>-1115466533</v>
      </c>
      <c r="H1010" s="13" t="s">
        <v>1537</v>
      </c>
      <c r="I1010" s="13" t="s">
        <v>1616</v>
      </c>
      <c r="J1010" s="13"/>
      <c r="K1010" s="13" t="s">
        <v>1584</v>
      </c>
      <c r="L1010" s="13" t="s">
        <v>1542</v>
      </c>
      <c r="M1010" s="13"/>
    </row>
    <row r="1011" customFormat="false" ht="15" hidden="false" customHeight="false" outlineLevel="0" collapsed="false">
      <c r="A1011" s="13" t="s">
        <v>610</v>
      </c>
      <c r="B1011" s="13" t="s">
        <v>609</v>
      </c>
      <c r="C1011" s="13" t="s">
        <v>1536</v>
      </c>
      <c r="D1011" s="13" t="s">
        <v>1567</v>
      </c>
      <c r="E1011" s="13" t="s">
        <v>1596</v>
      </c>
      <c r="F1011" s="13" t="s">
        <v>1664</v>
      </c>
      <c r="G1011" s="61" t="n">
        <v>27886977601</v>
      </c>
      <c r="H1011" s="13" t="s">
        <v>1537</v>
      </c>
      <c r="I1011" s="13" t="s">
        <v>1597</v>
      </c>
      <c r="J1011" s="13"/>
      <c r="K1011" s="13" t="s">
        <v>1583</v>
      </c>
      <c r="L1011" s="13" t="s">
        <v>1539</v>
      </c>
      <c r="M1011" s="13"/>
    </row>
    <row r="1012" customFormat="false" ht="15" hidden="false" customHeight="false" outlineLevel="0" collapsed="false">
      <c r="A1012" s="13" t="s">
        <v>610</v>
      </c>
      <c r="B1012" s="13" t="s">
        <v>609</v>
      </c>
      <c r="C1012" s="13" t="s">
        <v>1536</v>
      </c>
      <c r="D1012" s="13" t="s">
        <v>1567</v>
      </c>
      <c r="E1012" s="13" t="s">
        <v>1596</v>
      </c>
      <c r="F1012" s="13" t="s">
        <v>1665</v>
      </c>
      <c r="G1012" s="107" t="n">
        <v>0</v>
      </c>
      <c r="H1012" s="13" t="s">
        <v>1537</v>
      </c>
      <c r="I1012" s="13" t="s">
        <v>1597</v>
      </c>
      <c r="J1012" s="13"/>
      <c r="K1012" s="13" t="s">
        <v>1583</v>
      </c>
      <c r="L1012" s="13" t="s">
        <v>1539</v>
      </c>
      <c r="M1012" s="13"/>
    </row>
    <row r="1013" customFormat="false" ht="15" hidden="false" customHeight="false" outlineLevel="0" collapsed="false">
      <c r="A1013" s="13" t="s">
        <v>610</v>
      </c>
      <c r="B1013" s="13" t="s">
        <v>609</v>
      </c>
      <c r="C1013" s="13" t="s">
        <v>1536</v>
      </c>
      <c r="D1013" s="13" t="s">
        <v>1567</v>
      </c>
      <c r="E1013" s="13" t="s">
        <v>1614</v>
      </c>
      <c r="F1013" s="13" t="s">
        <v>1666</v>
      </c>
      <c r="G1013" s="107" t="n">
        <v>0</v>
      </c>
      <c r="H1013" s="13" t="s">
        <v>1537</v>
      </c>
      <c r="I1013" s="13" t="s">
        <v>1616</v>
      </c>
      <c r="J1013" s="13"/>
      <c r="K1013" s="13" t="s">
        <v>1583</v>
      </c>
      <c r="L1013" s="13" t="s">
        <v>1539</v>
      </c>
      <c r="M1013" s="13"/>
    </row>
    <row r="1014" customFormat="false" ht="15" hidden="false" customHeight="false" outlineLevel="0" collapsed="false">
      <c r="A1014" s="13" t="s">
        <v>610</v>
      </c>
      <c r="B1014" s="13" t="s">
        <v>609</v>
      </c>
      <c r="C1014" s="13" t="s">
        <v>1536</v>
      </c>
      <c r="D1014" s="13" t="s">
        <v>1567</v>
      </c>
      <c r="E1014" s="13" t="s">
        <v>1667</v>
      </c>
      <c r="F1014" s="13" t="s">
        <v>1668</v>
      </c>
      <c r="G1014" s="61" t="n">
        <v>-629006272888</v>
      </c>
      <c r="H1014" s="13" t="s">
        <v>1537</v>
      </c>
      <c r="I1014" s="13" t="s">
        <v>1669</v>
      </c>
      <c r="J1014" s="13"/>
      <c r="K1014" s="13"/>
      <c r="L1014" s="13" t="s">
        <v>1539</v>
      </c>
      <c r="M1014" s="13" t="s">
        <v>1670</v>
      </c>
    </row>
    <row r="1015" customFormat="false" ht="15" hidden="false" customHeight="false" outlineLevel="0" collapsed="false">
      <c r="A1015" s="13" t="s">
        <v>610</v>
      </c>
      <c r="B1015" s="13" t="s">
        <v>609</v>
      </c>
      <c r="C1015" s="13" t="s">
        <v>1536</v>
      </c>
      <c r="D1015" s="13" t="s">
        <v>1567</v>
      </c>
      <c r="E1015" s="13" t="s">
        <v>1671</v>
      </c>
      <c r="F1015" s="13" t="s">
        <v>1668</v>
      </c>
      <c r="G1015" s="107" t="n">
        <v>0</v>
      </c>
      <c r="H1015" s="13" t="s">
        <v>1537</v>
      </c>
      <c r="I1015" s="13" t="s">
        <v>1669</v>
      </c>
      <c r="J1015" s="13"/>
      <c r="K1015" s="13"/>
      <c r="L1015" s="13" t="s">
        <v>1539</v>
      </c>
      <c r="M1015" s="13" t="s">
        <v>1670</v>
      </c>
    </row>
    <row r="1016" customFormat="false" ht="15" hidden="false" customHeight="false" outlineLevel="0" collapsed="false">
      <c r="A1016" s="13" t="s">
        <v>610</v>
      </c>
      <c r="B1016" s="13" t="s">
        <v>609</v>
      </c>
      <c r="C1016" s="13" t="s">
        <v>1536</v>
      </c>
      <c r="D1016" s="13" t="s">
        <v>1567</v>
      </c>
      <c r="E1016" s="13" t="s">
        <v>1672</v>
      </c>
      <c r="F1016" s="13" t="s">
        <v>1668</v>
      </c>
      <c r="G1016" s="61" t="n">
        <v>-103003029087</v>
      </c>
      <c r="H1016" s="13" t="s">
        <v>1537</v>
      </c>
      <c r="I1016" s="13" t="s">
        <v>1669</v>
      </c>
      <c r="J1016" s="13"/>
      <c r="K1016" s="13"/>
      <c r="L1016" s="13" t="s">
        <v>1539</v>
      </c>
      <c r="M1016" s="13" t="s">
        <v>1670</v>
      </c>
    </row>
    <row r="1017" customFormat="false" ht="15" hidden="false" customHeight="false" outlineLevel="0" collapsed="false">
      <c r="A1017" s="13" t="s">
        <v>610</v>
      </c>
      <c r="B1017" s="13" t="s">
        <v>609</v>
      </c>
      <c r="C1017" s="13" t="s">
        <v>1536</v>
      </c>
      <c r="D1017" s="13" t="s">
        <v>1567</v>
      </c>
      <c r="E1017" s="13" t="s">
        <v>1673</v>
      </c>
      <c r="F1017" s="13" t="s">
        <v>1668</v>
      </c>
      <c r="G1017" s="61" t="n">
        <v>1800014874</v>
      </c>
      <c r="H1017" s="13" t="s">
        <v>1537</v>
      </c>
      <c r="I1017" s="13" t="s">
        <v>1669</v>
      </c>
      <c r="J1017" s="13"/>
      <c r="K1017" s="13"/>
      <c r="L1017" s="13" t="s">
        <v>1539</v>
      </c>
      <c r="M1017" s="13" t="s">
        <v>1670</v>
      </c>
    </row>
    <row r="1018" customFormat="false" ht="15" hidden="false" customHeight="false" outlineLevel="0" collapsed="false">
      <c r="A1018" s="13" t="s">
        <v>610</v>
      </c>
      <c r="B1018" s="13" t="s">
        <v>609</v>
      </c>
      <c r="C1018" s="13" t="s">
        <v>1536</v>
      </c>
      <c r="D1018" s="13" t="s">
        <v>1567</v>
      </c>
      <c r="E1018" s="13" t="s">
        <v>1674</v>
      </c>
      <c r="F1018" s="13" t="s">
        <v>1668</v>
      </c>
      <c r="G1018" s="107" t="n">
        <v>0</v>
      </c>
      <c r="H1018" s="13" t="s">
        <v>1537</v>
      </c>
      <c r="I1018" s="13" t="s">
        <v>1669</v>
      </c>
      <c r="J1018" s="13"/>
      <c r="K1018" s="13"/>
      <c r="L1018" s="13" t="s">
        <v>1539</v>
      </c>
      <c r="M1018" s="13" t="s">
        <v>1670</v>
      </c>
    </row>
    <row r="1019" customFormat="false" ht="15" hidden="false" customHeight="false" outlineLevel="0" collapsed="false">
      <c r="A1019" s="13" t="s">
        <v>610</v>
      </c>
      <c r="B1019" s="13" t="s">
        <v>609</v>
      </c>
      <c r="C1019" s="13" t="s">
        <v>1536</v>
      </c>
      <c r="D1019" s="13" t="s">
        <v>1567</v>
      </c>
      <c r="E1019" s="13" t="s">
        <v>1675</v>
      </c>
      <c r="F1019" s="13" t="s">
        <v>1668</v>
      </c>
      <c r="G1019" s="61" t="n">
        <v>-730209287101</v>
      </c>
      <c r="H1019" s="13" t="s">
        <v>1537</v>
      </c>
      <c r="I1019" s="13" t="s">
        <v>1669</v>
      </c>
      <c r="J1019" s="13"/>
      <c r="K1019" s="13"/>
      <c r="L1019" s="13" t="s">
        <v>1539</v>
      </c>
      <c r="M1019" s="13" t="s">
        <v>1670</v>
      </c>
    </row>
    <row r="1020" customFormat="false" ht="15" hidden="false" customHeight="false" outlineLevel="0" collapsed="false">
      <c r="A1020" s="13" t="s">
        <v>610</v>
      </c>
      <c r="B1020" s="13" t="s">
        <v>609</v>
      </c>
      <c r="C1020" s="13" t="s">
        <v>1536</v>
      </c>
      <c r="D1020" s="13" t="s">
        <v>1567</v>
      </c>
      <c r="E1020" s="13" t="s">
        <v>1676</v>
      </c>
      <c r="F1020" s="13" t="s">
        <v>1668</v>
      </c>
      <c r="G1020" s="61" t="n">
        <v>2685348464215</v>
      </c>
      <c r="H1020" s="13" t="s">
        <v>1537</v>
      </c>
      <c r="I1020" s="13" t="s">
        <v>1669</v>
      </c>
      <c r="J1020" s="13"/>
      <c r="K1020" s="13"/>
      <c r="L1020" s="13" t="s">
        <v>1539</v>
      </c>
      <c r="M1020" s="13" t="s">
        <v>1670</v>
      </c>
    </row>
    <row r="1021" customFormat="false" ht="15" hidden="false" customHeight="false" outlineLevel="0" collapsed="false">
      <c r="A1021" s="13" t="s">
        <v>610</v>
      </c>
      <c r="B1021" s="13" t="s">
        <v>609</v>
      </c>
      <c r="C1021" s="13" t="s">
        <v>1536</v>
      </c>
      <c r="D1021" s="13" t="s">
        <v>1567</v>
      </c>
      <c r="E1021" s="13" t="s">
        <v>1677</v>
      </c>
      <c r="F1021" s="13" t="s">
        <v>1668</v>
      </c>
      <c r="G1021" s="107" t="n">
        <v>0</v>
      </c>
      <c r="H1021" s="13" t="s">
        <v>1537</v>
      </c>
      <c r="I1021" s="13" t="s">
        <v>1669</v>
      </c>
      <c r="J1021" s="13"/>
      <c r="K1021" s="13"/>
      <c r="L1021" s="13" t="s">
        <v>1539</v>
      </c>
      <c r="M1021" s="13" t="s">
        <v>1670</v>
      </c>
    </row>
    <row r="1022" customFormat="false" ht="15" hidden="false" customHeight="false" outlineLevel="0" collapsed="false">
      <c r="A1022" s="13" t="s">
        <v>610</v>
      </c>
      <c r="B1022" s="13" t="s">
        <v>609</v>
      </c>
      <c r="C1022" s="13" t="s">
        <v>1536</v>
      </c>
      <c r="D1022" s="13" t="s">
        <v>1567</v>
      </c>
      <c r="E1022" s="13" t="s">
        <v>1678</v>
      </c>
      <c r="F1022" s="13" t="s">
        <v>1668</v>
      </c>
      <c r="G1022" s="61" t="n">
        <v>694049164865</v>
      </c>
      <c r="H1022" s="13" t="s">
        <v>1537</v>
      </c>
      <c r="I1022" s="13" t="s">
        <v>1669</v>
      </c>
      <c r="J1022" s="13"/>
      <c r="K1022" s="13"/>
      <c r="L1022" s="13" t="s">
        <v>1539</v>
      </c>
      <c r="M1022" s="13" t="s">
        <v>1670</v>
      </c>
    </row>
    <row r="1023" customFormat="false" ht="15" hidden="false" customHeight="false" outlineLevel="0" collapsed="false">
      <c r="A1023" s="13" t="s">
        <v>610</v>
      </c>
      <c r="B1023" s="13" t="s">
        <v>609</v>
      </c>
      <c r="C1023" s="13" t="s">
        <v>1536</v>
      </c>
      <c r="D1023" s="13" t="s">
        <v>1567</v>
      </c>
      <c r="E1023" s="13" t="s">
        <v>1679</v>
      </c>
      <c r="F1023" s="13" t="s">
        <v>1668</v>
      </c>
      <c r="G1023" s="61" t="n">
        <v>-7574885290</v>
      </c>
      <c r="H1023" s="13" t="s">
        <v>1537</v>
      </c>
      <c r="I1023" s="13" t="s">
        <v>1669</v>
      </c>
      <c r="J1023" s="13"/>
      <c r="K1023" s="13"/>
      <c r="L1023" s="13" t="s">
        <v>1539</v>
      </c>
      <c r="M1023" s="13" t="s">
        <v>1670</v>
      </c>
    </row>
    <row r="1024" customFormat="false" ht="15" hidden="false" customHeight="false" outlineLevel="0" collapsed="false">
      <c r="A1024" s="13" t="s">
        <v>610</v>
      </c>
      <c r="B1024" s="13" t="s">
        <v>609</v>
      </c>
      <c r="C1024" s="13" t="s">
        <v>1536</v>
      </c>
      <c r="D1024" s="13" t="s">
        <v>1567</v>
      </c>
      <c r="E1024" s="13" t="s">
        <v>1680</v>
      </c>
      <c r="F1024" s="13" t="s">
        <v>1668</v>
      </c>
      <c r="G1024" s="107" t="n">
        <v>0</v>
      </c>
      <c r="H1024" s="13" t="s">
        <v>1537</v>
      </c>
      <c r="I1024" s="13" t="s">
        <v>1669</v>
      </c>
      <c r="J1024" s="13"/>
      <c r="K1024" s="13"/>
      <c r="L1024" s="13" t="s">
        <v>1539</v>
      </c>
      <c r="M1024" s="13" t="s">
        <v>1670</v>
      </c>
    </row>
    <row r="1025" customFormat="false" ht="15" hidden="false" customHeight="false" outlineLevel="0" collapsed="false">
      <c r="A1025" s="13" t="s">
        <v>610</v>
      </c>
      <c r="B1025" s="13" t="s">
        <v>609</v>
      </c>
      <c r="C1025" s="13" t="s">
        <v>1536</v>
      </c>
      <c r="D1025" s="13" t="s">
        <v>1567</v>
      </c>
      <c r="E1025" s="13" t="s">
        <v>1681</v>
      </c>
      <c r="F1025" s="13" t="s">
        <v>1668</v>
      </c>
      <c r="G1025" s="61" t="n">
        <v>3371822743790</v>
      </c>
      <c r="H1025" s="13" t="s">
        <v>1537</v>
      </c>
      <c r="I1025" s="13" t="s">
        <v>1669</v>
      </c>
      <c r="J1025" s="13"/>
      <c r="K1025" s="13"/>
      <c r="L1025" s="13" t="s">
        <v>1539</v>
      </c>
      <c r="M1025" s="13" t="s">
        <v>1670</v>
      </c>
    </row>
    <row r="1026" customFormat="false" ht="15" hidden="false" customHeight="false" outlineLevel="0" collapsed="false">
      <c r="A1026" s="13" t="s">
        <v>610</v>
      </c>
      <c r="B1026" s="13" t="s">
        <v>609</v>
      </c>
      <c r="C1026" s="13" t="s">
        <v>1540</v>
      </c>
      <c r="D1026" s="13" t="s">
        <v>1567</v>
      </c>
      <c r="E1026" s="13" t="s">
        <v>1667</v>
      </c>
      <c r="F1026" s="13" t="s">
        <v>1668</v>
      </c>
      <c r="G1026" s="61" t="n">
        <v>-730207203768</v>
      </c>
      <c r="H1026" s="13" t="s">
        <v>1537</v>
      </c>
      <c r="I1026" s="13" t="s">
        <v>1669</v>
      </c>
      <c r="J1026" s="13"/>
      <c r="K1026" s="13"/>
      <c r="L1026" s="13" t="s">
        <v>1542</v>
      </c>
      <c r="M1026" s="13" t="s">
        <v>1670</v>
      </c>
    </row>
    <row r="1027" customFormat="false" ht="15" hidden="false" customHeight="false" outlineLevel="0" collapsed="false">
      <c r="A1027" s="13" t="s">
        <v>610</v>
      </c>
      <c r="B1027" s="13" t="s">
        <v>609</v>
      </c>
      <c r="C1027" s="13" t="s">
        <v>1540</v>
      </c>
      <c r="D1027" s="13" t="s">
        <v>1567</v>
      </c>
      <c r="E1027" s="13" t="s">
        <v>1671</v>
      </c>
      <c r="F1027" s="13" t="s">
        <v>1668</v>
      </c>
      <c r="G1027" s="107" t="n">
        <v>0</v>
      </c>
      <c r="H1027" s="13" t="s">
        <v>1537</v>
      </c>
      <c r="I1027" s="13" t="s">
        <v>1669</v>
      </c>
      <c r="J1027" s="13"/>
      <c r="K1027" s="13"/>
      <c r="L1027" s="13" t="s">
        <v>1542</v>
      </c>
      <c r="M1027" s="13" t="s">
        <v>1670</v>
      </c>
    </row>
    <row r="1028" customFormat="false" ht="15" hidden="false" customHeight="false" outlineLevel="0" collapsed="false">
      <c r="A1028" s="13" t="s">
        <v>610</v>
      </c>
      <c r="B1028" s="13" t="s">
        <v>609</v>
      </c>
      <c r="C1028" s="13" t="s">
        <v>1540</v>
      </c>
      <c r="D1028" s="13" t="s">
        <v>1567</v>
      </c>
      <c r="E1028" s="13" t="s">
        <v>1672</v>
      </c>
      <c r="F1028" s="13" t="s">
        <v>1668</v>
      </c>
      <c r="G1028" s="61" t="n">
        <v>-149515108834</v>
      </c>
      <c r="H1028" s="13" t="s">
        <v>1537</v>
      </c>
      <c r="I1028" s="13" t="s">
        <v>1669</v>
      </c>
      <c r="J1028" s="13"/>
      <c r="K1028" s="13"/>
      <c r="L1028" s="13" t="s">
        <v>1542</v>
      </c>
      <c r="M1028" s="13" t="s">
        <v>1670</v>
      </c>
    </row>
    <row r="1029" customFormat="false" ht="15" hidden="false" customHeight="false" outlineLevel="0" collapsed="false">
      <c r="A1029" s="13" t="s">
        <v>610</v>
      </c>
      <c r="B1029" s="13" t="s">
        <v>609</v>
      </c>
      <c r="C1029" s="13" t="s">
        <v>1540</v>
      </c>
      <c r="D1029" s="13" t="s">
        <v>1567</v>
      </c>
      <c r="E1029" s="13" t="s">
        <v>1673</v>
      </c>
      <c r="F1029" s="13" t="s">
        <v>1668</v>
      </c>
      <c r="G1029" s="61" t="n">
        <v>3613981300</v>
      </c>
      <c r="H1029" s="13" t="s">
        <v>1537</v>
      </c>
      <c r="I1029" s="13" t="s">
        <v>1669</v>
      </c>
      <c r="J1029" s="13"/>
      <c r="K1029" s="13"/>
      <c r="L1029" s="13" t="s">
        <v>1542</v>
      </c>
      <c r="M1029" s="13" t="s">
        <v>1670</v>
      </c>
    </row>
    <row r="1030" customFormat="false" ht="15" hidden="false" customHeight="false" outlineLevel="0" collapsed="false">
      <c r="A1030" s="13" t="s">
        <v>610</v>
      </c>
      <c r="B1030" s="13" t="s">
        <v>609</v>
      </c>
      <c r="C1030" s="13" t="s">
        <v>1540</v>
      </c>
      <c r="D1030" s="13" t="s">
        <v>1567</v>
      </c>
      <c r="E1030" s="13" t="s">
        <v>1674</v>
      </c>
      <c r="F1030" s="13" t="s">
        <v>1668</v>
      </c>
      <c r="G1030" s="107" t="n">
        <v>0</v>
      </c>
      <c r="H1030" s="13" t="s">
        <v>1537</v>
      </c>
      <c r="I1030" s="13" t="s">
        <v>1669</v>
      </c>
      <c r="J1030" s="13"/>
      <c r="K1030" s="13"/>
      <c r="L1030" s="13" t="s">
        <v>1542</v>
      </c>
      <c r="M1030" s="13" t="s">
        <v>1670</v>
      </c>
    </row>
    <row r="1031" customFormat="false" ht="15" hidden="false" customHeight="false" outlineLevel="0" collapsed="false">
      <c r="A1031" s="13" t="s">
        <v>610</v>
      </c>
      <c r="B1031" s="13" t="s">
        <v>609</v>
      </c>
      <c r="C1031" s="13" t="s">
        <v>1540</v>
      </c>
      <c r="D1031" s="13" t="s">
        <v>1567</v>
      </c>
      <c r="E1031" s="13" t="s">
        <v>1675</v>
      </c>
      <c r="F1031" s="13" t="s">
        <v>1668</v>
      </c>
      <c r="G1031" s="61" t="n">
        <v>-876108331302</v>
      </c>
      <c r="H1031" s="13" t="s">
        <v>1537</v>
      </c>
      <c r="I1031" s="13" t="s">
        <v>1669</v>
      </c>
      <c r="J1031" s="13"/>
      <c r="K1031" s="13"/>
      <c r="L1031" s="13" t="s">
        <v>1542</v>
      </c>
      <c r="M1031" s="13" t="s">
        <v>1670</v>
      </c>
    </row>
    <row r="1032" customFormat="false" ht="15" hidden="false" customHeight="false" outlineLevel="0" collapsed="false">
      <c r="A1032" s="13" t="s">
        <v>610</v>
      </c>
      <c r="B1032" s="13" t="s">
        <v>609</v>
      </c>
      <c r="C1032" s="13" t="s">
        <v>1540</v>
      </c>
      <c r="D1032" s="13" t="s">
        <v>1567</v>
      </c>
      <c r="E1032" s="13" t="s">
        <v>1676</v>
      </c>
      <c r="F1032" s="13" t="s">
        <v>1668</v>
      </c>
      <c r="G1032" s="61" t="n">
        <v>3448224531705</v>
      </c>
      <c r="H1032" s="13" t="s">
        <v>1537</v>
      </c>
      <c r="I1032" s="13" t="s">
        <v>1669</v>
      </c>
      <c r="J1032" s="13"/>
      <c r="K1032" s="13"/>
      <c r="L1032" s="13" t="s">
        <v>1542</v>
      </c>
      <c r="M1032" s="13" t="s">
        <v>1670</v>
      </c>
    </row>
    <row r="1033" customFormat="false" ht="15" hidden="false" customHeight="false" outlineLevel="0" collapsed="false">
      <c r="A1033" s="13" t="s">
        <v>610</v>
      </c>
      <c r="B1033" s="13" t="s">
        <v>609</v>
      </c>
      <c r="C1033" s="13" t="s">
        <v>1540</v>
      </c>
      <c r="D1033" s="13" t="s">
        <v>1567</v>
      </c>
      <c r="E1033" s="13" t="s">
        <v>1677</v>
      </c>
      <c r="F1033" s="13" t="s">
        <v>1668</v>
      </c>
      <c r="G1033" s="107" t="n">
        <v>0</v>
      </c>
      <c r="H1033" s="13" t="s">
        <v>1537</v>
      </c>
      <c r="I1033" s="13" t="s">
        <v>1669</v>
      </c>
      <c r="J1033" s="13"/>
      <c r="K1033" s="13"/>
      <c r="L1033" s="13" t="s">
        <v>1542</v>
      </c>
      <c r="M1033" s="13" t="s">
        <v>1670</v>
      </c>
    </row>
    <row r="1034" customFormat="false" ht="15" hidden="false" customHeight="false" outlineLevel="0" collapsed="false">
      <c r="A1034" s="13" t="s">
        <v>610</v>
      </c>
      <c r="B1034" s="13" t="s">
        <v>609</v>
      </c>
      <c r="C1034" s="13" t="s">
        <v>1540</v>
      </c>
      <c r="D1034" s="13" t="s">
        <v>1567</v>
      </c>
      <c r="E1034" s="13" t="s">
        <v>1678</v>
      </c>
      <c r="F1034" s="13" t="s">
        <v>1668</v>
      </c>
      <c r="G1034" s="61" t="n">
        <v>601679274728</v>
      </c>
      <c r="H1034" s="13" t="s">
        <v>1537</v>
      </c>
      <c r="I1034" s="13" t="s">
        <v>1669</v>
      </c>
      <c r="J1034" s="13"/>
      <c r="K1034" s="13"/>
      <c r="L1034" s="13" t="s">
        <v>1542</v>
      </c>
      <c r="M1034" s="13" t="s">
        <v>1670</v>
      </c>
    </row>
    <row r="1035" customFormat="false" ht="15" hidden="false" customHeight="false" outlineLevel="0" collapsed="false">
      <c r="A1035" s="13" t="s">
        <v>610</v>
      </c>
      <c r="B1035" s="13" t="s">
        <v>609</v>
      </c>
      <c r="C1035" s="13" t="s">
        <v>1540</v>
      </c>
      <c r="D1035" s="13" t="s">
        <v>1567</v>
      </c>
      <c r="E1035" s="13" t="s">
        <v>1679</v>
      </c>
      <c r="F1035" s="13" t="s">
        <v>1668</v>
      </c>
      <c r="G1035" s="61" t="n">
        <v>-4019881301</v>
      </c>
      <c r="H1035" s="13" t="s">
        <v>1537</v>
      </c>
      <c r="I1035" s="13" t="s">
        <v>1669</v>
      </c>
      <c r="J1035" s="13"/>
      <c r="K1035" s="13"/>
      <c r="L1035" s="13" t="s">
        <v>1542</v>
      </c>
      <c r="M1035" s="13" t="s">
        <v>1670</v>
      </c>
    </row>
    <row r="1036" customFormat="false" ht="15" hidden="false" customHeight="false" outlineLevel="0" collapsed="false">
      <c r="A1036" s="13" t="s">
        <v>610</v>
      </c>
      <c r="B1036" s="13" t="s">
        <v>609</v>
      </c>
      <c r="C1036" s="13" t="s">
        <v>1540</v>
      </c>
      <c r="D1036" s="13" t="s">
        <v>1567</v>
      </c>
      <c r="E1036" s="13" t="s">
        <v>1680</v>
      </c>
      <c r="F1036" s="13" t="s">
        <v>1668</v>
      </c>
      <c r="G1036" s="107" t="n">
        <v>0</v>
      </c>
      <c r="H1036" s="13" t="s">
        <v>1537</v>
      </c>
      <c r="I1036" s="13" t="s">
        <v>1669</v>
      </c>
      <c r="J1036" s="13"/>
      <c r="K1036" s="13"/>
      <c r="L1036" s="13" t="s">
        <v>1542</v>
      </c>
      <c r="M1036" s="13" t="s">
        <v>1670</v>
      </c>
    </row>
    <row r="1037" customFormat="false" ht="15" hidden="false" customHeight="false" outlineLevel="0" collapsed="false">
      <c r="A1037" s="13" t="s">
        <v>610</v>
      </c>
      <c r="B1037" s="13" t="s">
        <v>609</v>
      </c>
      <c r="C1037" s="13" t="s">
        <v>1540</v>
      </c>
      <c r="D1037" s="13" t="s">
        <v>1567</v>
      </c>
      <c r="E1037" s="13" t="s">
        <v>1681</v>
      </c>
      <c r="F1037" s="13" t="s">
        <v>1668</v>
      </c>
      <c r="G1037" s="61" t="n">
        <v>4045883925132</v>
      </c>
      <c r="H1037" s="13" t="s">
        <v>1537</v>
      </c>
      <c r="I1037" s="13" t="s">
        <v>1669</v>
      </c>
      <c r="J1037" s="13"/>
      <c r="K1037" s="13"/>
      <c r="L1037" s="13" t="s">
        <v>1542</v>
      </c>
      <c r="M1037" s="13" t="s">
        <v>1670</v>
      </c>
    </row>
    <row r="1038" customFormat="false" ht="15" hidden="false" customHeight="false" outlineLevel="0" collapsed="false">
      <c r="A1038" s="13" t="s">
        <v>610</v>
      </c>
      <c r="B1038" s="13" t="s">
        <v>609</v>
      </c>
      <c r="C1038" s="13" t="s">
        <v>1543</v>
      </c>
      <c r="D1038" s="13" t="s">
        <v>1567</v>
      </c>
      <c r="E1038" s="13" t="s">
        <v>1667</v>
      </c>
      <c r="F1038" s="13" t="s">
        <v>1668</v>
      </c>
      <c r="G1038" s="61" t="n">
        <v>-876108331302</v>
      </c>
      <c r="H1038" s="13" t="s">
        <v>1537</v>
      </c>
      <c r="I1038" s="13" t="s">
        <v>1669</v>
      </c>
      <c r="J1038" s="13"/>
      <c r="K1038" s="13"/>
      <c r="L1038" s="13" t="s">
        <v>1539</v>
      </c>
      <c r="M1038" s="13" t="s">
        <v>1670</v>
      </c>
    </row>
    <row r="1039" customFormat="false" ht="15" hidden="false" customHeight="false" outlineLevel="0" collapsed="false">
      <c r="A1039" s="13" t="s">
        <v>610</v>
      </c>
      <c r="B1039" s="13" t="s">
        <v>609</v>
      </c>
      <c r="C1039" s="13" t="s">
        <v>1543</v>
      </c>
      <c r="D1039" s="13" t="s">
        <v>1567</v>
      </c>
      <c r="E1039" s="13" t="s">
        <v>1671</v>
      </c>
      <c r="F1039" s="13" t="s">
        <v>1668</v>
      </c>
      <c r="G1039" s="107" t="n">
        <v>0</v>
      </c>
      <c r="H1039" s="13" t="s">
        <v>1537</v>
      </c>
      <c r="I1039" s="13" t="s">
        <v>1669</v>
      </c>
      <c r="J1039" s="13"/>
      <c r="K1039" s="13"/>
      <c r="L1039" s="13" t="s">
        <v>1539</v>
      </c>
      <c r="M1039" s="13" t="s">
        <v>1670</v>
      </c>
    </row>
    <row r="1040" customFormat="false" ht="15" hidden="false" customHeight="false" outlineLevel="0" collapsed="false">
      <c r="A1040" s="13" t="s">
        <v>610</v>
      </c>
      <c r="B1040" s="13" t="s">
        <v>609</v>
      </c>
      <c r="C1040" s="13" t="s">
        <v>1543</v>
      </c>
      <c r="D1040" s="13" t="s">
        <v>1567</v>
      </c>
      <c r="E1040" s="13" t="s">
        <v>1672</v>
      </c>
      <c r="F1040" s="13" t="s">
        <v>1668</v>
      </c>
      <c r="G1040" s="61" t="n">
        <v>-200058535691</v>
      </c>
      <c r="H1040" s="13" t="s">
        <v>1537</v>
      </c>
      <c r="I1040" s="13" t="s">
        <v>1669</v>
      </c>
      <c r="J1040" s="13"/>
      <c r="K1040" s="13"/>
      <c r="L1040" s="13" t="s">
        <v>1539</v>
      </c>
      <c r="M1040" s="13" t="s">
        <v>1670</v>
      </c>
    </row>
    <row r="1041" customFormat="false" ht="15" hidden="false" customHeight="false" outlineLevel="0" collapsed="false">
      <c r="A1041" s="13" t="s">
        <v>610</v>
      </c>
      <c r="B1041" s="13" t="s">
        <v>609</v>
      </c>
      <c r="C1041" s="13" t="s">
        <v>1543</v>
      </c>
      <c r="D1041" s="13" t="s">
        <v>1567</v>
      </c>
      <c r="E1041" s="13" t="s">
        <v>1673</v>
      </c>
      <c r="F1041" s="13" t="s">
        <v>1668</v>
      </c>
      <c r="G1041" s="61" t="n">
        <v>3869290067</v>
      </c>
      <c r="H1041" s="13" t="s">
        <v>1537</v>
      </c>
      <c r="I1041" s="13" t="s">
        <v>1669</v>
      </c>
      <c r="J1041" s="13"/>
      <c r="K1041" s="13"/>
      <c r="L1041" s="13" t="s">
        <v>1539</v>
      </c>
      <c r="M1041" s="13" t="s">
        <v>1670</v>
      </c>
    </row>
    <row r="1042" customFormat="false" ht="15" hidden="false" customHeight="false" outlineLevel="0" collapsed="false">
      <c r="A1042" s="13" t="s">
        <v>610</v>
      </c>
      <c r="B1042" s="13" t="s">
        <v>609</v>
      </c>
      <c r="C1042" s="13" t="s">
        <v>1543</v>
      </c>
      <c r="D1042" s="13" t="s">
        <v>1567</v>
      </c>
      <c r="E1042" s="13" t="s">
        <v>1674</v>
      </c>
      <c r="F1042" s="13" t="s">
        <v>1668</v>
      </c>
      <c r="G1042" s="107" t="n">
        <v>0</v>
      </c>
      <c r="H1042" s="13" t="s">
        <v>1537</v>
      </c>
      <c r="I1042" s="13" t="s">
        <v>1669</v>
      </c>
      <c r="J1042" s="13"/>
      <c r="K1042" s="13"/>
      <c r="L1042" s="13" t="s">
        <v>1539</v>
      </c>
      <c r="M1042" s="13" t="s">
        <v>1670</v>
      </c>
    </row>
    <row r="1043" customFormat="false" ht="15" hidden="false" customHeight="false" outlineLevel="0" collapsed="false">
      <c r="A1043" s="13" t="s">
        <v>610</v>
      </c>
      <c r="B1043" s="13" t="s">
        <v>609</v>
      </c>
      <c r="C1043" s="13" t="s">
        <v>1543</v>
      </c>
      <c r="D1043" s="13" t="s">
        <v>1567</v>
      </c>
      <c r="E1043" s="13" t="s">
        <v>1675</v>
      </c>
      <c r="F1043" s="13" t="s">
        <v>1668</v>
      </c>
      <c r="G1043" s="61" t="n">
        <v>-1072297576926</v>
      </c>
      <c r="H1043" s="13" t="s">
        <v>1537</v>
      </c>
      <c r="I1043" s="13" t="s">
        <v>1669</v>
      </c>
      <c r="J1043" s="13"/>
      <c r="K1043" s="13"/>
      <c r="L1043" s="13" t="s">
        <v>1539</v>
      </c>
      <c r="M1043" s="13" t="s">
        <v>1670</v>
      </c>
    </row>
    <row r="1044" customFormat="false" ht="15" hidden="false" customHeight="false" outlineLevel="0" collapsed="false">
      <c r="A1044" s="13" t="s">
        <v>610</v>
      </c>
      <c r="B1044" s="13" t="s">
        <v>609</v>
      </c>
      <c r="C1044" s="13" t="s">
        <v>1543</v>
      </c>
      <c r="D1044" s="13" t="s">
        <v>1567</v>
      </c>
      <c r="E1044" s="13" t="s">
        <v>1676</v>
      </c>
      <c r="F1044" s="13" t="s">
        <v>1668</v>
      </c>
      <c r="G1044" s="61" t="n">
        <v>4045883925132</v>
      </c>
      <c r="H1044" s="13" t="s">
        <v>1537</v>
      </c>
      <c r="I1044" s="13" t="s">
        <v>1669</v>
      </c>
      <c r="J1044" s="13"/>
      <c r="K1044" s="13"/>
      <c r="L1044" s="13" t="s">
        <v>1539</v>
      </c>
      <c r="M1044" s="13" t="s">
        <v>1670</v>
      </c>
    </row>
    <row r="1045" customFormat="false" ht="15" hidden="false" customHeight="false" outlineLevel="0" collapsed="false">
      <c r="A1045" s="13" t="s">
        <v>610</v>
      </c>
      <c r="B1045" s="13" t="s">
        <v>609</v>
      </c>
      <c r="C1045" s="13" t="s">
        <v>1543</v>
      </c>
      <c r="D1045" s="13" t="s">
        <v>1567</v>
      </c>
      <c r="E1045" s="13" t="s">
        <v>1677</v>
      </c>
      <c r="F1045" s="13" t="s">
        <v>1668</v>
      </c>
      <c r="G1045" s="107" t="n">
        <v>0</v>
      </c>
      <c r="H1045" s="13" t="s">
        <v>1537</v>
      </c>
      <c r="I1045" s="13" t="s">
        <v>1669</v>
      </c>
      <c r="J1045" s="13"/>
      <c r="K1045" s="13"/>
      <c r="L1045" s="13" t="s">
        <v>1539</v>
      </c>
      <c r="M1045" s="13" t="s">
        <v>1670</v>
      </c>
    </row>
    <row r="1046" customFormat="false" ht="15" hidden="false" customHeight="false" outlineLevel="0" collapsed="false">
      <c r="A1046" s="13" t="s">
        <v>610</v>
      </c>
      <c r="B1046" s="13" t="s">
        <v>609</v>
      </c>
      <c r="C1046" s="13" t="s">
        <v>1543</v>
      </c>
      <c r="D1046" s="13" t="s">
        <v>1567</v>
      </c>
      <c r="E1046" s="13" t="s">
        <v>1678</v>
      </c>
      <c r="F1046" s="13" t="s">
        <v>1668</v>
      </c>
      <c r="G1046" s="61" t="n">
        <v>640084702166</v>
      </c>
      <c r="H1046" s="13" t="s">
        <v>1537</v>
      </c>
      <c r="I1046" s="13" t="s">
        <v>1669</v>
      </c>
      <c r="J1046" s="13"/>
      <c r="K1046" s="13"/>
      <c r="L1046" s="13" t="s">
        <v>1539</v>
      </c>
      <c r="M1046" s="13" t="s">
        <v>1670</v>
      </c>
    </row>
    <row r="1047" customFormat="false" ht="15" hidden="false" customHeight="false" outlineLevel="0" collapsed="false">
      <c r="A1047" s="13" t="s">
        <v>610</v>
      </c>
      <c r="B1047" s="13" t="s">
        <v>609</v>
      </c>
      <c r="C1047" s="13" t="s">
        <v>1543</v>
      </c>
      <c r="D1047" s="13" t="s">
        <v>1567</v>
      </c>
      <c r="E1047" s="13" t="s">
        <v>1679</v>
      </c>
      <c r="F1047" s="13" t="s">
        <v>1668</v>
      </c>
      <c r="G1047" s="61" t="n">
        <v>-6528886382</v>
      </c>
      <c r="H1047" s="13" t="s">
        <v>1537</v>
      </c>
      <c r="I1047" s="13" t="s">
        <v>1669</v>
      </c>
      <c r="J1047" s="13"/>
      <c r="K1047" s="13"/>
      <c r="L1047" s="13" t="s">
        <v>1539</v>
      </c>
      <c r="M1047" s="13" t="s">
        <v>1670</v>
      </c>
    </row>
    <row r="1048" customFormat="false" ht="15" hidden="false" customHeight="false" outlineLevel="0" collapsed="false">
      <c r="A1048" s="13" t="s">
        <v>610</v>
      </c>
      <c r="B1048" s="13" t="s">
        <v>609</v>
      </c>
      <c r="C1048" s="13" t="s">
        <v>1543</v>
      </c>
      <c r="D1048" s="13" t="s">
        <v>1567</v>
      </c>
      <c r="E1048" s="13" t="s">
        <v>1680</v>
      </c>
      <c r="F1048" s="13" t="s">
        <v>1668</v>
      </c>
      <c r="G1048" s="107" t="n">
        <v>0</v>
      </c>
      <c r="H1048" s="13" t="s">
        <v>1537</v>
      </c>
      <c r="I1048" s="13" t="s">
        <v>1669</v>
      </c>
      <c r="J1048" s="13"/>
      <c r="K1048" s="13"/>
      <c r="L1048" s="13" t="s">
        <v>1539</v>
      </c>
      <c r="M1048" s="13" t="s">
        <v>1670</v>
      </c>
    </row>
    <row r="1049" customFormat="false" ht="15" hidden="false" customHeight="false" outlineLevel="0" collapsed="false">
      <c r="A1049" s="13" t="s">
        <v>610</v>
      </c>
      <c r="B1049" s="13" t="s">
        <v>609</v>
      </c>
      <c r="C1049" s="13" t="s">
        <v>1543</v>
      </c>
      <c r="D1049" s="13" t="s">
        <v>1567</v>
      </c>
      <c r="E1049" s="13" t="s">
        <v>1681</v>
      </c>
      <c r="F1049" s="13" t="s">
        <v>1668</v>
      </c>
      <c r="G1049" s="61" t="n">
        <v>4679439740916</v>
      </c>
      <c r="H1049" s="13" t="s">
        <v>1537</v>
      </c>
      <c r="I1049" s="13" t="s">
        <v>1669</v>
      </c>
      <c r="J1049" s="13"/>
      <c r="K1049" s="13"/>
      <c r="L1049" s="13" t="s">
        <v>1539</v>
      </c>
      <c r="M1049" s="13" t="s">
        <v>1670</v>
      </c>
    </row>
    <row r="1050" customFormat="false" ht="15" hidden="false" customHeight="false" outlineLevel="0" collapsed="false">
      <c r="A1050" s="13" t="s">
        <v>610</v>
      </c>
      <c r="B1050" s="13" t="s">
        <v>609</v>
      </c>
      <c r="C1050" s="13" t="s">
        <v>1545</v>
      </c>
      <c r="D1050" s="13" t="s">
        <v>1567</v>
      </c>
      <c r="E1050" s="13" t="s">
        <v>1667</v>
      </c>
      <c r="F1050" s="13" t="s">
        <v>1668</v>
      </c>
      <c r="G1050" s="61" t="n">
        <v>-1072297000000</v>
      </c>
      <c r="H1050" s="13" t="s">
        <v>1537</v>
      </c>
      <c r="I1050" s="13" t="s">
        <v>1669</v>
      </c>
      <c r="J1050" s="13"/>
      <c r="K1050" s="13"/>
      <c r="L1050" s="13" t="s">
        <v>1539</v>
      </c>
      <c r="M1050" s="13" t="s">
        <v>1670</v>
      </c>
    </row>
    <row r="1051" customFormat="false" ht="15" hidden="false" customHeight="false" outlineLevel="0" collapsed="false">
      <c r="A1051" s="13" t="s">
        <v>610</v>
      </c>
      <c r="B1051" s="13" t="s">
        <v>609</v>
      </c>
      <c r="C1051" s="13" t="s">
        <v>1545</v>
      </c>
      <c r="D1051" s="13" t="s">
        <v>1567</v>
      </c>
      <c r="E1051" s="13" t="s">
        <v>1671</v>
      </c>
      <c r="F1051" s="13" t="s">
        <v>1668</v>
      </c>
      <c r="G1051" s="107" t="n">
        <v>0</v>
      </c>
      <c r="H1051" s="13" t="s">
        <v>1537</v>
      </c>
      <c r="I1051" s="13" t="s">
        <v>1669</v>
      </c>
      <c r="J1051" s="13"/>
      <c r="K1051" s="13"/>
      <c r="L1051" s="13" t="s">
        <v>1539</v>
      </c>
      <c r="M1051" s="13" t="s">
        <v>1670</v>
      </c>
    </row>
    <row r="1052" customFormat="false" ht="15" hidden="false" customHeight="false" outlineLevel="0" collapsed="false">
      <c r="A1052" s="13" t="s">
        <v>610</v>
      </c>
      <c r="B1052" s="13" t="s">
        <v>609</v>
      </c>
      <c r="C1052" s="13" t="s">
        <v>1545</v>
      </c>
      <c r="D1052" s="13" t="s">
        <v>1567</v>
      </c>
      <c r="E1052" s="13" t="s">
        <v>1672</v>
      </c>
      <c r="F1052" s="13" t="s">
        <v>1668</v>
      </c>
      <c r="G1052" s="61" t="n">
        <v>-255845000000</v>
      </c>
      <c r="H1052" s="13" t="s">
        <v>1537</v>
      </c>
      <c r="I1052" s="13" t="s">
        <v>1669</v>
      </c>
      <c r="J1052" s="13"/>
      <c r="K1052" s="13"/>
      <c r="L1052" s="13" t="s">
        <v>1539</v>
      </c>
      <c r="M1052" s="13" t="s">
        <v>1670</v>
      </c>
    </row>
    <row r="1053" customFormat="false" ht="15" hidden="false" customHeight="false" outlineLevel="0" collapsed="false">
      <c r="A1053" s="13" t="s">
        <v>610</v>
      </c>
      <c r="B1053" s="13" t="s">
        <v>609</v>
      </c>
      <c r="C1053" s="13" t="s">
        <v>1545</v>
      </c>
      <c r="D1053" s="13" t="s">
        <v>1567</v>
      </c>
      <c r="E1053" s="13" t="s">
        <v>1673</v>
      </c>
      <c r="F1053" s="13" t="s">
        <v>1668</v>
      </c>
      <c r="G1053" s="61" t="n">
        <v>6215000000</v>
      </c>
      <c r="H1053" s="13" t="s">
        <v>1537</v>
      </c>
      <c r="I1053" s="13" t="s">
        <v>1669</v>
      </c>
      <c r="J1053" s="13"/>
      <c r="K1053" s="13"/>
      <c r="L1053" s="13" t="s">
        <v>1539</v>
      </c>
      <c r="M1053" s="13" t="s">
        <v>1670</v>
      </c>
    </row>
    <row r="1054" customFormat="false" ht="15" hidden="false" customHeight="false" outlineLevel="0" collapsed="false">
      <c r="A1054" s="13" t="s">
        <v>610</v>
      </c>
      <c r="B1054" s="13" t="s">
        <v>609</v>
      </c>
      <c r="C1054" s="13" t="s">
        <v>1545</v>
      </c>
      <c r="D1054" s="13" t="s">
        <v>1567</v>
      </c>
      <c r="E1054" s="13" t="s">
        <v>1674</v>
      </c>
      <c r="F1054" s="13" t="s">
        <v>1668</v>
      </c>
      <c r="G1054" s="61" t="n">
        <v>-1689000000</v>
      </c>
      <c r="H1054" s="13" t="s">
        <v>1537</v>
      </c>
      <c r="I1054" s="13" t="s">
        <v>1669</v>
      </c>
      <c r="J1054" s="13"/>
      <c r="K1054" s="13"/>
      <c r="L1054" s="13" t="s">
        <v>1539</v>
      </c>
      <c r="M1054" s="13" t="s">
        <v>1670</v>
      </c>
    </row>
    <row r="1055" customFormat="false" ht="15" hidden="false" customHeight="false" outlineLevel="0" collapsed="false">
      <c r="A1055" s="13" t="s">
        <v>610</v>
      </c>
      <c r="B1055" s="13" t="s">
        <v>609</v>
      </c>
      <c r="C1055" s="13" t="s">
        <v>1545</v>
      </c>
      <c r="D1055" s="13" t="s">
        <v>1567</v>
      </c>
      <c r="E1055" s="13" t="s">
        <v>1675</v>
      </c>
      <c r="F1055" s="13" t="s">
        <v>1668</v>
      </c>
      <c r="G1055" s="61" t="n">
        <v>-1323616000000</v>
      </c>
      <c r="H1055" s="13" t="s">
        <v>1537</v>
      </c>
      <c r="I1055" s="13" t="s">
        <v>1669</v>
      </c>
      <c r="J1055" s="13"/>
      <c r="K1055" s="13"/>
      <c r="L1055" s="13" t="s">
        <v>1539</v>
      </c>
      <c r="M1055" s="13" t="s">
        <v>1670</v>
      </c>
    </row>
    <row r="1056" customFormat="false" ht="15" hidden="false" customHeight="false" outlineLevel="0" collapsed="false">
      <c r="A1056" s="13" t="s">
        <v>610</v>
      </c>
      <c r="B1056" s="13" t="s">
        <v>609</v>
      </c>
      <c r="C1056" s="13" t="s">
        <v>1545</v>
      </c>
      <c r="D1056" s="13" t="s">
        <v>1567</v>
      </c>
      <c r="E1056" s="13" t="s">
        <v>1676</v>
      </c>
      <c r="F1056" s="13" t="s">
        <v>1668</v>
      </c>
      <c r="G1056" s="61" t="n">
        <v>4679439000000</v>
      </c>
      <c r="H1056" s="13" t="s">
        <v>1537</v>
      </c>
      <c r="I1056" s="13" t="s">
        <v>1669</v>
      </c>
      <c r="J1056" s="13"/>
      <c r="K1056" s="13"/>
      <c r="L1056" s="13" t="s">
        <v>1539</v>
      </c>
      <c r="M1056" s="13" t="s">
        <v>1670</v>
      </c>
    </row>
    <row r="1057" customFormat="false" ht="15" hidden="false" customHeight="false" outlineLevel="0" collapsed="false">
      <c r="A1057" s="13" t="s">
        <v>610</v>
      </c>
      <c r="B1057" s="13" t="s">
        <v>609</v>
      </c>
      <c r="C1057" s="13" t="s">
        <v>1545</v>
      </c>
      <c r="D1057" s="13" t="s">
        <v>1567</v>
      </c>
      <c r="E1057" s="13" t="s">
        <v>1677</v>
      </c>
      <c r="F1057" s="13" t="s">
        <v>1668</v>
      </c>
      <c r="G1057" s="107" t="n">
        <v>0</v>
      </c>
      <c r="H1057" s="13" t="s">
        <v>1537</v>
      </c>
      <c r="I1057" s="13" t="s">
        <v>1669</v>
      </c>
      <c r="J1057" s="13"/>
      <c r="K1057" s="13"/>
      <c r="L1057" s="13" t="s">
        <v>1539</v>
      </c>
      <c r="M1057" s="13" t="s">
        <v>1670</v>
      </c>
    </row>
    <row r="1058" customFormat="false" ht="15" hidden="false" customHeight="false" outlineLevel="0" collapsed="false">
      <c r="A1058" s="13" t="s">
        <v>610</v>
      </c>
      <c r="B1058" s="13" t="s">
        <v>609</v>
      </c>
      <c r="C1058" s="13" t="s">
        <v>1545</v>
      </c>
      <c r="D1058" s="13" t="s">
        <v>1567</v>
      </c>
      <c r="E1058" s="13" t="s">
        <v>1678</v>
      </c>
      <c r="F1058" s="13" t="s">
        <v>1668</v>
      </c>
      <c r="G1058" s="61" t="n">
        <v>601110000000</v>
      </c>
      <c r="H1058" s="13" t="s">
        <v>1537</v>
      </c>
      <c r="I1058" s="13" t="s">
        <v>1669</v>
      </c>
      <c r="J1058" s="13"/>
      <c r="K1058" s="13"/>
      <c r="L1058" s="13" t="s">
        <v>1539</v>
      </c>
      <c r="M1058" s="13" t="s">
        <v>1670</v>
      </c>
    </row>
    <row r="1059" customFormat="false" ht="15" hidden="false" customHeight="false" outlineLevel="0" collapsed="false">
      <c r="A1059" s="13" t="s">
        <v>610</v>
      </c>
      <c r="B1059" s="13" t="s">
        <v>609</v>
      </c>
      <c r="C1059" s="13" t="s">
        <v>1545</v>
      </c>
      <c r="D1059" s="13" t="s">
        <v>1567</v>
      </c>
      <c r="E1059" s="13" t="s">
        <v>1679</v>
      </c>
      <c r="F1059" s="13" t="s">
        <v>1668</v>
      </c>
      <c r="G1059" s="61" t="n">
        <v>-9829000000</v>
      </c>
      <c r="H1059" s="13" t="s">
        <v>1537</v>
      </c>
      <c r="I1059" s="13" t="s">
        <v>1669</v>
      </c>
      <c r="J1059" s="13"/>
      <c r="K1059" s="13"/>
      <c r="L1059" s="13" t="s">
        <v>1539</v>
      </c>
      <c r="M1059" s="13" t="s">
        <v>1670</v>
      </c>
    </row>
    <row r="1060" customFormat="false" ht="15" hidden="false" customHeight="false" outlineLevel="0" collapsed="false">
      <c r="A1060" s="13" t="s">
        <v>610</v>
      </c>
      <c r="B1060" s="13" t="s">
        <v>609</v>
      </c>
      <c r="C1060" s="13" t="s">
        <v>1545</v>
      </c>
      <c r="D1060" s="13" t="s">
        <v>1567</v>
      </c>
      <c r="E1060" s="13" t="s">
        <v>1680</v>
      </c>
      <c r="F1060" s="13" t="s">
        <v>1668</v>
      </c>
      <c r="G1060" s="61" t="n">
        <v>5208000000</v>
      </c>
      <c r="H1060" s="13" t="s">
        <v>1537</v>
      </c>
      <c r="I1060" s="13" t="s">
        <v>1669</v>
      </c>
      <c r="J1060" s="13"/>
      <c r="K1060" s="13"/>
      <c r="L1060" s="13" t="s">
        <v>1539</v>
      </c>
      <c r="M1060" s="13" t="s">
        <v>1670</v>
      </c>
    </row>
    <row r="1061" customFormat="false" ht="15" hidden="false" customHeight="false" outlineLevel="0" collapsed="false">
      <c r="A1061" s="13" t="s">
        <v>610</v>
      </c>
      <c r="B1061" s="13" t="s">
        <v>609</v>
      </c>
      <c r="C1061" s="13" t="s">
        <v>1545</v>
      </c>
      <c r="D1061" s="13" t="s">
        <v>1567</v>
      </c>
      <c r="E1061" s="13" t="s">
        <v>1681</v>
      </c>
      <c r="F1061" s="13" t="s">
        <v>1668</v>
      </c>
      <c r="G1061" s="61" t="n">
        <v>5275928000000</v>
      </c>
      <c r="H1061" s="13" t="s">
        <v>1537</v>
      </c>
      <c r="I1061" s="13" t="s">
        <v>1669</v>
      </c>
      <c r="J1061" s="13"/>
      <c r="K1061" s="13"/>
      <c r="L1061" s="13" t="s">
        <v>1539</v>
      </c>
      <c r="M1061" s="13" t="s">
        <v>1670</v>
      </c>
    </row>
    <row r="1062" customFormat="false" ht="15" hidden="false" customHeight="false" outlineLevel="0" collapsed="false">
      <c r="A1062" s="13" t="s">
        <v>610</v>
      </c>
      <c r="B1062" s="13" t="s">
        <v>609</v>
      </c>
      <c r="C1062" s="13" t="s">
        <v>1546</v>
      </c>
      <c r="D1062" s="13" t="s">
        <v>1567</v>
      </c>
      <c r="E1062" s="13" t="s">
        <v>1667</v>
      </c>
      <c r="F1062" s="13" t="s">
        <v>1668</v>
      </c>
      <c r="G1062" s="61" t="n">
        <v>-1323616000000</v>
      </c>
      <c r="H1062" s="13" t="s">
        <v>1537</v>
      </c>
      <c r="I1062" s="13" t="s">
        <v>1669</v>
      </c>
      <c r="J1062" s="13"/>
      <c r="K1062" s="13"/>
      <c r="L1062" s="13" t="s">
        <v>1539</v>
      </c>
      <c r="M1062" s="13" t="s">
        <v>1670</v>
      </c>
    </row>
    <row r="1063" customFormat="false" ht="15" hidden="false" customHeight="false" outlineLevel="0" collapsed="false">
      <c r="A1063" s="13" t="s">
        <v>610</v>
      </c>
      <c r="B1063" s="13" t="s">
        <v>609</v>
      </c>
      <c r="C1063" s="13" t="s">
        <v>1546</v>
      </c>
      <c r="D1063" s="13" t="s">
        <v>1567</v>
      </c>
      <c r="E1063" s="13" t="s">
        <v>1671</v>
      </c>
      <c r="F1063" s="13" t="s">
        <v>1668</v>
      </c>
      <c r="G1063" s="107" t="n">
        <v>0</v>
      </c>
      <c r="H1063" s="13" t="s">
        <v>1537</v>
      </c>
      <c r="I1063" s="13" t="s">
        <v>1669</v>
      </c>
      <c r="J1063" s="13"/>
      <c r="K1063" s="13"/>
      <c r="L1063" s="13" t="s">
        <v>1539</v>
      </c>
      <c r="M1063" s="13" t="s">
        <v>1670</v>
      </c>
    </row>
    <row r="1064" customFormat="false" ht="15" hidden="false" customHeight="false" outlineLevel="0" collapsed="false">
      <c r="A1064" s="13" t="s">
        <v>610</v>
      </c>
      <c r="B1064" s="13" t="s">
        <v>609</v>
      </c>
      <c r="C1064" s="13" t="s">
        <v>1546</v>
      </c>
      <c r="D1064" s="13" t="s">
        <v>1567</v>
      </c>
      <c r="E1064" s="13" t="s">
        <v>1672</v>
      </c>
      <c r="F1064" s="13" t="s">
        <v>1668</v>
      </c>
      <c r="G1064" s="61" t="n">
        <v>-291582000000</v>
      </c>
      <c r="H1064" s="13" t="s">
        <v>1537</v>
      </c>
      <c r="I1064" s="13" t="s">
        <v>1669</v>
      </c>
      <c r="J1064" s="13"/>
      <c r="K1064" s="13"/>
      <c r="L1064" s="13" t="s">
        <v>1539</v>
      </c>
      <c r="M1064" s="13" t="s">
        <v>1670</v>
      </c>
    </row>
    <row r="1065" customFormat="false" ht="15" hidden="false" customHeight="false" outlineLevel="0" collapsed="false">
      <c r="A1065" s="13" t="s">
        <v>610</v>
      </c>
      <c r="B1065" s="13" t="s">
        <v>609</v>
      </c>
      <c r="C1065" s="13" t="s">
        <v>1546</v>
      </c>
      <c r="D1065" s="13" t="s">
        <v>1567</v>
      </c>
      <c r="E1065" s="13" t="s">
        <v>1673</v>
      </c>
      <c r="F1065" s="13" t="s">
        <v>1668</v>
      </c>
      <c r="G1065" s="61" t="n">
        <v>15459000000</v>
      </c>
      <c r="H1065" s="13" t="s">
        <v>1537</v>
      </c>
      <c r="I1065" s="13" t="s">
        <v>1669</v>
      </c>
      <c r="J1065" s="13"/>
      <c r="K1065" s="13"/>
      <c r="L1065" s="13" t="s">
        <v>1539</v>
      </c>
      <c r="M1065" s="13" t="s">
        <v>1670</v>
      </c>
    </row>
    <row r="1066" customFormat="false" ht="15" hidden="false" customHeight="false" outlineLevel="0" collapsed="false">
      <c r="A1066" s="13" t="s">
        <v>610</v>
      </c>
      <c r="B1066" s="13" t="s">
        <v>609</v>
      </c>
      <c r="C1066" s="13" t="s">
        <v>1546</v>
      </c>
      <c r="D1066" s="13" t="s">
        <v>1567</v>
      </c>
      <c r="E1066" s="13" t="s">
        <v>1674</v>
      </c>
      <c r="F1066" s="13" t="s">
        <v>1668</v>
      </c>
      <c r="G1066" s="107" t="n">
        <v>0</v>
      </c>
      <c r="H1066" s="13" t="s">
        <v>1537</v>
      </c>
      <c r="I1066" s="13" t="s">
        <v>1669</v>
      </c>
      <c r="J1066" s="13"/>
      <c r="K1066" s="13"/>
      <c r="L1066" s="13" t="s">
        <v>1539</v>
      </c>
      <c r="M1066" s="13" t="s">
        <v>1670</v>
      </c>
    </row>
    <row r="1067" customFormat="false" ht="15" hidden="false" customHeight="false" outlineLevel="0" collapsed="false">
      <c r="A1067" s="13" t="s">
        <v>610</v>
      </c>
      <c r="B1067" s="13" t="s">
        <v>609</v>
      </c>
      <c r="C1067" s="13" t="s">
        <v>1546</v>
      </c>
      <c r="D1067" s="13" t="s">
        <v>1567</v>
      </c>
      <c r="E1067" s="13" t="s">
        <v>1675</v>
      </c>
      <c r="F1067" s="13" t="s">
        <v>1668</v>
      </c>
      <c r="G1067" s="61" t="n">
        <v>-1599739000000</v>
      </c>
      <c r="H1067" s="13" t="s">
        <v>1537</v>
      </c>
      <c r="I1067" s="13" t="s">
        <v>1669</v>
      </c>
      <c r="J1067" s="13"/>
      <c r="K1067" s="13"/>
      <c r="L1067" s="13" t="s">
        <v>1539</v>
      </c>
      <c r="M1067" s="13" t="s">
        <v>1670</v>
      </c>
    </row>
    <row r="1068" customFormat="false" ht="15" hidden="false" customHeight="false" outlineLevel="0" collapsed="false">
      <c r="A1068" s="13" t="s">
        <v>610</v>
      </c>
      <c r="B1068" s="13" t="s">
        <v>609</v>
      </c>
      <c r="C1068" s="13" t="s">
        <v>1546</v>
      </c>
      <c r="D1068" s="13" t="s">
        <v>1567</v>
      </c>
      <c r="E1068" s="13" t="s">
        <v>1676</v>
      </c>
      <c r="F1068" s="13" t="s">
        <v>1668</v>
      </c>
      <c r="G1068" s="61" t="n">
        <v>5275928000000</v>
      </c>
      <c r="H1068" s="13" t="s">
        <v>1537</v>
      </c>
      <c r="I1068" s="13" t="s">
        <v>1669</v>
      </c>
      <c r="J1068" s="13"/>
      <c r="K1068" s="13"/>
      <c r="L1068" s="13" t="s">
        <v>1539</v>
      </c>
      <c r="M1068" s="13" t="s">
        <v>1670</v>
      </c>
    </row>
    <row r="1069" customFormat="false" ht="15" hidden="false" customHeight="false" outlineLevel="0" collapsed="false">
      <c r="A1069" s="13" t="s">
        <v>610</v>
      </c>
      <c r="B1069" s="13" t="s">
        <v>609</v>
      </c>
      <c r="C1069" s="13" t="s">
        <v>1546</v>
      </c>
      <c r="D1069" s="13" t="s">
        <v>1567</v>
      </c>
      <c r="E1069" s="13" t="s">
        <v>1677</v>
      </c>
      <c r="F1069" s="13" t="s">
        <v>1668</v>
      </c>
      <c r="G1069" s="107" t="n">
        <v>0</v>
      </c>
      <c r="H1069" s="13" t="s">
        <v>1537</v>
      </c>
      <c r="I1069" s="13" t="s">
        <v>1669</v>
      </c>
      <c r="J1069" s="13"/>
      <c r="K1069" s="13"/>
      <c r="L1069" s="13" t="s">
        <v>1539</v>
      </c>
      <c r="M1069" s="13" t="s">
        <v>1670</v>
      </c>
    </row>
    <row r="1070" customFormat="false" ht="15" hidden="false" customHeight="false" outlineLevel="0" collapsed="false">
      <c r="A1070" s="13" t="s">
        <v>610</v>
      </c>
      <c r="B1070" s="13" t="s">
        <v>609</v>
      </c>
      <c r="C1070" s="13" t="s">
        <v>1546</v>
      </c>
      <c r="D1070" s="13" t="s">
        <v>1567</v>
      </c>
      <c r="E1070" s="13" t="s">
        <v>1678</v>
      </c>
      <c r="F1070" s="13" t="s">
        <v>1668</v>
      </c>
      <c r="G1070" s="61" t="n">
        <v>510170000000</v>
      </c>
      <c r="H1070" s="13" t="s">
        <v>1537</v>
      </c>
      <c r="I1070" s="13" t="s">
        <v>1669</v>
      </c>
      <c r="J1070" s="13"/>
      <c r="K1070" s="13"/>
      <c r="L1070" s="13" t="s">
        <v>1539</v>
      </c>
      <c r="M1070" s="13" t="s">
        <v>1670</v>
      </c>
    </row>
    <row r="1071" customFormat="false" ht="15" hidden="false" customHeight="false" outlineLevel="0" collapsed="false">
      <c r="A1071" s="13" t="s">
        <v>610</v>
      </c>
      <c r="B1071" s="13" t="s">
        <v>609</v>
      </c>
      <c r="C1071" s="13" t="s">
        <v>1546</v>
      </c>
      <c r="D1071" s="13" t="s">
        <v>1567</v>
      </c>
      <c r="E1071" s="13" t="s">
        <v>1679</v>
      </c>
      <c r="F1071" s="13" t="s">
        <v>1668</v>
      </c>
      <c r="G1071" s="61" t="n">
        <v>-22219000000</v>
      </c>
      <c r="H1071" s="13" t="s">
        <v>1537</v>
      </c>
      <c r="I1071" s="13" t="s">
        <v>1669</v>
      </c>
      <c r="J1071" s="13"/>
      <c r="K1071" s="13"/>
      <c r="L1071" s="13" t="s">
        <v>1539</v>
      </c>
      <c r="M1071" s="13" t="s">
        <v>1670</v>
      </c>
    </row>
    <row r="1072" customFormat="false" ht="15" hidden="false" customHeight="false" outlineLevel="0" collapsed="false">
      <c r="A1072" s="13" t="s">
        <v>610</v>
      </c>
      <c r="B1072" s="13" t="s">
        <v>609</v>
      </c>
      <c r="C1072" s="13" t="s">
        <v>1546</v>
      </c>
      <c r="D1072" s="13" t="s">
        <v>1567</v>
      </c>
      <c r="E1072" s="13" t="s">
        <v>1680</v>
      </c>
      <c r="F1072" s="13" t="s">
        <v>1668</v>
      </c>
      <c r="G1072" s="107" t="n">
        <v>0</v>
      </c>
      <c r="H1072" s="13" t="s">
        <v>1537</v>
      </c>
      <c r="I1072" s="13" t="s">
        <v>1669</v>
      </c>
      <c r="J1072" s="13"/>
      <c r="K1072" s="13"/>
      <c r="L1072" s="13" t="s">
        <v>1539</v>
      </c>
      <c r="M1072" s="13" t="s">
        <v>1670</v>
      </c>
    </row>
    <row r="1073" customFormat="false" ht="15" hidden="false" customHeight="false" outlineLevel="0" collapsed="false">
      <c r="A1073" s="13" t="s">
        <v>610</v>
      </c>
      <c r="B1073" s="13" t="s">
        <v>609</v>
      </c>
      <c r="C1073" s="13" t="s">
        <v>1546</v>
      </c>
      <c r="D1073" s="13" t="s">
        <v>1567</v>
      </c>
      <c r="E1073" s="13" t="s">
        <v>1681</v>
      </c>
      <c r="F1073" s="13" t="s">
        <v>1668</v>
      </c>
      <c r="G1073" s="61" t="n">
        <v>5763879000000</v>
      </c>
      <c r="H1073" s="13" t="s">
        <v>1537</v>
      </c>
      <c r="I1073" s="13" t="s">
        <v>1669</v>
      </c>
      <c r="J1073" s="13"/>
      <c r="K1073" s="13"/>
      <c r="L1073" s="13" t="s">
        <v>1539</v>
      </c>
      <c r="M1073" s="13" t="s">
        <v>1670</v>
      </c>
    </row>
    <row r="1074" customFormat="false" ht="15" hidden="false" customHeight="false" outlineLevel="0" collapsed="false">
      <c r="A1074" s="13" t="s">
        <v>610</v>
      </c>
      <c r="B1074" s="13" t="s">
        <v>609</v>
      </c>
      <c r="C1074" s="13" t="s">
        <v>1548</v>
      </c>
      <c r="D1074" s="13" t="s">
        <v>1567</v>
      </c>
      <c r="E1074" s="13" t="s">
        <v>1667</v>
      </c>
      <c r="F1074" s="13" t="s">
        <v>1668</v>
      </c>
      <c r="G1074" s="61" t="n">
        <v>-1599739000000</v>
      </c>
      <c r="H1074" s="13" t="s">
        <v>1537</v>
      </c>
      <c r="I1074" s="13" t="s">
        <v>1669</v>
      </c>
      <c r="J1074" s="13"/>
      <c r="K1074" s="13"/>
      <c r="L1074" s="13" t="s">
        <v>1539</v>
      </c>
      <c r="M1074" s="13" t="s">
        <v>1670</v>
      </c>
    </row>
    <row r="1075" customFormat="false" ht="15" hidden="false" customHeight="false" outlineLevel="0" collapsed="false">
      <c r="A1075" s="13" t="s">
        <v>610</v>
      </c>
      <c r="B1075" s="13" t="s">
        <v>609</v>
      </c>
      <c r="C1075" s="13" t="s">
        <v>1548</v>
      </c>
      <c r="D1075" s="13" t="s">
        <v>1567</v>
      </c>
      <c r="E1075" s="13" t="s">
        <v>1671</v>
      </c>
      <c r="F1075" s="13" t="s">
        <v>1668</v>
      </c>
      <c r="G1075" s="107" t="n">
        <v>0</v>
      </c>
      <c r="H1075" s="13" t="s">
        <v>1537</v>
      </c>
      <c r="I1075" s="13" t="s">
        <v>1669</v>
      </c>
      <c r="J1075" s="13"/>
      <c r="K1075" s="13"/>
      <c r="L1075" s="13" t="s">
        <v>1539</v>
      </c>
      <c r="M1075" s="13" t="s">
        <v>1670</v>
      </c>
    </row>
    <row r="1076" customFormat="false" ht="15" hidden="false" customHeight="false" outlineLevel="0" collapsed="false">
      <c r="A1076" s="13" t="s">
        <v>610</v>
      </c>
      <c r="B1076" s="13" t="s">
        <v>609</v>
      </c>
      <c r="C1076" s="13" t="s">
        <v>1548</v>
      </c>
      <c r="D1076" s="13" t="s">
        <v>1567</v>
      </c>
      <c r="E1076" s="13" t="s">
        <v>1672</v>
      </c>
      <c r="F1076" s="13" t="s">
        <v>1668</v>
      </c>
      <c r="G1076" s="61" t="n">
        <v>-337806000000</v>
      </c>
      <c r="H1076" s="13" t="s">
        <v>1537</v>
      </c>
      <c r="I1076" s="13" t="s">
        <v>1669</v>
      </c>
      <c r="J1076" s="13"/>
      <c r="K1076" s="13"/>
      <c r="L1076" s="13" t="s">
        <v>1539</v>
      </c>
      <c r="M1076" s="13" t="s">
        <v>1670</v>
      </c>
    </row>
    <row r="1077" customFormat="false" ht="15" hidden="false" customHeight="false" outlineLevel="0" collapsed="false">
      <c r="A1077" s="13" t="s">
        <v>610</v>
      </c>
      <c r="B1077" s="13" t="s">
        <v>609</v>
      </c>
      <c r="C1077" s="13" t="s">
        <v>1548</v>
      </c>
      <c r="D1077" s="13" t="s">
        <v>1567</v>
      </c>
      <c r="E1077" s="13" t="s">
        <v>1673</v>
      </c>
      <c r="F1077" s="13" t="s">
        <v>1668</v>
      </c>
      <c r="G1077" s="61" t="n">
        <v>17508000000</v>
      </c>
      <c r="H1077" s="13" t="s">
        <v>1537</v>
      </c>
      <c r="I1077" s="13" t="s">
        <v>1669</v>
      </c>
      <c r="J1077" s="13"/>
      <c r="K1077" s="13"/>
      <c r="L1077" s="13" t="s">
        <v>1539</v>
      </c>
      <c r="M1077" s="13" t="s">
        <v>1670</v>
      </c>
    </row>
    <row r="1078" customFormat="false" ht="15" hidden="false" customHeight="false" outlineLevel="0" collapsed="false">
      <c r="A1078" s="13" t="s">
        <v>610</v>
      </c>
      <c r="B1078" s="13" t="s">
        <v>609</v>
      </c>
      <c r="C1078" s="13" t="s">
        <v>1548</v>
      </c>
      <c r="D1078" s="13" t="s">
        <v>1567</v>
      </c>
      <c r="E1078" s="13" t="s">
        <v>1674</v>
      </c>
      <c r="F1078" s="13" t="s">
        <v>1668</v>
      </c>
      <c r="G1078" s="107" t="n">
        <v>0</v>
      </c>
      <c r="H1078" s="13" t="s">
        <v>1537</v>
      </c>
      <c r="I1078" s="13" t="s">
        <v>1669</v>
      </c>
      <c r="J1078" s="13"/>
      <c r="K1078" s="13"/>
      <c r="L1078" s="13" t="s">
        <v>1539</v>
      </c>
      <c r="M1078" s="13" t="s">
        <v>1670</v>
      </c>
    </row>
    <row r="1079" customFormat="false" ht="15" hidden="false" customHeight="false" outlineLevel="0" collapsed="false">
      <c r="A1079" s="13" t="s">
        <v>610</v>
      </c>
      <c r="B1079" s="13" t="s">
        <v>609</v>
      </c>
      <c r="C1079" s="13" t="s">
        <v>1548</v>
      </c>
      <c r="D1079" s="13" t="s">
        <v>1567</v>
      </c>
      <c r="E1079" s="13" t="s">
        <v>1675</v>
      </c>
      <c r="F1079" s="13" t="s">
        <v>1668</v>
      </c>
      <c r="G1079" s="61" t="n">
        <v>-1920037000000</v>
      </c>
      <c r="H1079" s="13" t="s">
        <v>1537</v>
      </c>
      <c r="I1079" s="13" t="s">
        <v>1669</v>
      </c>
      <c r="J1079" s="13"/>
      <c r="K1079" s="13"/>
      <c r="L1079" s="13" t="s">
        <v>1539</v>
      </c>
      <c r="M1079" s="13" t="s">
        <v>1670</v>
      </c>
    </row>
    <row r="1080" customFormat="false" ht="15" hidden="false" customHeight="false" outlineLevel="0" collapsed="false">
      <c r="A1080" s="13" t="s">
        <v>610</v>
      </c>
      <c r="B1080" s="13" t="s">
        <v>609</v>
      </c>
      <c r="C1080" s="13" t="s">
        <v>1548</v>
      </c>
      <c r="D1080" s="13" t="s">
        <v>1567</v>
      </c>
      <c r="E1080" s="13" t="s">
        <v>1676</v>
      </c>
      <c r="F1080" s="13" t="s">
        <v>1668</v>
      </c>
      <c r="G1080" s="61" t="n">
        <v>5763879000000</v>
      </c>
      <c r="H1080" s="13" t="s">
        <v>1537</v>
      </c>
      <c r="I1080" s="13" t="s">
        <v>1669</v>
      </c>
      <c r="J1080" s="13"/>
      <c r="K1080" s="13"/>
      <c r="L1080" s="13" t="s">
        <v>1539</v>
      </c>
      <c r="M1080" s="13" t="s">
        <v>1670</v>
      </c>
    </row>
    <row r="1081" customFormat="false" ht="15" hidden="false" customHeight="false" outlineLevel="0" collapsed="false">
      <c r="A1081" s="13" t="s">
        <v>610</v>
      </c>
      <c r="B1081" s="13" t="s">
        <v>609</v>
      </c>
      <c r="C1081" s="13" t="s">
        <v>1548</v>
      </c>
      <c r="D1081" s="13" t="s">
        <v>1567</v>
      </c>
      <c r="E1081" s="13" t="s">
        <v>1677</v>
      </c>
      <c r="F1081" s="13" t="s">
        <v>1668</v>
      </c>
      <c r="G1081" s="107" t="n">
        <v>0</v>
      </c>
      <c r="H1081" s="13" t="s">
        <v>1537</v>
      </c>
      <c r="I1081" s="13" t="s">
        <v>1669</v>
      </c>
      <c r="J1081" s="13"/>
      <c r="K1081" s="13"/>
      <c r="L1081" s="13" t="s">
        <v>1539</v>
      </c>
      <c r="M1081" s="13" t="s">
        <v>1670</v>
      </c>
    </row>
    <row r="1082" customFormat="false" ht="15" hidden="false" customHeight="false" outlineLevel="0" collapsed="false">
      <c r="A1082" s="13" t="s">
        <v>610</v>
      </c>
      <c r="B1082" s="13" t="s">
        <v>609</v>
      </c>
      <c r="C1082" s="13" t="s">
        <v>1548</v>
      </c>
      <c r="D1082" s="13" t="s">
        <v>1567</v>
      </c>
      <c r="E1082" s="13" t="s">
        <v>1678</v>
      </c>
      <c r="F1082" s="13" t="s">
        <v>1668</v>
      </c>
      <c r="G1082" s="61" t="n">
        <v>509834000000</v>
      </c>
      <c r="H1082" s="13" t="s">
        <v>1537</v>
      </c>
      <c r="I1082" s="13" t="s">
        <v>1669</v>
      </c>
      <c r="J1082" s="13"/>
      <c r="K1082" s="13"/>
      <c r="L1082" s="13" t="s">
        <v>1539</v>
      </c>
      <c r="M1082" s="13" t="s">
        <v>1670</v>
      </c>
    </row>
    <row r="1083" customFormat="false" ht="15" hidden="false" customHeight="false" outlineLevel="0" collapsed="false">
      <c r="A1083" s="13" t="s">
        <v>610</v>
      </c>
      <c r="B1083" s="13" t="s">
        <v>609</v>
      </c>
      <c r="C1083" s="13" t="s">
        <v>1548</v>
      </c>
      <c r="D1083" s="13" t="s">
        <v>1567</v>
      </c>
      <c r="E1083" s="13" t="s">
        <v>1679</v>
      </c>
      <c r="F1083" s="13" t="s">
        <v>1668</v>
      </c>
      <c r="G1083" s="61" t="n">
        <v>-67349000000</v>
      </c>
      <c r="H1083" s="13" t="s">
        <v>1537</v>
      </c>
      <c r="I1083" s="13" t="s">
        <v>1669</v>
      </c>
      <c r="J1083" s="13"/>
      <c r="K1083" s="13"/>
      <c r="L1083" s="13" t="s">
        <v>1539</v>
      </c>
      <c r="M1083" s="13" t="s">
        <v>1670</v>
      </c>
    </row>
    <row r="1084" customFormat="false" ht="15" hidden="false" customHeight="false" outlineLevel="0" collapsed="false">
      <c r="A1084" s="13" t="s">
        <v>610</v>
      </c>
      <c r="B1084" s="13" t="s">
        <v>609</v>
      </c>
      <c r="C1084" s="13" t="s">
        <v>1548</v>
      </c>
      <c r="D1084" s="13" t="s">
        <v>1567</v>
      </c>
      <c r="E1084" s="13" t="s">
        <v>1680</v>
      </c>
      <c r="F1084" s="13" t="s">
        <v>1668</v>
      </c>
      <c r="G1084" s="107" t="n">
        <v>0</v>
      </c>
      <c r="H1084" s="13" t="s">
        <v>1537</v>
      </c>
      <c r="I1084" s="13" t="s">
        <v>1669</v>
      </c>
      <c r="J1084" s="13"/>
      <c r="K1084" s="13"/>
      <c r="L1084" s="13" t="s">
        <v>1539</v>
      </c>
      <c r="M1084" s="13" t="s">
        <v>1670</v>
      </c>
    </row>
    <row r="1085" customFormat="false" ht="15" hidden="false" customHeight="false" outlineLevel="0" collapsed="false">
      <c r="A1085" s="13" t="s">
        <v>610</v>
      </c>
      <c r="B1085" s="13" t="s">
        <v>609</v>
      </c>
      <c r="C1085" s="13" t="s">
        <v>1548</v>
      </c>
      <c r="D1085" s="13" t="s">
        <v>1567</v>
      </c>
      <c r="E1085" s="13" t="s">
        <v>1681</v>
      </c>
      <c r="F1085" s="13" t="s">
        <v>1668</v>
      </c>
      <c r="G1085" s="61" t="n">
        <v>6206364000000</v>
      </c>
      <c r="H1085" s="13" t="s">
        <v>1537</v>
      </c>
      <c r="I1085" s="13" t="s">
        <v>1669</v>
      </c>
      <c r="J1085" s="13"/>
      <c r="K1085" s="13"/>
      <c r="L1085" s="13" t="s">
        <v>1539</v>
      </c>
      <c r="M1085" s="13" t="s">
        <v>1670</v>
      </c>
    </row>
  </sheetData>
  <autoFilter ref="A4:M1085"/>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1682</v>
      </c>
    </row>
    <row r="2" customFormat="false" ht="15" hidden="false" customHeight="false" outlineLevel="0" collapsed="false">
      <c r="A2" s="15" t="s">
        <v>1683</v>
      </c>
    </row>
    <row r="4" customFormat="false" ht="15" hidden="false" customHeight="false" outlineLevel="0" collapsed="false">
      <c r="A4" s="24" t="s">
        <v>1684</v>
      </c>
      <c r="B4" s="24" t="s">
        <v>1685</v>
      </c>
      <c r="C4" s="24" t="s">
        <v>1361</v>
      </c>
      <c r="D4" s="24" t="s">
        <v>1686</v>
      </c>
    </row>
    <row r="5" customFormat="false" ht="15" hidden="false" customHeight="false" outlineLevel="0" collapsed="false">
      <c r="A5" s="10" t="s">
        <v>1687</v>
      </c>
      <c r="B5" s="10" t="s">
        <v>1688</v>
      </c>
      <c r="C5" s="10" t="n">
        <v>2020</v>
      </c>
      <c r="D5" s="10" t="s">
        <v>1538</v>
      </c>
    </row>
    <row r="6" customFormat="false" ht="15" hidden="false" customHeight="false" outlineLevel="0" collapsed="false">
      <c r="A6" s="10" t="s">
        <v>1687</v>
      </c>
      <c r="B6" s="10" t="s">
        <v>1689</v>
      </c>
      <c r="C6" s="10" t="n">
        <v>2021</v>
      </c>
      <c r="D6" s="10" t="s">
        <v>1541</v>
      </c>
    </row>
    <row r="7" customFormat="false" ht="15" hidden="false" customHeight="false" outlineLevel="0" collapsed="false">
      <c r="A7" s="10" t="s">
        <v>1687</v>
      </c>
      <c r="B7" s="10" t="s">
        <v>1690</v>
      </c>
      <c r="C7" s="10" t="n">
        <v>2022</v>
      </c>
      <c r="D7" s="10" t="s">
        <v>1544</v>
      </c>
    </row>
    <row r="8" customFormat="false" ht="15" hidden="false" customHeight="false" outlineLevel="0" collapsed="false">
      <c r="A8" s="10" t="s">
        <v>1687</v>
      </c>
      <c r="B8" s="10" t="s">
        <v>1691</v>
      </c>
      <c r="C8" s="10" t="n">
        <v>2023</v>
      </c>
      <c r="D8" s="10" t="s">
        <v>622</v>
      </c>
    </row>
    <row r="9" customFormat="false" ht="15" hidden="false" customHeight="false" outlineLevel="0" collapsed="false">
      <c r="A9" s="10" t="s">
        <v>1687</v>
      </c>
      <c r="B9" s="10" t="s">
        <v>1692</v>
      </c>
      <c r="C9" s="10" t="n">
        <v>2024</v>
      </c>
      <c r="D9" s="10" t="s">
        <v>1547</v>
      </c>
    </row>
    <row r="10" customFormat="false" ht="15" hidden="false" customHeight="false" outlineLevel="0" collapsed="false">
      <c r="A10" s="10" t="s">
        <v>1687</v>
      </c>
      <c r="B10" s="10" t="s">
        <v>1693</v>
      </c>
      <c r="C10" s="10" t="n">
        <v>2025</v>
      </c>
      <c r="D10" s="10" t="s">
        <v>624</v>
      </c>
    </row>
    <row r="11" customFormat="false" ht="68.65" hidden="false" customHeight="false" outlineLevel="0" collapsed="false">
      <c r="A11" s="10" t="s">
        <v>1694</v>
      </c>
      <c r="B11" s="10" t="s">
        <v>1531</v>
      </c>
      <c r="C11" s="10"/>
      <c r="D11" s="10" t="s">
        <v>1474</v>
      </c>
    </row>
    <row r="12" customFormat="false" ht="23.85" hidden="false" customHeight="false" outlineLevel="0" collapsed="false">
      <c r="A12" s="10" t="s">
        <v>1695</v>
      </c>
      <c r="B12" s="10" t="s">
        <v>1696</v>
      </c>
      <c r="C12" s="10"/>
      <c r="D12" s="10"/>
    </row>
    <row r="13" customFormat="false" ht="15" hidden="false" customHeight="false" outlineLevel="0" collapsed="false">
      <c r="A13" s="10" t="s">
        <v>1697</v>
      </c>
      <c r="B13" s="10" t="s">
        <v>1698</v>
      </c>
      <c r="C13" s="10"/>
      <c r="D13" s="10" t="s">
        <v>1699</v>
      </c>
    </row>
    <row r="14" customFormat="false" ht="15" hidden="false" customHeight="false" outlineLevel="0" collapsed="false">
      <c r="A14" s="10" t="s">
        <v>1697</v>
      </c>
      <c r="B14" s="10" t="s">
        <v>1700</v>
      </c>
      <c r="C14" s="10"/>
      <c r="D14" s="10" t="s">
        <v>1701</v>
      </c>
    </row>
    <row r="15" customFormat="false" ht="15" hidden="false" customHeight="false" outlineLevel="0" collapsed="false">
      <c r="A15" s="10" t="s">
        <v>1697</v>
      </c>
      <c r="B15" s="10" t="s">
        <v>1702</v>
      </c>
      <c r="C15" s="10"/>
      <c r="D15" s="10" t="s">
        <v>1703</v>
      </c>
    </row>
    <row r="16" customFormat="false" ht="15" hidden="false" customHeight="false" outlineLevel="0" collapsed="false">
      <c r="A16" s="10" t="s">
        <v>1697</v>
      </c>
      <c r="B16" s="10" t="s">
        <v>1704</v>
      </c>
      <c r="C16" s="10"/>
      <c r="D16" s="10" t="s">
        <v>1705</v>
      </c>
    </row>
    <row r="17" customFormat="false" ht="15" hidden="false" customHeight="false" outlineLevel="0" collapsed="false">
      <c r="A17" s="10" t="s">
        <v>1697</v>
      </c>
      <c r="B17" s="10" t="s">
        <v>1706</v>
      </c>
      <c r="C17" s="10"/>
      <c r="D17" s="10" t="s">
        <v>1707</v>
      </c>
    </row>
    <row r="18" customFormat="false" ht="15" hidden="false" customHeight="false" outlineLevel="0" collapsed="false">
      <c r="A18" s="10" t="s">
        <v>1697</v>
      </c>
      <c r="B18" s="10" t="s">
        <v>1708</v>
      </c>
      <c r="C18" s="10"/>
      <c r="D18" s="10" t="s">
        <v>1709</v>
      </c>
    </row>
    <row r="19" customFormat="false" ht="15" hidden="false" customHeight="false" outlineLevel="0" collapsed="false">
      <c r="A19" s="10" t="s">
        <v>1697</v>
      </c>
      <c r="B19" s="10" t="s">
        <v>1710</v>
      </c>
      <c r="C19" s="10"/>
      <c r="D19" s="10" t="s">
        <v>1711</v>
      </c>
    </row>
    <row r="20" customFormat="false" ht="15" hidden="false" customHeight="false" outlineLevel="0" collapsed="false">
      <c r="A20" s="10" t="s">
        <v>1697</v>
      </c>
      <c r="B20" s="10" t="s">
        <v>1712</v>
      </c>
      <c r="C20" s="10"/>
      <c r="D20" s="10" t="s">
        <v>1713</v>
      </c>
    </row>
    <row r="21" customFormat="false" ht="15" hidden="false" customHeight="false" outlineLevel="0" collapsed="false">
      <c r="A21" s="10" t="s">
        <v>1697</v>
      </c>
      <c r="B21" s="10" t="s">
        <v>1714</v>
      </c>
      <c r="C21" s="10"/>
      <c r="D21" s="10" t="s">
        <v>1715</v>
      </c>
    </row>
    <row r="22" customFormat="false" ht="15" hidden="false" customHeight="false" outlineLevel="0" collapsed="false">
      <c r="A22" s="10" t="s">
        <v>1697</v>
      </c>
      <c r="B22" s="10" t="s">
        <v>1015</v>
      </c>
      <c r="C22" s="10"/>
      <c r="D22" s="10" t="s">
        <v>1716</v>
      </c>
    </row>
    <row r="23" customFormat="false" ht="15" hidden="false" customHeight="false" outlineLevel="0" collapsed="false">
      <c r="A23" s="10" t="s">
        <v>1697</v>
      </c>
      <c r="B23" s="10" t="s">
        <v>900</v>
      </c>
      <c r="C23" s="10"/>
      <c r="D23" s="10" t="s">
        <v>1717</v>
      </c>
    </row>
    <row r="24" customFormat="false" ht="15" hidden="false" customHeight="false" outlineLevel="0" collapsed="false">
      <c r="A24" s="10" t="s">
        <v>1718</v>
      </c>
      <c r="B24" s="10" t="s">
        <v>1719</v>
      </c>
      <c r="C24" s="10"/>
      <c r="D24" s="10" t="s">
        <v>1720</v>
      </c>
    </row>
    <row r="25" customFormat="false" ht="15" hidden="false" customHeight="false" outlineLevel="0" collapsed="false">
      <c r="A25" s="10" t="s">
        <v>1718</v>
      </c>
      <c r="B25" s="10" t="s">
        <v>1721</v>
      </c>
      <c r="C25" s="10"/>
      <c r="D25" s="10" t="s">
        <v>1720</v>
      </c>
    </row>
    <row r="26" customFormat="false" ht="15" hidden="false" customHeight="false" outlineLevel="0" collapsed="false">
      <c r="A26" s="10" t="s">
        <v>1718</v>
      </c>
      <c r="B26" s="10" t="s">
        <v>1722</v>
      </c>
      <c r="C26" s="10"/>
      <c r="D26" s="10" t="s">
        <v>1720</v>
      </c>
    </row>
    <row r="27" customFormat="false" ht="15" hidden="false" customHeight="false" outlineLevel="0" collapsed="false">
      <c r="A27" s="10" t="s">
        <v>1718</v>
      </c>
      <c r="B27" s="10" t="s">
        <v>1723</v>
      </c>
      <c r="C27" s="10"/>
      <c r="D27" s="10" t="s">
        <v>1720</v>
      </c>
    </row>
    <row r="28" customFormat="false" ht="15" hidden="false" customHeight="false" outlineLevel="0" collapsed="false">
      <c r="A28" s="10" t="s">
        <v>1718</v>
      </c>
      <c r="B28" s="10" t="s">
        <v>1724</v>
      </c>
      <c r="C28" s="10"/>
      <c r="D28" s="10" t="s">
        <v>1720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Sejahteraraya Anugrahjaya Tbk (SRAJ)&amp;R&amp;7 © Ryant Gabein Pasaribu | CC BY 4.0 | SRAJ-FY2025-v1.0-79A95C20</oddHeader>
    <oddFooter>&amp;L&amp;7 PT Sejahteraraya Anugrahjaya Tbk (SRAJ) | © Ryant Gabein Pasaribu | CC BY 4.0 | SRAJ-FY2025-v1.0-79A95C20&amp;R&amp;7 Sumber: LK audited SRAJ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2026-10-25T23:22:16Z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SRAJ-FY2025-v1.0-79A95C20. Dokumen ini hanya ringkasan informasi dan analisis data fundamental yang bersumber dari laporan keuangan publik (audited) PT Sejahteraraya Anugrahjaya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SRAJ-FY2025-v1.0-79A95C20</dc:identifier>
  <cp:keywords>SRAJ-FY2025-v1.0-79A95C20</cp:keywords>
  <dc:language>en-US</dc:language>
  <cp:lastModifiedBy>Ryant Gabein Pasaribu</cp:lastModifiedBy>
  <dcterms:modified xsi:type="dcterms:W3CDTF">2026-10-25T23:22:17Z</dcterms:modified>
  <cp:revision>0</cp:revision>
  <dc:subject>Model fundamental PT Sejahteraraya Anugrahjaya Tbk (SRAJ) - CC BY 4.0</dc:subject>
  <dc:title>Model fundamental SRAJ</dc:title>
  <cp:version>v1.0</cp:version>
</cp:coreProperties>
</file>

<file path=docProps/custom.xml><?xml version="1.0" encoding="utf-8"?>
<Properties xmlns="http://schemas.openxmlformats.org/officeDocument/2006/custom-properties" xmlns:vt="http://schemas.openxmlformats.org/officeDocument/2006/docPropsVTypes"/>
</file>