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media/image1.png" ContentType="image/png"/>
  <Override PartName="/xl/media/image2.png" ContentType="image/png"/>
  <Override PartName="/xl/media/image3.png" ContentType="image/png"/>
  <Override PartName="/xl/comments13.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worksheets/_rels/sheet19.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comments15.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Ringkasan" sheetId="3" state="visible" r:id="rId5"/>
    <sheet name="Dashboard" sheetId="4" state="visible" r:id="rId6"/>
    <sheet name="Asumsi" sheetId="5" state="visible" r:id="rId7"/>
    <sheet name="IS_Proj" sheetId="6" state="visible" r:id="rId8"/>
    <sheet name="BS_Proj" sheetId="7" state="visible" r:id="rId9"/>
    <sheet name="CF_Proj" sheetId="8" state="visible" r:id="rId10"/>
    <sheet name="Schedules_Proj" sheetId="9" state="visible" r:id="rId11"/>
    <sheet name="DCF_Template" sheetId="10" state="visible" r:id="rId12"/>
    <sheet name="Peer" sheetId="11" state="visible" r:id="rId13"/>
    <sheet name="IS" sheetId="12" state="visible" r:id="rId14"/>
    <sheet name="BS" sheetId="13" state="visible" r:id="rId15"/>
    <sheet name="CF" sheetId="14" state="visible" r:id="rId16"/>
    <sheet name="Schedules" sheetId="15" state="visible" r:id="rId17"/>
    <sheet name="Rasio" sheetId="16" state="visible" r:id="rId18"/>
    <sheet name="Rekonsiliasi" sheetId="17" state="visible" r:id="rId19"/>
    <sheet name="Temuan" sheetId="18" state="visible" r:id="rId20"/>
    <sheet name="Database" sheetId="19" state="visible" r:id="rId21"/>
    <sheet name="Data_Log" sheetId="20" state="visible" r:id="rId22"/>
  </sheets>
  <definedNames>
    <definedName function="false" hidden="true" localSheetId="18" name="_xlnm._FilterDatabase" vbProcedure="false">Database!$A$4:$M$638</definedName>
    <definedName function="false" hidden="true" localSheetId="16" name="_xlnm._FilterDatabase" vbProcedure="false">Rekonsiliasi!$A$6:$L$231</definedName>
    <definedName function="false" hidden="false" localSheetId="2" name="_xlnm.Print_Area" vbProcedure="false">Ringkasan!$A$1:$I$103</definedName>
    <definedName function="false" hidden="false" localSheetId="2" name="_xlnm.Print_Titles" vbProcedure="false">Ringkasan!$1:$2</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pendapatan penunjang medis (farmasi, laboratorium, radiologi) terhadap pendapatan (Cat 25).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DKHH (PT Cipta Sarana Medika Tbk), IPO 2025. Histori model FY2022-FY2025 (4 tahun). 2022-2023 dari LK konsolidasian audited dalam Prospektus IPO (disajikan proforma seolah restrukturisasi entitas sepengendali terjadi sejak awal); 2024-2025 dari LK FY2025. Kolom 2021 prospektus TIDAK dikonsolidasi (entitas induk saja) sehingga tidak dipakai; periode interim 10 bulan s.d. 31 Okt 2024 juga tidak dipakai. 2020 tidak disajikan.</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DKHH (PT Cipta Sarana Medika Tbk), IPO 2025. Histori model FY2022-FY2025 (4 tahun). 2022-2023 dari LK konsolidasian audited dalam Prospektus IPO (disajikan proforma seolah restrukturisasi entitas sepengendali terjadi sejak awal); 2024-2025 dari LK FY2025. Kolom 2021 prospektus TIDAK dikonsolidasi (entitas induk saja) sehingga tidak dipakai; periode interim 10 bulan s.d. 31 Okt 2024 juga tidak dipakai. 2020 tidak disajikan.</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DKHH (PT Cipta Sarana Medika Tbk), IPO 2025. Histori model FY2022-FY2025 (4 tahun). 2022-2023 dari LK konsolidasian audited dalam Prospektus IPO (disajikan proforma seolah restrukturisasi entitas sepengendali terjadi sejak awal); 2024-2025 dari LK FY2025. Kolom 2021 prospektus TIDAK dikonsolidasi (entitas induk saja) sehingga tidak dipakai; periode interim 10 bulan s.d. 31 Okt 2024 juga tidak dipakai. 2020 tidak disajikan.</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DKHH (PT Cipta Sarana Medika Tbk), IPO 2025. Histori model FY2022-FY2025 (4 tahun). 2022-2023 dari LK konsolidasian audited dalam Prospektus IPO (disajikan proforma seolah restrukturisasi entitas sepengendali terjadi sejak awal); 2024-2025 dari LK FY2025. Kolom 2021 prospektus TIDAK dikonsolidasi (entitas induk saja) sehingga tidak dipakai; periode interim 10 bulan s.d. 31 Okt 2024 juga tidak dipakai. 2020 tidak disajikan.</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sharedStrings.xml><?xml version="1.0" encoding="utf-8"?>
<sst xmlns="http://schemas.openxmlformats.org/spreadsheetml/2006/main" count="8816" uniqueCount="1544">
  <si>
    <t xml:space="preserve">PT Cipta Sarana Medika Tbk (DKHH) - Model data fundamental 6 tahun &amp; proyeksi ilustratif</t>
  </si>
  <si>
    <t xml:space="preserve">Historis FY2022-FY2025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</si>
  <si>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</si>
  <si>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</si>
  <si>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Cipta Sarana Medika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</si>
  <si>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</si>
  <si>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</si>
  <si>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</si>
  <si>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Cipta Sarana Medika Tbk FY2025 (komparatif 2024; diunduh dari IDX; auditor KAP Jonnardi, Jamaludin, Sukimto &amp; Rekan) dan Prospektus IPO 2025 (LK konsolidasian audited 2023 &amp; 2022, auditor KAP Jamaludin, Ardi, Sukimto &amp; Rekan; diunduh dari situs emiten karena salinan IDX ditolak/403). Tahun 2021 tidak disajikan (belum konsolidasi); laporan interim 10 bulan prospektus tidak dipakai. Lihat Data_Log &amp; Temuan.</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</si>
  <si>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</si>
  <si>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</si>
  <si>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</si>
  <si>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</si>
  <si>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v1.0</t>
  </si>
  <si>
    <t xml:space="preserve">Tanggal terbit</t>
  </si>
  <si>
    <t xml:space="preserve">2026-10-25</t>
  </si>
  <si>
    <t xml:space="preserve">ID file</t>
  </si>
  <si>
    <t xml:space="preserve">DKHH-FY2025-v1.0-36F09546</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</si>
  <si>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</si>
  <si>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</si>
  <si>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</si>
  <si>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</si>
  <si>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</si>
  <si>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</si>
  <si>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</si>
  <si>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Cipta Sarana Medika Tbk dan Entitas Anak (kode DKHH) - pengelola rumah sakit tipe C "DKH Hospitals" (Kedungwaringin &amp; Sukatani, Bekasi; Cibadak, Sukabumi)</t>
  </si>
  <si>
    <t xml:space="preserve">Satuan</t>
  </si>
  <si>
    <t xml:space="preserve">Rupiah penuh (Ringkasan/Dashboard: Rp miliar); beban &amp; arus kas keluar negatif (kurung)</t>
  </si>
  <si>
    <t xml:space="preserve">Tahun historis</t>
  </si>
  <si>
    <t xml:space="preserve">FY2022, FY2023, FY2024, FY2025</t>
  </si>
  <si>
    <t xml:space="preserve">Status rekonsiliasi</t>
  </si>
  <si>
    <t xml:space="preserve">Skenario aktif</t>
  </si>
  <si>
    <t xml:space="preserve">Dibangun</t>
  </si>
  <si>
    <t xml:space="preserve">25-10-2026 oleh /workspace/emiten/common/build_model.py --ticker DKHH</t>
  </si>
  <si>
    <t xml:space="preserve">Daftar sheet</t>
  </si>
  <si>
    <t xml:space="preserve">Cover</t>
  </si>
  <si>
    <t xml:space="preserve">Sifat dokumen, lisensi, keterangan warna</t>
  </si>
  <si>
    <t xml:space="preserve">Panduan</t>
  </si>
  <si>
    <t xml:space="preserve">Cara memakai model ini</t>
  </si>
  <si>
    <t xml:space="preserve">Ringkasan</t>
  </si>
  <si>
    <t xml:space="preserve">Ringkasan siap cetak/PDF (A4): highlights, indikator utama, grafik, tanda perhatian</t>
  </si>
  <si>
    <t xml:space="preserve">Dashboard</t>
  </si>
  <si>
    <t xml:space="preserve">Indikator &amp; grafik historis + proyeksi ilustratif</t>
  </si>
  <si>
    <t xml:space="preserve">Asumsi</t>
  </si>
  <si>
    <t xml:space="preserve">Selektor skenario Base/Bull/Bear &amp; driver per tahun, dengan dasar kalibrasi FY2023-2025</t>
  </si>
  <si>
    <t xml:space="preserve">IS_Proj</t>
  </si>
  <si>
    <t xml:space="preserve">Proyeksi laba rugi (pendapatan per kelompok,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</si>
  <si>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</si>
  <si>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</si>
  <si>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</si>
  <si>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</si>
  <si>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</si>
  <si>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aset takberwujud, sewa, utang, modal kerja</t>
  </si>
  <si>
    <t xml:space="preserve">DCF_Template</t>
  </si>
  <si>
    <t xml:space="preserve">Kalkulator DCF opsional dengan input KOSONG (tanpa kesimpulan)</t>
  </si>
  <si>
    <t xml:space="preserve">Peer</t>
  </si>
  <si>
    <t xml:space="preserve">Tabel pembanding fundamental (input kosong, tanpa kelipatan pasar)</t>
  </si>
  <si>
    <t xml:space="preserve">IS</t>
  </si>
  <si>
    <t xml:space="preserve">Laba rugi &amp; OCI FY2022-2025</t>
  </si>
  <si>
    <t xml:space="preserve">BS</t>
  </si>
  <si>
    <t xml:space="preserve">Posisi keuangan FY2022-2025</t>
  </si>
  <si>
    <t xml:space="preserve">CF</t>
  </si>
  <si>
    <t xml:space="preserve">Arus kas (metode langsung) FY2022-2025</t>
  </si>
  <si>
    <t xml:space="preserve">Schedules</t>
  </si>
  <si>
    <t xml:space="preserve">Rincian CALK FY2022-2025: pendapatan per kelompok, D&amp;A, mutasi aset tetap 2024-25, rincian catatan 25-27, EPS</t>
  </si>
  <si>
    <t xml:space="preserve">Rasio</t>
  </si>
  <si>
    <t xml:space="preserve">Rasio 4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</si>
  <si>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</si>
  <si>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</si>
  <si>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</si>
  <si>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</si>
  <si>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</si>
  <si>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</si>
  <si>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</si>
  <si>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</si>
  <si>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</si>
  <si>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</si>
  <si>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</si>
  <si>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</si>
  <si>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</si>
  <si>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</si>
  <si>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FY2022 berlatar oranye = kolom pertama, dari LK audited dalam prospektus IPO (Temuan D8).</t>
  </si>
  <si>
    <t xml:space="preserve">3. Rincian &amp; rasio</t>
  </si>
  <si>
    <t xml:space="preserve">Schedules memuat rincian catatan (CALK) FY2022-2025;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</si>
  <si>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</si>
  <si>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</si>
  <si>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</si>
  <si>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</si>
  <si>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</si>
  <si>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</si>
  <si>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</si>
  <si>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</si>
  <si>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</si>
  <si>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</si>
  <si>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</si>
  <si>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</si>
  <si>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</si>
  <si>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</si>
  <si>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</si>
  <si>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</si>
  <si>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</si>
  <si>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</si>
  <si>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Kolom FY2022 (kolom pertama) dari LK audited dalam prospektus IPO</t>
  </si>
  <si>
    <t xml:space="preserve">Biru muda</t>
  </si>
  <si>
    <t xml:space="preserve">Kolom tahun proyeksi (E) - ilustratif</t>
  </si>
  <si>
    <t xml:space="preserve">Definisi penting</t>
  </si>
  <si>
    <t xml:space="preserve">EBITDA</t>
  </si>
  <si>
    <t xml:space="preserve">Laba usaha model (laba bruto - beban usaha + pendapatan lain-lain neto) + penyusutan aset tetap (Cat 26-27) + penyusutan aset hak guna (Cat 26).</t>
  </si>
  <si>
    <t xml:space="preserve">Utang</t>
  </si>
  <si>
    <t xml:space="preserve">Utang berbunga: utang bank jangka pendek &amp; jangka panjang, pembiayaan konsumen, dan dana syirkah temporer (Temuan D2). Utang neto juga menambahkan liabilitas sewa dan mengurangi kas (negatif = kas neto).</t>
  </si>
  <si>
    <t xml:space="preserve">EPS</t>
  </si>
  <si>
    <t xml:space="preserve">EPS tercetak memakai saham rata-rata tertimbang (CALK; IPO 2025) dan dibulatkan ke Rupiah penuh 2024-2025 (Temuan D9).</t>
  </si>
  <si>
    <t xml:space="preserve">Rupiah penuh kecuali disebut (Ringkasan/Dashboard: Rp miliar). Beban &amp; arus kas keluar bertanda negatif.</t>
  </si>
  <si>
    <t xml:space="preserve">Daftar sheet (format ini)</t>
  </si>
  <si>
    <t xml:space="preserve">Batasan</t>
  </si>
  <si>
    <t xml:space="preserve">Data</t>
  </si>
  <si>
    <t xml:space="preserve">Angka diekstrak dari PDF dan dapat mengandung kesalahan; cek ke laporan asli sebelum dipakai.</t>
  </si>
  <si>
    <t xml:space="preserve">Asumsi sederhana: pos neraca lain konstan, utang &amp; liabilitas sewa konstan (pembayaran sewa dikapitalisasi ke aset tetap), beban keuangan = suku bunga x rata-rata utang, aset hak guna konstan, tanpa OCI/revaluasi/penurunan nilai baru, tanpa penghasilan bunga pihak berelasi, tanpa transaksi saham, akuisisi atau pendanaan baru. Hasil sangat sensitif terhadap asumsi.</t>
  </si>
  <si>
    <t xml:space="preserve">Bukan saran</t>
  </si>
  <si>
    <t xml:space="preserve">Cipta Sarana Medika (DKHH) | Ringkasan FY2022-FY2025</t>
  </si>
  <si>
    <t xml:space="preserve">DKH Hospitals - 3 rumah sakit tipe C di Bekasi &amp; Sukabumi | sumber: LK audited FY2025 &amp; prospektus IPO 2025 | gratis &amp; terbuka | BUKAN rekomendasi investasi</t>
  </si>
  <si>
    <t xml:space="preserve">Penting: Dokumen ini hanya ringkasan informasi dan analisis data fundamental yang bersumber dari laporan keuangan publik (audited) PT Cipta Sarana Medika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</si>
  <si>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</si>
  <si>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FY2025 Rp144,9 miliar (-4,8% vs FY2024): penunjang medis Rp30,6 miliar, rawat inap Rp74,1 miliar, rawat jalan Rp40,0 miliar, lainnya Rp0,2 miliar.</t>
  </si>
  <si>
    <t xml:space="preserve">•  Pendapatan tumbuh 13,3% per tahun FY2022-2025 (naik 2023-2024, turun 2025); IPO 2025 dan pelaksanaan waran menghimpun Rp69,2 miliar.</t>
  </si>
  <si>
    <t xml:space="preserve">•  Laba pemilik induk FY2025 Rp6,0 miliar (EPS tercetak Rp3) vs Rp2,8 miliar FY2024; margin laba bersih 4,2%. Laba 2025 ditopang penghasilan bunga dari pihak berelasi Rp13,2 miliar; laba sebelum pajak 2024 hampir nol.</t>
  </si>
  <si>
    <t xml:space="preserve">•  Utang berbunga Rp90 miliar (termasuk dana syirkah Rp69 miliar) vs kas Rp4,0 miliar (FY2025); piutang pihak berelasi tidak lancar Rp117 miliar; utang neto / EBITDA 5,7x.</t>
  </si>
  <si>
    <t xml:space="preserve">•  Data 4 tahun direkonsiliasi dengan 225 cek; 11 selisih di laporan sumber sudah diperkirakan dan dijelaskan (lihat tanda perhatian &amp; sheet Temuan).</t>
  </si>
  <si>
    <t xml:space="preserve">Indikator utama (Rp miliar, kecuali disebut lain) - rumus hidup dari sheet IS/BS/CF/Rasio</t>
  </si>
  <si>
    <t xml:space="preserve">Indikator</t>
  </si>
  <si>
    <t xml:space="preserve">FY2022A</t>
  </si>
  <si>
    <t xml:space="preserve">FY2023A</t>
  </si>
  <si>
    <t xml:space="preserve">FY2024A</t>
  </si>
  <si>
    <t xml:space="preserve">FY2025A</t>
  </si>
  <si>
    <t xml:space="preserve">Pendapatan</t>
  </si>
  <si>
    <t xml:space="preserve">  Pertumbuhan</t>
  </si>
  <si>
    <t xml:space="preserve">Porsi penunjang medis</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</si>
  <si>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</si>
  <si>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</si>
  <si>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</si>
  <si>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</si>
  <si>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</si>
  <si>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</si>
  <si>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</si>
  <si>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 sewa - kas)</t>
  </si>
  <si>
    <t xml:space="preserve">  Utang neto / EBITDA (x)</t>
  </si>
  <si>
    <t xml:space="preserve">DSO piutang (hari)</t>
  </si>
  <si>
    <t xml:space="preserve">Tarif pajak efektif</t>
  </si>
  <si>
    <t xml:space="preserve">Catatan: kolom FY2022-FY2023 dari LK audited dalam prospektus IPO (proforma restrukturisasi); FY2024 dari komparatif LK FY2025. Laba usaha model = laba usaha tercetak + pendapatan lain-lain neto. EBITDA = laba usaha model + penyusutan aset tetap + penyusutan aset hak guna. Utang = bank + pembiayaan konsumen + dana syirkah temporer.</t>
  </si>
  <si>
    <t xml:space="preserve">Tren 4 tahun</t>
  </si>
  <si>
    <t xml:space="preserve">Batang = pendapatan per kelompok (Cat 25; lainnya = administrasi &amp; lainnya); garis putus-putus = porsi penunjang medis terhadap pendapatan (sumbu kanan).</t>
  </si>
  <si>
    <t xml:space="preserve">Kiri: margin terhadap pendapatan. Kanan: arus kas operasi (abu-abu), capex (arsir), pembayaran sewa (titik), dan sisanya (garis).</t>
  </si>
  <si>
    <t xml:space="preserve">Tanda perhatian dari laporan keuangan (bahasa sederhana)</t>
  </si>
  <si>
    <t xml:space="preserve">1. Pihak berelasi - Piutang ke pihak berelasi besar (2025 sekitar sepertiga aset) dan penghasilan bunga 2025 berasal dari pinjaman ke pihak berelasi yang sebagian belum diterima kas. (Temuan D3)</t>
  </si>
  <si>
    <t xml:space="preserve">2. Utang &amp; syirkah - Pembiayaan bank syariah (dana syirkah temporer) diperlakukan sebagai utang; kas akhir tahun kecil dibanding utang. (Temuan D2)</t>
  </si>
  <si>
    <t xml:space="preserve">3. Laba tipis &amp; pajak - Laba sebelum pajak 2024 hampir nol dan 2025 bergantung pada bunga pihak berelasi; tarif pajak efektif ekstrem. (Temuan D3, D11)</t>
  </si>
  <si>
    <t xml:space="preserve">4. Proforma &amp; sumber - Data 2022-2024 memuat laba/ekuitas proforma restrukturisasi; 2022-2023 dari prospektus; LAK prospektus tidak sama dengan kas neraca. (Temuan D1, D6, D8)</t>
  </si>
  <si>
    <t xml:space="preserve">5. Pos tidak berulang - Revaluasi aset 2023, uang muka aset tetap 2025 dan bunga neto positif di arus kas operasi 2025. (Temuan D4, D5, D7)</t>
  </si>
  <si>
    <t xml:space="preserve">6. Proyeksi ilustratif - Skenario Base/Bull/Bear bukan perkiraan; tidak ada target harga atau nilai wajar.</t>
  </si>
  <si>
    <t xml:space="preserve">Detail lengkap ada di sheet Temuan dan Rekonsiliasi. Tanda perhatian bukan tuduhan kecurangan; ini daftar hal yang perlu dicek ulang ke laporan asli.</t>
  </si>
  <si>
    <t xml:space="preserve">Lisensi &amp; format</t>
  </si>
  <si>
    <t xml:space="preserve">Sumber &amp; metode</t>
  </si>
  <si>
    <t xml:space="preserve">FY2022: Prospektus IPO 2025 (LK konsolidasian audited 2023/2022); FY2023: Prospektus IPO 2025 (LK konsolidasian audited 2023/2022); FY2024: LK FY2025 (komparatif); FY2025: LK FY2025.</t>
  </si>
  <si>
    <t xml:space="preserve">Angka diekstrak dua kali secara independen dari PDF laporan keuangan, dibandingkan dengan angka komparatif tahun berikutnya, lalu dicek silang (225 cek: subtotal, neraca seimbang, kas, saldo laba, CALK vs laporan, EPS). Rasio dihitung dengan rumus terbuka di sheet Rasio.</t>
  </si>
  <si>
    <t xml:space="preserve">Disclaimer</t>
  </si>
  <si>
    <t xml:space="preserve">Dokumen ini hanya ringkasan informasi dan analisis data fundamental yang bersumber dari laporan keuangan publik (audited) PT Cipta Sarana Medika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25-10-2026.</t>
  </si>
  <si>
    <t xml:space="preserve">Dashboard - historis FY2022-FY2025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</si>
  <si>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</si>
  <si>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</si>
  <si>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</si>
  <si>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</si>
  <si>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</si>
  <si>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</si>
  <si>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</si>
  <si>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</si>
  <si>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Pendapatan neto</t>
  </si>
  <si>
    <t xml:space="preserve">Pertumbuhan pendapatan</t>
  </si>
  <si>
    <t xml:space="preserve">Margin EBITDA</t>
  </si>
  <si>
    <t xml:space="preserve">FCF setelah sewa</t>
  </si>
  <si>
    <t xml:space="preserve">Kas akhir</t>
  </si>
  <si>
    <t xml:space="preserve">Utang neto / EBITDA</t>
  </si>
  <si>
    <t xml:space="preserve">ROE</t>
  </si>
  <si>
    <t xml:space="preserve">Cek balance BS_Proj (harus 0)</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</si>
  <si>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</si>
  <si>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</si>
  <si>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</si>
  <si>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historis = aktual (rumus dari IS/BS/CF/Schedules); kolom E = asumsi skenario aktif.</t>
  </si>
  <si>
    <t xml:space="preserve">Kalibrasi</t>
  </si>
  <si>
    <t xml:space="preserve">Asumsi dikalibrasi dari FY2022-FY2025 (2022-2023 proforma restrukturisasi; 2025 tahun IPO). Pos tidak berulang (bunga pihak berelasi 2025, uang muka aset 2025, revaluasi 2023) tidak dipakai sebagai patokan.</t>
  </si>
  <si>
    <t xml:space="preserve">Kunci</t>
  </si>
  <si>
    <t xml:space="preserve">Driver</t>
  </si>
  <si>
    <t xml:space="preserve">Dasar asumsi (kalibrasi FY2022-FY2025)</t>
  </si>
  <si>
    <t xml:space="preserve">ASUMSI AKTIF - kolom historis = aktual (rumus), kolom E = skenario terpilih</t>
  </si>
  <si>
    <t xml:space="preserve">PENDAPATAN (per kelompok, Cat 25)</t>
  </si>
  <si>
    <t xml:space="preserve">g_med</t>
  </si>
  <si>
    <t xml:space="preserve">Pertumbuhan pendapatan penunjang medis (farmasi, laboratorium, radiologi)</t>
  </si>
  <si>
    <t xml:space="preserve">Pendapatan: 2022 3 M, 2023 12 M, 2024 46 M, 2025 31 M. CAGR 2022-25 129,4%; 2025 turun. Base 8%; Bull 12%; Bear 3% (3 RS tipe C, pasien BPJS dominan; tanpa RS baru).</t>
  </si>
  <si>
    <t xml:space="preserve">g_inpat</t>
  </si>
  <si>
    <t xml:space="preserve">Pertumbuhan pendapatan rawat inap</t>
  </si>
  <si>
    <t xml:space="preserve">Pendapatan: 2022 54 M, 2023 80 M, 2024 86 M, 2025 74 M. CAGR 2022-25 11,5%. Base 8%; Bull 12%; Bear 3%.</t>
  </si>
  <si>
    <t xml:space="preserve">g_outpat</t>
  </si>
  <si>
    <t xml:space="preserve">Pertumbuhan pendapatan rawat jalan</t>
  </si>
  <si>
    <t xml:space="preserve">Pendapatan: 2022 43 M, 2023 43 M, 2024 20 M, 2025 40 M. CAGR 2022-25 -2,7% (kategori berbeda antar sumber, Temuan D10). Base 8%; Bull 12%; Bear 3%.</t>
  </si>
  <si>
    <t xml:space="preserve">rev_oth</t>
  </si>
  <si>
    <t xml:space="preserve">Pendapatan lainnya (% 3 kelompok utama)</t>
  </si>
  <si>
    <t xml:space="preserve">Historis: 2022 0,2%, 2023 0,1%, 2024 0,1%, 2025 0,1%. Base/Bull/Bear = rata-rata 2023-25.</t>
  </si>
  <si>
    <t xml:space="preserve">MARGIN &amp; BIAYA (% pendapatan)</t>
  </si>
  <si>
    <t xml:space="preserve">cogs</t>
  </si>
  <si>
    <t xml:space="preserve">Beban pokok di luar penyusutan aset tetap &amp; aset hak guna</t>
  </si>
  <si>
    <t xml:space="preserve">Historis: 2022 64,1%, 2023 63,5%, 2024 65,2%, 2025 69,2% (naik 2025). Base 67%; Bull 65%; Bear 69%.</t>
  </si>
  <si>
    <t xml:space="preserve">opex</t>
  </si>
  <si>
    <t xml:space="preserve">Beban penjualan + umum &amp; administrasi di luar penyusutan</t>
  </si>
  <si>
    <t xml:space="preserve">Historis: 2022 21,9%, 2023 23,5%, 2024 21,0%, 2025 19,8%. Base 20%; Bull 19%; Bear 21,5%.</t>
  </si>
  <si>
    <t xml:space="preserve">other_op</t>
  </si>
  <si>
    <t xml:space="preserve">Pendapatan (beban) lain-lain neto (% pendapatan)</t>
  </si>
  <si>
    <t xml:space="preserve">Historis: 2022 1,2%, 2023 0,1%, 2024 0,2%, 2025 -0,5% (sewa &amp; lain-lain; 2025 negatif). Base 0,2%; Bull 0,3%; Bear 0%.</t>
  </si>
  <si>
    <t xml:space="preserve">INVESTASI &amp; ASET</t>
  </si>
  <si>
    <t xml:space="preserve">capex</t>
  </si>
  <si>
    <t xml:space="preserve">Capex aset tetap (% pendapatan)</t>
  </si>
  <si>
    <t xml:space="preserve">Historis kas: 2022 17,1%, 2023 26,9%, 2024 16,1%, 2025 18,9% (2023 pembangunan RS; 2025 termasuk uang muka aset tetap 23,5 M, Temuan D4). Base 9% (kira-kira setara penyusutan, tanpa RS baru); Bull 7%; Bear 12%.</t>
  </si>
  <si>
    <t xml:space="preserve">lease_pd</t>
  </si>
  <si>
    <t xml:space="preserve">Pembayaran sewa dikapitalisasi ke aset tetap (% pendapatan)</t>
  </si>
  <si>
    <t xml:space="preserve">Historis: 2022 0,2%, 2023 0,0%, 2024 0,3%, 2025 0,7% (kecil). Base/Bull/Bear = rata-rata 2023-25; liabilitas sewa &amp; aset hak guna konstan.</t>
  </si>
  <si>
    <t xml:space="preserve">dep</t>
  </si>
  <si>
    <t xml:space="preserve">Penyusutan aset tetap + aset hak guna (% aset tetap neto awal)</t>
  </si>
  <si>
    <t xml:space="preserve">Historis: 2023 11,7%, 2024 8,3%, 2025 9,5%. Base/Bull/Bear = rata-rata 2023-25.</t>
  </si>
  <si>
    <t xml:space="preserve">sw</t>
  </si>
  <si>
    <t xml:space="preserve">Amortisasi aset takberwujud (% saldo awal)</t>
  </si>
  <si>
    <t xml:space="preserve">DKHH tidak memiliki aset takberwujud. Semua skenario 0.</t>
  </si>
  <si>
    <t xml:space="preserve">MODAL KERJA (hari, saldo akhir, basis 365)</t>
  </si>
  <si>
    <t xml:space="preserve">dso</t>
  </si>
  <si>
    <t xml:space="preserve">DSO piutang usaha / pendapatan</t>
  </si>
  <si>
    <t xml:space="preserve">Historis: 2022 44,4, 2023 45,7, 2024 60,2, 2025 47,5 (piutang BPJS). Base 50; Bull 45; Bear 60.</t>
  </si>
  <si>
    <t xml:space="preserve">dio</t>
  </si>
  <si>
    <t xml:space="preserve">DIO persediaan / beban pokok di luar penyusutan</t>
  </si>
  <si>
    <t xml:space="preserve">Historis: 2022 12,9, 2023 17,3, 2024 15,2, 2025 4,9 (2025 turun tajam). Base 10; Bull 8; Bear 14.</t>
  </si>
  <si>
    <t xml:space="preserve">dpo</t>
  </si>
  <si>
    <t xml:space="preserve">DPO utang usaha / beban pokok di luar penyusutan</t>
  </si>
  <si>
    <t xml:space="preserve">Historis: 2022 11,8, 2023 20,4, 2024 20,9, 2025 24,0. Base 22; Bull 25; Bear 18.</t>
  </si>
  <si>
    <t xml:space="preserve">PAJAK, PENDANAAN, DISTRIBUSI</t>
  </si>
  <si>
    <t xml:space="preserve">tax</t>
  </si>
  <si>
    <t xml:space="preserve">Tarif pajak efektif (% laba sebelum pajak)</t>
  </si>
  <si>
    <t xml:space="preserve">Historis: 2022 25,8%, 2023 76,7%, 2024 691,2%, 2025 -5,9% (laba sebelum pajak sangat kecil 2024; 2025 manfaat pajak, Temuan D11). Base 25%; Bull 22% (tarif badan); Bear 30%.</t>
  </si>
  <si>
    <t xml:space="preserve">fin_cost</t>
  </si>
  <si>
    <t xml:space="preserve">Suku bunga efektif (beban keuangan / rata-rata utang berbunga)</t>
  </si>
  <si>
    <t xml:space="preserve">Historis: 2023 6,34%, 2024 8,99%, 2025 10,15% (termasuk bagi hasil syirkah &amp; bunga sewa). Base = rata-rata 2023-25; Bull x0,9; Bear x1,1 (Temuan D2).</t>
  </si>
  <si>
    <t xml:space="preserve">yld</t>
  </si>
  <si>
    <t xml:space="preserve">Imbal hasil kas (penghasilan keuangan / kas awal)</t>
  </si>
  <si>
    <t xml:space="preserve">Historis: 2023 0%, 2024 0%, 2025 495%. Penghasilan keuangan 2025 = bunga pinjaman ke pihak berelasi, bukan imbal hasil kas (Temuan D3). Semua skenario 0.</t>
  </si>
  <si>
    <t xml:space="preserve">debt_chg</t>
  </si>
  <si>
    <t xml:space="preserve">Perubahan neto utang (Rp; + = tambah)</t>
  </si>
  <si>
    <t xml:space="preserve">Historis utang berbunga (termasuk syirkah): 2022 94 M, 2023 145 M, 2024 112 M, 2025 90 M. Semua skenario 0 (kas = penyeimbang; jadwal pelunasan tidak dimodelkan).</t>
  </si>
  <si>
    <t xml:space="preserve">payout</t>
  </si>
  <si>
    <t xml:space="preserve">Payout dividen (% laba induk tahun lalu)</t>
  </si>
  <si>
    <t xml:space="preserve">Tidak ada dividen ke pemilik induk 2022-2025 (Temuan D11). Semua skenario 0%.</t>
  </si>
  <si>
    <t xml:space="preserve">nci_share</t>
  </si>
  <si>
    <t xml:space="preserve">Porsi laba ke NCI (% laba tahun berjalan)</t>
  </si>
  <si>
    <t xml:space="preserve">Historis: 2022 0,000%, 2023 0,000%, 2024 0,005%, 2025 0,004% (sangat kecil). Semua skenario 0%.</t>
  </si>
  <si>
    <t xml:space="preserve">SKENARIO BASE - input biru per tahun (boleh diubah pengguna)</t>
  </si>
  <si>
    <t xml:space="preserve">Base.g_med</t>
  </si>
  <si>
    <t xml:space="preserve">Base.g_inpat</t>
  </si>
  <si>
    <t xml:space="preserve">Base.g_outpat</t>
  </si>
  <si>
    <t xml:space="preserve">Base.rev_oth</t>
  </si>
  <si>
    <t xml:space="preserve">Base.cogs</t>
  </si>
  <si>
    <t xml:space="preserve">Base.opex</t>
  </si>
  <si>
    <t xml:space="preserve">Base.other_op</t>
  </si>
  <si>
    <t xml:space="preserve">Base.capex</t>
  </si>
  <si>
    <t xml:space="preserve">Base.lease_pd</t>
  </si>
  <si>
    <t xml:space="preserve">Base.dep</t>
  </si>
  <si>
    <t xml:space="preserve">Base.sw</t>
  </si>
  <si>
    <t xml:space="preserve">Base.dso</t>
  </si>
  <si>
    <t xml:space="preserve">Base.dio</t>
  </si>
  <si>
    <t xml:space="preserve">Base.dpo</t>
  </si>
  <si>
    <t xml:space="preserve">Base.tax</t>
  </si>
  <si>
    <t xml:space="preserve">Base.fin_cost</t>
  </si>
  <si>
    <t xml:space="preserve">Base.yld</t>
  </si>
  <si>
    <t xml:space="preserve">Base.debt_chg</t>
  </si>
  <si>
    <t xml:space="preserve">Base.payout</t>
  </si>
  <si>
    <t xml:space="preserve">Base.nci_share</t>
  </si>
  <si>
    <t xml:space="preserve">SKENARIO BULL - input biru per tahun (boleh diubah pengguna)</t>
  </si>
  <si>
    <t xml:space="preserve">Bull.g_med</t>
  </si>
  <si>
    <t xml:space="preserve">Bull.g_inpat</t>
  </si>
  <si>
    <t xml:space="preserve">Bull.g_outpat</t>
  </si>
  <si>
    <t xml:space="preserve">Bull.rev_oth</t>
  </si>
  <si>
    <t xml:space="preserve">Bull.cogs</t>
  </si>
  <si>
    <t xml:space="preserve">Bull.opex</t>
  </si>
  <si>
    <t xml:space="preserve">Bull.other_op</t>
  </si>
  <si>
    <t xml:space="preserve">Bull.capex</t>
  </si>
  <si>
    <t xml:space="preserve">Bull.lease_pd</t>
  </si>
  <si>
    <t xml:space="preserve">Bull.dep</t>
  </si>
  <si>
    <t xml:space="preserve">Bull.sw</t>
  </si>
  <si>
    <t xml:space="preserve">Bull.dso</t>
  </si>
  <si>
    <t xml:space="preserve">Bull.dio</t>
  </si>
  <si>
    <t xml:space="preserve">Bull.dpo</t>
  </si>
  <si>
    <t xml:space="preserve">Bull.tax</t>
  </si>
  <si>
    <t xml:space="preserve">Bull.fin_cost</t>
  </si>
  <si>
    <t xml:space="preserve">Bull.yld</t>
  </si>
  <si>
    <t xml:space="preserve">Bull.debt_chg</t>
  </si>
  <si>
    <t xml:space="preserve">Bull.payout</t>
  </si>
  <si>
    <t xml:space="preserve">Bull.nci_share</t>
  </si>
  <si>
    <t xml:space="preserve">SKENARIO BEAR - input biru per tahun (boleh diubah pengguna)</t>
  </si>
  <si>
    <t xml:space="preserve">Bear.g_med</t>
  </si>
  <si>
    <t xml:space="preserve">Bear.g_inpat</t>
  </si>
  <si>
    <t xml:space="preserve">Bear.g_outpat</t>
  </si>
  <si>
    <t xml:space="preserve">Bear.rev_oth</t>
  </si>
  <si>
    <t xml:space="preserve">Bear.cogs</t>
  </si>
  <si>
    <t xml:space="preserve">Bear.opex</t>
  </si>
  <si>
    <t xml:space="preserve">Bear.other_op</t>
  </si>
  <si>
    <t xml:space="preserve">Bear.capex</t>
  </si>
  <si>
    <t xml:space="preserve">Bear.lease_pd</t>
  </si>
  <si>
    <t xml:space="preserve">Bear.dep</t>
  </si>
  <si>
    <t xml:space="preserve">Bear.sw</t>
  </si>
  <si>
    <t xml:space="preserve">Bear.dso</t>
  </si>
  <si>
    <t xml:space="preserve">Bear.dio</t>
  </si>
  <si>
    <t xml:space="preserve">Bear.dpo</t>
  </si>
  <si>
    <t xml:space="preserve">Bear.tax</t>
  </si>
  <si>
    <t xml:space="preserve">Bear.fin_cost</t>
  </si>
  <si>
    <t xml:space="preserve">Bear.yld</t>
  </si>
  <si>
    <t xml:space="preserve">Bear.debt_chg</t>
  </si>
  <si>
    <t xml:space="preserve">Bear.payout</t>
  </si>
  <si>
    <t xml:space="preserve">Bear.nci_share</t>
  </si>
  <si>
    <t xml:space="preserve">INPUT UMUM</t>
  </si>
  <si>
    <t xml:space="preserve">shares</t>
  </si>
  <si>
    <t xml:space="preserve">Jumlah saham ditempatkan &amp; disetor (lembar)</t>
  </si>
  <si>
    <t xml:space="preserve">LK FY2025: 2.550.078.941 saham ditempatkan &amp; disetor (setelah IPO 2025 dan pelaksanaan waran). Rata-rata tertimbang CALK: 2022 554,690,000, 2023 554,690,000, 2024 800,250,192, 2025 2,364,143,916.</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</si>
  <si>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</si>
  <si>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</si>
  <si>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</si>
  <si>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</si>
  <si>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</si>
  <si>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</si>
  <si>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kelompok)</t>
  </si>
  <si>
    <t xml:space="preserve">P.REV_MED</t>
  </si>
  <si>
    <t xml:space="preserve">Penunjang medis</t>
  </si>
  <si>
    <t xml:space="preserve">P.REV_INPAT</t>
  </si>
  <si>
    <t xml:space="preserve">Rawat inap</t>
  </si>
  <si>
    <t xml:space="preserve">P.REV_OUTPAT</t>
  </si>
  <si>
    <t xml:space="preserve">Rawat jalan</t>
  </si>
  <si>
    <t xml:space="preserve">P.REV_OTHER</t>
  </si>
  <si>
    <t xml:space="preserve">Lainnya (administrasi &amp; lainnya)</t>
  </si>
  <si>
    <t xml:space="preserve">P.REVENUE</t>
  </si>
  <si>
    <t xml:space="preserve">P.REV_GROWTH</t>
  </si>
  <si>
    <t xml:space="preserve">  Pertumbuhan pendapatan</t>
  </si>
  <si>
    <t xml:space="preserve">BIAYA &amp; EBITDA</t>
  </si>
  <si>
    <t xml:space="preserve">P.COGS_X</t>
  </si>
  <si>
    <t xml:space="preserve">Beban pokok di luar penyusutan (aset tetap &amp; aset hak guna)</t>
  </si>
  <si>
    <t xml:space="preserve">P.GP_X</t>
  </si>
  <si>
    <t xml:space="preserve">Laba bruto sebelum penyusutan</t>
  </si>
  <si>
    <t xml:space="preserve">P.OPEX_X</t>
  </si>
  <si>
    <t xml:space="preserve">Beban usaha di luar penyusutan</t>
  </si>
  <si>
    <t xml:space="preserve">P.OTHER_OP</t>
  </si>
  <si>
    <t xml:space="preserve">Pendapatan (beban) lain-lain neto</t>
  </si>
  <si>
    <t xml:space="preserve">P.EBITDA</t>
  </si>
  <si>
    <t xml:space="preserve">laba usaha model + penyusutan aset tetap + penyusutan aset hak guna</t>
  </si>
  <si>
    <t xml:space="preserve">P.DA</t>
  </si>
  <si>
    <t xml:space="preserve">Penyusutan &amp; amortisasi</t>
  </si>
  <si>
    <t xml:space="preserve">P.EBIT</t>
  </si>
  <si>
    <t xml:space="preserve">Laba usaha (EBIT)</t>
  </si>
  <si>
    <t xml:space="preserve">historis: = laba usaha model IS (cek di Rekonsiliasi; Temuan D9)</t>
  </si>
  <si>
    <t xml:space="preserve">P.FIN_INC</t>
  </si>
  <si>
    <t xml:space="preserve">Penghasilan keuangan</t>
  </si>
  <si>
    <t xml:space="preserve">E: imbal hasil x kas awal (0; Temuan D3)</t>
  </si>
  <si>
    <t xml:space="preserve">P.FIN_COST</t>
  </si>
  <si>
    <t xml:space="preserve">Beban keuangan</t>
  </si>
  <si>
    <t xml:space="preserve">E: suku bunga x rata-rata utang berbunga termasuk syirkah (Temuan D2)</t>
  </si>
  <si>
    <t xml:space="preserve">P.PBT</t>
  </si>
  <si>
    <t xml:space="preserve">Laba sebelum pajak</t>
  </si>
  <si>
    <t xml:space="preserve">P.TAX</t>
  </si>
  <si>
    <t xml:space="preserve">Beban pajak</t>
  </si>
  <si>
    <t xml:space="preserve">P.MERGING</t>
  </si>
  <si>
    <t xml:space="preserve">Laba proforma entitas anak sebelum restrukturisasi</t>
  </si>
  <si>
    <t xml:space="preserve">E: 0 (restrukturisasi selesai 2024; Temuan D1)</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</si>
  <si>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</si>
  <si>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</si>
  <si>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</si>
  <si>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</si>
  <si>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</si>
  <si>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</si>
  <si>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2.550.078.941 saham)</t>
  </si>
  <si>
    <t xml:space="preserve">EPS tercetak memakai saham rata-rata tertimbang (IPO 2025)</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</si>
  <si>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</si>
  <si>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</si>
  <si>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</si>
  <si>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</si>
  <si>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</si>
  <si>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</si>
  <si>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</si>
  <si>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</si>
  <si>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</si>
  <si>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</si>
  <si>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</si>
  <si>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</si>
  <si>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t>
  </si>
  <si>
    <t xml:space="preserve">PB.AR</t>
  </si>
  <si>
    <t xml:space="preserve">Piutang usaha (pihak ketiga + berelasi)</t>
  </si>
  <si>
    <t xml:space="preserve">PB.INV</t>
  </si>
  <si>
    <t xml:space="preserve">Persediaan</t>
  </si>
  <si>
    <t xml:space="preserve">PB.OCA</t>
  </si>
  <si>
    <t xml:space="preserve">Aset lancar lainnya</t>
  </si>
  <si>
    <t xml:space="preserve">E: konstan</t>
  </si>
  <si>
    <t xml:space="preserve">PB.TCA</t>
  </si>
  <si>
    <t xml:space="preserve">Jumlah aset lancar</t>
  </si>
  <si>
    <t xml:space="preserve">PB.PPE</t>
  </si>
  <si>
    <t xml:space="preserve">Aset tetap - neto</t>
  </si>
  <si>
    <t xml:space="preserve">PB.INTANG</t>
  </si>
  <si>
    <t xml:space="preserve">Aset takberwujud</t>
  </si>
  <si>
    <t xml:space="preserve">PB.ONCA</t>
  </si>
  <si>
    <t xml:space="preserve">Aset tidak lancar lain (piutang pihak berelasi, uang muka aset, aset hak guna, pajak tangguhan, uang muka investasi 2022-23)</t>
  </si>
  <si>
    <t xml:space="preserve">PB.TNCA</t>
  </si>
  <si>
    <t xml:space="preserve">Jumlah aset tidak lancar</t>
  </si>
  <si>
    <t xml:space="preserve">PB.TA</t>
  </si>
  <si>
    <t xml:space="preserve">JUMLAH ASET</t>
  </si>
  <si>
    <t xml:space="preserve">LIABILITAS</t>
  </si>
  <si>
    <t xml:space="preserve">PB.AP</t>
  </si>
  <si>
    <t xml:space="preserve">Utang usaha (pihak ketiga + berelasi)</t>
  </si>
  <si>
    <t xml:space="preserve">PB.DEBT</t>
  </si>
  <si>
    <t xml:space="preserve">Utang berbunga (bank, pembiayaan konsumen, syirkah)</t>
  </si>
  <si>
    <t xml:space="preserve">PB.LEASE</t>
  </si>
  <si>
    <t xml:space="preserve">Liabilitas sewa</t>
  </si>
  <si>
    <t xml:space="preserve">PB.OL</t>
  </si>
  <si>
    <t xml:space="preserve">Liabilitas lainnya</t>
  </si>
  <si>
    <t xml:space="preserve">utang lain, akrual, pajak, liabilitas kontrak, imbalan kerja; E: konstan</t>
  </si>
  <si>
    <t xml:space="preserve">PB.TL</t>
  </si>
  <si>
    <t xml:space="preserve">JUMLAH LIABILITAS</t>
  </si>
  <si>
    <t xml:space="preserve">EKUITAS</t>
  </si>
  <si>
    <t xml:space="preserve">PB.EQ_OTHER</t>
  </si>
  <si>
    <t xml:space="preserve">Modal &amp; cadangan (selain saldo laba; termasuk surplus revaluasi &amp; ekuitas proforma)</t>
  </si>
  <si>
    <t xml:space="preserve">PB.RE</t>
  </si>
  <si>
    <t xml:space="preserve">Saldo laba</t>
  </si>
  <si>
    <t xml:space="preserve">PB.EQ_PARENT</t>
  </si>
  <si>
    <t xml:space="preserve">Ekuitas pemilik entitas induk</t>
  </si>
  <si>
    <t xml:space="preserve">PB.NCI</t>
  </si>
  <si>
    <t xml:space="preserve">Kepentingan nonpengendali</t>
  </si>
  <si>
    <t xml:space="preserve">E: tanpa dividen ke NCI (ilustratif)</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</si>
  <si>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</si>
  <si>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</si>
  <si>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</si>
  <si>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</si>
  <si>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</si>
  <si>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</si>
  <si>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</si>
  <si>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 sewa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</si>
  <si>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</si>
  <si>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</si>
  <si>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</si>
  <si>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</si>
  <si>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</si>
  <si>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</si>
  <si>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</si>
  <si>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</si>
  <si>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</si>
  <si>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</si>
  <si>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</si>
  <si>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</si>
  <si>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</si>
  <si>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</si>
  <si>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</si>
  <si>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</si>
  <si>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historis: laporan (metode langsung); E: tidak langsung</t>
  </si>
  <si>
    <t xml:space="preserve">ARUS KAS INVESTASI</t>
  </si>
  <si>
    <t xml:space="preserve">PC.CAPEX</t>
  </si>
  <si>
    <t xml:space="preserve">Capex aset tetap + uang muka</t>
  </si>
  <si>
    <t xml:space="preserve">PC.SW</t>
  </si>
  <si>
    <t xml:space="preserve">Perolehan aset takberwujud</t>
  </si>
  <si>
    <t xml:space="preserve">PC.CFI</t>
  </si>
  <si>
    <t xml:space="preserve">Arus kas investasi</t>
  </si>
  <si>
    <t xml:space="preserve">historis: total laporan</t>
  </si>
  <si>
    <t xml:space="preserve">ARUS KAS PENDANAAN</t>
  </si>
  <si>
    <t xml:space="preserve">PC.DEBT</t>
  </si>
  <si>
    <t xml:space="preserve">Perubahan neto utang berbunga (kas)</t>
  </si>
  <si>
    <t xml:space="preserve">PC.LEASE</t>
  </si>
  <si>
    <t xml:space="preserve">Pembayaran sewa</t>
  </si>
  <si>
    <t xml:space="preserve">PC.DIV</t>
  </si>
  <si>
    <t xml:space="preserve">Dividen dibayar</t>
  </si>
  <si>
    <t xml:space="preserve">PC.CFF</t>
  </si>
  <si>
    <t xml:space="preserve">Arus kas pendanaan</t>
  </si>
  <si>
    <t xml:space="preserve">PC.NET</t>
  </si>
  <si>
    <t xml:space="preserve">Kenaikan (penurunan) neto kas</t>
  </si>
  <si>
    <t xml:space="preserve">PC.CASH_BEGIN</t>
  </si>
  <si>
    <t xml:space="preserve">Kas awal tahun</t>
  </si>
  <si>
    <t xml:space="preserve">E: kas neraca</t>
  </si>
  <si>
    <t xml:space="preserve">PC.CASH_END</t>
  </si>
  <si>
    <t xml:space="preserve">Kas akhir tahun</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</si>
  <si>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</si>
  <si>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</si>
  <si>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</si>
  <si>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</si>
  <si>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</si>
  <si>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</si>
  <si>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 (aset hak guna konstan di aset tidak lancar lain)</t>
  </si>
  <si>
    <t xml:space="preserve">S.PPE_BEG</t>
  </si>
  <si>
    <t xml:space="preserve">Aset tetap neto awal</t>
  </si>
  <si>
    <t xml:space="preserve">S.CAPEX</t>
  </si>
  <si>
    <t xml:space="preserve">Capex (kas)</t>
  </si>
  <si>
    <t xml:space="preserve">S.LEASE_PD</t>
  </si>
  <si>
    <t xml:space="preserve">Pembayaran sewa (dikapitalisasi ke aset tetap)</t>
  </si>
  <si>
    <t xml:space="preserve">S.DEP</t>
  </si>
  <si>
    <t xml:space="preserve">Penyusutan aset tetap + aset hak guna</t>
  </si>
  <si>
    <t xml:space="preserve">S.PPE_END</t>
  </si>
  <si>
    <t xml:space="preserve">Aset tetap neto akhir</t>
  </si>
  <si>
    <t xml:space="preserve">historis: neraca (memuat penambahan nonkas, pelepasan, penurunan nilai)</t>
  </si>
  <si>
    <t xml:space="preserve">ASET TAKBERWUJUD</t>
  </si>
  <si>
    <t xml:space="preserve">S.INT_BEG</t>
  </si>
  <si>
    <t xml:space="preserve">Aset takberwujud awal</t>
  </si>
  <si>
    <t xml:space="preserve">S.SW_AMORT</t>
  </si>
  <si>
    <t xml:space="preserve">Amortisasi</t>
  </si>
  <si>
    <t xml:space="preserve">S.SW_CAPEX</t>
  </si>
  <si>
    <t xml:space="preserve">Penambahan (= amortisasi)</t>
  </si>
  <si>
    <t xml:space="preserve">S.INT_END</t>
  </si>
  <si>
    <t xml:space="preserve">Aset takberwujud akhir</t>
  </si>
  <si>
    <t xml:space="preserve">LIABILITAS SEWA</t>
  </si>
  <si>
    <t xml:space="preserve">S.LEASE_BEG</t>
  </si>
  <si>
    <t xml:space="preserve">Liabilitas sewa awal</t>
  </si>
  <si>
    <t xml:space="preserve">S.LEASE_END</t>
  </si>
  <si>
    <t xml:space="preserve">Liabilitas sewa akhir</t>
  </si>
  <si>
    <t xml:space="preserve">E: konstan (pembayaran sewa dikapitalisasi ke aset tetap)</t>
  </si>
  <si>
    <t xml:space="preserve">S.LEASE_AVG</t>
  </si>
  <si>
    <t xml:space="preserve">Rata-rata liabilitas sewa</t>
  </si>
  <si>
    <t xml:space="preserve">UTANG BERBUNGA</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</si>
  <si>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</si>
  <si>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</si>
  <si>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</si>
  <si>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</si>
  <si>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</si>
  <si>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</si>
  <si>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</si>
  <si>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</si>
  <si>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</si>
  <si>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</si>
  <si>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</si>
  <si>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</si>
  <si>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</si>
  <si>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</si>
  <si>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</si>
  <si>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</si>
  <si>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</si>
  <si>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</si>
  <si>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</si>
  <si>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Template DCF opsional - kalkulator untuk pengguna (input KOSONG)</t>
  </si>
  <si>
    <t xml:space="preserve">Sel kuning diisi sendiri oleh pengguna dan perlu diverifikasi. Hasil sepenuhnya bergantung pada input pengguna; BUKAN nilai wajar, target, atau rekomendasi dari penyusun.</t>
  </si>
  <si>
    <t xml:space="preserve">INPUT (kosong = template tidak menghitung)</t>
  </si>
  <si>
    <t xml:space="preserve">Suku bunga bebas risiko (Rf)</t>
  </si>
  <si>
    <t xml:space="preserve">perlu diisi/diverifikasi: mis. imbal hasil SUN 10 tahun; catat sumber &amp; tanggal</t>
  </si>
  <si>
    <t xml:space="preserve">Equity risk premium (ERP)</t>
  </si>
  <si>
    <t xml:space="preserve">perlu diisi/diverifikasi: catat sumber</t>
  </si>
  <si>
    <t xml:space="preserve">Beta (levered)</t>
  </si>
  <si>
    <t xml:space="preserve">perlu diisi/diverifikasi: metode, periode &amp; indeks acuan</t>
  </si>
  <si>
    <t xml:space="preserve">Premi tambahan (ukuran/spesifik), opsional</t>
  </si>
  <si>
    <t xml:space="preserve">perlu diisi/diverifikasi: isi 0 bila tidak dipakai</t>
  </si>
  <si>
    <t xml:space="preserve">Biaya utang sebelum pajak (Kd)</t>
  </si>
  <si>
    <t xml:space="preserve">perlu diisi/diverifikasi</t>
  </si>
  <si>
    <t xml:space="preserve">Tarif pajak untuk perisai bunga</t>
  </si>
  <si>
    <t xml:space="preserve">perlu diisi/diverifikasi: tarif PPh badan berlaku</t>
  </si>
  <si>
    <t xml:space="preserve">Bobot utang D/(D+E) target</t>
  </si>
  <si>
    <t xml:space="preserve">Pertumbuhan terminal (g) - metode Gordon</t>
  </si>
  <si>
    <t xml:space="preserve">Kelipatan EV/EBITDA terminal - metode exit multiple</t>
  </si>
  <si>
    <t xml:space="preserve">perlu diisi/diverifikasi: dokumentasikan sumber</t>
  </si>
  <si>
    <t xml:space="preserve">Aset non-operasi ditambahkan (Rp), mis. investasi saham</t>
  </si>
  <si>
    <t xml:space="preserve">Input inti lengkap? (Rf, ERP, beta, Kd, pajak, bobot utang)</t>
  </si>
  <si>
    <t xml:space="preserve">Siap hitung metode Gordon?</t>
  </si>
  <si>
    <t xml:space="preserve">Siap hitung metode exit multiple?</t>
  </si>
  <si>
    <t xml:space="preserve">WACC</t>
  </si>
  <si>
    <t xml:space="preserve">Biaya ekuitas Ke = Rf + beta x ERP + premi</t>
  </si>
  <si>
    <t xml:space="preserve">Biaya utang setelah pajak</t>
  </si>
  <si>
    <t xml:space="preserve">FCFF (mengikuti skenario aktif di Asumsi)</t>
  </si>
  <si>
    <t xml:space="preserve">Periode diskonto (tahun, akhir periode)</t>
  </si>
  <si>
    <t xml:space="preserve">EBIT</t>
  </si>
  <si>
    <t xml:space="preserve">Pajak atas EBIT (tarif dari Asumsi)</t>
  </si>
  <si>
    <t xml:space="preserve">NOPAT</t>
  </si>
  <si>
    <t xml:space="preserve">+ D&amp;A</t>
  </si>
  <si>
    <t xml:space="preserve">- Capex</t>
  </si>
  <si>
    <t xml:space="preserve">- Kenaikan modal kerja</t>
  </si>
  <si>
    <t xml:space="preserve">FCFF</t>
  </si>
  <si>
    <t xml:space="preserve">Faktor diskonto</t>
  </si>
  <si>
    <t xml:space="preserve">PV FCFF</t>
  </si>
  <si>
    <t xml:space="preserve">Catatan IFRS 16: FCFF sebelum pembayaran sewa, sehingga liabilitas sewa diperlakukan sebagai utang di jembatan ekuitas.</t>
  </si>
  <si>
    <t xml:space="preserve">NILAI PERUSAHAAN &amp; JEMBATAN EKUITAS (hasil kalkulator)</t>
  </si>
  <si>
    <t xml:space="preserve">Gordon</t>
  </si>
  <si>
    <t xml:space="preserve">Exit multiple</t>
  </si>
  <si>
    <t xml:space="preserve">Σ PV FCFF</t>
  </si>
  <si>
    <t xml:space="preserve">Nilai terminal (akhir FY2030E)</t>
  </si>
  <si>
    <t xml:space="preserve">PV nilai terminal</t>
  </si>
  <si>
    <t xml:space="preserve">Nilai perusahaan (EV)</t>
  </si>
  <si>
    <t xml:space="preserve">(-) Utang bank FY2025A</t>
  </si>
  <si>
    <t xml:space="preserve">(-) Liabilitas sewa FY2025A</t>
  </si>
  <si>
    <t xml:space="preserve">(+) Kas FY2025A</t>
  </si>
  <si>
    <t xml:space="preserve">(-) Kepentingan nonpengendali (nilai buku FY2025A)</t>
  </si>
  <si>
    <t xml:space="preserve">(+) Aset non-operasi (input)</t>
  </si>
  <si>
    <t xml:space="preserve">Nilai ekuitas</t>
  </si>
  <si>
    <t xml:space="preserve">Nilai ekuitas per saham (Rp)</t>
  </si>
  <si>
    <t xml:space="preserve">Hanya keluaran rumus atas input pengguna; bukan target, bukan nilai wajar, bukan rekomendasi. NCI dikurangkan pada nilai buku (penyederhanaan).</t>
  </si>
  <si>
    <t xml:space="preserve">SENSITIVITAS nilai ekuitas per saham (Gordon): WACC (baris) x g (kolom)</t>
  </si>
  <si>
    <t xml:space="preserve">WACC \ g</t>
  </si>
  <si>
    <t xml:space="preserve">Template ini sengaja tidak memuat perbandingan dengan data pasar. Pengguna bertanggung jawab penuh atas input dan interpretasinya.</t>
  </si>
  <si>
    <t xml:space="preserve">Tabel pembanding - data FUNDAMENTAL saja (baris pembanding kosong)</t>
  </si>
  <si>
    <t xml:space="preserve">Isi hanya dengan data terverifikasi dari laporan keuangan publik tiap emiten; cantumkan sumber &amp; tanggal akses. Tidak ada angka yang dikarang.</t>
  </si>
  <si>
    <t xml:space="preserve">Nama emiten</t>
  </si>
  <si>
    <t xml:space="preserve">Fokus usaha</t>
  </si>
  <si>
    <t xml:space="preserve">Tahun buku</t>
  </si>
  <si>
    <t xml:space="preserve">Pendapatan (Rp miliar)</t>
  </si>
  <si>
    <t xml:space="preserve">ROA</t>
  </si>
  <si>
    <t xml:space="preserve">Utang / ekuitas</t>
  </si>
  <si>
    <t xml:space="preserve">Jumlah RS</t>
  </si>
  <si>
    <t xml:space="preserve">Jumlah tempat tidur</t>
  </si>
  <si>
    <t xml:space="preserve">Porsi pendapatan penunjang medis</t>
  </si>
  <si>
    <t xml:space="preserve">Sumber (laporan, halaman)</t>
  </si>
  <si>
    <t xml:space="preserve">Tanggal akses</t>
  </si>
  <si>
    <t xml:space="preserve">DKHH</t>
  </si>
  <si>
    <t xml:space="preserve">PT Cipta Sarana Medika Tbk</t>
  </si>
  <si>
    <t xml:space="preserve">3 RS tipe C (Bekasi &amp; Sukabumi)</t>
  </si>
  <si>
    <t xml:space="preserve">Model ini (laporan audited FY2025)</t>
  </si>
  <si>
    <t xml:space="preserve">Median pembanding (tanpa DKHH)</t>
  </si>
  <si>
    <t xml:space="preserve">Rata-rata pembanding (tanpa DKHH)</t>
  </si>
  <si>
    <t xml:space="preserve">Tabel ini sengaja tidak memuat kelipatan pasar (P/E, P/BV, EV/EBITDA): isinya ringkasan data fundamental, bukan penilaian.</t>
  </si>
  <si>
    <t xml:space="preserve">Laporan Laba Rugi &amp; OCI - historis FY2022A-FY2025A</t>
  </si>
  <si>
    <t xml:space="preserve">Rp penuh. Biru = input dari DKHH_seri_2022_2025.json (LK audited, Rupiah penuh), hitam = rumus. Kolom 2022-2023 dari LK audited dalam Prospektus IPO; 2024 dari komparatif LK FY2025 (Temuan D8). Dana syirkah temporer direklasifikasi ke liabilitas (Temuan D2).</t>
  </si>
  <si>
    <t xml:space="preserve">Sumber kolom</t>
  </si>
  <si>
    <t xml:space="preserve">Prospektus IPO 2025 (LK konsolidasian audited 2023/2022)</t>
  </si>
  <si>
    <t xml:space="preserve">LK FY2025 (komparatif)</t>
  </si>
  <si>
    <t xml:space="preserve">LK FY2025</t>
  </si>
  <si>
    <t xml:space="preserve">Catatan sumber: DKHH (PT Cipta Sarana Medika Tbk), IPO 2025. Histori model FY2022-FY2025 (4 tahun). 2022-2023 dari LK konsolidasian audited dalam Prospektus IPO (disajikan proforma seolah restrukturisasi entitas sepe</t>
  </si>
  <si>
    <t xml:space="preserve">LABA RUGI</t>
  </si>
  <si>
    <t xml:space="preserve">IS.REVENUE</t>
  </si>
  <si>
    <t xml:space="preserve">Pendapatan (Cat 25)</t>
  </si>
  <si>
    <t xml:space="preserve">kunci JSON: pendapatan</t>
  </si>
  <si>
    <t xml:space="preserve">IS.COGS</t>
  </si>
  <si>
    <t xml:space="preserve">Beban pokok pendapatan (Cat 26)</t>
  </si>
  <si>
    <t xml:space="preserve">kunci JSON: beban_pokok</t>
  </si>
  <si>
    <t xml:space="preserve">IS.GROSS_PROFIT</t>
  </si>
  <si>
    <t xml:space="preserve">Laba bruto</t>
  </si>
  <si>
    <t xml:space="preserve">IS.SELLING</t>
  </si>
  <si>
    <t xml:space="preserve">Beban penjualan (Cat 27)</t>
  </si>
  <si>
    <t xml:space="preserve">kunci JSON: beban_penjualan</t>
  </si>
  <si>
    <t xml:space="preserve">IS.GA</t>
  </si>
  <si>
    <t xml:space="preserve">Beban umum dan administrasi (Cat 27)</t>
  </si>
  <si>
    <t xml:space="preserve">kunci JSON: beban_umum</t>
  </si>
  <si>
    <t xml:space="preserve">IS.OPEX_TOTAL</t>
  </si>
  <si>
    <t xml:space="preserve">Jumlah beban usaha</t>
  </si>
  <si>
    <t xml:space="preserve">IS.OTHER_INCOME</t>
  </si>
  <si>
    <t xml:space="preserve">Pendapatan (beban) lain-lain - neto (sewa &amp; lain-lain)</t>
  </si>
  <si>
    <t xml:space="preserve">kunci JSON: pendapatan_lain</t>
  </si>
  <si>
    <t xml:space="preserve">IS.OTHER_OPER_NET</t>
  </si>
  <si>
    <t xml:space="preserve">IS.OPER_PROFIT</t>
  </si>
  <si>
    <t xml:space="preserve">Laba usaha model (laba bruto - beban usaha + lain-lain neto; Temuan D9)</t>
  </si>
  <si>
    <t xml:space="preserve">IS.FIN_COST</t>
  </si>
  <si>
    <t xml:space="preserve">kunci JSON: beban_keuangan</t>
  </si>
  <si>
    <t xml:space="preserve">IS.FIN_INCOME</t>
  </si>
  <si>
    <t xml:space="preserve">kunci JSON: penghasilan_keuangan</t>
  </si>
  <si>
    <t xml:space="preserve">IS.PBT</t>
  </si>
  <si>
    <t xml:space="preserve">IS.TAX_TOTAL</t>
  </si>
  <si>
    <t xml:space="preserve">Beban (manfaat) pajak penghasilan</t>
  </si>
  <si>
    <t xml:space="preserve">kunci JSON: beban_pajak</t>
  </si>
  <si>
    <t xml:space="preserve">IS.MERGING</t>
  </si>
  <si>
    <t xml:space="preserve">Laba entitas anak sebelum restrukturisasi (proforma 2022-2024; Temuan D1)</t>
  </si>
  <si>
    <t xml:space="preserve">kunci JSON: laba_merging</t>
  </si>
  <si>
    <t xml:space="preserve">IS.NET_INCOME</t>
  </si>
  <si>
    <t xml:space="preserve">PENGHASILAN KOMPREHENSIF LAIN (OCI)</t>
  </si>
  <si>
    <t xml:space="preserve">IS.OCI_REVAL</t>
  </si>
  <si>
    <t xml:space="preserve">Surplus revaluasi aset tetap</t>
  </si>
  <si>
    <t xml:space="preserve">kunci JSON: oci_revaluasi</t>
  </si>
  <si>
    <t xml:space="preserve">IS.OCI_REMEASURE</t>
  </si>
  <si>
    <t xml:space="preserve">Pengukuran kembali program imbalan pasti</t>
  </si>
  <si>
    <t xml:space="preserve">kunci JSON: oci_remeasurement</t>
  </si>
  <si>
    <t xml:space="preserve">IS.OCI_TAX</t>
  </si>
  <si>
    <t xml:space="preserve">Pajak terkait</t>
  </si>
  <si>
    <t xml:space="preserve">kunci JSON: oci_pajak_terkait</t>
  </si>
  <si>
    <t xml:space="preserve">IS.OCI_PROFORMA</t>
  </si>
  <si>
    <t xml:space="preserve">OCI entitas anak sebelum restrukturisasi (proforma)</t>
  </si>
  <si>
    <t xml:space="preserve">kunci JSON: oci_proforma</t>
  </si>
  <si>
    <t xml:space="preserve">IS.OCI_TOTAL</t>
  </si>
  <si>
    <t xml:space="preserve">Jumlah OCI</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</si>
  <si>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</si>
  <si>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</si>
  <si>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</si>
  <si>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</si>
  <si>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</si>
  <si>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</si>
  <si>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</si>
  <si>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</si>
  <si>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</si>
  <si>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</si>
  <si>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</si>
  <si>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</si>
  <si>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</si>
  <si>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</si>
  <si>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</si>
  <si>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</si>
  <si>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per saham dasar tercetak (Rp, penuh)</t>
  </si>
  <si>
    <t xml:space="preserve">kunci JSON: eps_dasar</t>
  </si>
  <si>
    <t xml:space="preserve">IS.EPS_DILUTED</t>
  </si>
  <si>
    <t xml:space="preserve">Laba per saham dilusian tercetak (Rp, penuh)</t>
  </si>
  <si>
    <t xml:space="preserve">kunci JSON: eps_dilusian</t>
  </si>
  <si>
    <t xml:space="preserve">MEMO: SUBTOTAL TERCETAK DI LK (untuk Rekonsiliasi)</t>
  </si>
  <si>
    <t xml:space="preserve">IS.GROSS_PROFIT_PRINTED</t>
  </si>
  <si>
    <t xml:space="preserve">Laba bruto (tercetak)</t>
  </si>
  <si>
    <t xml:space="preserve">kunci JSON: laba_bruto</t>
  </si>
  <si>
    <t xml:space="preserve">IS.OPER_PROFIT_PRINTED</t>
  </si>
  <si>
    <t xml:space="preserve">Laba usaha (tercetak; sebelum pendapatan lain-lain)</t>
  </si>
  <si>
    <t xml:space="preserve">kunci JSON: laba_usaha</t>
  </si>
  <si>
    <t xml:space="preserve">IS.PBT_PRINTED</t>
  </si>
  <si>
    <t xml:space="preserve">Laba sebelum pajak (tercetak)</t>
  </si>
  <si>
    <t xml:space="preserve">kunci JSON: laba_sebelum_pajak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</si>
  <si>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</si>
  <si>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</si>
  <si>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</si>
  <si>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</si>
  <si>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</si>
  <si>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</si>
  <si>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t>
  </si>
  <si>
    <t xml:space="preserve">Laba komprehensif (tercetak)</t>
  </si>
  <si>
    <t xml:space="preserve">kunci JSON: total_laba_komprehensif</t>
  </si>
  <si>
    <t xml:space="preserve">Laporan Posisi Keuangan - historis FY2022A-FY2025A</t>
  </si>
  <si>
    <t xml:space="preserve">BS.CASH</t>
  </si>
  <si>
    <t xml:space="preserve">kunci JSON: kas</t>
  </si>
  <si>
    <t xml:space="preserve">BS.ST_INVEST</t>
  </si>
  <si>
    <t xml:space="preserve">Deposito berjangka</t>
  </si>
  <si>
    <t xml:space="preserve">kunci JSON: -</t>
  </si>
  <si>
    <t xml:space="preserve">BS.TRADE_REC</t>
  </si>
  <si>
    <t xml:space="preserve">Piutang usaha - pihak ketiga</t>
  </si>
  <si>
    <t xml:space="preserve">kunci JSON: piutang_usaha_pk3</t>
  </si>
  <si>
    <t xml:space="preserve">BS.TRADE_REC_RP</t>
  </si>
  <si>
    <t xml:space="preserve">Piutang usaha - pihak berelasi</t>
  </si>
  <si>
    <t xml:space="preserve">BS.OTHER_REC</t>
  </si>
  <si>
    <t xml:space="preserve">Piutang lain-lain - pihak ketiga</t>
  </si>
  <si>
    <t xml:space="preserve">kunci JSON: piutang_lain_pk3</t>
  </si>
  <si>
    <t xml:space="preserve">BS.OTHER_REC_RP</t>
  </si>
  <si>
    <t xml:space="preserve">Piutang lain-lain - pihak berelasi</t>
  </si>
  <si>
    <t xml:space="preserve">kunci JSON: piutang_lain_rp</t>
  </si>
  <si>
    <t xml:space="preserve">BS.INVENTORY</t>
  </si>
  <si>
    <t xml:space="preserve">kunci JSON: persediaan</t>
  </si>
  <si>
    <t xml:space="preserve">BS.PREPAID_ADV</t>
  </si>
  <si>
    <t xml:space="preserve">Beban dibayar dimuka</t>
  </si>
  <si>
    <t xml:space="preserve">kunci JSON: biaya_dimuka</t>
  </si>
  <si>
    <t xml:space="preserve">BS.PREPAID_TAX</t>
  </si>
  <si>
    <t xml:space="preserve">Pajak dibayar dimuka</t>
  </si>
  <si>
    <t xml:space="preserve">kunci JSON: pajak_dimuka</t>
  </si>
  <si>
    <t xml:space="preserve">BS.ADVANCES</t>
  </si>
  <si>
    <t xml:space="preserve">Uang muka</t>
  </si>
  <si>
    <t xml:space="preserve">kunci JSON: uang_muka</t>
  </si>
  <si>
    <t xml:space="preserve">BS.TOTAL_CA</t>
  </si>
  <si>
    <t xml:space="preserve">BS.INTANGIBLES</t>
  </si>
  <si>
    <t xml:space="preserve">Aset takberwujud (disajikan terpisah mulai LK FY2023)</t>
  </si>
  <si>
    <t xml:space="preserve">BS.DTA</t>
  </si>
  <si>
    <t xml:space="preserve">Aset pajak tangguhan</t>
  </si>
  <si>
    <t xml:space="preserve">kunci JSON: aset_pajak_tangguhan</t>
  </si>
  <si>
    <t xml:space="preserve">BS.GOODWILL</t>
  </si>
  <si>
    <t xml:space="preserve">Goodwill</t>
  </si>
  <si>
    <t xml:space="preserve">BS.PREPAID_ADV_NC</t>
  </si>
  <si>
    <t xml:space="preserve">Uang muka pembelian aset tetap</t>
  </si>
  <si>
    <t xml:space="preserve">kunci JSON: uang_muka_aset</t>
  </si>
  <si>
    <t xml:space="preserve">BS.PPE</t>
  </si>
  <si>
    <t xml:space="preserve">Aset tetap - neto (model revaluasi tanah &amp; bangunan sejak 2023)</t>
  </si>
  <si>
    <t xml:space="preserve">kunci JSON: aset_tetap</t>
  </si>
  <si>
    <t xml:space="preserve">BS.ROU</t>
  </si>
  <si>
    <t xml:space="preserve">Aset hak guna</t>
  </si>
  <si>
    <t xml:space="preserve">kunci JSON: aset_hak_guna</t>
  </si>
  <si>
    <t xml:space="preserve">BS.OTHER_REC_NC</t>
  </si>
  <si>
    <t xml:space="preserve">Piutang lain-lain - tidak lancar</t>
  </si>
  <si>
    <t xml:space="preserve">kunci JSON: piutang_lain_tl</t>
  </si>
  <si>
    <t xml:space="preserve">BS.DUE_FROM_RP</t>
  </si>
  <si>
    <t xml:space="preserve">Piutang pihak berelasi - tidak lancar (Temuan D3)</t>
  </si>
  <si>
    <t xml:space="preserve">kunci JSON: piutang_rp_tl</t>
  </si>
  <si>
    <t xml:space="preserve">BS.OTHER_NCA</t>
  </si>
  <si>
    <t xml:space="preserve">Aset tidak lancar lainnya (2022: uang muka investasi)</t>
  </si>
  <si>
    <t xml:space="preserve">kunci JSON: aset_tl_lain</t>
  </si>
  <si>
    <t xml:space="preserve">BS.TOTAL_NCA</t>
  </si>
  <si>
    <t xml:space="preserve">BS.TOTAL_ASSETS</t>
  </si>
  <si>
    <t xml:space="preserve">BS.ST_BANK</t>
  </si>
  <si>
    <t xml:space="preserve">Pinjaman bank jangka pendek</t>
  </si>
  <si>
    <t xml:space="preserve">kunci JSON: pinjaman_bank_jp</t>
  </si>
  <si>
    <t xml:space="preserve">BS.TRADE_PAY</t>
  </si>
  <si>
    <t xml:space="preserve">Utang usaha - pihak ketiga</t>
  </si>
  <si>
    <t xml:space="preserve">kunci JSON: utang_usaha_pk3</t>
  </si>
  <si>
    <t xml:space="preserve">BS.TRADE_PAY_RP</t>
  </si>
  <si>
    <t xml:space="preserve">Utang usaha - pihak berelasi</t>
  </si>
  <si>
    <t xml:space="preserve">BS.OTHER_PAY</t>
  </si>
  <si>
    <t xml:space="preserve">Utang lain-lain - pihak ketiga</t>
  </si>
  <si>
    <t xml:space="preserve">kunci JSON: utang_lain_pk3</t>
  </si>
  <si>
    <t xml:space="preserve">BS.OTHER_PAY_RP</t>
  </si>
  <si>
    <t xml:space="preserve">Utang lain-lain - pihak berelasi</t>
  </si>
  <si>
    <t xml:space="preserve">kunci JSON: utang_lain_rp</t>
  </si>
  <si>
    <t xml:space="preserve">BS.ACCRUALS</t>
  </si>
  <si>
    <t xml:space="preserve">Beban akrual</t>
  </si>
  <si>
    <t xml:space="preserve">kunci JSON: beban_akrual</t>
  </si>
  <si>
    <t xml:space="preserve">BS.EMPLOYEE_BENEFIT_CUR</t>
  </si>
  <si>
    <t xml:space="preserve">Liabilitas imbalan kerja jangka pendek</t>
  </si>
  <si>
    <t xml:space="preserve">kunci JSON: imbalan_kerja_jp</t>
  </si>
  <si>
    <t xml:space="preserve">BS.CONTRACT_LIAB_CUR</t>
  </si>
  <si>
    <t xml:space="preserve">Liabilitas kontrak</t>
  </si>
  <si>
    <t xml:space="preserve">kunci JSON: kontrak_jt1</t>
  </si>
  <si>
    <t xml:space="preserve">BS.TAX_PAY</t>
  </si>
  <si>
    <t xml:space="preserve">Utang pajak</t>
  </si>
  <si>
    <t xml:space="preserve">kunci JSON: utang_pajak</t>
  </si>
  <si>
    <t xml:space="preserve">BS.LT_BANK_CUR</t>
  </si>
  <si>
    <t xml:space="preserve">Utang bank jk panjang - jatuh tempo 1 tahun</t>
  </si>
  <si>
    <t xml:space="preserve">kunci JSON: utang_bank_jt1</t>
  </si>
  <si>
    <t xml:space="preserve">BS.OTHER_LIAB_CUR</t>
  </si>
  <si>
    <t xml:space="preserve">Liabilitas lainnya (pembiayaan peralatan) - jatuh tempo 1 tahun</t>
  </si>
  <si>
    <t xml:space="preserve">BS.FIN_LEASE_CUR</t>
  </si>
  <si>
    <t xml:space="preserve">Utang sewa pembiayaan - jatuh tempo 1 tahun</t>
  </si>
  <si>
    <t xml:space="preserve">kunci JSON: sewa_pemb_jt1</t>
  </si>
  <si>
    <t xml:space="preserve">BS.LEASE_CUR</t>
  </si>
  <si>
    <t xml:space="preserve">Liabilitas sewa - jatuh tempo 1 tahun</t>
  </si>
  <si>
    <t xml:space="preserve">kunci JSON: sewa_jt1</t>
  </si>
  <si>
    <t xml:space="preserve">BS.TOTAL_CL</t>
  </si>
  <si>
    <t xml:space="preserve">Jumlah liabilitas jangka pendek</t>
  </si>
  <si>
    <t xml:space="preserve">BS.LT_BANK_NC</t>
  </si>
  <si>
    <t xml:space="preserve">Utang bank jk panjang - setelah 1 tahun</t>
  </si>
  <si>
    <t xml:space="preserve">kunci JSON: utang_bank_jp</t>
  </si>
  <si>
    <t xml:space="preserve">BS.OTHER_LIAB_NC</t>
  </si>
  <si>
    <t xml:space="preserve">Liabilitas lainnya (pembiayaan peralatan) - setelah 1 tahun</t>
  </si>
  <si>
    <t xml:space="preserve">BS.FIN_LEASE_NC</t>
  </si>
  <si>
    <t xml:space="preserve">Utang sewa pembiayaan - setelah 1 tahun</t>
  </si>
  <si>
    <t xml:space="preserve">kunci JSON: sewa_pemb_jp</t>
  </si>
  <si>
    <t xml:space="preserve">BS.LEASE_NC</t>
  </si>
  <si>
    <t xml:space="preserve">Liabilitas sewa - setelah 1 tahun</t>
  </si>
  <si>
    <t xml:space="preserve">kunci JSON: sewa_jp</t>
  </si>
  <si>
    <t xml:space="preserve">BS.EMPLOYEE_BENEFIT</t>
  </si>
  <si>
    <t xml:space="preserve">Liabilitas imbalan kerja jangka panjang</t>
  </si>
  <si>
    <t xml:space="preserve">kunci JSON: imbalan_kerja</t>
  </si>
  <si>
    <t xml:space="preserve">BS.OTHER_PAY_NC</t>
  </si>
  <si>
    <t xml:space="preserve">Utang lain-lain - pihak berelasi jangka panjang</t>
  </si>
  <si>
    <t xml:space="preserve">kunci JSON: utang_lain_tl</t>
  </si>
  <si>
    <t xml:space="preserve">BS.SH_LOAN</t>
  </si>
  <si>
    <t xml:space="preserve">Utang pemegang saham</t>
  </si>
  <si>
    <t xml:space="preserve">BS.SYIRKAH</t>
  </si>
  <si>
    <t xml:space="preserve">Dana syirkah temporer (pembiayaan bank syariah; disajikan di luar liabilitas di LK, Temuan D2)</t>
  </si>
  <si>
    <t xml:space="preserve">kunci JSON: dana_syirkah</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</si>
  <si>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</si>
  <si>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</si>
  <si>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</si>
  <si>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</si>
  <si>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</si>
  <si>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</si>
  <si>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</si>
  <si>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</si>
  <si>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</si>
  <si>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BS.PROFORMA_EQ</t>
  </si>
  <si>
    <t xml:space="preserve">Ekuitas proforma entitas anak sebelum restrukturisasi (Temuan D1)</t>
  </si>
  <si>
    <t xml:space="preserve">kunci JSON: ekuitas_proforma</t>
  </si>
  <si>
    <t xml:space="preserve">BS.OCI_RES</t>
  </si>
  <si>
    <t xml:space="preserve">Penghasilan komprehensif lain (termasuk surplus revaluasi)</t>
  </si>
  <si>
    <t xml:space="preserve">kunci JSON: oci_ekuitas</t>
  </si>
  <si>
    <t xml:space="preserve">BS.RETAINED_EARN</t>
  </si>
  <si>
    <t xml:space="preserve">Saldo laba (defisit) (ditentukan + belum ditentukan penggunaannya)</t>
  </si>
  <si>
    <t xml:space="preserve">kunci JSON: saldo_laba</t>
  </si>
  <si>
    <t xml:space="preserve">BS.EQUITY_PARENT</t>
  </si>
  <si>
    <t xml:space="preserve">BS.NCI</t>
  </si>
  <si>
    <t xml:space="preserve">kunci JSON: nci</t>
  </si>
  <si>
    <t xml:space="preserve">BS.TOTAL_EQUITY</t>
  </si>
  <si>
    <t xml:space="preserve">BS.TOTAL_LIAB_EQUITY</t>
  </si>
  <si>
    <t xml:space="preserve">MEMO (tidak dijumlahkan)</t>
  </si>
  <si>
    <t xml:space="preserve">BS.RE_APPROP_MEMO</t>
  </si>
  <si>
    <t xml:space="preserve">Memo: saldo laba ditentukan penggunaannya (tercetak)</t>
  </si>
  <si>
    <t xml:space="preserve">kunci JSON: saldo_laba_ditentukan</t>
  </si>
  <si>
    <t xml:space="preserve">BS.RE_UNAPPROP_MEMO</t>
  </si>
  <si>
    <t xml:space="preserve">Memo: saldo laba (defisit) belum ditentukan penggunaannya (tercetak)</t>
  </si>
  <si>
    <t xml:space="preserve">kunci JSON: saldo_laba_belum</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</si>
  <si>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</si>
  <si>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</si>
  <si>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</si>
  <si>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</si>
  <si>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</si>
  <si>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</si>
  <si>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</si>
  <si>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</si>
  <si>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</si>
  <si>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</si>
  <si>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</si>
  <si>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</si>
  <si>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</si>
  <si>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</si>
  <si>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</si>
  <si>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</si>
  <si>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</si>
  <si>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</si>
  <si>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</si>
  <si>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</si>
  <si>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</si>
  <si>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</si>
  <si>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</si>
  <si>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</si>
  <si>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</si>
  <si>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</si>
  <si>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</si>
  <si>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</si>
  <si>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</si>
  <si>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</si>
  <si>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</si>
  <si>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Laporan Arus Kas - historis FY2022A-FY2025A</t>
  </si>
  <si>
    <t xml:space="preserve">CF.CASH_FROM_CUSTOMERS</t>
  </si>
  <si>
    <t xml:space="preserve">Penerimaan kas dari pelanggan</t>
  </si>
  <si>
    <t xml:space="preserve">kunci JSON: terima_pelanggan</t>
  </si>
  <si>
    <t xml:space="preserve">CF.OTHER_OPER_RECEIPTS</t>
  </si>
  <si>
    <t xml:space="preserve">Penerimaan lain-lain</t>
  </si>
  <si>
    <t xml:space="preserve">kunci JSON: terima_lain</t>
  </si>
  <si>
    <t xml:space="preserve">CF.CASH_TO_EMPLOYEES</t>
  </si>
  <si>
    <t xml:space="preserve">Pembayaran kas kepada karyawan</t>
  </si>
  <si>
    <t xml:space="preserve">kunci JSON: bayar_karyawan</t>
  </si>
  <si>
    <t xml:space="preserve">CF.CASH_TO_SUPPLIERS</t>
  </si>
  <si>
    <t xml:space="preserve">Pembayaran kas kepada pemasok &amp; lainnya</t>
  </si>
  <si>
    <t xml:space="preserve">kunci JSON: bayar_pemasok</t>
  </si>
  <si>
    <t xml:space="preserve">CF.OTHER_OPER_PAID</t>
  </si>
  <si>
    <t xml:space="preserve">Pembayaran beban operasional lain</t>
  </si>
  <si>
    <t xml:space="preserve">kunci JSON: bayar_opex_lain</t>
  </si>
  <si>
    <t xml:space="preserve">CF.CASH_GEN</t>
  </si>
  <si>
    <t xml:space="preserve">Kas dari pelanggan dikurangi pembayaran operasi (subtotal model; tidak tercetak)</t>
  </si>
  <si>
    <t xml:space="preserve">CF.FIN_COST_PAID</t>
  </si>
  <si>
    <t xml:space="preserve">Pembayaran (penerimaan) bunga - neto (2025: penerimaan, Temuan D7)</t>
  </si>
  <si>
    <t xml:space="preserve">kunci JSON: bayar_bunga</t>
  </si>
  <si>
    <t xml:space="preserve">CF.TAX_PAID</t>
  </si>
  <si>
    <t xml:space="preserve">Pembayaran pajak penghasilan</t>
  </si>
  <si>
    <t xml:space="preserve">kunci JSON: bayar_pajak</t>
  </si>
  <si>
    <t xml:space="preserve">CF.CFO</t>
  </si>
  <si>
    <t xml:space="preserve">Kas neto dari aktivitas operasi</t>
  </si>
  <si>
    <t xml:space="preserve">CF.CAPEX_PPE</t>
  </si>
  <si>
    <t xml:space="preserve">Perolehan aset tetap</t>
  </si>
  <si>
    <t xml:space="preserve">kunci JSON: perolehan_aset_tetap</t>
  </si>
  <si>
    <t xml:space="preserve">CF.PPE_ADVANCES</t>
  </si>
  <si>
    <t xml:space="preserve">Uang muka pembelian aset tetap &amp; aset dalam penyelesaian</t>
  </si>
  <si>
    <t xml:space="preserve">kunci JSON: uang_muka_aset_tetap</t>
  </si>
  <si>
    <t xml:space="preserve">CF.CAPEX_ROU</t>
  </si>
  <si>
    <t xml:space="preserve">Perolehan aset hak guna</t>
  </si>
  <si>
    <t xml:space="preserve">kunci JSON: perolehan_rou</t>
  </si>
  <si>
    <t xml:space="preserve">CF.CAPEX_INTANG</t>
  </si>
  <si>
    <t xml:space="preserve">CF.PPE_DISPOSAL_PROCEEDS</t>
  </si>
  <si>
    <t xml:space="preserve">Hasil penjualan aset tetap</t>
  </si>
  <si>
    <t xml:space="preserve">kunci JSON: jual_aset_tetap</t>
  </si>
  <si>
    <t xml:space="preserve">CF.ASSOC_INVEST</t>
  </si>
  <si>
    <t xml:space="preserve">Investasi pada entitas asosiasi</t>
  </si>
  <si>
    <t xml:space="preserve">CF.NCI_ACQ</t>
  </si>
  <si>
    <t xml:space="preserve">Akuisisi kepentingan nonpengendali</t>
  </si>
  <si>
    <t xml:space="preserve">CF.SUB_ACQ</t>
  </si>
  <si>
    <t xml:space="preserve">Akuisisi entitas anak</t>
  </si>
  <si>
    <t xml:space="preserve">CF.CFI</t>
  </si>
  <si>
    <t xml:space="preserve">Kas neto untuk aktivitas investasi</t>
  </si>
  <si>
    <t xml:space="preserve">CF.ST_BANK_DRAW</t>
  </si>
  <si>
    <t xml:space="preserve">Penerimaan pinjaman bank jangka pendek</t>
  </si>
  <si>
    <t xml:space="preserve">CF.ST_BANK_REPAY</t>
  </si>
  <si>
    <t xml:space="preserve">Pembayaran pinjaman bank jangka pendek</t>
  </si>
  <si>
    <t xml:space="preserve">CF.LT_BANK_DRAW</t>
  </si>
  <si>
    <t xml:space="preserve">Penerimaan utang bank jangka panjang</t>
  </si>
  <si>
    <t xml:space="preserve">kunci JSON: bank_lt_draw</t>
  </si>
  <si>
    <t xml:space="preserve">CF.LT_BANK_REPAY</t>
  </si>
  <si>
    <t xml:space="preserve">Pembayaran utang bank jangka panjang</t>
  </si>
  <si>
    <t xml:space="preserve">kunci JSON: bank_lt_repay</t>
  </si>
  <si>
    <t xml:space="preserve">CF.FIN_LEASE_PAID</t>
  </si>
  <si>
    <t xml:space="preserve">Pembayaran utang sewa pembiayaan</t>
  </si>
  <si>
    <t xml:space="preserve">kunci JSON: bayar_sewa_pemb</t>
  </si>
  <si>
    <t xml:space="preserve">CF.OTHER_LIAB_PAID</t>
  </si>
  <si>
    <t xml:space="preserve">Pembayaran liabilitas lainnya (pembiayaan peralatan)</t>
  </si>
  <si>
    <t xml:space="preserve">CF.SH_LOAN_REPAY</t>
  </si>
  <si>
    <t xml:space="preserve">Pembayaran utang pemegang saham</t>
  </si>
  <si>
    <t xml:space="preserve">CF.SYIRKAH_DRAW</t>
  </si>
  <si>
    <t xml:space="preserve">Penerimaan dana syirkah temporer</t>
  </si>
  <si>
    <t xml:space="preserve">kunci JSON: syirkah_tambah</t>
  </si>
  <si>
    <t xml:space="preserve">CF.SYIRKAH_PAID</t>
  </si>
  <si>
    <t xml:space="preserve">Pembayaran dana syirkah temporer</t>
  </si>
  <si>
    <t xml:space="preserve">kunci JSON: syirkah_bayar</t>
  </si>
  <si>
    <t xml:space="preserve">CF.FIN_LEASE_DRAW</t>
  </si>
  <si>
    <t xml:space="preserve">Penerimaan pembiayaan konsumen/sewa pembiayaan</t>
  </si>
  <si>
    <t xml:space="preserve">kunci JSON: kons_tambah</t>
  </si>
  <si>
    <t xml:space="preserve">CF.RP_RECEIPT</t>
  </si>
  <si>
    <t xml:space="preserve">Penerimaan dari pihak berelasi</t>
  </si>
  <si>
    <t xml:space="preserve">kunci JSON: rp_terima</t>
  </si>
  <si>
    <t xml:space="preserve">CF.RP_PAYMENT</t>
  </si>
  <si>
    <t xml:space="preserve">Pembayaran/pemberian ke pihak berelasi</t>
  </si>
  <si>
    <t xml:space="preserve">kunci JSON: rp_bayar</t>
  </si>
  <si>
    <t xml:space="preserve">CF.SHARE_ISSUE</t>
  </si>
  <si>
    <t xml:space="preserve">Setoran modal / penerbitan saham (2025: IPO + pelaksanaan waran)</t>
  </si>
  <si>
    <t xml:space="preserve">kunci JSON: terbit_saham</t>
  </si>
  <si>
    <t xml:space="preserve">CF.RESTRICTED_CASH</t>
  </si>
  <si>
    <t xml:space="preserve">Dana yang dibatasi penggunaannya</t>
  </si>
  <si>
    <t xml:space="preserve">kunci JSON: dana_dibatasi</t>
  </si>
  <si>
    <t xml:space="preserve">CF.LEASE_PAID</t>
  </si>
  <si>
    <t xml:space="preserve">Pembayaran liabilitas sewa</t>
  </si>
  <si>
    <t xml:space="preserve">kunci JSON: bayar_sewa</t>
  </si>
  <si>
    <t xml:space="preserve">CF.DIVIDENDS_PAID</t>
  </si>
  <si>
    <t xml:space="preserve">Pembayaran dividen tunai (pemilik entitas induk; tidak ada)</t>
  </si>
  <si>
    <t xml:space="preserve">CF.NCI_DIV</t>
  </si>
  <si>
    <t xml:space="preserve">Dividen kepada kepentingan nonpengendali</t>
  </si>
  <si>
    <t xml:space="preserve">CF.CFF</t>
  </si>
  <si>
    <t xml:space="preserve">Kas neto dari (untuk) aktivitas pendanaan</t>
  </si>
  <si>
    <t xml:space="preserve">CF.NET_CHANGE</t>
  </si>
  <si>
    <t xml:space="preserve">CF.CASH_BEGIN</t>
  </si>
  <si>
    <t xml:space="preserve">kunci JSON: KAS_AWAL</t>
  </si>
  <si>
    <t xml:space="preserve">CF.CASH_END</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</si>
  <si>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</si>
  <si>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</si>
  <si>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</si>
  <si>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</si>
  <si>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</si>
  <si>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</si>
  <si>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</si>
  <si>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</si>
  <si>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</si>
  <si>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</si>
  <si>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</si>
  <si>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</si>
  <si>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</si>
  <si>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</si>
  <si>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</si>
  <si>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FY2022A-FY2025A</t>
  </si>
  <si>
    <t xml:space="preserve">Rincian catatan atas LK (tahapD, Rp penuh). Bagian A = ringkasan yang dipakai Rasio/Asumsi; bagian B-C = rincian lengkap. Kolom 2022-2023 dari catatan LK audited dalam prospektus (Cat 28-30 asli), 2024-2025 dari LK FY2025 (Cat 25-27); nomor diseragamkan ke LK FY2025: pendapatan Cat 25, beban pokok Cat 26, beban usaha Cat 27, aset tetap Cat 10. Mutasi aset tetap hanya 2024-2025 (Temuan D8).</t>
  </si>
  <si>
    <t xml:space="preserve">A. RINGKASAN UNTUK MODEL (rumus dari bagian B-C)</t>
  </si>
  <si>
    <t xml:space="preserve">REV.MED</t>
  </si>
  <si>
    <t xml:space="preserve">Pendapatan - penunjang medis (farmasi, laboratorium, radiologi)</t>
  </si>
  <si>
    <t xml:space="preserve">Cat 25</t>
  </si>
  <si>
    <t xml:space="preserve">REV.INPAT</t>
  </si>
  <si>
    <t xml:space="preserve">Pendapatan - rawat inap</t>
  </si>
  <si>
    <t xml:space="preserve">REV.OUTPAT</t>
  </si>
  <si>
    <t xml:space="preserve">Pendapatan - rawat jalan</t>
  </si>
  <si>
    <t xml:space="preserve">REV.OTHER</t>
  </si>
  <si>
    <t xml:space="preserve">Pendapatan lainnya (administrasi &amp; lainnya = jumlah tercetak - 3 kelompok)</t>
  </si>
  <si>
    <t xml:space="preserve">Cat 25; diturunkan</t>
  </si>
  <si>
    <t xml:space="preserve">REV.NET</t>
  </si>
  <si>
    <t xml:space="preserve">Pendapatan (rumus)</t>
  </si>
  <si>
    <t xml:space="preserve">REV.MED_SH</t>
  </si>
  <si>
    <t xml:space="preserve">Porsi penunjang medis % pendapatan</t>
  </si>
  <si>
    <t xml:space="preserve">DA.DEP_IN_COGS</t>
  </si>
  <si>
    <t xml:space="preserve">Penyusutan aset tetap di beban pokok (Cat 26)</t>
  </si>
  <si>
    <t xml:space="preserve">Cat 26</t>
  </si>
  <si>
    <t xml:space="preserve">DA.IN_OPEX</t>
  </si>
  <si>
    <t xml:space="preserve">Penyusutan aset tetap di beban usaha (Cat 27)</t>
  </si>
  <si>
    <t xml:space="preserve">Cat 27</t>
  </si>
  <si>
    <t xml:space="preserve">DA.PPE</t>
  </si>
  <si>
    <t xml:space="preserve">Penyusutan aset tetap (Cat 26 + 27)</t>
  </si>
  <si>
    <t xml:space="preserve">DA.MUT</t>
  </si>
  <si>
    <t xml:space="preserve">Penyusutan menurut mutasi Cat 10 (-akumulasi: penambahan)</t>
  </si>
  <si>
    <t xml:space="preserve">DA.ROU</t>
  </si>
  <si>
    <t xml:space="preserve">Penyusutan aset hak guna (di beban pokok, Cat 26)</t>
  </si>
  <si>
    <t xml:space="preserve">DA.AMORT_COGS</t>
  </si>
  <si>
    <t xml:space="preserve">Amortisasi aset takberwujud di beban pokok (tidak ada)</t>
  </si>
  <si>
    <t xml:space="preserve">tidak ada</t>
  </si>
  <si>
    <t xml:space="preserve">DA.AMORT_OPEX</t>
  </si>
  <si>
    <t xml:space="preserve">Amortisasi aset takberwujud di beban usaha (tidak ada)</t>
  </si>
  <si>
    <t xml:space="preserve">DA.SOFTWARE</t>
  </si>
  <si>
    <t xml:space="preserve">Amortisasi aset takberwujud (tidak ada)</t>
  </si>
  <si>
    <t xml:space="preserve">DA.TOTAL</t>
  </si>
  <si>
    <t xml:space="preserve">Total D&amp;A (untuk EBITDA)</t>
  </si>
  <si>
    <t xml:space="preserve">PPE.ADDITIONS</t>
  </si>
  <si>
    <t xml:space="preserve">Penambahan aset tetap (biaya perolehan, kas + nonkas)</t>
  </si>
  <si>
    <t xml:space="preserve">EPS.WSH</t>
  </si>
  <si>
    <t xml:space="preserve">Rata-rata tertimbang saham beredar - dasar (lembar)</t>
  </si>
  <si>
    <t xml:space="preserve">Cat laba per saham</t>
  </si>
  <si>
    <t xml:space="preserve">B. MUTASI ASET TETAP (Cat 10 LK FY2025, baris JUMLAH; 2022-2023 tidak tersedia di model; aset hak guna terpisah)</t>
  </si>
  <si>
    <t xml:space="preserve">Cat 10 Aset tetap - biaya perolehan (JUMLAH)</t>
  </si>
  <si>
    <t xml:space="preserve">MUT.COST_T.saldo_awal</t>
  </si>
  <si>
    <t xml:space="preserve">   Saldo awal</t>
  </si>
  <si>
    <t xml:space="preserve">mutasi_aset (biaya perolehan)</t>
  </si>
  <si>
    <t xml:space="preserve">MUT.COST_T.akuisisi</t>
  </si>
  <si>
    <t xml:space="preserve">   Akuisisi entitas anak</t>
  </si>
  <si>
    <t xml:space="preserve">MUT.COST_T.penambahan</t>
  </si>
  <si>
    <t xml:space="preserve">   Penambahan</t>
  </si>
  <si>
    <t xml:space="preserve">MUT.COST_T.pengurangan</t>
  </si>
  <si>
    <t xml:space="preserve">   Pengurangan</t>
  </si>
  <si>
    <t xml:space="preserve">MUT.COST_T.reklasifikasi</t>
  </si>
  <si>
    <t xml:space="preserve">   Reklasifikasi + revaluasi + penurunan nilai</t>
  </si>
  <si>
    <t xml:space="preserve">MUT.COST_T.saldo_akhir</t>
  </si>
  <si>
    <t xml:space="preserve">   Saldo akhir (tercetak)</t>
  </si>
  <si>
    <t xml:space="preserve">MUT.COST_T.END</t>
  </si>
  <si>
    <t xml:space="preserve">   Saldo akhir (rumus: awal + akuisisi + penambahan + pengurangan + reklas)</t>
  </si>
  <si>
    <t xml:space="preserve">Cat 10 Aset tetap - akumulasi penyusutan (JUMLAH; disimpan bertanda negatif, LK mencetak positif)</t>
  </si>
  <si>
    <t xml:space="preserve">MUT.AD_T.saldo_awal</t>
  </si>
  <si>
    <t xml:space="preserve">mutasi_aset (akumulasi penyusutan)</t>
  </si>
  <si>
    <t xml:space="preserve">MUT.AD_T.akuisisi</t>
  </si>
  <si>
    <t xml:space="preserve">MUT.AD_T.penambahan</t>
  </si>
  <si>
    <t xml:space="preserve">MUT.AD_T.pengurangan</t>
  </si>
  <si>
    <t xml:space="preserve">MUT.AD_T.reklasifikasi</t>
  </si>
  <si>
    <t xml:space="preserve">MUT.AD_T.saldo_akhir</t>
  </si>
  <si>
    <t xml:space="preserve">MUT.AD_T.END</t>
  </si>
  <si>
    <t xml:space="preserve">PPE.NBV</t>
  </si>
  <si>
    <t xml:space="preserve">Nilai tercatat aset tetap (biaya + akumulasi bertanda negatif)</t>
  </si>
  <si>
    <t xml:space="preserve">C. RINCIAN CATATAN (urut catatan LK)</t>
  </si>
  <si>
    <t xml:space="preserve">Cat 25 - Pendapatan</t>
  </si>
  <si>
    <t xml:space="preserve">CK001</t>
  </si>
  <si>
    <t xml:space="preserve">   Rawat inap</t>
  </si>
  <si>
    <t xml:space="preserve">hal PDF 367,83</t>
  </si>
  <si>
    <t xml:space="preserve">CK002</t>
  </si>
  <si>
    <t xml:space="preserve">   Rawat jalan</t>
  </si>
  <si>
    <t xml:space="preserve">CK003</t>
  </si>
  <si>
    <t xml:space="preserve">   Penunjang medis</t>
  </si>
  <si>
    <t xml:space="preserve">hal PDF 83</t>
  </si>
  <si>
    <t xml:space="preserve">CK004</t>
  </si>
  <si>
    <t xml:space="preserve">   Administrasi dan lainnya</t>
  </si>
  <si>
    <t xml:space="preserve">CK005</t>
  </si>
  <si>
    <t xml:space="preserve">   JUMLAH (lapor)</t>
  </si>
  <si>
    <t xml:space="preserve">CK006</t>
  </si>
  <si>
    <t xml:space="preserve">   Farmasi</t>
  </si>
  <si>
    <t xml:space="preserve">hal PDF 367</t>
  </si>
  <si>
    <t xml:space="preserve">CK007</t>
  </si>
  <si>
    <t xml:space="preserve">   Laboratorium</t>
  </si>
  <si>
    <t xml:space="preserve">CK008</t>
  </si>
  <si>
    <t xml:space="preserve">   Radiologi</t>
  </si>
  <si>
    <t xml:space="preserve">SK001</t>
  </si>
  <si>
    <t xml:space="preserve">   Σ rincian (rumus)</t>
  </si>
  <si>
    <t xml:space="preserve">Cat 26 - Beban pokok pendapatan</t>
  </si>
  <si>
    <t xml:space="preserve">CK009</t>
  </si>
  <si>
    <t xml:space="preserve">   Gaji dan tenaga medis</t>
  </si>
  <si>
    <t xml:space="preserve">CK010</t>
  </si>
  <si>
    <t xml:space="preserve">   Obat dan alat kesehatan</t>
  </si>
  <si>
    <t xml:space="preserve">CK011</t>
  </si>
  <si>
    <t xml:space="preserve">   Penyusutan aset tetap</t>
  </si>
  <si>
    <t xml:space="preserve">CK012</t>
  </si>
  <si>
    <t xml:space="preserve">   Penyusutan aset hak guna</t>
  </si>
  <si>
    <t xml:space="preserve">CK013</t>
  </si>
  <si>
    <t xml:space="preserve">   Rawat inap dan kamar operasi</t>
  </si>
  <si>
    <t xml:space="preserve">CK014</t>
  </si>
  <si>
    <t xml:space="preserve">   Pemakaian/perlengkapan klinik</t>
  </si>
  <si>
    <t xml:space="preserve">CK015</t>
  </si>
  <si>
    <t xml:space="preserve">   Utilitas</t>
  </si>
  <si>
    <t xml:space="preserve">CK016</t>
  </si>
  <si>
    <t xml:space="preserve">CK017</t>
  </si>
  <si>
    <t xml:space="preserve">   Sewa alat medis</t>
  </si>
  <si>
    <t xml:space="preserve">CK018</t>
  </si>
  <si>
    <t xml:space="preserve">   Biaya rujukan</t>
  </si>
  <si>
    <t xml:space="preserve">CK019</t>
  </si>
  <si>
    <t xml:space="preserve">   Pemeliharaan dan perbaikan</t>
  </si>
  <si>
    <t xml:space="preserve">CK020</t>
  </si>
  <si>
    <t xml:space="preserve">   Lain-lain</t>
  </si>
  <si>
    <t xml:space="preserve">CK021</t>
  </si>
  <si>
    <t xml:space="preserve">CK022</t>
  </si>
  <si>
    <t xml:space="preserve">   Biaya langsung (prospektus)</t>
  </si>
  <si>
    <t xml:space="preserve">SK002</t>
  </si>
  <si>
    <t xml:space="preserve">Cat 27 - Beban penjualan</t>
  </si>
  <si>
    <t xml:space="preserve">CK023</t>
  </si>
  <si>
    <t xml:space="preserve">   Pemasaran</t>
  </si>
  <si>
    <t xml:space="preserve">hal PDF 368,84</t>
  </si>
  <si>
    <t xml:space="preserve">CK024</t>
  </si>
  <si>
    <t xml:space="preserve">   Gaji dan tunjangan</t>
  </si>
  <si>
    <t xml:space="preserve">CK025</t>
  </si>
  <si>
    <t xml:space="preserve">SK003</t>
  </si>
  <si>
    <t xml:space="preserve">Cat 27 - Beban umum dan administrasi</t>
  </si>
  <si>
    <t xml:space="preserve">CK026</t>
  </si>
  <si>
    <t xml:space="preserve">CK027</t>
  </si>
  <si>
    <t xml:space="preserve">CK028</t>
  </si>
  <si>
    <t xml:space="preserve">CK029</t>
  </si>
  <si>
    <t xml:space="preserve">SK004</t>
  </si>
  <si>
    <t xml:space="preserve">Cat EPS - Laba per saham</t>
  </si>
  <si>
    <t xml:space="preserve">CK030</t>
  </si>
  <si>
    <t xml:space="preserve">   Laba diatribusikan ke pemilik entitas induk</t>
  </si>
  <si>
    <t xml:space="preserve">hal PDF None</t>
  </si>
  <si>
    <t xml:space="preserve">CK031</t>
  </si>
  <si>
    <t xml:space="preserve">   Rata-rata tertimbang saham beredar (dasar)</t>
  </si>
  <si>
    <t xml:space="preserve">Rasio keuangan FY2022A-FY2025A</t>
  </si>
  <si>
    <t xml:space="preserve">Rumus dari IS/BS/CF/Schedules. Rata-rata saldo &amp; pertumbuhan mulai 2023 (kolom 2022 = kolom pertama). Kolom rata-rata = FY2022-FY2025 (rasio pertumbuhan/rata-rata saldo: 2023-2025).</t>
  </si>
  <si>
    <t xml:space="preserve">Rata-rata FY2022-25</t>
  </si>
  <si>
    <t xml:space="preserve">Definisi / catatan</t>
  </si>
  <si>
    <t xml:space="preserve">PERTUMBUHAN (yoy)</t>
  </si>
  <si>
    <t xml:space="preserve">R.G_REV</t>
  </si>
  <si>
    <t xml:space="preserve">R.G_MED</t>
  </si>
  <si>
    <t xml:space="preserve">R.G_INPAT</t>
  </si>
  <si>
    <t xml:space="preserve">R.G_OUTPAT</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</si>
  <si>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</si>
  <si>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</si>
  <si>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</si>
  <si>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</si>
  <si>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</si>
  <si>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</si>
  <si>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</si>
  <si>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t>
  </si>
  <si>
    <t xml:space="preserve">R.EBITDA</t>
  </si>
  <si>
    <t xml:space="preserve">EBITDA (Rp)</t>
  </si>
  <si>
    <t xml:space="preserve">laba usaha model (termasuk pendapatan lain-lain neto) + penyusutan aset tetap (Cat 26+27) + penyusutan aset hak guna (Cat 26); tidak ada amortisasi</t>
  </si>
  <si>
    <t xml:space="preserve">R.EBITDA_M</t>
  </si>
  <si>
    <t xml:space="preserve">R.NM</t>
  </si>
  <si>
    <t xml:space="preserve">R.NMP</t>
  </si>
  <si>
    <t xml:space="preserve">Margin laba induk</t>
  </si>
  <si>
    <t xml:space="preserve">R.ROE</t>
  </si>
  <si>
    <t xml:space="preserve">ROE (laba induk / rata-rata ekuitas induk)</t>
  </si>
  <si>
    <t xml:space="preserve">R.ROA</t>
  </si>
  <si>
    <t xml:space="preserve">ROA (laba / rata-rata aset)</t>
  </si>
  <si>
    <t xml:space="preserve">R.ETR</t>
  </si>
  <si>
    <t xml:space="preserve">R.NCI_SH</t>
  </si>
  <si>
    <t xml:space="preserve">Porsi laba ke NCI</t>
  </si>
  <si>
    <t xml:space="preserve">R.OTH</t>
  </si>
  <si>
    <t xml:space="preserve">Pendapatan (beban) lain neto % pendapatan</t>
  </si>
  <si>
    <t xml:space="preserve">pendapatan sewa &amp; lain-lain neto (di atas laba usaha model)</t>
  </si>
  <si>
    <t xml:space="preserve">PENDAPATAN</t>
  </si>
  <si>
    <t xml:space="preserve">R.SH_MED</t>
  </si>
  <si>
    <t xml:space="preserve">Porsi penunjang medis (% pendapatan)</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</si>
  <si>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</si>
  <si>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</si>
  <si>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</si>
  <si>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</si>
  <si>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</si>
  <si>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</si>
  <si>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</si>
  <si>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</si>
  <si>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</si>
  <si>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</si>
  <si>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</si>
  <si>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berbunga: bank + pembiayaan konsumen + dana syirkah temporer (Rp)</t>
  </si>
  <si>
    <t xml:space="preserve">syirkah = pembiayaan musyarakah bank syariah, diperlakukan sebagai utang (Temuan D2)</t>
  </si>
  <si>
    <t xml:space="preserve">R.LEASE</t>
  </si>
  <si>
    <t xml:space="preserve">Liabilitas sewa (Rp)</t>
  </si>
  <si>
    <t xml:space="preserve">R.CASHINV</t>
  </si>
  <si>
    <t xml:space="preserve">Kas dan setara kas (Rp)</t>
  </si>
  <si>
    <t xml:space="preserve">R.ND</t>
  </si>
  <si>
    <t xml:space="preserve">Utang neto (utang + sewa - kas) (Rp)</t>
  </si>
  <si>
    <t xml:space="preserve">negatif = kas neto</t>
  </si>
  <si>
    <t xml:space="preserve">R.DE</t>
  </si>
  <si>
    <t xml:space="preserve">R.NDE</t>
  </si>
  <si>
    <t xml:space="preserve">R.ICR</t>
  </si>
  <si>
    <t xml:space="preserve">EBITDA / beban keuangan</t>
  </si>
  <si>
    <t xml:space="preserve">ARUS KAS</t>
  </si>
  <si>
    <t xml:space="preserve">R.CAPEX</t>
  </si>
  <si>
    <t xml:space="preserve">Capex (perolehan aset tetap + uang muka aset tetap) (Rp)</t>
  </si>
  <si>
    <t xml:space="preserve">R.CAPEX_R</t>
  </si>
  <si>
    <t xml:space="preserve">Capex % pendapatan</t>
  </si>
  <si>
    <t xml:space="preserve">R.LEASE_R</t>
  </si>
  <si>
    <t xml:space="preserve">Pembayaran sewa % pendapatan</t>
  </si>
  <si>
    <t xml:space="preserve">R.FCF</t>
  </si>
  <si>
    <t xml:space="preserve">Arus kas bebas sederhana (CFO - capex + sewa dibayar) (Rp)</t>
  </si>
  <si>
    <t xml:space="preserve">R.CCONV</t>
  </si>
  <si>
    <t xml:space="preserve">CFO / laba tahun berjalan</t>
  </si>
  <si>
    <t xml:space="preserve">PER SAHAM (informasi, bukan penilaian)</t>
  </si>
  <si>
    <t xml:space="preserve">R.EPS</t>
  </si>
  <si>
    <t xml:space="preserve">Laba induk / 2,550,078,941 saham tercatat (Rp)</t>
  </si>
  <si>
    <t xml:space="preserve">saham tercatat akhir 2025 (setelah IPO &amp; waran)</t>
  </si>
  <si>
    <t xml:space="preserve">R.EPS_W</t>
  </si>
  <si>
    <t xml:space="preserve">Laba induk / saham rata-rata tertimbang CALK (Rp)</t>
  </si>
  <si>
    <t xml:space="preserve">R.EPS_P</t>
  </si>
  <si>
    <t xml:space="preserve">EPS dasar tercetak (Rp)</t>
  </si>
  <si>
    <t xml:space="preserve">Temuan D9</t>
  </si>
  <si>
    <t xml:space="preserve">R.BVPS</t>
  </si>
  <si>
    <t xml:space="preserve">Ekuitas induk per saham (Rp)</t>
  </si>
  <si>
    <t xml:space="preserve">R.DIV</t>
  </si>
  <si>
    <t xml:space="preserve">Dividen tunai dibayar (Rp)</t>
  </si>
  <si>
    <t xml:space="preserve">dividen ke pemilik induk</t>
  </si>
  <si>
    <t xml:space="preserve">Rekonsiliasi &amp; cek integritas (225 cek)</t>
  </si>
  <si>
    <t xml:space="preserve">Status = hasil rumus saat ini; Ekspektasi = hasil yang diharapkan dari data sumber (dihitung saat build). Semua ❌ yang diharapkan dijelaskan dan ditautkan ke Temuan.</t>
  </si>
  <si>
    <t xml:space="preserve">No</t>
  </si>
  <si>
    <t xml:space="preserve">Kategori</t>
  </si>
  <si>
    <t xml:space="preserve">Cek</t>
  </si>
  <si>
    <t xml:space="preserve">Tahun</t>
  </si>
  <si>
    <t xml:space="preserve">Nilai A</t>
  </si>
  <si>
    <t xml:space="preserve">Nilai B</t>
  </si>
  <si>
    <t xml:space="preserve">Selisih A-B</t>
  </si>
  <si>
    <t xml:space="preserve">Toleransi</t>
  </si>
  <si>
    <t xml:space="preserve">Status</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</si>
  <si>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</si>
  <si>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</si>
  <si>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</si>
  <si>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</si>
  <si>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</si>
  <si>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</si>
  <si>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PBT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</si>
  <si>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</si>
  <si>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</si>
  <si>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</si>
  <si>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</si>
  <si>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</si>
  <si>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</si>
  <si>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</si>
  <si>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BS: TOTAL_NCL rumus = tercetak</t>
  </si>
  <si>
    <t xml:space="preserve">BS: TOTAL_LIAB rumus = tercetak</t>
  </si>
  <si>
    <t xml:space="preserve">BS: EQUITY_PARENT rumus = tercetak</t>
  </si>
  <si>
    <t xml:space="preserve">BS: TOTAL_EQUITY rumus = tercetak</t>
  </si>
  <si>
    <t xml:space="preserve">BS: TOTAL_LIAB_EQUITY rumus = tercetak</t>
  </si>
  <si>
    <t xml:space="preserve">CF: CFO rumus = tercetak</t>
  </si>
  <si>
    <t xml:space="preserve">CF: CFI rumus = tercetak</t>
  </si>
  <si>
    <t xml:space="preserve">CF: CFF rumus = tercetak</t>
  </si>
  <si>
    <t xml:space="preserve">CF: NET_CHANGE rumus = tercetak</t>
  </si>
  <si>
    <t xml:space="preserve">CF: CASH_END rumus = tercetak</t>
  </si>
  <si>
    <t xml:space="preserve">Integritas laporan</t>
  </si>
  <si>
    <t xml:space="preserve">BS: aset = liabilitas + ekuitas</t>
  </si>
  <si>
    <t xml:space="preserve">IS: laba = induk + NCI</t>
  </si>
  <si>
    <t xml:space="preserve">IS: laba komprehensif = induk + NCI</t>
  </si>
  <si>
    <t xml:space="preserve">CF: kas akhir = kas neraca (tanpa cerukan)</t>
  </si>
  <si>
    <t xml:space="preserve">❌</t>
  </si>
  <si>
    <t xml:space="preserve">Temuan D6: LAK prospektus memuat efek cerukan.</t>
  </si>
  <si>
    <t xml:space="preserve">LPE: dividen ke pemilik induk = dividen dibayar (CF)</t>
  </si>
  <si>
    <t xml:space="preserve">LPE: 2022: awal periode model</t>
  </si>
  <si>
    <t xml:space="preserve">CALK vs laporan</t>
  </si>
  <si>
    <t xml:space="preserve">Cat 25: penunjang medis + rawat inap + rawat jalan + lainnya = pendapatan IS</t>
  </si>
  <si>
    <t xml:space="preserve">Cat 25: jumlah pendapatan tercetak = IS</t>
  </si>
  <si>
    <t xml:space="preserve">Cat 26: jumlah beban pokok tercetak = IS</t>
  </si>
  <si>
    <t xml:space="preserve">Cat 27: jumlah beban penjualan tercetak = IS</t>
  </si>
  <si>
    <t xml:space="preserve">Cat 27: jumlah beban umum &amp; administrasi tercetak = IS</t>
  </si>
  <si>
    <t xml:space="preserve">CALK internal</t>
  </si>
  <si>
    <t xml:space="preserve">Cat 26+27: penyusutan aset tetap di laba rugi = penambahan akumulasi Cat 10</t>
  </si>
  <si>
    <t xml:space="preserve">N/A</t>
  </si>
  <si>
    <t xml:space="preserve">Cat 25: Σ rincian = Jumlah tercetak</t>
  </si>
  <si>
    <t xml:space="preserve">Cat 26: Σ rincian = Jumlah tercetak</t>
  </si>
  <si>
    <t xml:space="preserve">Cat 27: Σ rincian = Jumlah tercetak</t>
  </si>
  <si>
    <t xml:space="preserve">Per saham</t>
  </si>
  <si>
    <t xml:space="preserve">EPS tercetak vs laba induk / saham rata-rata tertimbang CALK (toleransi Rp1)</t>
  </si>
  <si>
    <t xml:space="preserve">Temuan D6: LAK prospektus berakhir pada kas neto cerukan.</t>
  </si>
  <si>
    <t xml:space="preserve">LPE: Prospektus LPE hal 276-277: laba tahun berjalan 3.539.716.397 ke saldo laba</t>
  </si>
  <si>
    <t xml:space="preserve">Antar tahun</t>
  </si>
  <si>
    <t xml:space="preserve">CF: kas awal = kas neraca tahun lalu</t>
  </si>
  <si>
    <t xml:space="preserve">Saldo laba: awal + laba komprehensif ke saldo laba (LPE) + dividen (CF) + lainnya (LPE) = akhir</t>
  </si>
  <si>
    <t xml:space="preserve">saldo laba = ditentukan + belum ditentukan penggunaannya; OCI (surplus revaluasi, pengukuran kembali) di kolom terpisah; lainnya = pos LPE lain (lihat DKHH_cek_silang.json). Angka statis LPE dari DKHH_cek_silang.json</t>
  </si>
  <si>
    <t xml:space="preserve">Temuan D9: atribusi TCI tercetak tidak menjumlah.</t>
  </si>
  <si>
    <t xml:space="preserve">LPE: LPE LK FY2025 hal 18: kolom saldo laba menerima laba tahun berjalan PENUH 2.837.363.273 (termasuk bagian NCI 131.449); laba induk laba rugi 2.837.231.824</t>
  </si>
  <si>
    <t xml:space="preserve">Cat 10: nilai tercatat aset tetap (biaya + akumulasi) = BS</t>
  </si>
  <si>
    <t xml:space="preserve">Temuan D10: selisih Rp31,5 juta di LK.</t>
  </si>
  <si>
    <t xml:space="preserve">Cat 10 Aset tetap - biaya perolehan: awal + mutasi = akhir</t>
  </si>
  <si>
    <t xml:space="preserve">Cat 10 Aset tetap - akumulasi penyusutan: awal + mutasi = akhir</t>
  </si>
  <si>
    <t xml:space="preserve">LPE: LPE LK FY2025 hal 18: laba induk 6.021.648.113</t>
  </si>
  <si>
    <t xml:space="preserve">Mutasi aset tetap: saldo awal biaya = saldo akhir tahun lalu</t>
  </si>
  <si>
    <t xml:space="preserve">Mutasi aset tetap: saldo awal akumulasi = saldo akhir tahun lalu</t>
  </si>
  <si>
    <t xml:space="preserve">Cek silang sumber (statis)</t>
  </si>
  <si>
    <t xml:space="preserve">Kas CF akhir = kas neraca</t>
  </si>
  <si>
    <t xml:space="preserve">Temuan D6: LAK prospektus memuat efek cerukan. Prospektus: kas akhir LAK 39.297.310.909 = kas awal 59.602.857.240 (sudah termasuk efek cerukan 2021) + kenaikan neto; baris cerukan +9.750.103.433 tidak konsisten dengan kas neraca 29.547.207.476</t>
  </si>
  <si>
    <t xml:space="preserve">EPS dasar: laba induk / saham tertimbang (±1 Rp)</t>
  </si>
  <si>
    <t xml:space="preserve">Cat laba per saham: 554,690,000 saham tertimbang</t>
  </si>
  <si>
    <t xml:space="preserve">Dividen kepada NCI: LPE = arus kas</t>
  </si>
  <si>
    <t xml:space="preserve">tidak ada dividen</t>
  </si>
  <si>
    <t xml:space="preserve">Atribusi laba komprehensif: induk + NCI = total</t>
  </si>
  <si>
    <t xml:space="preserve">Temuan D6: LAK prospektus berakhir pada kas neto cerukan. Prospektus: LAK berakhir pada kas neto cerukan (536.206.225); kas neraca 2.463.973.775 (selisih = cerukan 3.000.180.000)</t>
  </si>
  <si>
    <t xml:space="preserve">Kas awal CF = kas akhir tahun lalu</t>
  </si>
  <si>
    <t xml:space="preserve">Roll-forward saldo laba: awal + laba ke saldo laba + dividen + lainnya = akhir</t>
  </si>
  <si>
    <t xml:space="preserve">Prospektus LPE hal 276-277: laba tahun berjalan 3.539.716.397 ke saldo laba</t>
  </si>
  <si>
    <t xml:space="preserve">Laba induk LPE = laba induk laba rugi</t>
  </si>
  <si>
    <t xml:space="preserve">Cat laba per saham: 800,250,192 saham tertimbang</t>
  </si>
  <si>
    <t xml:space="preserve">LPE LK FY2025 hal 18: kolom saldo laba menerima laba tahun berjalan PENUH 2.837.363.273 (termasuk bagian NCI 131.449); laba induk laba rugi 2.837.231.824</t>
  </si>
  <si>
    <t xml:space="preserve">Temuan D9: LPE mengkredit laba penuh termasuk NCI. LPE mengkredit saldo laba dengan laba neto penuh (termasuk bagian NCI 131.449) - inkonsistensi penyajian LK</t>
  </si>
  <si>
    <t xml:space="preserve">Temuan D9: atribusi TCI tercetak tidak menjumlah. LK FY2025 hal 17: atribusi TCI tercetak tidak menjumlah ke total (dicetak apa adanya)</t>
  </si>
  <si>
    <t xml:space="preserve">Cat laba per saham: 2,364,143,916 saham tertimbang</t>
  </si>
  <si>
    <t xml:space="preserve">LPE LK FY2025 hal 18: laba induk 6.021.648.113</t>
  </si>
  <si>
    <t xml:space="preserve">Temuan D9: atribusi TCI tercetak tidak menjumlah. LK FY2025 hal 17: atribusi TCI tercetak tidak menjumlah ke total; LPE: OCI induk 782.424.300 -&gt; TCI induk seharusnya 6.804.072.413</t>
  </si>
  <si>
    <t xml:space="preserve">Cek ekstraksi sumber (statis, LK FY2025 tahapD)</t>
  </si>
  <si>
    <t xml:space="preserve">Cat 10 penambahan akumulasi = penyusutan di beban (Cat 26+27)</t>
  </si>
  <si>
    <t xml:space="preserve">Temuan D10: selisih Rp31,5 juta di LK. Cat 10 alokasi penyusutan tercetak 9.048.734.808; tabel mutasi 9.080.234.808 (selisih 31.500.000 = nilai pengurangan akumulasi tahun itu) - inkonsistensi internal LK</t>
  </si>
  <si>
    <t xml:space="preserve">Model proyeksi (historis)</t>
  </si>
  <si>
    <t xml:space="preserve">IS_Proj: EBIT = laba usaha IS</t>
  </si>
  <si>
    <t xml:space="preserve">IS_Proj: laba sebelum pajak = IS</t>
  </si>
  <si>
    <t xml:space="preserve">IS_Proj: 4 jenis pendapatan = pendapatan IS</t>
  </si>
  <si>
    <t xml:space="preserve">BS_Proj agregat: aset = liabilitas + ekuitas</t>
  </si>
  <si>
    <t xml:space="preserve">BS_Proj agregat: jumlah aset = BS</t>
  </si>
  <si>
    <t xml:space="preserve">Model proyeksi (E)</t>
  </si>
  <si>
    <t xml:space="preserve">BS_Proj: aset = liabilitas + ekuitas</t>
  </si>
  <si>
    <t xml:space="preserve">CF_Proj: kas akhir = kas BS_Proj</t>
  </si>
  <si>
    <t xml:space="preserve">Saldo laba: awal + laba induk + dividen = akhir</t>
  </si>
  <si>
    <t xml:space="preserve">Aset tetap: awal + capex + sewa - penyusutan = akhir</t>
  </si>
  <si>
    <t xml:space="preserve">Kas proyeksi tidak negatif (informasi)</t>
  </si>
  <si>
    <t xml:space="preserve">INFO</t>
  </si>
  <si>
    <t xml:space="preserve">Kas negatif = kebutuhan pendanaan tambahan yang tidak dimodelkan (Temuan D2)</t>
  </si>
  <si>
    <t xml:space="preserve">Temuan inkonsistensi &amp; catatan forensik (2022-2025)</t>
  </si>
  <si>
    <t xml:space="preserve">Nilai statis dari LK (Rp penuh kecuali jumlah saham/token); selisih = rumus.</t>
  </si>
  <si>
    <t xml:space="preserve">Topik</t>
  </si>
  <si>
    <t xml:space="preserve">Sumber / hal</t>
  </si>
  <si>
    <t xml:space="preserve">Penjelasan</t>
  </si>
  <si>
    <t xml:space="preserve">Perlakuan di model</t>
  </si>
  <si>
    <t xml:space="preserve">D1</t>
  </si>
  <si>
    <t xml:space="preserve">Restrukturisasi entitas sepengendali: laba &amp; ekuitas proforma</t>
  </si>
  <si>
    <t xml:space="preserve">Prospektus hal 272-278; LK FY2025 hal 13-18</t>
  </si>
  <si>
    <t xml:space="preserve">Laporan 2022-2024 disajikan seolah restrukturisasi entitas sepengendali (akuisisi entitas anak oleh Perseroan) terjadi sejak awal. Laba entitas anak sebelum restrukturisasi (proforma) ditambahkan di bawah laba setelah pajak: 2022 1,4 M, 2023 3,0 M, 2024 3,2 M. Ekuitas proforma: 2022 4,9 M, 2023 52,4 M; 2024 menjadi nol setelah restrukturisasi (tambahan modal disetor 2024 -23,4 M = selisih nilai transaksi restrukturisasi).</t>
  </si>
  <si>
    <t xml:space="preserve">Baris IS.MERGING terpisah; laba tahun berjalan = laba sebelum pajak + pajak + laba proforma. Proyeksi: laba proforma = 0 (restrukturisasi selesai 2024).</t>
  </si>
  <si>
    <t xml:space="preserve">D2</t>
  </si>
  <si>
    <t xml:space="preserve">Dana syirkah temporer diperlakukan sebagai utang berbunga</t>
  </si>
  <si>
    <t xml:space="preserve">LK FY2025 hal 13-14; Prospektus</t>
  </si>
  <si>
    <t xml:space="preserve">Pembiayaan musyarakah mutanaqisah bank syariah (dana syirkah temporer): 2022 29,8 M, 2023 56,0 M, 2024 78,2 M, 2025 69,4 M. LK FY2025 menyajikannya di antara liabilitas dan ekuitas (total liabilitas tercetak 2025 54,3 M; 2024 60,2 M), sedangkan prospektus menyajikannya dalam liabilitas jangka panjang. Model memindahkannya ke liabilitas tidak lancar untuk semua tahun (konservatif, konsisten antar tahun). Utang berbunga model (bank + pembiayaan konsumen + syirkah): 2022 93,7 M, 2023 145,1 M, 2024 111,8 M, 2025 90,0 M.</t>
  </si>
  <si>
    <t xml:space="preserve">Rekonsiliasi "jumlah liabilitas" memakai total model (tercetak + syirkah); ekuitas tidak berubah. Syirkah konstan di proyeksi.</t>
  </si>
  <si>
    <t xml:space="preserve">D3</t>
  </si>
  <si>
    <t xml:space="preserve">Piutang pihak berelasi besar &amp; penghasilan bunga 2025</t>
  </si>
  <si>
    <t xml:space="preserve">Neraca &amp; laba rugi; LAK</t>
  </si>
  <si>
    <t xml:space="preserve">Piutang pihak berelasi tidak lancar: 2022 14,9 M, 2023 107,9 M, 2024 78,4 M, 2025 117,0 M (2025 = 35% total aset). Penghasilan keuangan 2025 13,2 M (sebelumnya nol), sementara piutang lain-lain pihak berelasi lancar 2025 13,2 M - besarnya hampir sama, mengindikasikan bunga pinjaman ke pihak berelasi yang masih terutang (belum diterima kas). Arus kas pemberian ke pihak berelasi: 2022 -4,9 M, 2023 -45,1 M, 2024 -20,5 M, 2025 -30,1 M.</t>
  </si>
  <si>
    <t xml:space="preserve">Imbal hasil kas (yld) = 0 di semua skenario: penghasilan bunga 2025 tidak dianggap berulang. Piutang pihak berelasi konstan.</t>
  </si>
  <si>
    <t xml:space="preserve">D4</t>
  </si>
  <si>
    <t xml:space="preserve">Uang muka pembelian aset tetap 2025</t>
  </si>
  <si>
    <t xml:space="preserve">Neraca &amp; LAK FY2025</t>
  </si>
  <si>
    <t xml:space="preserve">Uang muka pembelian aset tetap 2025 23,5 M (dibayar tunai, di arus kas investasi) - jauh di atas perolehan aset tetap tunai tahun itu 3,9 M. Capex tunai historis (perolehan + uang muka): 2022 17,0 M, 2023 36,1 M, 2024 24,4 M, 2025 27,4 M.</t>
  </si>
  <si>
    <t xml:space="preserve">Capex rasio historis memuat uang muka ini; asumsi capex Base 9% (setara penyusutan) tidak memodelkan proyek baru.</t>
  </si>
  <si>
    <t xml:space="preserve">D5</t>
  </si>
  <si>
    <t xml:space="preserve">Revaluasi tanah &amp; bangunan 2023</t>
  </si>
  <si>
    <t xml:space="preserve">Prospektus (OCI 2023)</t>
  </si>
  <si>
    <t xml:space="preserve">Tahun 2023 aset tetap (tanah &amp; bangunan) beralih ke model revaluasi; surplus revaluasi 25,3 M dicatat di OCI sehingga aset tetap naik dari 66,3 M (2022) ke 117,4 M (2023).</t>
  </si>
  <si>
    <t xml:space="preserve">Tanpa revaluasi baru di proyeksi; rasio ROA/ROE 2023 ke atas memakai basis aset/ekuitas yang lebih besar.</t>
  </si>
  <si>
    <t xml:space="preserve">D6</t>
  </si>
  <si>
    <t xml:space="preserve">Kas akhir LAK prospektus 2022-2023 tidak sama dengan kas neraca</t>
  </si>
  <si>
    <t xml:space="preserve">Prospektus LAK hal 278</t>
  </si>
  <si>
    <t xml:space="preserve">LAK prospektus 2022 berakhir 39,3 M (kas awal 59,6 M termasuk efek cerukan 2021), kas neraca 29,5 M; 2023 LAK berakhir (0,5 M) = kas neto setelah cerukan, kas neraca 2,5 M. Selisih = cerukan bank yang di neraca disajikan di pinjaman bank jangka pendek.</t>
  </si>
  <si>
    <t xml:space="preserve">LAK dicetak apa adanya; cek "kas akhir = kas neraca" 2022-2023 ditandai ❌ (dijelaskan). Kas awal 2023 = kas neraca 2022. Proyeksi berangkat dari kas neraca 2025.</t>
  </si>
  <si>
    <t xml:space="preserve">D7</t>
  </si>
  <si>
    <t xml:space="preserve">Bunga di arus kas operasi 2025 bertanda positif</t>
  </si>
  <si>
    <t xml:space="preserve">LAK FY2025</t>
  </si>
  <si>
    <t xml:space="preserve">Baris pembayaran bunga di LAK 2025 tercetak sebagai penerimaan neto 4,2 M, padahal beban keuangan di laba rugi 10,2 M; tahun 2024 pembayaran 11,5 M. Kemungkinan bunga diterima dari pihak berelasi dinetokan di baris ini.</t>
  </si>
  <si>
    <t xml:space="preserve">Dicetak apa adanya; arus kas operasi 2025 tidak dipakai sebagai patokan proyeksi.</t>
  </si>
  <si>
    <t xml:space="preserve">D8</t>
  </si>
  <si>
    <t xml:space="preserve">Sumber: FY2021 tidak dipakai; prospektus IDX 403; 2024 komparatif</t>
  </si>
  <si>
    <t xml:space="preserve">Prospektus IPO 2025; LK FY2025</t>
  </si>
  <si>
    <t xml:space="preserve">DKHH (PT Cipta Sarana Medika Tbk), IPO 2025. Histori model FY2022-FY2025 (4 tahun). 2022-2023 dari LK konsolidasian audited dalam Prospektus IPO (disajikan proforma seolah restrukturisasi entitas sepengendali terjadi sejak awal); 2024-2025 dari LK FY2025. Kolom 2021 prospektus TIDAK dikonsolidasi (entitas induk saja) sehingga tidak dipakai; periode interim 10 bulan s.d. 31 Okt 2024 juga tidak dipakai. 2020 tidak disajikan. Salinan prospektus di IDX ditolak (403); dipakai salinan di situs emiten (dkhhospitals.com). LK FY2024 tidak tersedia terpisah di IDX: kolom 2024 dari komparatif LK FY2025. Mutasi aset tetap (Cat 10) hanya tersedia 2024-2025.</t>
  </si>
  <si>
    <t xml:space="preserve">Histori model FY2022-FY2025 (4 tahun); cek mutasi aset tetap hanya 2024-2025.</t>
  </si>
  <si>
    <t xml:space="preserve">D9</t>
  </si>
  <si>
    <t xml:space="preserve">Atribusi laba komprehensif, LPE &amp; EPS tercetak</t>
  </si>
  <si>
    <t xml:space="preserve">LK FY2025 hal 17-18</t>
  </si>
  <si>
    <t xml:space="preserve">Atribusi laba komprehensif tercetak (induk + NCI) tidak menjumlah ke total: 2024 selisih 14.168, 2025 selisih -85.556 (Rp penuh). LPE 2024 mengkredit saldo laba dengan laba penuh 2.837.363.273 (termasuk bagian NCI 131.449). EPS tercetak 2024-2025 dibulatkan ke Rupiah penuh (Rp4 dan Rp3). Laba usaha tercetak LK (sebelum pendapatan lain-lain): 2022 7,1 M, 2023 9,7 M, 2024 11,3 M, 2025 3,5 M; model memakai laba usaha + pendapatan lain-lain neto.</t>
  </si>
  <si>
    <t xml:space="preserve">Dicetak apa adanya (selisih kecil, ditandai ❌ dan dijelaskan). Cek EPS toleransi Rp1.</t>
  </si>
  <si>
    <t xml:space="preserve">D10</t>
  </si>
  <si>
    <t xml:space="preserve">Selisih penyusutan Cat 10, kategori pendapatan &amp; uji ekstraksi ganda</t>
  </si>
  <si>
    <t xml:space="preserve">LK FY2025 Cat 10, 25-27</t>
  </si>
  <si>
    <t xml:space="preserve">Alokasi penyusutan 2024 (beban pokok + beban umum) berbeda Rp31,5 juta dari penambahan akumulasi tabel mutasi (= nilai pengurangan akumulasi tahun itu; inkonsistensi internal LK). Kategori pendapatan prospektus (farmasi, laboratorium, radiologi, rawat inap, rawat jalan) dan LK FY2025 (penunjang medis, rawat inap, rawat jalan) dikelompokkan ke 3 kelompok + lainnya. Ekstraksi A: input manual dari pdftotext -layout (prospektus IPO hal 272-278 untuk 2022-2023; LK FY2025 hal 13-20 untuk 2024-2025). Ekstraksi B: setiap angka A dicari verbatim di teks sumber (dan untuk 2022-2023 juga di Ikhtisar Data Keuangan Penting prospektus); subtotal diuji ulang secara aritmetis; saldo awal 2023-2025 diuji ke neraca tahun sebelumnya (cek silang antar tahun). Hasil laporan: 408 nilai sama, 0 berbeda, 0 tidak ditemukan di B. CALK: 110 nilai sama, 0 tidak ditemukan.</t>
  </si>
  <si>
    <t xml:space="preserve">Penyusutan model = alokasi di laba rugi. Pertumbuhan per kelompok 2024 vs 2023 bisa terpengaruh batas kategori.</t>
  </si>
  <si>
    <t xml:space="preserve">D11</t>
  </si>
  <si>
    <t xml:space="preserve">Tarif pajak efektif ekstrem, tanpa dividen</t>
  </si>
  <si>
    <t xml:space="preserve">Laba rugi FY2022-25</t>
  </si>
  <si>
    <t xml:space="preserve">Tarif pajak efektif: 2022 26%, 2023 77%, 2024 691%, 2025 -6%. Laba sebelum pajak 2024 sangat kecil (0,1 M) sehingga tarif ekstrem; 2025 manfaat pajak. Tidak ada dividen ke pemilik induk 2022-2025; NCI sangat kecil.</t>
  </si>
  <si>
    <t xml:space="preserve">Pajak Base 25% (tarif badan 22% + beban tidak dapat dikurangkan); payout 0%; NCI 0%.</t>
  </si>
  <si>
    <t xml:space="preserve">Database format panjang FY2022-FY2025 (untuk digabung antar emiten)</t>
  </si>
  <si>
    <t xml:space="preserve">Nilai statis sesuai sumber, Rp penuh. Kolom basis: komparatif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</si>
  <si>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</si>
  <si>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</si>
  <si>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</si>
  <si>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</si>
  <si>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</si>
  <si>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</si>
  <si>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</si>
  <si>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</si>
  <si>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</si>
  <si>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</si>
  <si>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</si>
  <si>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</si>
  <si>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</si>
  <si>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FY2022</t>
  </si>
  <si>
    <t xml:space="preserve">Rp</t>
  </si>
  <si>
    <t xml:space="preserve">Prospektus IPO (LK audited) hal 274-275</t>
  </si>
  <si>
    <t xml:space="preserve">Prospektus IPO DKHH 2025 - LK konsolidasian audited (proforma restrukturisasi entitas sepengendali), kolom 2022</t>
  </si>
  <si>
    <t xml:space="preserve">dilaporkan</t>
  </si>
  <si>
    <t xml:space="preserve">FY2023</t>
  </si>
  <si>
    <t xml:space="preserve">Prospektus IPO DKHH 2025 - LK konsolidasian audited, kolom 31 Des 2023</t>
  </si>
  <si>
    <t xml:space="preserve">FY2024</t>
  </si>
  <si>
    <t xml:space="preserve">LK FY2025 hal 16-17</t>
  </si>
  <si>
    <t xml:space="preserve">LK FY2025 (komparatif 2024)</t>
  </si>
  <si>
    <t xml:space="preserve">komparatif</t>
  </si>
  <si>
    <t xml:space="preserve">FY2025</t>
  </si>
  <si>
    <t xml:space="preserve">subtotal dihitung</t>
  </si>
  <si>
    <t xml:space="preserve">Prospektus IPO Cat 30 hal 368 (subtotal beban penjualan; laba rugi hanya menyajikan beban usaha gabungan) &amp; Ikhtisar hal 41</t>
  </si>
  <si>
    <t xml:space="preserve">Prospektus IPO Cat 30 hal 368 (subtotal beban umum &amp; administrasi) &amp; Ikhtisar hal 41</t>
  </si>
  <si>
    <t xml:space="preserve">LK FY2025 hal 16-17 (= sewa &amp; non-operasional lainnya + penghasilan lainnya - neto)</t>
  </si>
  <si>
    <t xml:space="preserve">LK FY2025 hal 16-17 (pajak kini + tangguhan)</t>
  </si>
  <si>
    <t xml:space="preserve">Prospektus IPO (LK audited) hal 274-275 (laba entitas anak - dampak penyesuaian proforma restrukturisasi entitas sepengendali)</t>
  </si>
  <si>
    <t xml:space="preserve">LK FY2025 hal 16-17 (laba entitas anak - dampak penyesuaian proforma restrukturisasi entitas sepengendali)</t>
  </si>
  <si>
    <t xml:space="preserve">Prospektus IPO (LK audited) hal 274-275 (= pengukuran kembali 2.482.924.061 + bagian entitas anak proforma (222.969.719))</t>
  </si>
  <si>
    <t xml:space="preserve">Prospektus IPO (LK audited) hal 274-275 (= (546.243.294) + 49.053.339 entitas anak proforma)</t>
  </si>
  <si>
    <t xml:space="preserve">LK FY2025 hal 16-17 (efek penyesuaian proforma atas OCI)</t>
  </si>
  <si>
    <t xml:space="preserve">LK FY2025 hal 16-17 (laba usaha tercetak; model memasukkan penghasilan lain-lain operasional ke laba usaha - lihat Temuan)</t>
  </si>
  <si>
    <t xml:space="preserve">LK FY2025 hal 16-17 (dihitung: OCI tercetak 163.752.785 + efek proforma atas OCI 128.763.209)</t>
  </si>
  <si>
    <t xml:space="preserve">Prospektus IPO (LK audited KAP Jamaludin, Ardi, Sukimto &amp; Rekan, 23 Apr 2025) hal 272-273</t>
  </si>
  <si>
    <t xml:space="preserve">LK FY2025 hal 13-15</t>
  </si>
  <si>
    <t xml:space="preserve">Prospektus IPO (LK audited KAP Jamaludin, Ardi, Sukimto &amp; Rekan, 23 Apr 2025) hal 272-273 (pos tercetak "Uang muka dan biaya dibayar dimuka" - gabungan)</t>
  </si>
  <si>
    <t xml:space="preserve">Prospektus IPO (LK audited KAP Jamaludin, Ardi, Sukimto &amp; Rekan, 23 Apr 2025) hal 272-273 (piutang lain-lain pihak berelasi - tidak lancar)</t>
  </si>
  <si>
    <t xml:space="preserve">Prospektus IPO (LK audited KAP Jamaludin, Ardi, Sukimto &amp; Rekan, 23 Apr 2025) hal 272-273 (aset lain-lain: dana dibatasi penggunaannya Rp30 miliar)</t>
  </si>
  <si>
    <t xml:space="preserve">LK FY2025 hal 13-15 (disajikan LK di antara liabilitas &amp; ekuitas; model: liabilitas jk panjang)</t>
  </si>
  <si>
    <t xml:space="preserve">dihitung = cadangan umum + belum ditentukan penggunaannya</t>
  </si>
  <si>
    <t xml:space="preserve">LK FY2025 hal 13-15 (reklas penyajian: tercetak 20.568.422.274 + dana syirkah temporer 78.152.405.426)</t>
  </si>
  <si>
    <t xml:space="preserve">LK FY2025 hal 13-15 (reklas penyajian: tercetak 21.423.470.854 + dana syirkah temporer 69.371.515.682)</t>
  </si>
  <si>
    <t xml:space="preserve">LK FY2025 hal 13-15 (reklas penyajian: tercetak 60.218.444.016 + dana syirkah temporer 78.152.405.426)</t>
  </si>
  <si>
    <t xml:space="preserve">LK FY2025 hal 13-15 (reklas penyajian: tercetak 54.335.363.893 + dana syirkah temporer 69.371.515.682)</t>
  </si>
  <si>
    <t xml:space="preserve">Prospektus IPO (LK audited) hal 278</t>
  </si>
  <si>
    <t xml:space="preserve">LK FY2025 hal 19-20</t>
  </si>
  <si>
    <t xml:space="preserve">LK FY2025 hal 19-20 (= setoran modal IPO 69.199.725.000 + penerbitan waran 3.947.050)</t>
  </si>
  <si>
    <t xml:space="preserve">CALK</t>
  </si>
  <si>
    <t xml:space="preserve">C25|Pendapatan</t>
  </si>
  <si>
    <t xml:space="preserve">25</t>
  </si>
  <si>
    <t xml:space="preserve">LK FY2023 tahapD</t>
  </si>
  <si>
    <t xml:space="preserve">LK FY2025 tahapD</t>
  </si>
  <si>
    <t xml:space="preserve">Administrasi dan lainnya</t>
  </si>
  <si>
    <t xml:space="preserve">JUMLAH (lapor)</t>
  </si>
  <si>
    <t xml:space="preserve">C26|Beban pokok pendapatan</t>
  </si>
  <si>
    <t xml:space="preserve">Gaji dan tenaga medis</t>
  </si>
  <si>
    <t xml:space="preserve">26</t>
  </si>
  <si>
    <t xml:space="preserve">Obat dan alat kesehatan</t>
  </si>
  <si>
    <t xml:space="preserve">Penyusutan aset tetap</t>
  </si>
  <si>
    <t xml:space="preserve">Penyusutan aset hak guna</t>
  </si>
  <si>
    <t xml:space="preserve">Rawat inap dan kamar operasi</t>
  </si>
  <si>
    <t xml:space="preserve">Pemakaian/perlengkapan klinik</t>
  </si>
  <si>
    <t xml:space="preserve">Utilitas</t>
  </si>
  <si>
    <t xml:space="preserve">Sewa alat medis</t>
  </si>
  <si>
    <t xml:space="preserve">Biaya rujukan</t>
  </si>
  <si>
    <t xml:space="preserve">Pemeliharaan dan perbaikan</t>
  </si>
  <si>
    <t xml:space="preserve">Lain-lain</t>
  </si>
  <si>
    <t xml:space="preserve">C27|Beban penjualan</t>
  </si>
  <si>
    <t xml:space="preserve">Pemasaran</t>
  </si>
  <si>
    <t xml:space="preserve">27</t>
  </si>
  <si>
    <t xml:space="preserve">Gaji dan tunjangan</t>
  </si>
  <si>
    <t xml:space="preserve">C27|Beban umum dan administrasi</t>
  </si>
  <si>
    <t xml:space="preserve">CEPS|Laba per saham</t>
  </si>
  <si>
    <t xml:space="preserve">lembar</t>
  </si>
  <si>
    <t xml:space="preserve">Rata-rata tertimbang saham beredar (dasar)</t>
  </si>
  <si>
    <t xml:space="preserve">Farmasi</t>
  </si>
  <si>
    <t xml:space="preserve">Laboratorium</t>
  </si>
  <si>
    <t xml:space="preserve">Radiologi</t>
  </si>
  <si>
    <t xml:space="preserve">Biaya langsung (prospektus)</t>
  </si>
  <si>
    <t xml:space="preserve">MUT|akumulasi penyusutan|saldo_awal</t>
  </si>
  <si>
    <t xml:space="preserve">JUMLAH</t>
  </si>
  <si>
    <t xml:space="preserve">10</t>
  </si>
  <si>
    <t xml:space="preserve">mutasi</t>
  </si>
  <si>
    <t xml:space="preserve">MUT|akumulasi penyusutan|akuisisi</t>
  </si>
  <si>
    <t xml:space="preserve">MUT|akumulasi penyusutan|penambahan</t>
  </si>
  <si>
    <t xml:space="preserve">MUT|akumulasi penyusutan|pengurangan</t>
  </si>
  <si>
    <t xml:space="preserve">MUT|akumulasi penyusutan|reklasifikasi</t>
  </si>
  <si>
    <t xml:space="preserve">MUT|akumulasi penyusutan|saldo_akhir</t>
  </si>
  <si>
    <t xml:space="preserve">MUT|biaya perolehan|saldo_awal</t>
  </si>
  <si>
    <t xml:space="preserve">MUT|biaya perolehan|akuisisi</t>
  </si>
  <si>
    <t xml:space="preserve">MUT|biaya perolehan|penambahan</t>
  </si>
  <si>
    <t xml:space="preserve">MUT|biaya perolehan|pengurangan</t>
  </si>
  <si>
    <t xml:space="preserve">MUT|biaya perolehan|reklasifikasi</t>
  </si>
  <si>
    <t xml:space="preserve">MUT|biaya perolehan|saldo_akhir</t>
  </si>
  <si>
    <t xml:space="preserve">Log data &amp; sumber</t>
  </si>
  <si>
    <t xml:space="preserve">Sumber per tahun, pemetaan akun, dan catatan pemuatan</t>
  </si>
  <si>
    <t xml:space="preserve">Jenis</t>
  </si>
  <si>
    <t xml:space="preserve">Item</t>
  </si>
  <si>
    <t xml:space="preserve">Keterangan</t>
  </si>
  <si>
    <t xml:space="preserve">Sumber</t>
  </si>
  <si>
    <t xml:space="preserve">Kolom FY2022</t>
  </si>
  <si>
    <t xml:space="preserve">Kolom FY2023</t>
  </si>
  <si>
    <t xml:space="preserve">Kolom FY2024</t>
  </si>
  <si>
    <t xml:space="preserve">Kolom FY2025</t>
  </si>
  <si>
    <t xml:space="preserve">Basis 2024</t>
  </si>
  <si>
    <t xml:space="preserve">Kolom 2024 dari komparatif LK FY2025. DKHH (PT Cipta Sarana Medika Tbk), IPO 2025. Histori model FY2022-FY2025 (4 tahun). 2022-2023 dari LK konsolidasian audited dalam Prospektus IPO (disajikan proforma seolah restrukturisasi entitas sepengendali terjadi sejak awal); 2024-2025 dari LK FY2025. Kolom 2021 prospektus TIDAK dikonsolidasi (entitas induk saja) sehingga tidak dipakai; periode interim 10 bulan s.d. 31 Okt 2024 juga tidak dipakai. 2020 tidak disajikan.</t>
  </si>
  <si>
    <t xml:space="preserve">Reklasifikasi</t>
  </si>
  <si>
    <t xml:space="preserve">2024: Dana syirkah temporer</t>
  </si>
  <si>
    <t xml:space="preserve">Rp 78,152,405,426 dari antara liabilitas dan ekuitas (LK FY2025) ke liabilitas jangka panjang (seperti penyajian prospektus 2022-2023) (Temuan D2)</t>
  </si>
  <si>
    <t xml:space="preserve">2025: Dana syirkah temporer</t>
  </si>
  <si>
    <t xml:space="preserve">Rp 69,371,515,682 dari antara liabilitas dan ekuitas (LK FY2025) ke liabilitas jangka panjang (seperti penyajian prospektus 2022-2023) (Temuan D2)</t>
  </si>
  <si>
    <t xml:space="preserve">Catatan penyajian kembali/reklasifikasi</t>
  </si>
  <si>
    <t xml:space="preserve">2022-2025</t>
  </si>
  <si>
    <t xml:space="preserve">DKHH: (1) Dana syirkah temporer (pembiayaan musyarakah mutanaqisah BSI, jatuh tempo Agu 2027, dengan covenant) disajikan LK FY2025 sebagai dana syirkah temporer di antara liabilitas &amp; ekuitas, sedangkan prospektus menyajikannya dalam liabilitas jangka panjang; model memperlakukannya sebagai liabilitas berbunga untuk semua tahun (konservatif). Total liabilitas tercetak LK FY2025: 2025 54.335.363.893; 2024 60.218.444.016. (2) Pos "uang muka dan biaya dibayar dimuka" prospektus gabungan, dipetakan ke biaya dibayar dimuka. (3) 2024 adalah komparatif LK FY2025 (12 bulan, konsolidasian setelah restrukturisasi) - tidak ada penyajian kembali atas 2023.</t>
  </si>
  <si>
    <t xml:space="preserve">Pemetaan akun</t>
  </si>
  <si>
    <t xml:space="preserve">pendapatan_lain</t>
  </si>
  <si>
    <t xml:space="preserve">IS.OTHER_INCOME (pendapatan sewa &amp; lain-lain neto; di atas laba usaha model)</t>
  </si>
  <si>
    <t xml:space="preserve">laba_usaha</t>
  </si>
  <si>
    <t xml:space="preserve">IS.OPER_PROFIT_PRINTED (memo; tercetak sebelum pendapatan lain-lain, Temuan D9)</t>
  </si>
  <si>
    <t xml:space="preserve">laba_merging</t>
  </si>
  <si>
    <t xml:space="preserve">IS.MERGING (laba proforma entitas anak sebelum restrukturisasi, Temuan D1)</t>
  </si>
  <si>
    <t xml:space="preserve">ekuitas_proforma</t>
  </si>
  <si>
    <t xml:space="preserve">BS.PROFORMA_EQ (Temuan D1)</t>
  </si>
  <si>
    <t xml:space="preserve">dana_syirkah</t>
  </si>
  <si>
    <t xml:space="preserve">BS.SYIRKAH - liabilitas tidak lancar &amp; utang berbunga (Temuan D2)</t>
  </si>
  <si>
    <t xml:space="preserve">saldo_laba</t>
  </si>
  <si>
    <t xml:space="preserve">BS.RETAINED_EARN = ditentukan + belum ditentukan penggunaannya</t>
  </si>
  <si>
    <t xml:space="preserve">aset_hak_guna</t>
  </si>
  <si>
    <t xml:space="preserve">BS.ROU (terpisah dari aset tetap; penyusutan di beban pokok)</t>
  </si>
  <si>
    <t xml:space="preserve">utang berbunga</t>
  </si>
  <si>
    <t xml:space="preserve">BS.ST_BANK, LT_BANK_*, FIN_LEASE_* (pembiayaan konsumen), SYIRKAH</t>
  </si>
  <si>
    <t xml:space="preserve">Pendapatan lainnya = jumlah Cat 25 tercetak - 3 kelompok</t>
  </si>
  <si>
    <t xml:space="preserve">subtotal model (tidak tercetak di LK)</t>
  </si>
  <si>
    <t xml:space="preserve">File CALK</t>
  </si>
  <si>
    <t xml:space="preserve">DKHH_FY2023_tahapD_calk.json</t>
  </si>
  <si>
    <t xml:space="preserve">dimuat</t>
  </si>
  <si>
    <t xml:space="preserve">DKHH_FY2025_tahapD_calk.json</t>
  </si>
</sst>
</file>

<file path=xl/styles.xml><?xml version="1.0" encoding="utf-8"?>
<styleSheet xmlns="http://schemas.openxmlformats.org/spreadsheetml/2006/main">
  <numFmts count="12">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00;\(#,##0.00\);\-"/>
    <numFmt numFmtId="173" formatCode="0"/>
    <numFmt numFmtId="174" formatCode="0.0000"/>
    <numFmt numFmtId="175" formatCode="#,##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10"/>
      <color rgb="FFFFFFFF"/>
      <name val="Arial"/>
      <family val="0"/>
      <charset val="1"/>
    </font>
    <font>
      <b val="true"/>
      <sz val="9"/>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sz val="8"/>
      <color rgb="FF000000"/>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color rgb="FF0000F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EDEDED"/>
        <bgColor rgb="FFF2F2F2"/>
      </patternFill>
    </fill>
    <fill>
      <patternFill patternType="solid">
        <fgColor rgb="FF1F3864"/>
        <bgColor rgb="FF2F5597"/>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4"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5" fontId="18" fillId="6" borderId="2" xfId="0" applyFont="true" applyBorder="true" applyAlignment="true" applyProtection="false">
      <alignment horizontal="right"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6" fontId="18" fillId="0" borderId="2" xfId="0" applyFont="true" applyBorder="true" applyAlignment="true" applyProtection="false">
      <alignment horizontal="right"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6" fontId="18"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5" fontId="18" fillId="0" borderId="2" xfId="0" applyFont="true" applyBorder="true" applyAlignment="true" applyProtection="false">
      <alignment horizontal="right" vertical="bottom" textRotation="0" wrapText="false" indent="0" shrinkToFit="false"/>
      <protection locked="true" hidden="false"/>
    </xf>
    <xf numFmtId="164" fontId="18" fillId="6" borderId="2" xfId="0" applyFont="true" applyBorder="true" applyAlignment="false" applyProtection="false">
      <alignment horizontal="general" vertical="bottom" textRotation="0" wrapText="false" indent="0" shrinkToFit="false"/>
      <protection locked="true" hidden="false"/>
    </xf>
    <xf numFmtId="167" fontId="18" fillId="6" borderId="2"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2" fillId="2"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2" fillId="4"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center" vertical="center" textRotation="0" wrapText="tru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5" fontId="26" fillId="8"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6" fontId="26" fillId="8" borderId="0" xfId="0"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7" fontId="26" fillId="8" borderId="0" xfId="0" applyFont="true" applyBorder="false" applyAlignment="false" applyProtection="false">
      <alignment horizontal="general" vertical="bottom" textRotation="0" wrapText="false" indent="0" shrinkToFit="false"/>
      <protection locked="true" hidden="false"/>
    </xf>
    <xf numFmtId="168" fontId="26" fillId="0" borderId="0" xfId="0" applyFont="true" applyBorder="false" applyAlignment="false" applyProtection="false">
      <alignment horizontal="general" vertical="bottom" textRotation="0" wrapText="false" indent="0" shrinkToFit="false"/>
      <protection locked="true" hidden="false"/>
    </xf>
    <xf numFmtId="168" fontId="26" fillId="8" borderId="0" xfId="0" applyFont="true" applyBorder="false" applyAlignment="false" applyProtection="false">
      <alignment horizontal="general" vertical="bottom" textRotation="0" wrapText="false" indent="0" shrinkToFit="false"/>
      <protection locked="true" hidden="false"/>
    </xf>
    <xf numFmtId="164" fontId="29"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4" fontId="30"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2" fontId="26"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31" fillId="9" borderId="0" xfId="0" applyFont="true" applyBorder="false" applyAlignment="false" applyProtection="false">
      <alignment horizontal="general" vertical="bottom" textRotation="0" wrapText="false" indent="0" shrinkToFit="false"/>
      <protection locked="true" hidden="false"/>
    </xf>
    <xf numFmtId="172" fontId="31" fillId="9" borderId="0" xfId="0" applyFont="true" applyBorder="false" applyAlignment="false" applyProtection="false">
      <alignment horizontal="general" vertical="bottom" textRotation="0" wrapText="false" indent="0" shrinkToFit="false"/>
      <protection locked="true" hidden="false"/>
    </xf>
    <xf numFmtId="167" fontId="31" fillId="9" borderId="0" xfId="0" applyFont="true" applyBorder="false" applyAlignment="false" applyProtection="false">
      <alignment horizontal="general" vertical="bottom" textRotation="0" wrapText="false" indent="0" shrinkToFit="false"/>
      <protection locked="true" hidden="false"/>
    </xf>
    <xf numFmtId="168" fontId="31" fillId="9"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4" fontId="31" fillId="9" borderId="0" xfId="0" applyFont="true" applyBorder="false" applyAlignment="false" applyProtection="false">
      <alignment horizontal="general" vertical="bottom" textRotation="0" wrapText="false" indent="0" shrinkToFit="false"/>
      <protection locked="true" hidden="false"/>
    </xf>
    <xf numFmtId="173" fontId="31" fillId="9" borderId="0" xfId="0" applyFont="true" applyBorder="false" applyAlignment="false" applyProtection="false">
      <alignment horizontal="general" vertical="bottom" textRotation="0" wrapText="false" indent="0" shrinkToFit="false"/>
      <protection locked="true" hidden="false"/>
    </xf>
    <xf numFmtId="165" fontId="31" fillId="9" borderId="0" xfId="0" applyFont="true" applyBorder="false" applyAlignment="false" applyProtection="false">
      <alignment horizontal="general" vertical="bottom" textRotation="0" wrapText="false" indent="0" shrinkToFit="false"/>
      <protection locked="true" hidden="false"/>
    </xf>
    <xf numFmtId="169" fontId="31"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2" fontId="3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5" fontId="31" fillId="0" borderId="0" xfId="0" applyFont="true" applyBorder="false" applyAlignment="false" applyProtection="false">
      <alignment horizontal="general" vertical="bottom" textRotation="0" wrapText="false" indent="0" shrinkToFit="false"/>
      <protection locked="true" hidden="false"/>
    </xf>
    <xf numFmtId="172"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31"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FC7CE"/>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CE4D6"/>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Dashboard!$C$4:$K$4</c:f>
              <c:strCache>
                <c:ptCount val="9"/>
                <c:pt idx="0">
                  <c:v>FY2022A</c:v>
                </c:pt>
                <c:pt idx="1">
                  <c:v>FY2023A</c:v>
                </c:pt>
                <c:pt idx="2">
                  <c:v>FY2024A</c:v>
                </c:pt>
                <c:pt idx="3">
                  <c:v>FY2025A</c:v>
                </c:pt>
                <c:pt idx="4">
                  <c:v>FY2026E</c:v>
                </c:pt>
                <c:pt idx="5">
                  <c:v>FY2027E</c:v>
                </c:pt>
                <c:pt idx="6">
                  <c:v>FY2028E</c:v>
                </c:pt>
                <c:pt idx="7">
                  <c:v>FY2029E</c:v>
                </c:pt>
                <c:pt idx="8">
                  <c:v>FY2030E</c:v>
                </c:pt>
              </c:strCache>
            </c:strRef>
          </c:cat>
          <c:val>
            <c:numRef>
              <c:f>Dashboard!$C$5:$K$5</c:f>
              <c:numCache>
                <c:formatCode>#,##0.0;\(#,##0.0\);\-</c:formatCode>
                <c:ptCount val="9"/>
                <c:pt idx="0">
                  <c:v>99.578144421</c:v>
                </c:pt>
                <c:pt idx="1">
                  <c:v>134.187678929</c:v>
                </c:pt>
                <c:pt idx="2">
                  <c:v>152.142248784</c:v>
                </c:pt>
                <c:pt idx="3">
                  <c:v>144.873268389</c:v>
                </c:pt>
                <c:pt idx="4">
                  <c:v>156.405957250738</c:v>
                </c:pt>
                <c:pt idx="5">
                  <c:v>168.918433830797</c:v>
                </c:pt>
                <c:pt idx="6">
                  <c:v>182.431908537261</c:v>
                </c:pt>
                <c:pt idx="7">
                  <c:v>197.026461220241</c:v>
                </c:pt>
                <c:pt idx="8">
                  <c:v>212.788578117861</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Dashboard!$C$4:$K$4</c:f>
              <c:strCache>
                <c:ptCount val="9"/>
                <c:pt idx="0">
                  <c:v>FY2022A</c:v>
                </c:pt>
                <c:pt idx="1">
                  <c:v>FY2023A</c:v>
                </c:pt>
                <c:pt idx="2">
                  <c:v>FY2024A</c:v>
                </c:pt>
                <c:pt idx="3">
                  <c:v>FY2025A</c:v>
                </c:pt>
                <c:pt idx="4">
                  <c:v>FY2026E</c:v>
                </c:pt>
                <c:pt idx="5">
                  <c:v>FY2027E</c:v>
                </c:pt>
                <c:pt idx="6">
                  <c:v>FY2028E</c:v>
                </c:pt>
                <c:pt idx="7">
                  <c:v>FY2029E</c:v>
                </c:pt>
                <c:pt idx="8">
                  <c:v>FY2030E</c:v>
                </c:pt>
              </c:strCache>
            </c:strRef>
          </c:cat>
          <c:val>
            <c:numRef>
              <c:f>Dashboard!$C$7:$K$7</c:f>
              <c:numCache>
                <c:formatCode>#,##0.0;\(#,##0.0\);\-</c:formatCode>
                <c:ptCount val="9"/>
                <c:pt idx="0">
                  <c:v>15.150559587</c:v>
                </c:pt>
                <c:pt idx="1">
                  <c:v>17.504402158</c:v>
                </c:pt>
                <c:pt idx="2">
                  <c:v>21.381138631</c:v>
                </c:pt>
                <c:pt idx="3">
                  <c:v>15.343800322</c:v>
                </c:pt>
                <c:pt idx="4">
                  <c:v>20.6455863570974</c:v>
                </c:pt>
                <c:pt idx="5">
                  <c:v>22.2972332656652</c:v>
                </c:pt>
                <c:pt idx="6">
                  <c:v>24.0810119269184</c:v>
                </c:pt>
                <c:pt idx="7">
                  <c:v>26.0074928810718</c:v>
                </c:pt>
                <c:pt idx="8">
                  <c:v>28.0880923115576</c:v>
                </c:pt>
              </c:numCache>
            </c:numRef>
          </c:val>
        </c:ser>
        <c:gapWidth val="150"/>
        <c:overlap val="0"/>
        <c:axId val="50558250"/>
        <c:axId val="30153574"/>
      </c:barChart>
      <c:catAx>
        <c:axId val="505582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0153574"/>
        <c:crosses val="autoZero"/>
        <c:auto val="1"/>
        <c:lblAlgn val="ctr"/>
        <c:lblOffset val="100"/>
        <c:noMultiLvlLbl val="0"/>
      </c:catAx>
      <c:valAx>
        <c:axId val="301535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0558250"/>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Dashboard!$C$4:$K$4</c:f>
              <c:strCache>
                <c:ptCount val="9"/>
                <c:pt idx="0">
                  <c:v>FY2022A</c:v>
                </c:pt>
                <c:pt idx="1">
                  <c:v>FY2023A</c:v>
                </c:pt>
                <c:pt idx="2">
                  <c:v>FY2024A</c:v>
                </c:pt>
                <c:pt idx="3">
                  <c:v>FY2025A</c:v>
                </c:pt>
                <c:pt idx="4">
                  <c:v>FY2026E</c:v>
                </c:pt>
                <c:pt idx="5">
                  <c:v>FY2027E</c:v>
                </c:pt>
                <c:pt idx="6">
                  <c:v>FY2028E</c:v>
                </c:pt>
                <c:pt idx="7">
                  <c:v>FY2029E</c:v>
                </c:pt>
                <c:pt idx="8">
                  <c:v>FY2030E</c:v>
                </c:pt>
              </c:strCache>
            </c:strRef>
          </c:cat>
          <c:val>
            <c:numRef>
              <c:f>Dashboard!$C$8:$K$8</c:f>
              <c:numCache>
                <c:formatCode>0.0%;\(0.0%\);\-</c:formatCode>
                <c:ptCount val="9"/>
                <c:pt idx="0">
                  <c:v>0.152147438326888</c:v>
                </c:pt>
                <c:pt idx="1">
                  <c:v>0.130447163984867</c:v>
                </c:pt>
                <c:pt idx="2">
                  <c:v>0.140533867494987</c:v>
                </c:pt>
                <c:pt idx="3">
                  <c:v>0.105911880725989</c:v>
                </c:pt>
                <c:pt idx="4">
                  <c:v>0.132</c:v>
                </c:pt>
                <c:pt idx="5">
                  <c:v>0.132</c:v>
                </c:pt>
                <c:pt idx="6">
                  <c:v>0.132</c:v>
                </c:pt>
                <c:pt idx="7">
                  <c:v>0.132</c:v>
                </c:pt>
                <c:pt idx="8">
                  <c:v>0.132</c:v>
                </c:pt>
              </c:numCache>
            </c:numRef>
          </c:val>
          <c:smooth val="1"/>
        </c:ser>
        <c:hiLowLines>
          <c:spPr>
            <a:ln w="0">
              <a:noFill/>
            </a:ln>
          </c:spPr>
        </c:hiLowLines>
        <c:marker val="0"/>
        <c:axId val="52821729"/>
        <c:axId val="32999909"/>
      </c:lineChart>
      <c:catAx>
        <c:axId val="528217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2999909"/>
        <c:crosses val="autoZero"/>
        <c:auto val="1"/>
        <c:lblAlgn val="ctr"/>
        <c:lblOffset val="100"/>
        <c:noMultiLvlLbl val="0"/>
      </c:catAx>
      <c:valAx>
        <c:axId val="3299990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2821729"/>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Dashboard!$C$4:$K$4</c:f>
              <c:strCache>
                <c:ptCount val="9"/>
                <c:pt idx="0">
                  <c:v>FY2022A</c:v>
                </c:pt>
                <c:pt idx="1">
                  <c:v>FY2023A</c:v>
                </c:pt>
                <c:pt idx="2">
                  <c:v>FY2024A</c:v>
                </c:pt>
                <c:pt idx="3">
                  <c:v>FY2025A</c:v>
                </c:pt>
                <c:pt idx="4">
                  <c:v>FY2026E</c:v>
                </c:pt>
                <c:pt idx="5">
                  <c:v>FY2027E</c:v>
                </c:pt>
                <c:pt idx="6">
                  <c:v>FY2028E</c:v>
                </c:pt>
                <c:pt idx="7">
                  <c:v>FY2029E</c:v>
                </c:pt>
                <c:pt idx="8">
                  <c:v>FY2030E</c:v>
                </c:pt>
              </c:strCache>
            </c:strRef>
          </c:cat>
          <c:val>
            <c:numRef>
              <c:f>Dashboard!$C$11:$K$11</c:f>
              <c:numCache>
                <c:formatCode>#,##0.0;\(#,##0.0\);\-</c:formatCode>
                <c:ptCount val="9"/>
                <c:pt idx="0">
                  <c:v>7.734100083</c:v>
                </c:pt>
                <c:pt idx="1">
                  <c:v>19.735705441</c:v>
                </c:pt>
                <c:pt idx="2">
                  <c:v>2.997687548</c:v>
                </c:pt>
                <c:pt idx="3">
                  <c:v>5.56795137</c:v>
                </c:pt>
                <c:pt idx="4">
                  <c:v>8.55223954298546</c:v>
                </c:pt>
                <c:pt idx="5">
                  <c:v>12.7521136972324</c:v>
                </c:pt>
                <c:pt idx="6">
                  <c:v>14.0484450998473</c:v>
                </c:pt>
                <c:pt idx="7">
                  <c:v>15.4664070386084</c:v>
                </c:pt>
                <c:pt idx="8">
                  <c:v>17.013966232452</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Dashboard!$C$4:$K$4</c:f>
              <c:strCache>
                <c:ptCount val="9"/>
                <c:pt idx="0">
                  <c:v>FY2022A</c:v>
                </c:pt>
                <c:pt idx="1">
                  <c:v>FY2023A</c:v>
                </c:pt>
                <c:pt idx="2">
                  <c:v>FY2024A</c:v>
                </c:pt>
                <c:pt idx="3">
                  <c:v>FY2025A</c:v>
                </c:pt>
                <c:pt idx="4">
                  <c:v>FY2026E</c:v>
                </c:pt>
                <c:pt idx="5">
                  <c:v>FY2027E</c:v>
                </c:pt>
                <c:pt idx="6">
                  <c:v>FY2028E</c:v>
                </c:pt>
                <c:pt idx="7">
                  <c:v>FY2029E</c:v>
                </c:pt>
                <c:pt idx="8">
                  <c:v>FY2030E</c:v>
                </c:pt>
              </c:strCache>
            </c:strRef>
          </c:cat>
          <c:val>
            <c:numRef>
              <c:f>Dashboard!$C$12:$K$12</c:f>
              <c:numCache>
                <c:formatCode>#,##0.0;\(#,##0.0\);\-</c:formatCode>
                <c:ptCount val="9"/>
                <c:pt idx="0">
                  <c:v>-16.981553674</c:v>
                </c:pt>
                <c:pt idx="1">
                  <c:v>-36.146492177</c:v>
                </c:pt>
                <c:pt idx="2">
                  <c:v>-24.447662378</c:v>
                </c:pt>
                <c:pt idx="3">
                  <c:v>-27.390827865</c:v>
                </c:pt>
                <c:pt idx="4">
                  <c:v>-14.0765361525664</c:v>
                </c:pt>
                <c:pt idx="5">
                  <c:v>-15.2026590447717</c:v>
                </c:pt>
                <c:pt idx="6">
                  <c:v>-16.4188717683534</c:v>
                </c:pt>
                <c:pt idx="7">
                  <c:v>-17.7323815098217</c:v>
                </c:pt>
                <c:pt idx="8">
                  <c:v>-19.1509720306075</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Dashboard!$C$4:$K$4</c:f>
              <c:strCache>
                <c:ptCount val="9"/>
                <c:pt idx="0">
                  <c:v>FY2022A</c:v>
                </c:pt>
                <c:pt idx="1">
                  <c:v>FY2023A</c:v>
                </c:pt>
                <c:pt idx="2">
                  <c:v>FY2024A</c:v>
                </c:pt>
                <c:pt idx="3">
                  <c:v>FY2025A</c:v>
                </c:pt>
                <c:pt idx="4">
                  <c:v>FY2026E</c:v>
                </c:pt>
                <c:pt idx="5">
                  <c:v>FY2027E</c:v>
                </c:pt>
                <c:pt idx="6">
                  <c:v>FY2028E</c:v>
                </c:pt>
                <c:pt idx="7">
                  <c:v>FY2029E</c:v>
                </c:pt>
                <c:pt idx="8">
                  <c:v>FY2030E</c:v>
                </c:pt>
              </c:strCache>
            </c:strRef>
          </c:cat>
          <c:val>
            <c:numRef>
              <c:f>Dashboard!$C$13:$K$13</c:f>
              <c:numCache>
                <c:formatCode>#,##0.0;\(#,##0.0\);\-</c:formatCode>
                <c:ptCount val="9"/>
                <c:pt idx="0">
                  <c:v>-9.410981971</c:v>
                </c:pt>
                <c:pt idx="1">
                  <c:v>-16.410786736</c:v>
                </c:pt>
                <c:pt idx="2">
                  <c:v>-21.955612199</c:v>
                </c:pt>
                <c:pt idx="3">
                  <c:v>-22.821713537</c:v>
                </c:pt>
                <c:pt idx="4">
                  <c:v>-6.05607686423345</c:v>
                </c:pt>
                <c:pt idx="5">
                  <c:v>-3.02486802256405</c:v>
                </c:pt>
                <c:pt idx="6">
                  <c:v>-2.99069515753288</c:v>
                </c:pt>
                <c:pt idx="7">
                  <c:v>-2.93586443936217</c:v>
                </c:pt>
                <c:pt idx="8">
                  <c:v>-2.86048696375615</c:v>
                </c:pt>
              </c:numCache>
            </c:numRef>
          </c:val>
        </c:ser>
        <c:gapWidth val="150"/>
        <c:overlap val="0"/>
        <c:axId val="37435010"/>
        <c:axId val="10616983"/>
      </c:barChart>
      <c:catAx>
        <c:axId val="374350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0616983"/>
        <c:crosses val="autoZero"/>
        <c:auto val="1"/>
        <c:lblAlgn val="ctr"/>
        <c:lblOffset val="100"/>
        <c:noMultiLvlLbl val="0"/>
      </c:catAx>
      <c:valAx>
        <c:axId val="1061698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7435010"/>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Dashboard!$C$4:$K$4</c:f>
              <c:strCache>
                <c:ptCount val="9"/>
                <c:pt idx="0">
                  <c:v>FY2022A</c:v>
                </c:pt>
                <c:pt idx="1">
                  <c:v>FY2023A</c:v>
                </c:pt>
                <c:pt idx="2">
                  <c:v>FY2024A</c:v>
                </c:pt>
                <c:pt idx="3">
                  <c:v>FY2025A</c:v>
                </c:pt>
                <c:pt idx="4">
                  <c:v>FY2026E</c:v>
                </c:pt>
                <c:pt idx="5">
                  <c:v>FY2027E</c:v>
                </c:pt>
                <c:pt idx="6">
                  <c:v>FY2028E</c:v>
                </c:pt>
                <c:pt idx="7">
                  <c:v>FY2029E</c:v>
                </c:pt>
                <c:pt idx="8">
                  <c:v>FY2030E</c:v>
                </c:pt>
              </c:strCache>
            </c:strRef>
          </c:cat>
          <c:val>
            <c:numRef>
              <c:f>Dashboard!$C$16:$K$16</c:f>
              <c:numCache>
                <c:formatCode>0.00\x;\(0.00"x)";\-</c:formatCode>
                <c:ptCount val="9"/>
                <c:pt idx="0">
                  <c:v>4.23245982934003</c:v>
                </c:pt>
                <c:pt idx="1">
                  <c:v>8.14947055754225</c:v>
                </c:pt>
                <c:pt idx="2">
                  <c:v>5.21536948973913</c:v>
                </c:pt>
                <c:pt idx="3">
                  <c:v>5.68731822121531</c:v>
                </c:pt>
                <c:pt idx="4">
                  <c:v>4.52015023473297</c:v>
                </c:pt>
                <c:pt idx="5">
                  <c:v>4.32098542867908</c:v>
                </c:pt>
                <c:pt idx="6">
                  <c:v>4.1251055188129</c:v>
                </c:pt>
                <c:pt idx="7">
                  <c:v>3.93242747793372</c:v>
                </c:pt>
                <c:pt idx="8">
                  <c:v>3.74297639851421</c:v>
                </c:pt>
              </c:numCache>
            </c:numRef>
          </c:val>
          <c:smooth val="1"/>
        </c:ser>
        <c:hiLowLines>
          <c:spPr>
            <a:ln w="0">
              <a:noFill/>
            </a:ln>
          </c:spPr>
        </c:hiLowLines>
        <c:marker val="0"/>
        <c:axId val="91893669"/>
        <c:axId val="84948100"/>
      </c:lineChart>
      <c:catAx>
        <c:axId val="918936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4948100"/>
        <c:crosses val="autoZero"/>
        <c:auto val="1"/>
        <c:lblAlgn val="ctr"/>
        <c:lblOffset val="100"/>
        <c:noMultiLvlLbl val="0"/>
      </c:catAx>
      <c:valAx>
        <c:axId val="8494810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1893669"/>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32</xdr:row>
      <xdr:rowOff>0</xdr:rowOff>
    </xdr:from>
    <xdr:to>
      <xdr:col>7</xdr:col>
      <xdr:colOff>583200</xdr:colOff>
      <xdr:row>47</xdr:row>
      <xdr:rowOff>56520</xdr:rowOff>
    </xdr:to>
    <xdr:pic>
      <xdr:nvPicPr>
        <xdr:cNvPr id="0" name="Image 1" descr="Picture"/>
        <xdr:cNvPicPr/>
      </xdr:nvPicPr>
      <xdr:blipFill>
        <a:blip r:embed="rId1"/>
        <a:stretch/>
      </xdr:blipFill>
      <xdr:spPr>
        <a:xfrm>
          <a:off x="106200" y="7753320"/>
          <a:ext cx="6362280" cy="2914200"/>
        </a:xfrm>
        <a:prstGeom prst="rect">
          <a:avLst/>
        </a:prstGeom>
        <a:noFill/>
        <a:ln w="0">
          <a:noFill/>
        </a:ln>
      </xdr:spPr>
    </xdr:pic>
    <xdr:clientData/>
  </xdr:twoCellAnchor>
  <xdr:twoCellAnchor editAs="oneCell">
    <xdr:from>
      <xdr:col>1</xdr:col>
      <xdr:colOff>0</xdr:colOff>
      <xdr:row>51</xdr:row>
      <xdr:rowOff>0</xdr:rowOff>
    </xdr:from>
    <xdr:to>
      <xdr:col>7</xdr:col>
      <xdr:colOff>583200</xdr:colOff>
      <xdr:row>65</xdr:row>
      <xdr:rowOff>66240</xdr:rowOff>
    </xdr:to>
    <xdr:pic>
      <xdr:nvPicPr>
        <xdr:cNvPr id="1" name="Image 2" descr="Picture"/>
        <xdr:cNvPicPr/>
      </xdr:nvPicPr>
      <xdr:blipFill>
        <a:blip r:embed="rId2"/>
        <a:stretch/>
      </xdr:blipFill>
      <xdr:spPr>
        <a:xfrm>
          <a:off x="106200" y="11496600"/>
          <a:ext cx="6362280" cy="2733480"/>
        </a:xfrm>
        <a:prstGeom prst="rect">
          <a:avLst/>
        </a:prstGeom>
        <a:noFill/>
        <a:ln w="0">
          <a:noFill/>
        </a:ln>
      </xdr:spPr>
    </xdr:pic>
    <xdr:clientData/>
  </xdr:twoCellAnchor>
  <xdr:twoCellAnchor editAs="oneCell">
    <xdr:from>
      <xdr:col>1</xdr:col>
      <xdr:colOff>0</xdr:colOff>
      <xdr:row>69</xdr:row>
      <xdr:rowOff>0</xdr:rowOff>
    </xdr:from>
    <xdr:to>
      <xdr:col>7</xdr:col>
      <xdr:colOff>583200</xdr:colOff>
      <xdr:row>82</xdr:row>
      <xdr:rowOff>85320</xdr:rowOff>
    </xdr:to>
    <xdr:pic>
      <xdr:nvPicPr>
        <xdr:cNvPr id="2" name="Image 3" descr="Picture"/>
        <xdr:cNvPicPr/>
      </xdr:nvPicPr>
      <xdr:blipFill>
        <a:blip r:embed="rId3"/>
        <a:stretch/>
      </xdr:blipFill>
      <xdr:spPr>
        <a:xfrm>
          <a:off x="106200" y="1504944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11</xdr:col>
      <xdr:colOff>2376360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11</xdr:col>
      <xdr:colOff>2376360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KHH_model_pro.xlsx" TargetMode="External"/><Relationship Id="rId2" Type="http://schemas.openxmlformats.org/officeDocument/2006/relationships/hyperlink" Target="../../DKHH_model_pro.xlsx" TargetMode="External"/><Relationship Id="rId3" Type="http://schemas.openxmlformats.org/officeDocument/2006/relationships/hyperlink" Target="../../DKHH_model_pro.xlsx" TargetMode="External"/><Relationship Id="rId4" Type="http://schemas.openxmlformats.org/officeDocument/2006/relationships/hyperlink" Target="../../DKHH_model_pro.xlsx" TargetMode="External"/><Relationship Id="rId5" Type="http://schemas.openxmlformats.org/officeDocument/2006/relationships/hyperlink" Target="../../DKHH_model_pro.xlsx" TargetMode="External"/><Relationship Id="rId6" Type="http://schemas.openxmlformats.org/officeDocument/2006/relationships/hyperlink" Target="../../DKHH_model_pro.xlsx" TargetMode="External"/><Relationship Id="rId7" Type="http://schemas.openxmlformats.org/officeDocument/2006/relationships/hyperlink" Target="../../DKHH_model_pro.xlsx" TargetMode="External"/><Relationship Id="rId8" Type="http://schemas.openxmlformats.org/officeDocument/2006/relationships/hyperlink" Target="../../DKHH_model_pro.xlsx" TargetMode="External"/><Relationship Id="rId9" Type="http://schemas.openxmlformats.org/officeDocument/2006/relationships/hyperlink" Target="../../DKHH_model_pro.xlsx" TargetMode="External"/><Relationship Id="rId10" Type="http://schemas.openxmlformats.org/officeDocument/2006/relationships/hyperlink" Target="../../DKHH_model_pro.xlsx" TargetMode="External"/><Relationship Id="rId11" Type="http://schemas.openxmlformats.org/officeDocument/2006/relationships/hyperlink" Target="../../DKHH_model_pro.xlsx" TargetMode="External"/><Relationship Id="rId12" Type="http://schemas.openxmlformats.org/officeDocument/2006/relationships/hyperlink" Target="../../DKHH_model_pro.xlsx" TargetMode="External"/><Relationship Id="rId13" Type="http://schemas.openxmlformats.org/officeDocument/2006/relationships/hyperlink" Target="../../DKHH_model_pro.xlsx" TargetMode="External"/><Relationship Id="rId14" Type="http://schemas.openxmlformats.org/officeDocument/2006/relationships/hyperlink" Target="../../DKHH_model_pro.xlsx" TargetMode="External"/><Relationship Id="rId15" Type="http://schemas.openxmlformats.org/officeDocument/2006/relationships/hyperlink" Target="../../DKHH_model_pro.xlsx" TargetMode="External"/><Relationship Id="rId16" Type="http://schemas.openxmlformats.org/officeDocument/2006/relationships/hyperlink" Target="../../DKHH_model_pro.xlsx" TargetMode="External"/><Relationship Id="rId17" Type="http://schemas.openxmlformats.org/officeDocument/2006/relationships/hyperlink" Target="../../DKHH_model_pro.xlsx" TargetMode="External"/><Relationship Id="rId18" Type="http://schemas.openxmlformats.org/officeDocument/2006/relationships/hyperlink" Target="../../DKHH_model_pro.xlsx" TargetMode="External"/><Relationship Id="rId19" Type="http://schemas.openxmlformats.org/officeDocument/2006/relationships/hyperlink" Target="../../DKHH_model_pro.xlsx" TargetMode="External"/><Relationship Id="rId20" Type="http://schemas.openxmlformats.org/officeDocument/2006/relationships/hyperlink" Target="../../DKHH_model_pro.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64.5"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25.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225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0" t="s">
        <v>33</v>
      </c>
    </row>
    <row r="28" customFormat="false" ht="15" hidden="false" customHeight="false" outlineLevel="0" collapsed="false">
      <c r="B28" s="3" t="s">
        <v>34</v>
      </c>
    </row>
    <row r="29" customFormat="false" ht="15" hidden="false" customHeight="false" outlineLevel="0" collapsed="false">
      <c r="B29" s="12" t="s">
        <v>35</v>
      </c>
      <c r="C29" s="13" t="s">
        <v>36</v>
      </c>
    </row>
    <row r="30" customFormat="false" ht="15" hidden="false" customHeight="false" outlineLevel="0" collapsed="false">
      <c r="B30" s="12" t="s">
        <v>37</v>
      </c>
      <c r="C30" s="13" t="s">
        <v>38</v>
      </c>
    </row>
    <row r="31" customFormat="false" ht="15" hidden="false" customHeight="false" outlineLevel="0" collapsed="false">
      <c r="B31" s="12" t="s">
        <v>39</v>
      </c>
      <c r="C31" s="13" t="s">
        <v>40</v>
      </c>
    </row>
    <row r="32" customFormat="false" ht="15" hidden="false" customHeight="false" outlineLevel="0" collapsed="false">
      <c r="B32" s="12" t="s">
        <v>41</v>
      </c>
      <c r="C32" s="13" t="s">
        <v>42</v>
      </c>
    </row>
    <row r="33" customFormat="false" ht="15" hidden="false" customHeight="false" outlineLevel="0" collapsed="false">
      <c r="B33" s="12" t="s">
        <v>43</v>
      </c>
      <c r="C33" s="13" t="s">
        <v>44</v>
      </c>
    </row>
    <row r="34" customFormat="false" ht="15" hidden="false" customHeight="false" outlineLevel="0" collapsed="false">
      <c r="B34" s="12" t="s">
        <v>45</v>
      </c>
      <c r="C34" s="13" t="s">
        <v>46</v>
      </c>
    </row>
    <row r="35" customFormat="false" ht="15" hidden="false" customHeight="false" outlineLevel="0" collapsed="false">
      <c r="B35" s="12" t="s">
        <v>47</v>
      </c>
      <c r="C35" s="13" t="s">
        <v>48</v>
      </c>
    </row>
    <row r="36" customFormat="false" ht="15" hidden="false" customHeight="false" outlineLevel="0" collapsed="false">
      <c r="B36" s="12" t="s">
        <v>49</v>
      </c>
      <c r="C36" s="13" t="s">
        <v>50</v>
      </c>
    </row>
    <row r="37" customFormat="false" ht="15" hidden="false" customHeight="false" outlineLevel="0" collapsed="false">
      <c r="B37" s="12" t="s">
        <v>51</v>
      </c>
      <c r="C37" s="13" t="s">
        <v>52</v>
      </c>
    </row>
    <row r="38" customFormat="false" ht="15" hidden="false" customHeight="false" outlineLevel="0" collapsed="false">
      <c r="B38" s="12" t="s">
        <v>53</v>
      </c>
      <c r="C38" s="13" t="s">
        <v>54</v>
      </c>
    </row>
    <row r="39" customFormat="false" ht="15" hidden="false" customHeight="false" outlineLevel="0" collapsed="false">
      <c r="B39" s="12" t="s">
        <v>55</v>
      </c>
      <c r="C39" s="13" t="s">
        <v>56</v>
      </c>
    </row>
    <row r="40" customFormat="false" ht="15" hidden="false" customHeight="false" outlineLevel="0" collapsed="false">
      <c r="B40" s="12" t="s">
        <v>57</v>
      </c>
      <c r="C40" s="13" t="s">
        <v>58</v>
      </c>
    </row>
    <row r="41" customFormat="false" ht="15" hidden="false" customHeight="false" outlineLevel="0" collapsed="false">
      <c r="B41" s="12" t="s">
        <v>59</v>
      </c>
      <c r="C41" s="13" t="s">
        <v>60</v>
      </c>
    </row>
    <row r="42" customFormat="false" ht="15" hidden="false" customHeight="false" outlineLevel="0" collapsed="false">
      <c r="B42" s="12" t="s">
        <v>61</v>
      </c>
      <c r="C42" s="13" t="s">
        <v>62</v>
      </c>
    </row>
    <row r="43" customFormat="false" ht="15" hidden="false" customHeight="false" outlineLevel="0" collapsed="false">
      <c r="B43" s="12" t="s">
        <v>63</v>
      </c>
      <c r="C43" s="13" t="s">
        <v>64</v>
      </c>
    </row>
    <row r="44" customFormat="false" ht="15" hidden="false" customHeight="false" outlineLevel="0" collapsed="false">
      <c r="B44" s="12" t="s">
        <v>65</v>
      </c>
      <c r="C44" s="13" t="s">
        <v>66</v>
      </c>
    </row>
    <row r="45" customFormat="false" ht="15" hidden="false" customHeight="false" outlineLevel="0" collapsed="false">
      <c r="B45" s="12" t="s">
        <v>67</v>
      </c>
      <c r="C45" s="13" t="s">
        <v>68</v>
      </c>
    </row>
    <row r="46" customFormat="false" ht="15" hidden="false" customHeight="false" outlineLevel="0" collapsed="false">
      <c r="B46" s="12" t="s">
        <v>69</v>
      </c>
      <c r="C46" s="13" t="s">
        <v>70</v>
      </c>
    </row>
    <row r="47" customFormat="false" ht="15" hidden="false" customHeight="false" outlineLevel="0" collapsed="false">
      <c r="B47" s="12" t="s">
        <v>71</v>
      </c>
      <c r="C47" s="13" t="s">
        <v>72</v>
      </c>
    </row>
    <row r="48" customFormat="false" ht="15" hidden="false" customHeight="false" outlineLevel="0" collapsed="false">
      <c r="B48" s="12" t="s">
        <v>73</v>
      </c>
      <c r="C48" s="13" t="s">
        <v>74</v>
      </c>
    </row>
  </sheetData>
  <hyperlinks>
    <hyperlink ref="B29" r:id="rId1" location="'Cover'!A1" display="Cover"/>
    <hyperlink ref="B30" r:id="rId2" location="'Panduan'!A1" display="Panduan"/>
    <hyperlink ref="B31" r:id="rId3" location="'Ringkasan'!A1" display="Ringkasan"/>
    <hyperlink ref="B32" r:id="rId4" location="'Dashboard'!A1" display="Dashboard"/>
    <hyperlink ref="B33" r:id="rId5" location="'Asumsi'!A1" display="Asumsi"/>
    <hyperlink ref="B34" r:id="rId6" location="'IS_Proj'!A1" display="IS_Proj"/>
    <hyperlink ref="B35" r:id="rId7" location="'BS_Proj'!A1" display="BS_Proj"/>
    <hyperlink ref="B36" r:id="rId8" location="'CF_Proj'!A1" display="CF_Proj"/>
    <hyperlink ref="B37" r:id="rId9" location="'Schedules_Proj'!A1" display="Schedules_Proj"/>
    <hyperlink ref="B38" r:id="rId10" location="'DCF_Template'!A1" display="DCF_Template"/>
    <hyperlink ref="B39" r:id="rId11" location="'Peer'!A1" display="Peer"/>
    <hyperlink ref="B40" r:id="rId12" location="'IS'!A1" display="IS"/>
    <hyperlink ref="B41" r:id="rId13" location="'BS'!A1" display="BS"/>
    <hyperlink ref="B42" r:id="rId14" location="'CF'!A1" display="CF"/>
    <hyperlink ref="B43" r:id="rId15" location="'Schedules'!A1" display="Schedules"/>
    <hyperlink ref="B44" r:id="rId16" location="'Rasio'!A1" display="Rasio"/>
    <hyperlink ref="B45" r:id="rId17" location="'Rekonsiliasi'!A1" display="Rekonsiliasi"/>
    <hyperlink ref="B46" r:id="rId18" location="'Temuan'!A1" display="Temuan"/>
    <hyperlink ref="B47" r:id="rId19" location="'Database'!A1" display="Database"/>
    <hyperlink ref="B48" r:id="rId20"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75</v>
      </c>
    </row>
    <row r="2" customFormat="false" ht="15" hidden="false" customHeight="false" outlineLevel="0" collapsed="false">
      <c r="A2" s="15" t="s">
        <v>76</v>
      </c>
    </row>
    <row r="4" customFormat="false" ht="15" hidden="false" customHeight="false" outlineLevel="0" collapsed="false">
      <c r="A4" s="16"/>
      <c r="B4" s="17" t="s">
        <v>77</v>
      </c>
      <c r="C4" s="16"/>
    </row>
    <row r="5" customFormat="false" ht="25.5" hidden="false" customHeight="true" outlineLevel="0" collapsed="false">
      <c r="B5" s="4" t="s">
        <v>78</v>
      </c>
      <c r="C5" s="10" t="s">
        <v>79</v>
      </c>
    </row>
    <row r="6" customFormat="false" ht="25.5" hidden="false" customHeight="true" outlineLevel="0" collapsed="false">
      <c r="B6" s="4" t="s">
        <v>80</v>
      </c>
      <c r="C6" s="10" t="s">
        <v>81</v>
      </c>
    </row>
    <row r="7" customFormat="false" ht="25.5" hidden="false" customHeight="true" outlineLevel="0" collapsed="false">
      <c r="B7" s="4" t="s">
        <v>82</v>
      </c>
      <c r="C7" s="10" t="s">
        <v>83</v>
      </c>
    </row>
    <row r="8" customFormat="false" ht="25.5" hidden="false" customHeight="true" outlineLevel="0" collapsed="false">
      <c r="B8" s="4" t="s">
        <v>84</v>
      </c>
      <c r="C8" s="10" t="s">
        <v>85</v>
      </c>
    </row>
    <row r="9" customFormat="false" ht="25.5" hidden="false" customHeight="true" outlineLevel="0" collapsed="false">
      <c r="B9" s="4" t="s">
        <v>86</v>
      </c>
      <c r="C9" s="10" t="s">
        <v>87</v>
      </c>
    </row>
    <row r="10" customFormat="false" ht="25.5" hidden="false" customHeight="true" outlineLevel="0" collapsed="false">
      <c r="B10" s="4" t="s">
        <v>88</v>
      </c>
      <c r="C10" s="10" t="s">
        <v>89</v>
      </c>
    </row>
    <row r="11" customFormat="false" ht="25.5" hidden="false" customHeight="true" outlineLevel="0" collapsed="false">
      <c r="B11" s="4" t="s">
        <v>90</v>
      </c>
      <c r="C11" s="10" t="s">
        <v>91</v>
      </c>
    </row>
    <row r="13" customFormat="false" ht="15" hidden="false" customHeight="false" outlineLevel="0" collapsed="false">
      <c r="A13" s="16"/>
      <c r="B13" s="17" t="s">
        <v>92</v>
      </c>
      <c r="C13" s="16"/>
    </row>
    <row r="14" customFormat="false" ht="15" hidden="false" customHeight="true" outlineLevel="0" collapsed="false">
      <c r="B14" s="4" t="s">
        <v>93</v>
      </c>
      <c r="C14" s="10" t="s">
        <v>94</v>
      </c>
    </row>
    <row r="15" customFormat="false" ht="15" hidden="false" customHeight="true" outlineLevel="0" collapsed="false">
      <c r="B15" s="4" t="s">
        <v>95</v>
      </c>
      <c r="C15" s="10" t="s">
        <v>96</v>
      </c>
    </row>
    <row r="16" customFormat="false" ht="15" hidden="false" customHeight="true" outlineLevel="0" collapsed="false">
      <c r="B16" s="4" t="s">
        <v>97</v>
      </c>
      <c r="C16" s="10" t="s">
        <v>98</v>
      </c>
    </row>
    <row r="17" customFormat="false" ht="15" hidden="false" customHeight="true" outlineLevel="0" collapsed="false">
      <c r="B17" s="4" t="s">
        <v>99</v>
      </c>
      <c r="C17" s="10" t="s">
        <v>100</v>
      </c>
    </row>
    <row r="18" customFormat="false" ht="15" hidden="false" customHeight="true" outlineLevel="0" collapsed="false">
      <c r="B18" s="4" t="s">
        <v>101</v>
      </c>
      <c r="C18" s="10" t="s">
        <v>102</v>
      </c>
    </row>
    <row r="19" customFormat="false" ht="15" hidden="false" customHeight="true" outlineLevel="0" collapsed="false">
      <c r="B19" s="4" t="s">
        <v>103</v>
      </c>
      <c r="C19" s="10" t="s">
        <v>104</v>
      </c>
    </row>
    <row r="21" customFormat="false" ht="15" hidden="false" customHeight="false" outlineLevel="0" collapsed="false">
      <c r="A21" s="16"/>
      <c r="B21" s="17" t="s">
        <v>105</v>
      </c>
      <c r="C21" s="16"/>
    </row>
    <row r="22" customFormat="false" ht="25.5" hidden="false" customHeight="true" outlineLevel="0" collapsed="false">
      <c r="B22" s="4" t="s">
        <v>106</v>
      </c>
      <c r="C22" s="10" t="s">
        <v>107</v>
      </c>
    </row>
    <row r="23" customFormat="false" ht="25.5" hidden="false" customHeight="true" outlineLevel="0" collapsed="false">
      <c r="B23" s="4" t="s">
        <v>108</v>
      </c>
      <c r="C23" s="10" t="s">
        <v>109</v>
      </c>
    </row>
    <row r="24" customFormat="false" ht="25.5" hidden="false" customHeight="true" outlineLevel="0" collapsed="false">
      <c r="B24" s="4" t="s">
        <v>110</v>
      </c>
      <c r="C24" s="10" t="s">
        <v>111</v>
      </c>
    </row>
    <row r="25" customFormat="false" ht="15" hidden="false" customHeight="true" outlineLevel="0" collapsed="false">
      <c r="B25" s="4" t="s">
        <v>26</v>
      </c>
      <c r="C25" s="10" t="s">
        <v>112</v>
      </c>
    </row>
    <row r="27" customFormat="false" ht="15" hidden="false" customHeight="false" outlineLevel="0" collapsed="false">
      <c r="A27" s="16"/>
      <c r="B27" s="17" t="s">
        <v>113</v>
      </c>
      <c r="C27" s="16"/>
    </row>
    <row r="28" customFormat="false" ht="15" hidden="false" customHeight="true" outlineLevel="0" collapsed="false">
      <c r="B28" s="4" t="s">
        <v>35</v>
      </c>
      <c r="C28" s="10" t="s">
        <v>36</v>
      </c>
    </row>
    <row r="29" customFormat="false" ht="15" hidden="false" customHeight="true" outlineLevel="0" collapsed="false">
      <c r="B29" s="4" t="s">
        <v>37</v>
      </c>
      <c r="C29" s="10" t="s">
        <v>38</v>
      </c>
    </row>
    <row r="30" customFormat="false" ht="15" hidden="false" customHeight="true" outlineLevel="0" collapsed="false">
      <c r="B30" s="4" t="s">
        <v>39</v>
      </c>
      <c r="C30" s="10" t="s">
        <v>40</v>
      </c>
    </row>
    <row r="31" customFormat="false" ht="15" hidden="false" customHeight="true" outlineLevel="0" collapsed="false">
      <c r="B31" s="4" t="s">
        <v>41</v>
      </c>
      <c r="C31" s="10" t="s">
        <v>42</v>
      </c>
    </row>
    <row r="32" customFormat="false" ht="15" hidden="false" customHeight="true" outlineLevel="0" collapsed="false">
      <c r="B32" s="4" t="s">
        <v>43</v>
      </c>
      <c r="C32" s="10" t="s">
        <v>44</v>
      </c>
    </row>
    <row r="33" customFormat="false" ht="15" hidden="false" customHeight="true" outlineLevel="0" collapsed="false">
      <c r="B33" s="4" t="s">
        <v>45</v>
      </c>
      <c r="C33" s="10" t="s">
        <v>46</v>
      </c>
    </row>
    <row r="34" customFormat="false" ht="15" hidden="false" customHeight="true" outlineLevel="0" collapsed="false">
      <c r="B34" s="4" t="s">
        <v>47</v>
      </c>
      <c r="C34" s="10" t="s">
        <v>48</v>
      </c>
    </row>
    <row r="35" customFormat="false" ht="15" hidden="false" customHeight="true" outlineLevel="0" collapsed="false">
      <c r="B35" s="4" t="s">
        <v>49</v>
      </c>
      <c r="C35" s="10" t="s">
        <v>50</v>
      </c>
    </row>
    <row r="36" customFormat="false" ht="15" hidden="false" customHeight="true" outlineLevel="0" collapsed="false">
      <c r="B36" s="4" t="s">
        <v>51</v>
      </c>
      <c r="C36" s="10" t="s">
        <v>52</v>
      </c>
    </row>
    <row r="37" customFormat="false" ht="15" hidden="false" customHeight="true" outlineLevel="0" collapsed="false">
      <c r="B37" s="4" t="s">
        <v>53</v>
      </c>
      <c r="C37" s="10" t="s">
        <v>54</v>
      </c>
    </row>
    <row r="38" customFormat="false" ht="15" hidden="false" customHeight="true" outlineLevel="0" collapsed="false">
      <c r="B38" s="4" t="s">
        <v>55</v>
      </c>
      <c r="C38" s="10" t="s">
        <v>56</v>
      </c>
    </row>
    <row r="39" customFormat="false" ht="15" hidden="false" customHeight="true" outlineLevel="0" collapsed="false">
      <c r="B39" s="4" t="s">
        <v>57</v>
      </c>
      <c r="C39" s="10" t="s">
        <v>58</v>
      </c>
    </row>
    <row r="40" customFormat="false" ht="15" hidden="false" customHeight="true" outlineLevel="0" collapsed="false">
      <c r="B40" s="4" t="s">
        <v>59</v>
      </c>
      <c r="C40" s="10" t="s">
        <v>60</v>
      </c>
    </row>
    <row r="41" customFormat="false" ht="15" hidden="false" customHeight="true" outlineLevel="0" collapsed="false">
      <c r="B41" s="4" t="s">
        <v>61</v>
      </c>
      <c r="C41" s="10" t="s">
        <v>62</v>
      </c>
    </row>
    <row r="42" customFormat="false" ht="25.5" hidden="false" customHeight="true" outlineLevel="0" collapsed="false">
      <c r="B42" s="4" t="s">
        <v>63</v>
      </c>
      <c r="C42" s="10" t="s">
        <v>64</v>
      </c>
    </row>
    <row r="43" customFormat="false" ht="15" hidden="false" customHeight="true" outlineLevel="0" collapsed="false">
      <c r="B43" s="4" t="s">
        <v>65</v>
      </c>
      <c r="C43" s="10" t="s">
        <v>66</v>
      </c>
    </row>
    <row r="44" customFormat="false" ht="15" hidden="false" customHeight="true" outlineLevel="0" collapsed="false">
      <c r="B44" s="4" t="s">
        <v>67</v>
      </c>
      <c r="C44" s="10" t="s">
        <v>68</v>
      </c>
    </row>
    <row r="45" customFormat="false" ht="15" hidden="false" customHeight="true" outlineLevel="0" collapsed="false">
      <c r="B45" s="4" t="s">
        <v>69</v>
      </c>
      <c r="C45" s="10" t="s">
        <v>70</v>
      </c>
    </row>
    <row r="46" customFormat="false" ht="15" hidden="false" customHeight="true" outlineLevel="0" collapsed="false">
      <c r="B46" s="4" t="s">
        <v>71</v>
      </c>
      <c r="C46" s="10" t="s">
        <v>72</v>
      </c>
    </row>
    <row r="47" customFormat="false" ht="15" hidden="false" customHeight="true" outlineLevel="0" collapsed="false">
      <c r="B47" s="4" t="s">
        <v>73</v>
      </c>
      <c r="C47" s="10" t="s">
        <v>74</v>
      </c>
    </row>
    <row r="49" customFormat="false" ht="15" hidden="false" customHeight="false" outlineLevel="0" collapsed="false">
      <c r="A49" s="16"/>
      <c r="B49" s="17" t="s">
        <v>114</v>
      </c>
      <c r="C49" s="16"/>
    </row>
    <row r="50" customFormat="false" ht="15" hidden="false" customHeight="true" outlineLevel="0" collapsed="false">
      <c r="B50" s="4" t="s">
        <v>115</v>
      </c>
      <c r="C50" s="10" t="s">
        <v>116</v>
      </c>
    </row>
    <row r="51" customFormat="false" ht="51.75" hidden="false" customHeight="true" outlineLevel="0" collapsed="false">
      <c r="B51" s="4" t="s">
        <v>5</v>
      </c>
      <c r="C51" s="10" t="s">
        <v>117</v>
      </c>
    </row>
    <row r="52" customFormat="false" ht="78" hidden="false" customHeight="true" outlineLevel="0" collapsed="false">
      <c r="B52" s="4" t="s">
        <v>118</v>
      </c>
      <c r="C52" s="10" t="s">
        <v>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18" t="s">
        <v>119</v>
      </c>
      <c r="C1" s="18"/>
      <c r="D1" s="18"/>
      <c r="E1" s="18"/>
      <c r="F1" s="18"/>
      <c r="G1" s="18"/>
      <c r="H1" s="18"/>
    </row>
    <row r="2" customFormat="false" ht="12.75" hidden="false" customHeight="true" outlineLevel="0" collapsed="false">
      <c r="B2" s="19" t="s">
        <v>120</v>
      </c>
      <c r="C2" s="19"/>
      <c r="D2" s="19"/>
      <c r="E2" s="19"/>
      <c r="F2" s="19"/>
      <c r="G2" s="19"/>
      <c r="H2" s="19"/>
    </row>
    <row r="4" customFormat="false" ht="72" hidden="false" customHeight="true" outlineLevel="0" collapsed="false">
      <c r="B4" s="20" t="s">
        <v>121</v>
      </c>
      <c r="C4" s="20"/>
      <c r="D4" s="20"/>
      <c r="E4" s="20"/>
      <c r="F4" s="20"/>
      <c r="G4" s="20"/>
      <c r="H4" s="20"/>
    </row>
    <row r="6" customFormat="false" ht="18" hidden="false" customHeight="true" outlineLevel="0" collapsed="false">
      <c r="B6" s="21" t="s">
        <v>122</v>
      </c>
      <c r="C6" s="21"/>
      <c r="D6" s="21"/>
      <c r="E6" s="21"/>
      <c r="F6" s="21"/>
      <c r="G6" s="21"/>
      <c r="H6" s="21"/>
    </row>
    <row r="7" customFormat="false" ht="27.75" hidden="false" customHeight="true" outlineLevel="0" collapsed="false">
      <c r="B7" s="22" t="s">
        <v>123</v>
      </c>
      <c r="C7" s="22"/>
      <c r="D7" s="22"/>
      <c r="E7" s="22"/>
      <c r="F7" s="22"/>
      <c r="G7" s="22"/>
      <c r="H7" s="22"/>
    </row>
    <row r="8" customFormat="false" ht="27.75" hidden="false" customHeight="true" outlineLevel="0" collapsed="false">
      <c r="B8" s="22" t="s">
        <v>124</v>
      </c>
      <c r="C8" s="22"/>
      <c r="D8" s="22"/>
      <c r="E8" s="22"/>
      <c r="F8" s="22"/>
      <c r="G8" s="22"/>
      <c r="H8" s="22"/>
    </row>
    <row r="9" customFormat="false" ht="27.75" hidden="false" customHeight="true" outlineLevel="0" collapsed="false">
      <c r="B9" s="22" t="s">
        <v>125</v>
      </c>
      <c r="C9" s="22"/>
      <c r="D9" s="22"/>
      <c r="E9" s="22"/>
      <c r="F9" s="22"/>
      <c r="G9" s="22"/>
      <c r="H9" s="22"/>
    </row>
    <row r="10" customFormat="false" ht="27.75" hidden="false" customHeight="true" outlineLevel="0" collapsed="false">
      <c r="B10" s="22" t="s">
        <v>126</v>
      </c>
      <c r="C10" s="22"/>
      <c r="D10" s="22"/>
      <c r="E10" s="22"/>
      <c r="F10" s="22"/>
      <c r="G10" s="22"/>
      <c r="H10" s="22"/>
    </row>
    <row r="11" customFormat="false" ht="27.75" hidden="false" customHeight="true" outlineLevel="0" collapsed="false">
      <c r="B11" s="22" t="s">
        <v>127</v>
      </c>
      <c r="C11" s="22"/>
      <c r="D11" s="22"/>
      <c r="E11" s="22"/>
      <c r="F11" s="22"/>
      <c r="G11" s="22"/>
      <c r="H11" s="22"/>
    </row>
    <row r="13" customFormat="false" ht="15.75" hidden="false" customHeight="true" outlineLevel="0" collapsed="false">
      <c r="B13" s="23" t="s">
        <v>128</v>
      </c>
      <c r="C13" s="23"/>
      <c r="D13" s="23"/>
      <c r="E13" s="23"/>
      <c r="F13" s="23"/>
      <c r="G13" s="23"/>
      <c r="H13" s="23"/>
    </row>
    <row r="14" customFormat="false" ht="15" hidden="false" customHeight="false" outlineLevel="0" collapsed="false">
      <c r="B14" s="24" t="s">
        <v>129</v>
      </c>
      <c r="C14" s="25" t="s">
        <v>130</v>
      </c>
      <c r="D14" s="25" t="s">
        <v>131</v>
      </c>
      <c r="E14" s="25" t="s">
        <v>132</v>
      </c>
      <c r="F14" s="25" t="s">
        <v>133</v>
      </c>
    </row>
    <row r="15" customFormat="false" ht="13.5" hidden="false" customHeight="true" outlineLevel="0" collapsed="false">
      <c r="B15" s="26" t="s">
        <v>134</v>
      </c>
      <c r="C15" s="27" t="n">
        <f aca="false">IS!C6/1000000000</f>
        <v>99.578144421</v>
      </c>
      <c r="D15" s="27" t="n">
        <f aca="false">IS!D6/1000000000</f>
        <v>134.187678929</v>
      </c>
      <c r="E15" s="27" t="n">
        <f aca="false">IS!E6/1000000000</f>
        <v>152.142248784</v>
      </c>
      <c r="F15" s="27" t="n">
        <f aca="false">IS!F6/1000000000</f>
        <v>144.873268389</v>
      </c>
      <c r="G15" s="28"/>
      <c r="H15" s="28"/>
    </row>
    <row r="16" customFormat="false" ht="13.5" hidden="false" customHeight="true" outlineLevel="0" collapsed="false">
      <c r="B16" s="29" t="s">
        <v>135</v>
      </c>
      <c r="C16" s="30"/>
      <c r="D16" s="30" t="n">
        <f aca="false">Rasio!D6</f>
        <v>0.347561552881289</v>
      </c>
      <c r="E16" s="30" t="n">
        <f aca="false">Rasio!E6</f>
        <v>0.133801925767715</v>
      </c>
      <c r="F16" s="30" t="n">
        <f aca="false">Rasio!F6</f>
        <v>-0.0477775269729314</v>
      </c>
      <c r="G16" s="31"/>
      <c r="H16" s="31"/>
    </row>
    <row r="17" customFormat="false" ht="13.5" hidden="false" customHeight="true" outlineLevel="0" collapsed="false">
      <c r="B17" s="26" t="s">
        <v>136</v>
      </c>
      <c r="C17" s="32" t="n">
        <f aca="false">Rasio!C26</f>
        <v>0.0254571061023447</v>
      </c>
      <c r="D17" s="32" t="n">
        <f aca="false">Rasio!D26</f>
        <v>0.0885607704213128</v>
      </c>
      <c r="E17" s="32" t="n">
        <f aca="false">Rasio!E26</f>
        <v>0.303233444449072</v>
      </c>
      <c r="F17" s="32" t="n">
        <f aca="false">Rasio!F26</f>
        <v>0.211221458508376</v>
      </c>
      <c r="G17" s="28"/>
      <c r="H17" s="28"/>
    </row>
    <row r="18" customFormat="false" ht="13.5" hidden="false" customHeight="true" outlineLevel="0" collapsed="false">
      <c r="B18" s="33" t="s">
        <v>106</v>
      </c>
      <c r="C18" s="34" t="n">
        <f aca="false">Rasio!C16/1000000000</f>
        <v>15.150559587</v>
      </c>
      <c r="D18" s="34" t="n">
        <f aca="false">Rasio!D16/1000000000</f>
        <v>17.504402158</v>
      </c>
      <c r="E18" s="34" t="n">
        <f aca="false">Rasio!E16/1000000000</f>
        <v>21.381138631</v>
      </c>
      <c r="F18" s="34" t="n">
        <f aca="false">Rasio!F16/1000000000</f>
        <v>15.343800322</v>
      </c>
      <c r="G18" s="31"/>
      <c r="H18" s="31"/>
    </row>
    <row r="19" customFormat="false" ht="13.5" hidden="false" customHeight="true" outlineLevel="0" collapsed="false">
      <c r="B19" s="35" t="s">
        <v>137</v>
      </c>
      <c r="C19" s="32" t="n">
        <f aca="false">Rasio!C17</f>
        <v>0.152147438326888</v>
      </c>
      <c r="D19" s="32" t="n">
        <f aca="false">Rasio!D17</f>
        <v>0.130447163984867</v>
      </c>
      <c r="E19" s="32" t="n">
        <f aca="false">Rasio!E17</f>
        <v>0.140533867494987</v>
      </c>
      <c r="F19" s="32" t="n">
        <f aca="false">Rasio!F17</f>
        <v>0.105911880725989</v>
      </c>
      <c r="G19" s="28"/>
      <c r="H19" s="28"/>
    </row>
    <row r="20" customFormat="false" ht="13.5" hidden="false" customHeight="true" outlineLevel="0" collapsed="false">
      <c r="B20" s="33" t="s">
        <v>138</v>
      </c>
      <c r="C20" s="34" t="n">
        <f aca="false">IS!C20/1000000000</f>
        <v>4.888165764</v>
      </c>
      <c r="D20" s="34" t="n">
        <f aca="false">IS!D20/1000000000</f>
        <v>3.539716397</v>
      </c>
      <c r="E20" s="34" t="n">
        <f aca="false">IS!E20/1000000000</f>
        <v>2.837363273</v>
      </c>
      <c r="F20" s="34" t="n">
        <f aca="false">IS!F20/1000000000</f>
        <v>6.021897517</v>
      </c>
      <c r="G20" s="31"/>
      <c r="H20" s="31"/>
    </row>
    <row r="21" customFormat="false" ht="13.5" hidden="false" customHeight="true" outlineLevel="0" collapsed="false">
      <c r="B21" s="26" t="s">
        <v>139</v>
      </c>
      <c r="C21" s="27" t="n">
        <f aca="false">IS!C29/1000000000</f>
        <v>4.888165764</v>
      </c>
      <c r="D21" s="27" t="n">
        <f aca="false">IS!D29/1000000000</f>
        <v>3.539716397</v>
      </c>
      <c r="E21" s="27" t="n">
        <f aca="false">IS!E29/1000000000</f>
        <v>2.837231824</v>
      </c>
      <c r="F21" s="27" t="n">
        <f aca="false">IS!F29/1000000000</f>
        <v>6.021648113</v>
      </c>
      <c r="G21" s="28"/>
      <c r="H21" s="28"/>
    </row>
    <row r="22" customFormat="false" ht="13.5" hidden="false" customHeight="true" outlineLevel="0" collapsed="false">
      <c r="B22" s="29" t="s">
        <v>140</v>
      </c>
      <c r="C22" s="30" t="n">
        <f aca="false">Rasio!C23</f>
        <v>0</v>
      </c>
      <c r="D22" s="30" t="n">
        <f aca="false">Rasio!D23</f>
        <v>0</v>
      </c>
      <c r="E22" s="30" t="n">
        <f aca="false">Rasio!E23</f>
        <v>4.63278711086636E-005</v>
      </c>
      <c r="F22" s="30" t="n">
        <f aca="false">Rasio!F23</f>
        <v>4.14161814105811E-005</v>
      </c>
      <c r="G22" s="31"/>
      <c r="H22" s="31"/>
    </row>
    <row r="23" customFormat="false" ht="13.5" hidden="false" customHeight="true" outlineLevel="0" collapsed="false">
      <c r="B23" s="26" t="s">
        <v>141</v>
      </c>
      <c r="C23" s="32"/>
      <c r="D23" s="32" t="n">
        <f aca="false">Rasio!D20</f>
        <v>0.0392822248959968</v>
      </c>
      <c r="E23" s="32" t="n">
        <f aca="false">Rasio!E20</f>
        <v>0.0219193800713985</v>
      </c>
      <c r="F23" s="32" t="n">
        <f aca="false">Rasio!F20</f>
        <v>0.035818840873923</v>
      </c>
      <c r="G23" s="28"/>
      <c r="H23" s="28"/>
    </row>
    <row r="24" customFormat="false" ht="13.5" hidden="false" customHeight="true" outlineLevel="0" collapsed="false">
      <c r="B24" s="33" t="s">
        <v>142</v>
      </c>
      <c r="C24" s="34" t="n">
        <f aca="false">CF!C14/1000000000</f>
        <v>7.734100083</v>
      </c>
      <c r="D24" s="34" t="n">
        <f aca="false">CF!D14/1000000000</f>
        <v>19.735705441</v>
      </c>
      <c r="E24" s="34" t="n">
        <f aca="false">CF!E14/1000000000</f>
        <v>2.997687548</v>
      </c>
      <c r="F24" s="34" t="n">
        <f aca="false">CF!F14/1000000000</f>
        <v>5.56795137</v>
      </c>
      <c r="G24" s="31"/>
      <c r="H24" s="31"/>
    </row>
    <row r="25" customFormat="false" ht="13.5" hidden="false" customHeight="true" outlineLevel="0" collapsed="false">
      <c r="B25" s="26" t="s">
        <v>143</v>
      </c>
      <c r="C25" s="27" t="n">
        <f aca="false">Rasio!C41/1000000000</f>
        <v>16.981553674</v>
      </c>
      <c r="D25" s="27" t="n">
        <f aca="false">Rasio!D41/1000000000</f>
        <v>36.146492177</v>
      </c>
      <c r="E25" s="27" t="n">
        <f aca="false">Rasio!E41/1000000000</f>
        <v>24.447662378</v>
      </c>
      <c r="F25" s="27" t="n">
        <f aca="false">Rasio!F41/1000000000</f>
        <v>27.390827865</v>
      </c>
      <c r="G25" s="28"/>
      <c r="H25" s="28"/>
    </row>
    <row r="26" customFormat="false" ht="13.5" hidden="false" customHeight="true" outlineLevel="0" collapsed="false">
      <c r="B26" s="33" t="s">
        <v>144</v>
      </c>
      <c r="C26" s="34" t="n">
        <f aca="false">Rasio!C36/1000000000</f>
        <v>64.124134844</v>
      </c>
      <c r="D26" s="34" t="n">
        <f aca="false">Rasio!D36/1000000000</f>
        <v>142.651610014</v>
      </c>
      <c r="E26" s="34" t="n">
        <f aca="false">Rasio!E36/1000000000</f>
        <v>111.510538072</v>
      </c>
      <c r="F26" s="34" t="n">
        <f aca="false">Rasio!F36/1000000000</f>
        <v>87.265075154</v>
      </c>
      <c r="G26" s="31"/>
      <c r="H26" s="31"/>
    </row>
    <row r="27" customFormat="false" ht="13.5" hidden="false" customHeight="true" outlineLevel="0" collapsed="false">
      <c r="B27" s="35" t="s">
        <v>145</v>
      </c>
      <c r="C27" s="36" t="n">
        <f aca="false">Rasio!C38</f>
        <v>4.23245982934003</v>
      </c>
      <c r="D27" s="36" t="n">
        <f aca="false">Rasio!D38</f>
        <v>8.14947055754225</v>
      </c>
      <c r="E27" s="36" t="n">
        <f aca="false">Rasio!E38</f>
        <v>5.21536948973913</v>
      </c>
      <c r="F27" s="36" t="n">
        <f aca="false">Rasio!F38</f>
        <v>5.68731822121531</v>
      </c>
      <c r="G27" s="28"/>
      <c r="H27" s="28"/>
    </row>
    <row r="28" customFormat="false" ht="13.5" hidden="false" customHeight="true" outlineLevel="0" collapsed="false">
      <c r="B28" s="33" t="s">
        <v>146</v>
      </c>
      <c r="C28" s="34" t="n">
        <f aca="false">Rasio!C28</f>
        <v>44.4195701598873</v>
      </c>
      <c r="D28" s="34" t="n">
        <f aca="false">Rasio!D28</f>
        <v>45.6528040257806</v>
      </c>
      <c r="E28" s="34" t="n">
        <f aca="false">Rasio!E28</f>
        <v>60.1587557526463</v>
      </c>
      <c r="F28" s="34" t="n">
        <f aca="false">Rasio!F28</f>
        <v>47.548060426709</v>
      </c>
      <c r="G28" s="31"/>
      <c r="H28" s="31"/>
    </row>
    <row r="29" customFormat="false" ht="13.5" hidden="false" customHeight="true" outlineLevel="0" collapsed="false">
      <c r="B29" s="26" t="s">
        <v>147</v>
      </c>
      <c r="C29" s="32" t="n">
        <f aca="false">Rasio!C22</f>
        <v>0.258012508806481</v>
      </c>
      <c r="D29" s="32" t="n">
        <f aca="false">Rasio!D22</f>
        <v>0.76735138585865</v>
      </c>
      <c r="E29" s="32" t="n">
        <f aca="false">Rasio!E22</f>
        <v>6.91166519635588</v>
      </c>
      <c r="F29" s="32" t="n">
        <f aca="false">Rasio!F22</f>
        <v>-0.058527226712422</v>
      </c>
      <c r="G29" s="28"/>
      <c r="H29" s="28"/>
    </row>
    <row r="30" customFormat="false" ht="36" hidden="false" customHeight="true" outlineLevel="0" collapsed="false">
      <c r="B30" s="37" t="s">
        <v>148</v>
      </c>
      <c r="C30" s="37"/>
      <c r="D30" s="37"/>
      <c r="E30" s="37"/>
      <c r="F30" s="37"/>
      <c r="G30" s="37"/>
      <c r="H30" s="37"/>
    </row>
    <row r="32" customFormat="false" ht="18" hidden="false" customHeight="true" outlineLevel="0" collapsed="false">
      <c r="B32" s="21" t="s">
        <v>149</v>
      </c>
      <c r="C32" s="21"/>
      <c r="D32" s="21"/>
      <c r="E32" s="21"/>
      <c r="F32" s="21"/>
      <c r="G32" s="21"/>
      <c r="H32" s="21"/>
    </row>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24.75" hidden="false" customHeight="true" outlineLevel="0" collapsed="false">
      <c r="B50" s="37" t="s">
        <v>150</v>
      </c>
      <c r="C50" s="37"/>
      <c r="D50" s="37"/>
      <c r="E50" s="37"/>
      <c r="F50" s="37"/>
      <c r="G50" s="37"/>
      <c r="H50" s="37"/>
    </row>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24.75" hidden="false" customHeight="true" outlineLevel="0" collapsed="false">
      <c r="B68" s="37" t="s">
        <v>151</v>
      </c>
      <c r="C68" s="37"/>
      <c r="D68" s="37"/>
      <c r="E68" s="37"/>
      <c r="F68" s="37"/>
      <c r="G68" s="37"/>
      <c r="H68" s="37"/>
    </row>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6" customFormat="false" ht="18" hidden="false" customHeight="true" outlineLevel="0" collapsed="false">
      <c r="B86" s="21" t="s">
        <v>152</v>
      </c>
      <c r="C86" s="21"/>
      <c r="D86" s="21"/>
      <c r="E86" s="21"/>
      <c r="F86" s="21"/>
      <c r="G86" s="21"/>
      <c r="H86" s="21"/>
    </row>
    <row r="87" customFormat="false" ht="27" hidden="false" customHeight="true" outlineLevel="0" collapsed="false">
      <c r="B87" s="38" t="s">
        <v>153</v>
      </c>
      <c r="C87" s="38"/>
      <c r="D87" s="38"/>
      <c r="E87" s="38"/>
      <c r="F87" s="38"/>
      <c r="G87" s="38"/>
      <c r="H87" s="38"/>
    </row>
    <row r="88" customFormat="false" ht="27" hidden="false" customHeight="true" outlineLevel="0" collapsed="false">
      <c r="B88" s="38" t="s">
        <v>154</v>
      </c>
      <c r="C88" s="38"/>
      <c r="D88" s="38"/>
      <c r="E88" s="38"/>
      <c r="F88" s="38"/>
      <c r="G88" s="38"/>
      <c r="H88" s="38"/>
    </row>
    <row r="89" customFormat="false" ht="27" hidden="false" customHeight="true" outlineLevel="0" collapsed="false">
      <c r="B89" s="38" t="s">
        <v>155</v>
      </c>
      <c r="C89" s="38"/>
      <c r="D89" s="38"/>
      <c r="E89" s="38"/>
      <c r="F89" s="38"/>
      <c r="G89" s="38"/>
      <c r="H89" s="38"/>
    </row>
    <row r="90" customFormat="false" ht="27" hidden="false" customHeight="true" outlineLevel="0" collapsed="false">
      <c r="B90" s="38" t="s">
        <v>156</v>
      </c>
      <c r="C90" s="38"/>
      <c r="D90" s="38"/>
      <c r="E90" s="38"/>
      <c r="F90" s="38"/>
      <c r="G90" s="38"/>
      <c r="H90" s="38"/>
    </row>
    <row r="91" customFormat="false" ht="27" hidden="false" customHeight="true" outlineLevel="0" collapsed="false">
      <c r="B91" s="38" t="s">
        <v>157</v>
      </c>
      <c r="C91" s="38"/>
      <c r="D91" s="38"/>
      <c r="E91" s="38"/>
      <c r="F91" s="38"/>
      <c r="G91" s="38"/>
      <c r="H91" s="38"/>
    </row>
    <row r="92" customFormat="false" ht="15" hidden="false" customHeight="true" outlineLevel="0" collapsed="false">
      <c r="B92" s="38" t="s">
        <v>158</v>
      </c>
      <c r="C92" s="38"/>
      <c r="D92" s="38"/>
      <c r="E92" s="38"/>
      <c r="F92" s="38"/>
      <c r="G92" s="38"/>
      <c r="H92" s="38"/>
    </row>
    <row r="93" customFormat="false" ht="24.75" hidden="false" customHeight="true" outlineLevel="0" collapsed="false">
      <c r="B93" s="37" t="s">
        <v>159</v>
      </c>
      <c r="C93" s="37"/>
      <c r="D93" s="37"/>
      <c r="E93" s="37"/>
      <c r="F93" s="37"/>
      <c r="G93" s="37"/>
      <c r="H93" s="37"/>
    </row>
    <row r="95" customFormat="false" ht="18" hidden="false" customHeight="true" outlineLevel="0" collapsed="false">
      <c r="B95" s="39" t="s">
        <v>160</v>
      </c>
      <c r="C95" s="39"/>
      <c r="D95" s="39"/>
      <c r="E95" s="39"/>
      <c r="F95" s="39"/>
      <c r="G95" s="39"/>
      <c r="H95" s="39"/>
    </row>
    <row r="96" customFormat="false" ht="63" hidden="false" customHeight="true" outlineLevel="0" collapsed="false">
      <c r="B96" s="40" t="s">
        <v>11</v>
      </c>
      <c r="C96" s="40"/>
      <c r="D96" s="40"/>
      <c r="E96" s="40"/>
      <c r="F96" s="40"/>
      <c r="G96" s="40"/>
      <c r="H96" s="40"/>
    </row>
    <row r="98" customFormat="false" ht="18" hidden="false" customHeight="true" outlineLevel="0" collapsed="false">
      <c r="B98" s="21" t="s">
        <v>161</v>
      </c>
      <c r="C98" s="21"/>
      <c r="D98" s="21"/>
      <c r="E98" s="21"/>
      <c r="F98" s="21"/>
      <c r="G98" s="21"/>
      <c r="H98" s="21"/>
    </row>
    <row r="99" customFormat="false" ht="25.5" hidden="false" customHeight="true" outlineLevel="0" collapsed="false">
      <c r="B99" s="41" t="s">
        <v>162</v>
      </c>
      <c r="C99" s="41"/>
      <c r="D99" s="41"/>
      <c r="E99" s="41"/>
      <c r="F99" s="41"/>
      <c r="G99" s="41"/>
      <c r="H99" s="41"/>
    </row>
    <row r="100" customFormat="false" ht="37.5" hidden="false" customHeight="true" outlineLevel="0" collapsed="false">
      <c r="B100" s="41" t="s">
        <v>163</v>
      </c>
      <c r="C100" s="41"/>
      <c r="D100" s="41"/>
      <c r="E100" s="41"/>
      <c r="F100" s="41"/>
      <c r="G100" s="41"/>
      <c r="H100" s="41"/>
    </row>
    <row r="102" customFormat="false" ht="18" hidden="false" customHeight="true" outlineLevel="0" collapsed="false">
      <c r="B102" s="42" t="s">
        <v>164</v>
      </c>
      <c r="C102" s="42"/>
      <c r="D102" s="42"/>
      <c r="E102" s="42"/>
      <c r="F102" s="42"/>
      <c r="G102" s="42"/>
      <c r="H102" s="42"/>
    </row>
    <row r="103" customFormat="false" ht="87" hidden="false" customHeight="true" outlineLevel="0" collapsed="false">
      <c r="B103" s="43" t="s">
        <v>165</v>
      </c>
      <c r="C103" s="43"/>
      <c r="D103" s="43"/>
      <c r="E103" s="43"/>
      <c r="F103" s="43"/>
      <c r="G103" s="43"/>
      <c r="H103" s="43"/>
    </row>
  </sheetData>
  <mergeCells count="29">
    <mergeCell ref="B1:H1"/>
    <mergeCell ref="B2:H2"/>
    <mergeCell ref="B4:H4"/>
    <mergeCell ref="B6:H6"/>
    <mergeCell ref="B7:H7"/>
    <mergeCell ref="B8:H8"/>
    <mergeCell ref="B9:H9"/>
    <mergeCell ref="B10:H10"/>
    <mergeCell ref="B11:H11"/>
    <mergeCell ref="B13:H13"/>
    <mergeCell ref="B30:H30"/>
    <mergeCell ref="B32:H32"/>
    <mergeCell ref="B50:H50"/>
    <mergeCell ref="B68:H68"/>
    <mergeCell ref="B86:H86"/>
    <mergeCell ref="B87:H87"/>
    <mergeCell ref="B88:H88"/>
    <mergeCell ref="B89:H89"/>
    <mergeCell ref="B90:H90"/>
    <mergeCell ref="B91:H91"/>
    <mergeCell ref="B92:H92"/>
    <mergeCell ref="B93:H93"/>
    <mergeCell ref="B95:H95"/>
    <mergeCell ref="B96:H96"/>
    <mergeCell ref="B98:H98"/>
    <mergeCell ref="B99:H99"/>
    <mergeCell ref="B100:H100"/>
    <mergeCell ref="B102:H102"/>
    <mergeCell ref="B103:H103"/>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Cipta Sarana Medika Tbk (DKHH)&amp;R&amp;8 © Ryant Gabein Pasaribu | CC BY 4.0 | DKHH-FY2025-v1.0-36F09546 | Bukan rekomendasi investasi</oddHeader>
    <oddFooter>&amp;L&amp;8 Sumber: LK audited DKHH 2022-2025&amp;C&amp;8 Hal &amp;P dari &amp;N&amp;R&amp;8 &amp;D</oddFooter>
  </headerFooter>
  <rowBreaks count="3" manualBreakCount="3">
    <brk id="31" man="true" max="16383" min="0"/>
    <brk id="69" man="true" max="16383" min="0"/>
    <brk id="94"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1" min="3" style="0" width="12"/>
    <col collapsed="false" customWidth="true" hidden="false" outlineLevel="0" max="12" min="12" style="0" width="40"/>
  </cols>
  <sheetData>
    <row r="1" customFormat="false" ht="17.35" hidden="false" customHeight="false" outlineLevel="0" collapsed="false">
      <c r="A1" s="14" t="s">
        <v>166</v>
      </c>
    </row>
    <row r="2" customFormat="false" ht="15" hidden="false" customHeight="false" outlineLevel="0" collapsed="false">
      <c r="A2" s="15" t="s">
        <v>167</v>
      </c>
    </row>
    <row r="3" customFormat="false" ht="15" hidden="false" customHeight="false" outlineLevel="0" collapsed="false">
      <c r="B3" s="4" t="s">
        <v>168</v>
      </c>
      <c r="C3" s="44" t="str">
        <f aca="false">Asumsi!C4</f>
        <v>Base</v>
      </c>
    </row>
    <row r="4" customFormat="false" ht="15" hidden="false" customHeight="false" outlineLevel="0" collapsed="false">
      <c r="A4" s="25"/>
      <c r="B4" s="25" t="s">
        <v>129</v>
      </c>
      <c r="C4" s="25" t="s">
        <v>130</v>
      </c>
      <c r="D4" s="25" t="s">
        <v>131</v>
      </c>
      <c r="E4" s="25" t="s">
        <v>132</v>
      </c>
      <c r="F4" s="25" t="s">
        <v>133</v>
      </c>
      <c r="G4" s="45" t="s">
        <v>169</v>
      </c>
      <c r="H4" s="45" t="s">
        <v>170</v>
      </c>
      <c r="I4" s="45" t="s">
        <v>171</v>
      </c>
      <c r="J4" s="45" t="s">
        <v>172</v>
      </c>
      <c r="K4" s="45" t="s">
        <v>173</v>
      </c>
      <c r="L4" s="25" t="s">
        <v>174</v>
      </c>
    </row>
    <row r="5" customFormat="false" ht="15" hidden="false" customHeight="false" outlineLevel="0" collapsed="false">
      <c r="B5" s="13" t="s">
        <v>175</v>
      </c>
      <c r="C5" s="46" t="n">
        <f aca="false">IS_Proj!C10/1000000000</f>
        <v>99.578144421</v>
      </c>
      <c r="D5" s="46" t="n">
        <f aca="false">IS_Proj!D10/1000000000</f>
        <v>134.187678929</v>
      </c>
      <c r="E5" s="46" t="n">
        <f aca="false">IS_Proj!E10/1000000000</f>
        <v>152.142248784</v>
      </c>
      <c r="F5" s="46" t="n">
        <f aca="false">IS_Proj!F10/1000000000</f>
        <v>144.873268389</v>
      </c>
      <c r="G5" s="47" t="n">
        <f aca="false">IS_Proj!G10/1000000000</f>
        <v>156.405957250738</v>
      </c>
      <c r="H5" s="47" t="n">
        <f aca="false">IS_Proj!H10/1000000000</f>
        <v>168.918433830797</v>
      </c>
      <c r="I5" s="47" t="n">
        <f aca="false">IS_Proj!I10/1000000000</f>
        <v>182.431908537261</v>
      </c>
      <c r="J5" s="47" t="n">
        <f aca="false">IS_Proj!J10/1000000000</f>
        <v>197.026461220241</v>
      </c>
      <c r="K5" s="47" t="n">
        <f aca="false">IS_Proj!K10/1000000000</f>
        <v>212.788578117861</v>
      </c>
    </row>
    <row r="6" customFormat="false" ht="15" hidden="false" customHeight="false" outlineLevel="0" collapsed="false">
      <c r="B6" s="13" t="s">
        <v>176</v>
      </c>
      <c r="C6" s="48"/>
      <c r="D6" s="48" t="n">
        <f aca="false">IS_Proj!D11</f>
        <v>0.347561552881289</v>
      </c>
      <c r="E6" s="48" t="n">
        <f aca="false">IS_Proj!E11</f>
        <v>0.133801925767715</v>
      </c>
      <c r="F6" s="48" t="n">
        <f aca="false">IS_Proj!F11</f>
        <v>-0.0477775269729314</v>
      </c>
      <c r="G6" s="49" t="n">
        <f aca="false">IS_Proj!G11</f>
        <v>0.0796053612235161</v>
      </c>
      <c r="H6" s="49" t="n">
        <f aca="false">IS_Proj!H11</f>
        <v>0.0800000000000001</v>
      </c>
      <c r="I6" s="49" t="n">
        <f aca="false">IS_Proj!I11</f>
        <v>0.0800000000000003</v>
      </c>
      <c r="J6" s="49" t="n">
        <f aca="false">IS_Proj!J11</f>
        <v>0.0799999999999999</v>
      </c>
      <c r="K6" s="49" t="n">
        <f aca="false">IS_Proj!K11</f>
        <v>0.0800000000000003</v>
      </c>
    </row>
    <row r="7" customFormat="false" ht="15" hidden="false" customHeight="false" outlineLevel="0" collapsed="false">
      <c r="B7" s="13" t="s">
        <v>106</v>
      </c>
      <c r="C7" s="46" t="n">
        <f aca="false">IS_Proj!C17/1000000000</f>
        <v>15.150559587</v>
      </c>
      <c r="D7" s="46" t="n">
        <f aca="false">IS_Proj!D17/1000000000</f>
        <v>17.504402158</v>
      </c>
      <c r="E7" s="46" t="n">
        <f aca="false">IS_Proj!E17/1000000000</f>
        <v>21.381138631</v>
      </c>
      <c r="F7" s="46" t="n">
        <f aca="false">IS_Proj!F17/1000000000</f>
        <v>15.343800322</v>
      </c>
      <c r="G7" s="47" t="n">
        <f aca="false">IS_Proj!G17/1000000000</f>
        <v>20.6455863570974</v>
      </c>
      <c r="H7" s="47" t="n">
        <f aca="false">IS_Proj!H17/1000000000</f>
        <v>22.2972332656652</v>
      </c>
      <c r="I7" s="47" t="n">
        <f aca="false">IS_Proj!I17/1000000000</f>
        <v>24.0810119269184</v>
      </c>
      <c r="J7" s="47" t="n">
        <f aca="false">IS_Proj!J17/1000000000</f>
        <v>26.0074928810718</v>
      </c>
      <c r="K7" s="47" t="n">
        <f aca="false">IS_Proj!K17/1000000000</f>
        <v>28.0880923115576</v>
      </c>
    </row>
    <row r="8" customFormat="false" ht="15" hidden="false" customHeight="false" outlineLevel="0" collapsed="false">
      <c r="B8" s="13" t="s">
        <v>177</v>
      </c>
      <c r="C8" s="48" t="n">
        <f aca="false">IS_Proj!C31</f>
        <v>0.152147438326888</v>
      </c>
      <c r="D8" s="48" t="n">
        <f aca="false">IS_Proj!D31</f>
        <v>0.130447163984867</v>
      </c>
      <c r="E8" s="48" t="n">
        <f aca="false">IS_Proj!E31</f>
        <v>0.140533867494987</v>
      </c>
      <c r="F8" s="48" t="n">
        <f aca="false">IS_Proj!F31</f>
        <v>0.105911880725989</v>
      </c>
      <c r="G8" s="49" t="n">
        <f aca="false">IS_Proj!G31</f>
        <v>0.132</v>
      </c>
      <c r="H8" s="49" t="n">
        <f aca="false">IS_Proj!H31</f>
        <v>0.132</v>
      </c>
      <c r="I8" s="49" t="n">
        <f aca="false">IS_Proj!I31</f>
        <v>0.132</v>
      </c>
      <c r="J8" s="49" t="n">
        <f aca="false">IS_Proj!J31</f>
        <v>0.132</v>
      </c>
      <c r="K8" s="49" t="n">
        <f aca="false">IS_Proj!K31</f>
        <v>0.132</v>
      </c>
    </row>
    <row r="9" customFormat="false" ht="15" hidden="false" customHeight="false" outlineLevel="0" collapsed="false">
      <c r="B9" s="13" t="s">
        <v>138</v>
      </c>
      <c r="C9" s="46" t="n">
        <f aca="false">IS_Proj!C25/1000000000</f>
        <v>4.888165764</v>
      </c>
      <c r="D9" s="46" t="n">
        <f aca="false">IS_Proj!D25/1000000000</f>
        <v>3.539716397</v>
      </c>
      <c r="E9" s="46" t="n">
        <f aca="false">IS_Proj!E25/1000000000</f>
        <v>2.837363273</v>
      </c>
      <c r="F9" s="46" t="n">
        <f aca="false">IS_Proj!F25/1000000000</f>
        <v>6.021897517</v>
      </c>
      <c r="G9" s="47" t="n">
        <f aca="false">IS_Proj!G25/1000000000</f>
        <v>0.314651807884699</v>
      </c>
      <c r="H9" s="47" t="n">
        <f aca="false">IS_Proj!H25/1000000000</f>
        <v>1.40424583709402</v>
      </c>
      <c r="I9" s="47" t="n">
        <f aca="false">IS_Proj!I25/1000000000</f>
        <v>2.5213666701273</v>
      </c>
      <c r="J9" s="47" t="n">
        <f aca="false">IS_Proj!J25/1000000000</f>
        <v>3.67408509799209</v>
      </c>
      <c r="K9" s="47" t="n">
        <f aca="false">IS_Proj!K25/1000000000</f>
        <v>4.87054010014118</v>
      </c>
    </row>
    <row r="10" customFormat="false" ht="15" hidden="false" customHeight="false" outlineLevel="0" collapsed="false">
      <c r="B10" s="13" t="s">
        <v>139</v>
      </c>
      <c r="C10" s="46" t="n">
        <f aca="false">IS_Proj!C27/1000000000</f>
        <v>4.888165764</v>
      </c>
      <c r="D10" s="46" t="n">
        <f aca="false">IS_Proj!D27/1000000000</f>
        <v>3.539716397</v>
      </c>
      <c r="E10" s="46" t="n">
        <f aca="false">IS_Proj!E27/1000000000</f>
        <v>2.837231824</v>
      </c>
      <c r="F10" s="46" t="n">
        <f aca="false">IS_Proj!F27/1000000000</f>
        <v>6.021648113</v>
      </c>
      <c r="G10" s="47" t="n">
        <f aca="false">IS_Proj!G27/1000000000</f>
        <v>0.314651807884699</v>
      </c>
      <c r="H10" s="47" t="n">
        <f aca="false">IS_Proj!H27/1000000000</f>
        <v>1.40424583709402</v>
      </c>
      <c r="I10" s="47" t="n">
        <f aca="false">IS_Proj!I27/1000000000</f>
        <v>2.5213666701273</v>
      </c>
      <c r="J10" s="47" t="n">
        <f aca="false">IS_Proj!J27/1000000000</f>
        <v>3.67408509799209</v>
      </c>
      <c r="K10" s="47" t="n">
        <f aca="false">IS_Proj!K27/1000000000</f>
        <v>4.87054010014118</v>
      </c>
    </row>
    <row r="11" customFormat="false" ht="15" hidden="false" customHeight="false" outlineLevel="0" collapsed="false">
      <c r="B11" s="13" t="s">
        <v>142</v>
      </c>
      <c r="C11" s="46" t="n">
        <f aca="false">CF_Proj!C11/1000000000</f>
        <v>7.734100083</v>
      </c>
      <c r="D11" s="46" t="n">
        <f aca="false">CF_Proj!D11/1000000000</f>
        <v>19.735705441</v>
      </c>
      <c r="E11" s="46" t="n">
        <f aca="false">CF_Proj!E11/1000000000</f>
        <v>2.997687548</v>
      </c>
      <c r="F11" s="46" t="n">
        <f aca="false">CF_Proj!F11/1000000000</f>
        <v>5.56795137</v>
      </c>
      <c r="G11" s="47" t="n">
        <f aca="false">CF_Proj!G11/1000000000</f>
        <v>8.55223954298546</v>
      </c>
      <c r="H11" s="47" t="n">
        <f aca="false">CF_Proj!H11/1000000000</f>
        <v>12.7521136972324</v>
      </c>
      <c r="I11" s="47" t="n">
        <f aca="false">CF_Proj!I11/1000000000</f>
        <v>14.0484450998473</v>
      </c>
      <c r="J11" s="47" t="n">
        <f aca="false">CF_Proj!J11/1000000000</f>
        <v>15.4664070386084</v>
      </c>
      <c r="K11" s="47" t="n">
        <f aca="false">CF_Proj!K11/1000000000</f>
        <v>17.013966232452</v>
      </c>
    </row>
    <row r="12" customFormat="false" ht="15" hidden="false" customHeight="false" outlineLevel="0" collapsed="false">
      <c r="B12" s="13" t="s">
        <v>143</v>
      </c>
      <c r="C12" s="46" t="n">
        <f aca="false">CF_Proj!C13/1000000000</f>
        <v>-16.981553674</v>
      </c>
      <c r="D12" s="46" t="n">
        <f aca="false">CF_Proj!D13/1000000000</f>
        <v>-36.146492177</v>
      </c>
      <c r="E12" s="46" t="n">
        <f aca="false">CF_Proj!E13/1000000000</f>
        <v>-24.447662378</v>
      </c>
      <c r="F12" s="46" t="n">
        <f aca="false">CF_Proj!F13/1000000000</f>
        <v>-27.390827865</v>
      </c>
      <c r="G12" s="47" t="n">
        <f aca="false">CF_Proj!G13/1000000000</f>
        <v>-14.0765361525664</v>
      </c>
      <c r="H12" s="47" t="n">
        <f aca="false">CF_Proj!H13/1000000000</f>
        <v>-15.2026590447717</v>
      </c>
      <c r="I12" s="47" t="n">
        <f aca="false">CF_Proj!I13/1000000000</f>
        <v>-16.4188717683534</v>
      </c>
      <c r="J12" s="47" t="n">
        <f aca="false">CF_Proj!J13/1000000000</f>
        <v>-17.7323815098217</v>
      </c>
      <c r="K12" s="47" t="n">
        <f aca="false">CF_Proj!K13/1000000000</f>
        <v>-19.1509720306075</v>
      </c>
    </row>
    <row r="13" customFormat="false" ht="15" hidden="false" customHeight="false" outlineLevel="0" collapsed="false">
      <c r="B13" s="13" t="s">
        <v>178</v>
      </c>
      <c r="C13" s="46" t="n">
        <f aca="false">CF_Proj!C27/1000000000</f>
        <v>-9.410981971</v>
      </c>
      <c r="D13" s="46" t="n">
        <f aca="false">CF_Proj!D27/1000000000</f>
        <v>-16.410786736</v>
      </c>
      <c r="E13" s="46" t="n">
        <f aca="false">CF_Proj!E27/1000000000</f>
        <v>-21.955612199</v>
      </c>
      <c r="F13" s="46" t="n">
        <f aca="false">CF_Proj!F27/1000000000</f>
        <v>-22.821713537</v>
      </c>
      <c r="G13" s="47" t="n">
        <f aca="false">CF_Proj!G27/1000000000</f>
        <v>-6.05607686423345</v>
      </c>
      <c r="H13" s="47" t="n">
        <f aca="false">CF_Proj!H27/1000000000</f>
        <v>-3.02486802256405</v>
      </c>
      <c r="I13" s="47" t="n">
        <f aca="false">CF_Proj!I27/1000000000</f>
        <v>-2.99069515753288</v>
      </c>
      <c r="J13" s="47" t="n">
        <f aca="false">CF_Proj!J27/1000000000</f>
        <v>-2.93586443936217</v>
      </c>
      <c r="K13" s="47" t="n">
        <f aca="false">CF_Proj!K27/1000000000</f>
        <v>-2.86048696375615</v>
      </c>
    </row>
    <row r="14" customFormat="false" ht="15" hidden="false" customHeight="false" outlineLevel="0" collapsed="false">
      <c r="B14" s="13" t="s">
        <v>179</v>
      </c>
      <c r="C14" s="46" t="n">
        <f aca="false">BS_Proj!C6/1000000000</f>
        <v>29.547207476</v>
      </c>
      <c r="D14" s="46" t="n">
        <f aca="false">BS_Proj!D6/1000000000</f>
        <v>2.463973775</v>
      </c>
      <c r="E14" s="46" t="n">
        <f aca="false">BS_Proj!E6/1000000000</f>
        <v>2.663388349</v>
      </c>
      <c r="F14" s="46" t="n">
        <f aca="false">BS_Proj!F6/1000000000</f>
        <v>4.036506961</v>
      </c>
      <c r="G14" s="47" t="n">
        <f aca="false">BS_Proj!G6/1000000000</f>
        <v>-2.01956990323345</v>
      </c>
      <c r="H14" s="47" t="n">
        <f aca="false">BS_Proj!H6/1000000000</f>
        <v>-5.04443792579749</v>
      </c>
      <c r="I14" s="47" t="n">
        <f aca="false">BS_Proj!I6/1000000000</f>
        <v>-8.03513308333038</v>
      </c>
      <c r="J14" s="47" t="n">
        <f aca="false">BS_Proj!J6/1000000000</f>
        <v>-10.9709975226925</v>
      </c>
      <c r="K14" s="47" t="n">
        <f aca="false">BS_Proj!K6/1000000000</f>
        <v>-13.8314844864487</v>
      </c>
    </row>
    <row r="15" customFormat="false" ht="15" hidden="false" customHeight="false" outlineLevel="0" collapsed="false">
      <c r="B15" s="13" t="s">
        <v>144</v>
      </c>
      <c r="C15" s="46" t="n">
        <f aca="false">BS_Proj!C31/1000000000</f>
        <v>64.124134844</v>
      </c>
      <c r="D15" s="46" t="n">
        <f aca="false">BS_Proj!D31/1000000000</f>
        <v>142.651610014</v>
      </c>
      <c r="E15" s="46" t="n">
        <f aca="false">BS_Proj!E31/1000000000</f>
        <v>111.510538072</v>
      </c>
      <c r="F15" s="46" t="n">
        <f aca="false">BS_Proj!F31/1000000000</f>
        <v>87.265075154</v>
      </c>
      <c r="G15" s="47" t="n">
        <f aca="false">BS_Proj!G31/1000000000</f>
        <v>93.3211520182335</v>
      </c>
      <c r="H15" s="47" t="n">
        <f aca="false">BS_Proj!H31/1000000000</f>
        <v>96.3460200407975</v>
      </c>
      <c r="I15" s="47" t="n">
        <f aca="false">BS_Proj!I31/1000000000</f>
        <v>99.3367151983304</v>
      </c>
      <c r="J15" s="47" t="n">
        <f aca="false">BS_Proj!J31/1000000000</f>
        <v>102.272579637693</v>
      </c>
      <c r="K15" s="47" t="n">
        <f aca="false">BS_Proj!K31/1000000000</f>
        <v>105.133066601449</v>
      </c>
    </row>
    <row r="16" customFormat="false" ht="15" hidden="false" customHeight="false" outlineLevel="0" collapsed="false">
      <c r="B16" s="13" t="s">
        <v>180</v>
      </c>
      <c r="C16" s="50" t="n">
        <f aca="false">BS_Proj!C33</f>
        <v>4.23245982934003</v>
      </c>
      <c r="D16" s="50" t="n">
        <f aca="false">BS_Proj!D33</f>
        <v>8.14947055754225</v>
      </c>
      <c r="E16" s="50" t="n">
        <f aca="false">BS_Proj!E33</f>
        <v>5.21536948973913</v>
      </c>
      <c r="F16" s="50" t="n">
        <f aca="false">BS_Proj!F33</f>
        <v>5.68731822121531</v>
      </c>
      <c r="G16" s="51" t="n">
        <f aca="false">BS_Proj!G33</f>
        <v>4.52015023473297</v>
      </c>
      <c r="H16" s="51" t="n">
        <f aca="false">BS_Proj!H33</f>
        <v>4.32098542867908</v>
      </c>
      <c r="I16" s="51" t="n">
        <f aca="false">BS_Proj!I33</f>
        <v>4.1251055188129</v>
      </c>
      <c r="J16" s="51" t="n">
        <f aca="false">BS_Proj!J33</f>
        <v>3.93242747793372</v>
      </c>
      <c r="K16" s="51" t="n">
        <f aca="false">BS_Proj!K33</f>
        <v>3.74297639851421</v>
      </c>
    </row>
    <row r="17" customFormat="false" ht="15" hidden="false" customHeight="false" outlineLevel="0" collapsed="false">
      <c r="B17" s="13" t="s">
        <v>181</v>
      </c>
      <c r="C17" s="48"/>
      <c r="D17" s="48" t="n">
        <f aca="false">BS_Proj!D32</f>
        <v>0.0392822248959968</v>
      </c>
      <c r="E17" s="48" t="n">
        <f aca="false">BS_Proj!E32</f>
        <v>0.0219193800713985</v>
      </c>
      <c r="F17" s="48" t="n">
        <f aca="false">BS_Proj!F32</f>
        <v>0.035818840873923</v>
      </c>
      <c r="G17" s="49" t="n">
        <f aca="false">BS_Proj!G32</f>
        <v>0.00152256179659375</v>
      </c>
      <c r="H17" s="49" t="n">
        <f aca="false">BS_Proj!H32</f>
        <v>0.00676683298040112</v>
      </c>
      <c r="I17" s="49" t="n">
        <f aca="false">BS_Proj!I32</f>
        <v>0.0120362132638145</v>
      </c>
      <c r="J17" s="49" t="n">
        <f aca="false">BS_Proj!J32</f>
        <v>0.0172833505307246</v>
      </c>
      <c r="K17" s="49" t="n">
        <f aca="false">BS_Proj!K32</f>
        <v>0.0224602286341768</v>
      </c>
    </row>
    <row r="18" customFormat="false" ht="15" hidden="false" customHeight="false" outlineLevel="0" collapsed="false">
      <c r="B18" s="13" t="s">
        <v>182</v>
      </c>
      <c r="C18" s="52" t="n">
        <f aca="false">BS_Proj!C30</f>
        <v>0</v>
      </c>
      <c r="D18" s="52" t="n">
        <f aca="false">BS_Proj!D30</f>
        <v>0</v>
      </c>
      <c r="E18" s="52" t="n">
        <f aca="false">BS_Proj!E30</f>
        <v>0</v>
      </c>
      <c r="F18" s="52" t="n">
        <f aca="false">BS_Proj!F30</f>
        <v>0</v>
      </c>
      <c r="G18" s="53" t="n">
        <f aca="false">BS_Proj!G30</f>
        <v>0</v>
      </c>
      <c r="H18" s="53" t="n">
        <f aca="false">BS_Proj!H30</f>
        <v>0</v>
      </c>
      <c r="I18" s="53" t="n">
        <f aca="false">BS_Proj!I30</f>
        <v>0</v>
      </c>
      <c r="J18" s="53" t="n">
        <f aca="false">BS_Proj!J30</f>
        <v>0</v>
      </c>
      <c r="K18" s="53" t="n">
        <f aca="false">BS_Proj!K30</f>
        <v>0</v>
      </c>
    </row>
    <row r="19" customFormat="false" ht="15" hidden="false" customHeight="false" outlineLevel="0" collapsed="false">
      <c r="B19" s="4" t="s">
        <v>30</v>
      </c>
      <c r="C19" s="44" t="str">
        <f aca="false">Rekonsiliasi!$C$3</f>
        <v>SEMUA 225 CEK SESUAI EKSPEKTASI</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L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1" min="3" style="0" width="13"/>
    <col collapsed="false" customWidth="true" hidden="false" outlineLevel="0" max="12" min="12" style="0" width="95"/>
  </cols>
  <sheetData>
    <row r="1" customFormat="false" ht="17.35" hidden="false" customHeight="false" outlineLevel="0" collapsed="false">
      <c r="A1" s="14" t="s">
        <v>183</v>
      </c>
    </row>
    <row r="2" customFormat="false" ht="15" hidden="false" customHeight="false" outlineLevel="0" collapsed="false">
      <c r="A2" s="15" t="s">
        <v>184</v>
      </c>
    </row>
    <row r="4" customFormat="false" ht="15" hidden="false" customHeight="false" outlineLevel="0" collapsed="false">
      <c r="A4" s="4" t="s">
        <v>31</v>
      </c>
      <c r="C4" s="54" t="s">
        <v>185</v>
      </c>
      <c r="D4" s="13" t="n">
        <f aca="false">IF(C4="Bull",2,IF(C4="Bear",3,1))</f>
        <v>1</v>
      </c>
      <c r="E4" s="15" t="s">
        <v>186</v>
      </c>
    </row>
    <row r="5" customFormat="false" ht="15" hidden="false" customHeight="false" outlineLevel="0" collapsed="false">
      <c r="A5" s="4" t="s">
        <v>187</v>
      </c>
      <c r="C5" s="55" t="s">
        <v>188</v>
      </c>
    </row>
    <row r="7" customFormat="false" ht="15" hidden="false" customHeight="false" outlineLevel="0" collapsed="false">
      <c r="A7" s="25" t="s">
        <v>189</v>
      </c>
      <c r="B7" s="25" t="s">
        <v>190</v>
      </c>
      <c r="C7" s="25" t="s">
        <v>130</v>
      </c>
      <c r="D7" s="25" t="s">
        <v>131</v>
      </c>
      <c r="E7" s="25" t="s">
        <v>132</v>
      </c>
      <c r="F7" s="25" t="s">
        <v>133</v>
      </c>
      <c r="G7" s="45" t="s">
        <v>169</v>
      </c>
      <c r="H7" s="45" t="s">
        <v>170</v>
      </c>
      <c r="I7" s="45" t="s">
        <v>171</v>
      </c>
      <c r="J7" s="45" t="s">
        <v>172</v>
      </c>
      <c r="K7" s="45" t="s">
        <v>173</v>
      </c>
      <c r="L7" s="25" t="s">
        <v>191</v>
      </c>
    </row>
    <row r="8" customFormat="false" ht="15" hidden="false" customHeight="false" outlineLevel="0" collapsed="false">
      <c r="A8" s="16"/>
      <c r="B8" s="17" t="s">
        <v>192</v>
      </c>
      <c r="C8" s="16"/>
      <c r="D8" s="16"/>
      <c r="E8" s="16"/>
      <c r="F8" s="16"/>
      <c r="G8" s="16"/>
      <c r="H8" s="16"/>
      <c r="I8" s="16"/>
      <c r="J8" s="16"/>
      <c r="K8" s="16"/>
      <c r="L8" s="16"/>
    </row>
    <row r="9" customFormat="false" ht="15" hidden="false" customHeight="false" outlineLevel="0" collapsed="false">
      <c r="B9" s="4" t="s">
        <v>193</v>
      </c>
    </row>
    <row r="10" customFormat="false" ht="36" hidden="false" customHeight="true" outlineLevel="0" collapsed="false">
      <c r="A10" s="56" t="s">
        <v>194</v>
      </c>
      <c r="B10" s="13" t="s">
        <v>195</v>
      </c>
      <c r="C10" s="48"/>
      <c r="D10" s="48" t="n">
        <f aca="false">IFERROR(Schedules!D6/Schedules!C6-1,"")</f>
        <v>3.68792834635339</v>
      </c>
      <c r="E10" s="48" t="n">
        <f aca="false">IFERROR(Schedules!E6/Schedules!D6-1,"")</f>
        <v>2.88215528882522</v>
      </c>
      <c r="F10" s="48" t="n">
        <f aca="false">IFERROR(Schedules!F6/Schedules!E6-1,"")</f>
        <v>-0.336716238729367</v>
      </c>
      <c r="G10" s="57" t="n">
        <f aca="false">CHOOSE(Asumsi!$D$4,G38,G65,G92)</f>
        <v>0.08</v>
      </c>
      <c r="H10" s="57" t="n">
        <f aca="false">CHOOSE(Asumsi!$D$4,H38,H65,H92)</f>
        <v>0.08</v>
      </c>
      <c r="I10" s="57" t="n">
        <f aca="false">CHOOSE(Asumsi!$D$4,I38,I65,I92)</f>
        <v>0.08</v>
      </c>
      <c r="J10" s="57" t="n">
        <f aca="false">CHOOSE(Asumsi!$D$4,J38,J65,J92)</f>
        <v>0.08</v>
      </c>
      <c r="K10" s="57" t="n">
        <f aca="false">CHOOSE(Asumsi!$D$4,K38,K65,K92)</f>
        <v>0.08</v>
      </c>
      <c r="L10" s="58" t="s">
        <v>196</v>
      </c>
    </row>
    <row r="11" customFormat="false" ht="36" hidden="false" customHeight="true" outlineLevel="0" collapsed="false">
      <c r="A11" s="56" t="s">
        <v>197</v>
      </c>
      <c r="B11" s="13" t="s">
        <v>198</v>
      </c>
      <c r="C11" s="48"/>
      <c r="D11" s="48" t="n">
        <f aca="false">IFERROR(Schedules!D7/Schedules!C7-1,"")</f>
        <v>0.486519818222859</v>
      </c>
      <c r="E11" s="48" t="n">
        <f aca="false">IFERROR(Schedules!E7/Schedules!D7-1,"")</f>
        <v>0.0796767642142666</v>
      </c>
      <c r="F11" s="48" t="n">
        <f aca="false">IFERROR(Schedules!F7/Schedules!E7-1,"")</f>
        <v>-0.137331158284946</v>
      </c>
      <c r="G11" s="57" t="n">
        <f aca="false">CHOOSE(Asumsi!$D$4,G39,G66,G93)</f>
        <v>0.08</v>
      </c>
      <c r="H11" s="57" t="n">
        <f aca="false">CHOOSE(Asumsi!$D$4,H39,H66,H93)</f>
        <v>0.08</v>
      </c>
      <c r="I11" s="57" t="n">
        <f aca="false">CHOOSE(Asumsi!$D$4,I39,I66,I93)</f>
        <v>0.08</v>
      </c>
      <c r="J11" s="57" t="n">
        <f aca="false">CHOOSE(Asumsi!$D$4,J39,J66,J93)</f>
        <v>0.08</v>
      </c>
      <c r="K11" s="57" t="n">
        <f aca="false">CHOOSE(Asumsi!$D$4,K39,K66,K93)</f>
        <v>0.08</v>
      </c>
      <c r="L11" s="58" t="s">
        <v>199</v>
      </c>
    </row>
    <row r="12" customFormat="false" ht="36" hidden="false" customHeight="true" outlineLevel="0" collapsed="false">
      <c r="A12" s="56" t="s">
        <v>200</v>
      </c>
      <c r="B12" s="13" t="s">
        <v>201</v>
      </c>
      <c r="C12" s="48"/>
      <c r="D12" s="48" t="n">
        <f aca="false">IFERROR(Schedules!D8/Schedules!C8-1,"")</f>
        <v>-0.0157192984099146</v>
      </c>
      <c r="E12" s="48" t="n">
        <f aca="false">IFERROR(Schedules!E8/Schedules!D8-1,"")</f>
        <v>-0.532696190704913</v>
      </c>
      <c r="F12" s="48" t="n">
        <f aca="false">IFERROR(Schedules!F8/Schedules!E8-1,"")</f>
        <v>1.00536147800936</v>
      </c>
      <c r="G12" s="57" t="n">
        <f aca="false">CHOOSE(Asumsi!$D$4,G40,G67,G94)</f>
        <v>0.08</v>
      </c>
      <c r="H12" s="57" t="n">
        <f aca="false">CHOOSE(Asumsi!$D$4,H40,H67,H94)</f>
        <v>0.08</v>
      </c>
      <c r="I12" s="57" t="n">
        <f aca="false">CHOOSE(Asumsi!$D$4,I40,I67,I94)</f>
        <v>0.08</v>
      </c>
      <c r="J12" s="57" t="n">
        <f aca="false">CHOOSE(Asumsi!$D$4,J40,J67,J94)</f>
        <v>0.08</v>
      </c>
      <c r="K12" s="57" t="n">
        <f aca="false">CHOOSE(Asumsi!$D$4,K40,K67,K94)</f>
        <v>0.08</v>
      </c>
      <c r="L12" s="58" t="s">
        <v>202</v>
      </c>
    </row>
    <row r="13" customFormat="false" ht="36" hidden="false" customHeight="true" outlineLevel="0" collapsed="false">
      <c r="A13" s="56" t="s">
        <v>203</v>
      </c>
      <c r="B13" s="13" t="s">
        <v>204</v>
      </c>
      <c r="C13" s="48" t="n">
        <f aca="false">IFERROR(Schedules!C9/(Schedules!C6+Schedules!C7+Schedules!C8),"")</f>
        <v>0.00177574803501893</v>
      </c>
      <c r="D13" s="48" t="n">
        <f aca="false">IFERROR(Schedules!D9/(Schedules!D6+Schedules!D7+Schedules!D8),"")</f>
        <v>0.000544763770057892</v>
      </c>
      <c r="E13" s="48" t="n">
        <f aca="false">IFERROR(Schedules!E9/(Schedules!E6+Schedules!E7+Schedules!E8),"")</f>
        <v>0.00102933098859138</v>
      </c>
      <c r="F13" s="48" t="n">
        <f aca="false">IFERROR(Schedules!F9/(Schedules!F6+Schedules!F7+Schedules!F8),"")</f>
        <v>0.00126586883093589</v>
      </c>
      <c r="G13" s="57" t="n">
        <f aca="false">CHOOSE(Asumsi!$D$4,G41,G68,G95)</f>
        <v>0.0009</v>
      </c>
      <c r="H13" s="57" t="n">
        <f aca="false">CHOOSE(Asumsi!$D$4,H41,H68,H95)</f>
        <v>0.0009</v>
      </c>
      <c r="I13" s="57" t="n">
        <f aca="false">CHOOSE(Asumsi!$D$4,I41,I68,I95)</f>
        <v>0.0009</v>
      </c>
      <c r="J13" s="57" t="n">
        <f aca="false">CHOOSE(Asumsi!$D$4,J41,J68,J95)</f>
        <v>0.0009</v>
      </c>
      <c r="K13" s="57" t="n">
        <f aca="false">CHOOSE(Asumsi!$D$4,K41,K68,K95)</f>
        <v>0.0009</v>
      </c>
      <c r="L13" s="58" t="s">
        <v>205</v>
      </c>
    </row>
    <row r="14" customFormat="false" ht="15" hidden="false" customHeight="false" outlineLevel="0" collapsed="false">
      <c r="B14" s="4" t="s">
        <v>206</v>
      </c>
    </row>
    <row r="15" customFormat="false" ht="36" hidden="false" customHeight="true" outlineLevel="0" collapsed="false">
      <c r="A15" s="56" t="s">
        <v>207</v>
      </c>
      <c r="B15" s="13" t="s">
        <v>208</v>
      </c>
      <c r="C15" s="48" t="n">
        <f aca="false">IFERROR(-(IS!C7+Schedules!C12+Schedules!C16+Schedules!C17)/IS!C6,"")</f>
        <v>0.64108648916074</v>
      </c>
      <c r="D15" s="48" t="n">
        <f aca="false">IFERROR(-(IS!D7+Schedules!D12+Schedules!D16+Schedules!D17)/IS!D6,"")</f>
        <v>0.634837296388988</v>
      </c>
      <c r="E15" s="48" t="n">
        <f aca="false">IFERROR(-(IS!E7+Schedules!E12+Schedules!E16+Schedules!E17)/IS!E6,"")</f>
        <v>0.651533670583056</v>
      </c>
      <c r="F15" s="48" t="n">
        <f aca="false">IFERROR(-(IS!F7+Schedules!F12+Schedules!F16+Schedules!F17)/IS!F6,"")</f>
        <v>0.69165663851074</v>
      </c>
      <c r="G15" s="57" t="n">
        <f aca="false">CHOOSE(Asumsi!$D$4,G43,G70,G97)</f>
        <v>0.67</v>
      </c>
      <c r="H15" s="57" t="n">
        <f aca="false">CHOOSE(Asumsi!$D$4,H43,H70,H97)</f>
        <v>0.67</v>
      </c>
      <c r="I15" s="57" t="n">
        <f aca="false">CHOOSE(Asumsi!$D$4,I43,I70,I97)</f>
        <v>0.67</v>
      </c>
      <c r="J15" s="57" t="n">
        <f aca="false">CHOOSE(Asumsi!$D$4,J43,J70,J97)</f>
        <v>0.67</v>
      </c>
      <c r="K15" s="57" t="n">
        <f aca="false">CHOOSE(Asumsi!$D$4,K43,K70,K97)</f>
        <v>0.67</v>
      </c>
      <c r="L15" s="58" t="s">
        <v>209</v>
      </c>
    </row>
    <row r="16" customFormat="false" ht="36" hidden="false" customHeight="true" outlineLevel="0" collapsed="false">
      <c r="A16" s="56" t="s">
        <v>210</v>
      </c>
      <c r="B16" s="13" t="s">
        <v>211</v>
      </c>
      <c r="C16" s="48" t="n">
        <f aca="false">IFERROR(-(IS!C11+Schedules!C13+Schedules!C18)/IS!C6,"")</f>
        <v>0.219081956184748</v>
      </c>
      <c r="D16" s="48" t="n">
        <f aca="false">IFERROR(-(IS!D11+Schedules!D13+Schedules!D18)/IS!D6,"")</f>
        <v>0.235276890657783</v>
      </c>
      <c r="E16" s="48" t="n">
        <f aca="false">IFERROR(-(IS!E11+Schedules!E13+Schedules!E18)/IS!E6,"")</f>
        <v>0.20999603856493</v>
      </c>
      <c r="F16" s="48" t="n">
        <f aca="false">IFERROR(-(IS!F11+Schedules!F13+Schedules!F18)/IS!F6,"")</f>
        <v>0.197529735749186</v>
      </c>
      <c r="G16" s="57" t="n">
        <f aca="false">CHOOSE(Asumsi!$D$4,G44,G71,G98)</f>
        <v>0.2</v>
      </c>
      <c r="H16" s="57" t="n">
        <f aca="false">CHOOSE(Asumsi!$D$4,H44,H71,H98)</f>
        <v>0.2</v>
      </c>
      <c r="I16" s="57" t="n">
        <f aca="false">CHOOSE(Asumsi!$D$4,I44,I71,I98)</f>
        <v>0.2</v>
      </c>
      <c r="J16" s="57" t="n">
        <f aca="false">CHOOSE(Asumsi!$D$4,J44,J71,J98)</f>
        <v>0.2</v>
      </c>
      <c r="K16" s="57" t="n">
        <f aca="false">CHOOSE(Asumsi!$D$4,K44,K71,K98)</f>
        <v>0.2</v>
      </c>
      <c r="L16" s="58" t="s">
        <v>212</v>
      </c>
    </row>
    <row r="17" customFormat="false" ht="36" hidden="false" customHeight="true" outlineLevel="0" collapsed="false">
      <c r="A17" s="56" t="s">
        <v>213</v>
      </c>
      <c r="B17" s="13" t="s">
        <v>214</v>
      </c>
      <c r="C17" s="48" t="n">
        <f aca="false">IFERROR(IS!C13/IS!C6,"")</f>
        <v>0.0123158836723751</v>
      </c>
      <c r="D17" s="48" t="n">
        <f aca="false">IFERROR(IS!D13/IS!D6,"")</f>
        <v>0.000561351031638724</v>
      </c>
      <c r="E17" s="48" t="n">
        <f aca="false">IFERROR(IS!E13/IS!E6,"")</f>
        <v>0.00206357664297267</v>
      </c>
      <c r="F17" s="48" t="n">
        <f aca="false">IFERROR(IS!F13/IS!F6,"")</f>
        <v>-0.00490174501408515</v>
      </c>
      <c r="G17" s="57" t="n">
        <f aca="false">CHOOSE(Asumsi!$D$4,G45,G72,G99)</f>
        <v>0.002</v>
      </c>
      <c r="H17" s="57" t="n">
        <f aca="false">CHOOSE(Asumsi!$D$4,H45,H72,H99)</f>
        <v>0.002</v>
      </c>
      <c r="I17" s="57" t="n">
        <f aca="false">CHOOSE(Asumsi!$D$4,I45,I72,I99)</f>
        <v>0.002</v>
      </c>
      <c r="J17" s="57" t="n">
        <f aca="false">CHOOSE(Asumsi!$D$4,J45,J72,J99)</f>
        <v>0.002</v>
      </c>
      <c r="K17" s="57" t="n">
        <f aca="false">CHOOSE(Asumsi!$D$4,K45,K72,K99)</f>
        <v>0.002</v>
      </c>
      <c r="L17" s="58" t="s">
        <v>215</v>
      </c>
    </row>
    <row r="18" customFormat="false" ht="15" hidden="false" customHeight="false" outlineLevel="0" collapsed="false">
      <c r="B18" s="4" t="s">
        <v>216</v>
      </c>
    </row>
    <row r="19" customFormat="false" ht="36" hidden="false" customHeight="true" outlineLevel="0" collapsed="false">
      <c r="A19" s="56" t="s">
        <v>217</v>
      </c>
      <c r="B19" s="13" t="s">
        <v>218</v>
      </c>
      <c r="C19" s="48" t="n">
        <f aca="false">IFERROR(-(CF!C16+CF!C17)/IS!C6,"")</f>
        <v>0.170534947931996</v>
      </c>
      <c r="D19" s="48" t="n">
        <f aca="false">IFERROR(-(CF!D16+CF!D17)/IS!D6,"")</f>
        <v>0.269372661227157</v>
      </c>
      <c r="E19" s="48" t="n">
        <f aca="false">IFERROR(-(CF!E16+CF!E17)/IS!E6,"")</f>
        <v>0.16068950323397</v>
      </c>
      <c r="F19" s="48" t="n">
        <f aca="false">IFERROR(-(CF!F16+CF!F17)/IS!F6,"")</f>
        <v>0.189067508240739</v>
      </c>
      <c r="G19" s="57" t="n">
        <f aca="false">CHOOSE(Asumsi!$D$4,G47,G74,G101)</f>
        <v>0.09</v>
      </c>
      <c r="H19" s="57" t="n">
        <f aca="false">CHOOSE(Asumsi!$D$4,H47,H74,H101)</f>
        <v>0.09</v>
      </c>
      <c r="I19" s="57" t="n">
        <f aca="false">CHOOSE(Asumsi!$D$4,I47,I74,I101)</f>
        <v>0.09</v>
      </c>
      <c r="J19" s="57" t="n">
        <f aca="false">CHOOSE(Asumsi!$D$4,J47,J74,J101)</f>
        <v>0.09</v>
      </c>
      <c r="K19" s="57" t="n">
        <f aca="false">CHOOSE(Asumsi!$D$4,K47,K74,K101)</f>
        <v>0.09</v>
      </c>
      <c r="L19" s="58" t="s">
        <v>219</v>
      </c>
    </row>
    <row r="20" customFormat="false" ht="36" hidden="false" customHeight="true" outlineLevel="0" collapsed="false">
      <c r="A20" s="56" t="s">
        <v>220</v>
      </c>
      <c r="B20" s="13" t="s">
        <v>221</v>
      </c>
      <c r="C20" s="48" t="n">
        <f aca="false">IFERROR(-CF!C40/IS!C6,"")</f>
        <v>0.00164221156108944</v>
      </c>
      <c r="D20" s="48" t="n">
        <f aca="false">IFERROR(-CF!D40/IS!D6,"")</f>
        <v>-0</v>
      </c>
      <c r="E20" s="48" t="n">
        <f aca="false">IFERROR(-CF!E40/IS!E6,"")</f>
        <v>0.0033234513952654</v>
      </c>
      <c r="F20" s="48" t="n">
        <f aca="false">IFERROR(-CF!F40/IS!F6,"")</f>
        <v>0.00689455724376989</v>
      </c>
      <c r="G20" s="57" t="n">
        <f aca="false">CHOOSE(Asumsi!$D$4,G48,G75,G102)</f>
        <v>0.0034</v>
      </c>
      <c r="H20" s="57" t="n">
        <f aca="false">CHOOSE(Asumsi!$D$4,H48,H75,H102)</f>
        <v>0.0034</v>
      </c>
      <c r="I20" s="57" t="n">
        <f aca="false">CHOOSE(Asumsi!$D$4,I48,I75,I102)</f>
        <v>0.0034</v>
      </c>
      <c r="J20" s="57" t="n">
        <f aca="false">CHOOSE(Asumsi!$D$4,J48,J75,J102)</f>
        <v>0.0034</v>
      </c>
      <c r="K20" s="57" t="n">
        <f aca="false">CHOOSE(Asumsi!$D$4,K48,K75,K102)</f>
        <v>0.0034</v>
      </c>
      <c r="L20" s="58" t="s">
        <v>222</v>
      </c>
    </row>
    <row r="21" customFormat="false" ht="36" hidden="false" customHeight="true" outlineLevel="0" collapsed="false">
      <c r="A21" s="56" t="s">
        <v>223</v>
      </c>
      <c r="B21" s="13" t="s">
        <v>224</v>
      </c>
      <c r="C21" s="48"/>
      <c r="D21" s="48" t="n">
        <f aca="false">IFERROR((Schedules!D14+Schedules!D16)/BS!C21,"")</f>
        <v>0.117047627543303</v>
      </c>
      <c r="E21" s="48" t="n">
        <f aca="false">IFERROR((Schedules!E14+Schedules!E16)/BS!D21,"")</f>
        <v>0.0830874742989791</v>
      </c>
      <c r="F21" s="48" t="n">
        <f aca="false">IFERROR((Schedules!F14+Schedules!F16)/BS!E21,"")</f>
        <v>0.0952013340497617</v>
      </c>
      <c r="G21" s="57" t="n">
        <f aca="false">CHOOSE(Asumsi!$D$4,G49,G76,G103)</f>
        <v>0.0984</v>
      </c>
      <c r="H21" s="57" t="n">
        <f aca="false">CHOOSE(Asumsi!$D$4,H49,H76,H103)</f>
        <v>0.0984</v>
      </c>
      <c r="I21" s="57" t="n">
        <f aca="false">CHOOSE(Asumsi!$D$4,I49,I76,I103)</f>
        <v>0.0984</v>
      </c>
      <c r="J21" s="57" t="n">
        <f aca="false">CHOOSE(Asumsi!$D$4,J49,J76,J103)</f>
        <v>0.0984</v>
      </c>
      <c r="K21" s="57" t="n">
        <f aca="false">CHOOSE(Asumsi!$D$4,K49,K76,K103)</f>
        <v>0.0984</v>
      </c>
      <c r="L21" s="58" t="s">
        <v>225</v>
      </c>
    </row>
    <row r="22" customFormat="false" ht="36" hidden="false" customHeight="true" outlineLevel="0" collapsed="false">
      <c r="A22" s="56" t="s">
        <v>226</v>
      </c>
      <c r="B22" s="13" t="s">
        <v>227</v>
      </c>
      <c r="C22" s="48"/>
      <c r="D22" s="48" t="str">
        <f aca="false">IFERROR(Schedules!D19/BS!C17,"")</f>
        <v/>
      </c>
      <c r="E22" s="48" t="str">
        <f aca="false">IFERROR(Schedules!E19/BS!D17,"")</f>
        <v/>
      </c>
      <c r="F22" s="48" t="str">
        <f aca="false">IFERROR(Schedules!F19/BS!E17,"")</f>
        <v/>
      </c>
      <c r="G22" s="57" t="n">
        <f aca="false">CHOOSE(Asumsi!$D$4,G50,G77,G104)</f>
        <v>0</v>
      </c>
      <c r="H22" s="57" t="n">
        <f aca="false">CHOOSE(Asumsi!$D$4,H50,H77,H104)</f>
        <v>0</v>
      </c>
      <c r="I22" s="57" t="n">
        <f aca="false">CHOOSE(Asumsi!$D$4,I50,I77,I104)</f>
        <v>0</v>
      </c>
      <c r="J22" s="57" t="n">
        <f aca="false">CHOOSE(Asumsi!$D$4,J50,J77,J104)</f>
        <v>0</v>
      </c>
      <c r="K22" s="57" t="n">
        <f aca="false">CHOOSE(Asumsi!$D$4,K50,K77,K104)</f>
        <v>0</v>
      </c>
      <c r="L22" s="58" t="s">
        <v>228</v>
      </c>
    </row>
    <row r="23" customFormat="false" ht="15" hidden="false" customHeight="false" outlineLevel="0" collapsed="false">
      <c r="B23" s="4" t="s">
        <v>229</v>
      </c>
    </row>
    <row r="24" customFormat="false" ht="36" hidden="false" customHeight="true" outlineLevel="0" collapsed="false">
      <c r="A24" s="56" t="s">
        <v>230</v>
      </c>
      <c r="B24" s="13" t="s">
        <v>231</v>
      </c>
      <c r="C24" s="46" t="n">
        <f aca="false">IFERROR((BS!C8+BS!C9)/IS!C6*365,"")</f>
        <v>44.4195701598873</v>
      </c>
      <c r="D24" s="46" t="n">
        <f aca="false">IFERROR((BS!D8+BS!D9)/IS!D6*365,"")</f>
        <v>45.6528040257806</v>
      </c>
      <c r="E24" s="46" t="n">
        <f aca="false">IFERROR((BS!E8+BS!E9)/IS!E6*365,"")</f>
        <v>60.1587557526463</v>
      </c>
      <c r="F24" s="46" t="n">
        <f aca="false">IFERROR((BS!F8+BS!F9)/IS!F6*365,"")</f>
        <v>47.548060426709</v>
      </c>
      <c r="G24" s="59" t="n">
        <f aca="false">CHOOSE(Asumsi!$D$4,G52,G79,G106)</f>
        <v>50</v>
      </c>
      <c r="H24" s="59" t="n">
        <f aca="false">CHOOSE(Asumsi!$D$4,H52,H79,H106)</f>
        <v>50</v>
      </c>
      <c r="I24" s="59" t="n">
        <f aca="false">CHOOSE(Asumsi!$D$4,I52,I79,I106)</f>
        <v>50</v>
      </c>
      <c r="J24" s="59" t="n">
        <f aca="false">CHOOSE(Asumsi!$D$4,J52,J79,J106)</f>
        <v>50</v>
      </c>
      <c r="K24" s="59" t="n">
        <f aca="false">CHOOSE(Asumsi!$D$4,K52,K79,K106)</f>
        <v>50</v>
      </c>
      <c r="L24" s="58" t="s">
        <v>232</v>
      </c>
    </row>
    <row r="25" customFormat="false" ht="36" hidden="false" customHeight="true" outlineLevel="0" collapsed="false">
      <c r="A25" s="56" t="s">
        <v>233</v>
      </c>
      <c r="B25" s="13" t="s">
        <v>234</v>
      </c>
      <c r="C25" s="46" t="n">
        <f aca="false">IFERROR(BS!C12/-(IS!C7+Schedules!C12+Schedules!C16+Schedules!C17)*365,"")</f>
        <v>12.9496878444903</v>
      </c>
      <c r="D25" s="46" t="n">
        <f aca="false">IFERROR(BS!D12/-(IS!D7+Schedules!D12+Schedules!D16+Schedules!D17)*365,"")</f>
        <v>17.2930835701388</v>
      </c>
      <c r="E25" s="46" t="n">
        <f aca="false">IFERROR(BS!E12/-(IS!E7+Schedules!E12+Schedules!E16+Schedules!E17)*365,"")</f>
        <v>15.2281323535009</v>
      </c>
      <c r="F25" s="46" t="n">
        <f aca="false">IFERROR(BS!F12/-(IS!F7+Schedules!F12+Schedules!F16+Schedules!F17)*365,"")</f>
        <v>4.86742436721692</v>
      </c>
      <c r="G25" s="59" t="n">
        <f aca="false">CHOOSE(Asumsi!$D$4,G53,G80,G107)</f>
        <v>10</v>
      </c>
      <c r="H25" s="59" t="n">
        <f aca="false">CHOOSE(Asumsi!$D$4,H53,H80,H107)</f>
        <v>10</v>
      </c>
      <c r="I25" s="59" t="n">
        <f aca="false">CHOOSE(Asumsi!$D$4,I53,I80,I107)</f>
        <v>10</v>
      </c>
      <c r="J25" s="59" t="n">
        <f aca="false">CHOOSE(Asumsi!$D$4,J53,J80,J107)</f>
        <v>10</v>
      </c>
      <c r="K25" s="59" t="n">
        <f aca="false">CHOOSE(Asumsi!$D$4,K53,K80,K107)</f>
        <v>10</v>
      </c>
      <c r="L25" s="58" t="s">
        <v>235</v>
      </c>
    </row>
    <row r="26" customFormat="false" ht="36" hidden="false" customHeight="true" outlineLevel="0" collapsed="false">
      <c r="A26" s="56" t="s">
        <v>236</v>
      </c>
      <c r="B26" s="13" t="s">
        <v>237</v>
      </c>
      <c r="C26" s="46" t="n">
        <f aca="false">IFERROR((BS!C30+BS!C31)/-(IS!C7+Schedules!C12+Schedules!C16+Schedules!C17)*365,"")</f>
        <v>11.7741600599707</v>
      </c>
      <c r="D26" s="46" t="n">
        <f aca="false">IFERROR((BS!D30+BS!D31)/-(IS!D7+Schedules!D12+Schedules!D16+Schedules!D17)*365,"")</f>
        <v>20.4488748633742</v>
      </c>
      <c r="E26" s="46" t="n">
        <f aca="false">IFERROR((BS!E30+BS!E31)/-(IS!E7+Schedules!E12+Schedules!E16+Schedules!E17)*365,"")</f>
        <v>20.8731144403372</v>
      </c>
      <c r="F26" s="46" t="n">
        <f aca="false">IFERROR((BS!F30+BS!F31)/-(IS!F7+Schedules!F12+Schedules!F16+Schedules!F17)*365,"")</f>
        <v>23.9621733477836</v>
      </c>
      <c r="G26" s="59" t="n">
        <f aca="false">CHOOSE(Asumsi!$D$4,G54,G81,G108)</f>
        <v>22</v>
      </c>
      <c r="H26" s="59" t="n">
        <f aca="false">CHOOSE(Asumsi!$D$4,H54,H81,H108)</f>
        <v>22</v>
      </c>
      <c r="I26" s="59" t="n">
        <f aca="false">CHOOSE(Asumsi!$D$4,I54,I81,I108)</f>
        <v>22</v>
      </c>
      <c r="J26" s="59" t="n">
        <f aca="false">CHOOSE(Asumsi!$D$4,J54,J81,J108)</f>
        <v>22</v>
      </c>
      <c r="K26" s="59" t="n">
        <f aca="false">CHOOSE(Asumsi!$D$4,K54,K81,K108)</f>
        <v>22</v>
      </c>
      <c r="L26" s="58" t="s">
        <v>238</v>
      </c>
    </row>
    <row r="27" customFormat="false" ht="15" hidden="false" customHeight="false" outlineLevel="0" collapsed="false">
      <c r="B27" s="4" t="s">
        <v>239</v>
      </c>
    </row>
    <row r="28" customFormat="false" ht="36" hidden="false" customHeight="true" outlineLevel="0" collapsed="false">
      <c r="A28" s="56" t="s">
        <v>240</v>
      </c>
      <c r="B28" s="13" t="s">
        <v>241</v>
      </c>
      <c r="C28" s="48" t="n">
        <f aca="false">IFERROR(-IS!C18/IS!C17,"")</f>
        <v>0.258012508806481</v>
      </c>
      <c r="D28" s="48" t="n">
        <f aca="false">IFERROR(-IS!D18/IS!D17,"")</f>
        <v>0.76735138585865</v>
      </c>
      <c r="E28" s="48" t="n">
        <f aca="false">IFERROR(-IS!E18/IS!E17,"")</f>
        <v>6.91166519635588</v>
      </c>
      <c r="F28" s="48" t="n">
        <f aca="false">IFERROR(-IS!F18/IS!F17,"")</f>
        <v>-0.058527226712422</v>
      </c>
      <c r="G28" s="57" t="n">
        <f aca="false">CHOOSE(Asumsi!$D$4,G56,G83,G110)</f>
        <v>0.25</v>
      </c>
      <c r="H28" s="57" t="n">
        <f aca="false">CHOOSE(Asumsi!$D$4,H56,H83,H110)</f>
        <v>0.25</v>
      </c>
      <c r="I28" s="57" t="n">
        <f aca="false">CHOOSE(Asumsi!$D$4,I56,I83,I110)</f>
        <v>0.25</v>
      </c>
      <c r="J28" s="57" t="n">
        <f aca="false">CHOOSE(Asumsi!$D$4,J56,J83,J110)</f>
        <v>0.25</v>
      </c>
      <c r="K28" s="57" t="n">
        <f aca="false">CHOOSE(Asumsi!$D$4,K56,K83,K110)</f>
        <v>0.25</v>
      </c>
      <c r="L28" s="58" t="s">
        <v>242</v>
      </c>
    </row>
    <row r="29" customFormat="false" ht="36" hidden="false" customHeight="true" outlineLevel="0" collapsed="false">
      <c r="A29" s="56" t="s">
        <v>243</v>
      </c>
      <c r="B29" s="13" t="s">
        <v>244</v>
      </c>
      <c r="C29" s="48"/>
      <c r="D29" s="48" t="n">
        <f aca="false">IFERROR(-IS!D15/AVERAGE((BS!D29+BS!D38+BS!D43+BS!D39+BS!D44+BS!D40+BS!D45+BS!D49+BS!D50),(BS!C29+BS!C38+BS!C43+BS!C39+BS!C44+BS!C40+BS!C45+BS!C49+BS!C50)),"")</f>
        <v>0.0633701830940805</v>
      </c>
      <c r="E29" s="48" t="n">
        <f aca="false">IFERROR(-IS!E15/AVERAGE((BS!E29+BS!E38+BS!E43+BS!E39+BS!E44+BS!E40+BS!E45+BS!E49+BS!E50),(BS!D29+BS!D38+BS!D43+BS!D39+BS!D44+BS!D40+BS!D45+BS!D49+BS!D50)),"")</f>
        <v>0.089940574172619</v>
      </c>
      <c r="F29" s="48" t="n">
        <f aca="false">IFERROR(-IS!F15/AVERAGE((BS!F29+BS!F38+BS!F43+BS!F39+BS!F44+BS!F40+BS!F45+BS!F49+BS!F50),(BS!E29+BS!E38+BS!E43+BS!E39+BS!E44+BS!E40+BS!E45+BS!E49+BS!E50)),"")</f>
        <v>0.101499144817337</v>
      </c>
      <c r="G29" s="57" t="n">
        <f aca="false">CHOOSE(Asumsi!$D$4,G57,G84,G111)</f>
        <v>0.0849</v>
      </c>
      <c r="H29" s="57" t="n">
        <f aca="false">CHOOSE(Asumsi!$D$4,H57,H84,H111)</f>
        <v>0.0849</v>
      </c>
      <c r="I29" s="57" t="n">
        <f aca="false">CHOOSE(Asumsi!$D$4,I57,I84,I111)</f>
        <v>0.0849</v>
      </c>
      <c r="J29" s="57" t="n">
        <f aca="false">CHOOSE(Asumsi!$D$4,J57,J84,J111)</f>
        <v>0.0849</v>
      </c>
      <c r="K29" s="57" t="n">
        <f aca="false">CHOOSE(Asumsi!$D$4,K57,K84,K111)</f>
        <v>0.0849</v>
      </c>
      <c r="L29" s="58" t="s">
        <v>245</v>
      </c>
    </row>
    <row r="30" customFormat="false" ht="36" hidden="false" customHeight="true" outlineLevel="0" collapsed="false">
      <c r="A30" s="56" t="s">
        <v>246</v>
      </c>
      <c r="B30" s="13" t="s">
        <v>247</v>
      </c>
      <c r="C30" s="48"/>
      <c r="D30" s="48" t="n">
        <f aca="false">IFERROR(IS!D16/BS!C6,"")</f>
        <v>0</v>
      </c>
      <c r="E30" s="48" t="n">
        <f aca="false">IFERROR(IS!E16/BS!D6,"")</f>
        <v>0</v>
      </c>
      <c r="F30" s="48" t="n">
        <f aca="false">IFERROR(IS!F16/BS!E6,"")</f>
        <v>4.95255478644433</v>
      </c>
      <c r="G30" s="57" t="n">
        <f aca="false">CHOOSE(Asumsi!$D$4,G58,G85,G112)</f>
        <v>0</v>
      </c>
      <c r="H30" s="57" t="n">
        <f aca="false">CHOOSE(Asumsi!$D$4,H58,H85,H112)</f>
        <v>0</v>
      </c>
      <c r="I30" s="57" t="n">
        <f aca="false">CHOOSE(Asumsi!$D$4,I58,I85,I112)</f>
        <v>0</v>
      </c>
      <c r="J30" s="57" t="n">
        <f aca="false">CHOOSE(Asumsi!$D$4,J58,J85,J112)</f>
        <v>0</v>
      </c>
      <c r="K30" s="57" t="n">
        <f aca="false">CHOOSE(Asumsi!$D$4,K58,K85,K112)</f>
        <v>0</v>
      </c>
      <c r="L30" s="58" t="s">
        <v>248</v>
      </c>
    </row>
    <row r="31" customFormat="false" ht="36" hidden="false" customHeight="true" outlineLevel="0" collapsed="false">
      <c r="A31" s="56" t="s">
        <v>249</v>
      </c>
      <c r="B31" s="13" t="s">
        <v>250</v>
      </c>
      <c r="C31" s="52"/>
      <c r="D31" s="52" t="n">
        <f aca="false">(BS!D29+BS!D38+BS!D43+BS!D39+BS!D44+BS!D40+BS!D45+BS!D49+BS!D50)-(BS!C29+BS!C38+BS!C43+BS!C39+BS!C44+BS!C40+BS!C45+BS!C49+BS!C50)</f>
        <v>51444241469</v>
      </c>
      <c r="E31" s="52" t="n">
        <f aca="false">(BS!E29+BS!E38+BS!E43+BS!E39+BS!E44+BS!E40+BS!E45+BS!E49+BS!E50)-(BS!D29+BS!D38+BS!D43+BS!D39+BS!D44+BS!D40+BS!D45+BS!D49+BS!D50)</f>
        <v>-33270144518</v>
      </c>
      <c r="F31" s="52" t="n">
        <f aca="false">(BS!F29+BS!F38+BS!F43+BS!F39+BS!F44+BS!F40+BS!F45+BS!F49+BS!F50)-(BS!E29+BS!E38+BS!E43+BS!E39+BS!E44+BS!E40+BS!E45+BS!E49+BS!E50)</f>
        <v>-21873507264</v>
      </c>
      <c r="G31" s="60" t="n">
        <f aca="false">CHOOSE(Asumsi!$D$4,G59,G86,G113)</f>
        <v>0</v>
      </c>
      <c r="H31" s="60" t="n">
        <f aca="false">CHOOSE(Asumsi!$D$4,H59,H86,H113)</f>
        <v>0</v>
      </c>
      <c r="I31" s="60" t="n">
        <f aca="false">CHOOSE(Asumsi!$D$4,I59,I86,I113)</f>
        <v>0</v>
      </c>
      <c r="J31" s="60" t="n">
        <f aca="false">CHOOSE(Asumsi!$D$4,J59,J86,J113)</f>
        <v>0</v>
      </c>
      <c r="K31" s="60" t="n">
        <f aca="false">CHOOSE(Asumsi!$D$4,K59,K86,K113)</f>
        <v>0</v>
      </c>
      <c r="L31" s="58" t="s">
        <v>251</v>
      </c>
    </row>
    <row r="32" customFormat="false" ht="36" hidden="false" customHeight="true" outlineLevel="0" collapsed="false">
      <c r="A32" s="56" t="s">
        <v>252</v>
      </c>
      <c r="B32" s="13" t="s">
        <v>253</v>
      </c>
      <c r="C32" s="48"/>
      <c r="D32" s="48" t="n">
        <f aca="false">IFERROR(-CF!D41/IS!C29,"")</f>
        <v>-0</v>
      </c>
      <c r="E32" s="48" t="n">
        <f aca="false">IFERROR(-CF!E41/IS!D29,"")</f>
        <v>-0</v>
      </c>
      <c r="F32" s="48" t="n">
        <f aca="false">IFERROR(-CF!F41/IS!E29,"")</f>
        <v>-0</v>
      </c>
      <c r="G32" s="57" t="n">
        <f aca="false">CHOOSE(Asumsi!$D$4,G60,G87,G114)</f>
        <v>0</v>
      </c>
      <c r="H32" s="57" t="n">
        <f aca="false">CHOOSE(Asumsi!$D$4,H60,H87,H114)</f>
        <v>0</v>
      </c>
      <c r="I32" s="57" t="n">
        <f aca="false">CHOOSE(Asumsi!$D$4,I60,I87,I114)</f>
        <v>0</v>
      </c>
      <c r="J32" s="57" t="n">
        <f aca="false">CHOOSE(Asumsi!$D$4,J60,J87,J114)</f>
        <v>0</v>
      </c>
      <c r="K32" s="57" t="n">
        <f aca="false">CHOOSE(Asumsi!$D$4,K60,K87,K114)</f>
        <v>0</v>
      </c>
      <c r="L32" s="58" t="s">
        <v>254</v>
      </c>
    </row>
    <row r="33" customFormat="false" ht="36" hidden="false" customHeight="true" outlineLevel="0" collapsed="false">
      <c r="A33" s="56" t="s">
        <v>255</v>
      </c>
      <c r="B33" s="13" t="s">
        <v>256</v>
      </c>
      <c r="C33" s="48" t="n">
        <f aca="false">IFERROR(IS!C30/IS!C20,"")</f>
        <v>0</v>
      </c>
      <c r="D33" s="48" t="n">
        <f aca="false">IFERROR(IS!D30/IS!D20,"")</f>
        <v>0</v>
      </c>
      <c r="E33" s="48" t="n">
        <f aca="false">IFERROR(IS!E30/IS!E20,"")</f>
        <v>4.63278711086636E-005</v>
      </c>
      <c r="F33" s="48" t="n">
        <f aca="false">IFERROR(IS!F30/IS!F20,"")</f>
        <v>4.14161814105811E-005</v>
      </c>
      <c r="G33" s="57" t="n">
        <f aca="false">CHOOSE(Asumsi!$D$4,G61,G88,G115)</f>
        <v>0</v>
      </c>
      <c r="H33" s="57" t="n">
        <f aca="false">CHOOSE(Asumsi!$D$4,H61,H88,H115)</f>
        <v>0</v>
      </c>
      <c r="I33" s="57" t="n">
        <f aca="false">CHOOSE(Asumsi!$D$4,I61,I88,I115)</f>
        <v>0</v>
      </c>
      <c r="J33" s="57" t="n">
        <f aca="false">CHOOSE(Asumsi!$D$4,J61,J88,J115)</f>
        <v>0</v>
      </c>
      <c r="K33" s="57" t="n">
        <f aca="false">CHOOSE(Asumsi!$D$4,K61,K88,K115)</f>
        <v>0</v>
      </c>
      <c r="L33" s="58" t="s">
        <v>257</v>
      </c>
    </row>
    <row r="36" customFormat="false" ht="15" hidden="false" customHeight="false" outlineLevel="0" collapsed="false">
      <c r="A36" s="16"/>
      <c r="B36" s="17" t="s">
        <v>258</v>
      </c>
      <c r="C36" s="16"/>
      <c r="D36" s="16"/>
      <c r="E36" s="16"/>
      <c r="F36" s="16"/>
      <c r="G36" s="16"/>
      <c r="H36" s="16"/>
      <c r="I36" s="16"/>
      <c r="J36" s="16"/>
      <c r="K36" s="16"/>
      <c r="L36" s="16"/>
    </row>
    <row r="37" customFormat="false" ht="15" hidden="false" customHeight="false" outlineLevel="0" collapsed="false">
      <c r="B37" s="4" t="s">
        <v>193</v>
      </c>
    </row>
    <row r="38" customFormat="false" ht="15" hidden="false" customHeight="false" outlineLevel="0" collapsed="false">
      <c r="A38" s="56" t="s">
        <v>259</v>
      </c>
      <c r="B38" s="13" t="s">
        <v>195</v>
      </c>
      <c r="G38" s="61" t="n">
        <v>0.08</v>
      </c>
      <c r="H38" s="61" t="n">
        <v>0.08</v>
      </c>
      <c r="I38" s="61" t="n">
        <v>0.08</v>
      </c>
      <c r="J38" s="61" t="n">
        <v>0.08</v>
      </c>
      <c r="K38" s="61" t="n">
        <v>0.08</v>
      </c>
    </row>
    <row r="39" customFormat="false" ht="15" hidden="false" customHeight="false" outlineLevel="0" collapsed="false">
      <c r="A39" s="56" t="s">
        <v>260</v>
      </c>
      <c r="B39" s="13" t="s">
        <v>198</v>
      </c>
      <c r="G39" s="61" t="n">
        <v>0.08</v>
      </c>
      <c r="H39" s="61" t="n">
        <v>0.08</v>
      </c>
      <c r="I39" s="61" t="n">
        <v>0.08</v>
      </c>
      <c r="J39" s="61" t="n">
        <v>0.08</v>
      </c>
      <c r="K39" s="61" t="n">
        <v>0.08</v>
      </c>
    </row>
    <row r="40" customFormat="false" ht="15" hidden="false" customHeight="false" outlineLevel="0" collapsed="false">
      <c r="A40" s="56" t="s">
        <v>261</v>
      </c>
      <c r="B40" s="13" t="s">
        <v>201</v>
      </c>
      <c r="G40" s="61" t="n">
        <v>0.08</v>
      </c>
      <c r="H40" s="61" t="n">
        <v>0.08</v>
      </c>
      <c r="I40" s="61" t="n">
        <v>0.08</v>
      </c>
      <c r="J40" s="61" t="n">
        <v>0.08</v>
      </c>
      <c r="K40" s="61" t="n">
        <v>0.08</v>
      </c>
    </row>
    <row r="41" customFormat="false" ht="15" hidden="false" customHeight="false" outlineLevel="0" collapsed="false">
      <c r="A41" s="56" t="s">
        <v>262</v>
      </c>
      <c r="B41" s="13" t="s">
        <v>204</v>
      </c>
      <c r="G41" s="61" t="n">
        <v>0.0009</v>
      </c>
      <c r="H41" s="61" t="n">
        <v>0.0009</v>
      </c>
      <c r="I41" s="61" t="n">
        <v>0.0009</v>
      </c>
      <c r="J41" s="61" t="n">
        <v>0.0009</v>
      </c>
      <c r="K41" s="61" t="n">
        <v>0.0009</v>
      </c>
    </row>
    <row r="42" customFormat="false" ht="15" hidden="false" customHeight="false" outlineLevel="0" collapsed="false">
      <c r="B42" s="4" t="s">
        <v>206</v>
      </c>
    </row>
    <row r="43" customFormat="false" ht="15" hidden="false" customHeight="false" outlineLevel="0" collapsed="false">
      <c r="A43" s="56" t="s">
        <v>263</v>
      </c>
      <c r="B43" s="13" t="s">
        <v>208</v>
      </c>
      <c r="G43" s="61" t="n">
        <v>0.67</v>
      </c>
      <c r="H43" s="61" t="n">
        <v>0.67</v>
      </c>
      <c r="I43" s="61" t="n">
        <v>0.67</v>
      </c>
      <c r="J43" s="61" t="n">
        <v>0.67</v>
      </c>
      <c r="K43" s="61" t="n">
        <v>0.67</v>
      </c>
    </row>
    <row r="44" customFormat="false" ht="15" hidden="false" customHeight="false" outlineLevel="0" collapsed="false">
      <c r="A44" s="56" t="s">
        <v>264</v>
      </c>
      <c r="B44" s="13" t="s">
        <v>211</v>
      </c>
      <c r="G44" s="61" t="n">
        <v>0.2</v>
      </c>
      <c r="H44" s="61" t="n">
        <v>0.2</v>
      </c>
      <c r="I44" s="61" t="n">
        <v>0.2</v>
      </c>
      <c r="J44" s="61" t="n">
        <v>0.2</v>
      </c>
      <c r="K44" s="61" t="n">
        <v>0.2</v>
      </c>
    </row>
    <row r="45" customFormat="false" ht="15" hidden="false" customHeight="false" outlineLevel="0" collapsed="false">
      <c r="A45" s="56" t="s">
        <v>265</v>
      </c>
      <c r="B45" s="13" t="s">
        <v>214</v>
      </c>
      <c r="G45" s="61" t="n">
        <v>0.002</v>
      </c>
      <c r="H45" s="61" t="n">
        <v>0.002</v>
      </c>
      <c r="I45" s="61" t="n">
        <v>0.002</v>
      </c>
      <c r="J45" s="61" t="n">
        <v>0.002</v>
      </c>
      <c r="K45" s="61" t="n">
        <v>0.002</v>
      </c>
    </row>
    <row r="46" customFormat="false" ht="15" hidden="false" customHeight="false" outlineLevel="0" collapsed="false">
      <c r="B46" s="4" t="s">
        <v>216</v>
      </c>
    </row>
    <row r="47" customFormat="false" ht="15" hidden="false" customHeight="false" outlineLevel="0" collapsed="false">
      <c r="A47" s="56" t="s">
        <v>266</v>
      </c>
      <c r="B47" s="13" t="s">
        <v>218</v>
      </c>
      <c r="G47" s="61" t="n">
        <v>0.09</v>
      </c>
      <c r="H47" s="61" t="n">
        <v>0.09</v>
      </c>
      <c r="I47" s="61" t="n">
        <v>0.09</v>
      </c>
      <c r="J47" s="61" t="n">
        <v>0.09</v>
      </c>
      <c r="K47" s="61" t="n">
        <v>0.09</v>
      </c>
    </row>
    <row r="48" customFormat="false" ht="15" hidden="false" customHeight="false" outlineLevel="0" collapsed="false">
      <c r="A48" s="56" t="s">
        <v>267</v>
      </c>
      <c r="B48" s="13" t="s">
        <v>221</v>
      </c>
      <c r="G48" s="61" t="n">
        <v>0.0034</v>
      </c>
      <c r="H48" s="61" t="n">
        <v>0.0034</v>
      </c>
      <c r="I48" s="61" t="n">
        <v>0.0034</v>
      </c>
      <c r="J48" s="61" t="n">
        <v>0.0034</v>
      </c>
      <c r="K48" s="61" t="n">
        <v>0.0034</v>
      </c>
    </row>
    <row r="49" customFormat="false" ht="15" hidden="false" customHeight="false" outlineLevel="0" collapsed="false">
      <c r="A49" s="56" t="s">
        <v>268</v>
      </c>
      <c r="B49" s="13" t="s">
        <v>224</v>
      </c>
      <c r="G49" s="61" t="n">
        <v>0.0984</v>
      </c>
      <c r="H49" s="61" t="n">
        <v>0.0984</v>
      </c>
      <c r="I49" s="61" t="n">
        <v>0.0984</v>
      </c>
      <c r="J49" s="61" t="n">
        <v>0.0984</v>
      </c>
      <c r="K49" s="61" t="n">
        <v>0.0984</v>
      </c>
    </row>
    <row r="50" customFormat="false" ht="15" hidden="false" customHeight="false" outlineLevel="0" collapsed="false">
      <c r="A50" s="56" t="s">
        <v>269</v>
      </c>
      <c r="B50" s="13" t="s">
        <v>227</v>
      </c>
      <c r="G50" s="61" t="n">
        <v>0</v>
      </c>
      <c r="H50" s="61" t="n">
        <v>0</v>
      </c>
      <c r="I50" s="61" t="n">
        <v>0</v>
      </c>
      <c r="J50" s="61" t="n">
        <v>0</v>
      </c>
      <c r="K50" s="61" t="n">
        <v>0</v>
      </c>
    </row>
    <row r="51" customFormat="false" ht="15" hidden="false" customHeight="false" outlineLevel="0" collapsed="false">
      <c r="B51" s="4" t="s">
        <v>229</v>
      </c>
    </row>
    <row r="52" customFormat="false" ht="15" hidden="false" customHeight="false" outlineLevel="0" collapsed="false">
      <c r="A52" s="56" t="s">
        <v>270</v>
      </c>
      <c r="B52" s="13" t="s">
        <v>231</v>
      </c>
      <c r="G52" s="62" t="n">
        <v>50</v>
      </c>
      <c r="H52" s="62" t="n">
        <v>50</v>
      </c>
      <c r="I52" s="62" t="n">
        <v>50</v>
      </c>
      <c r="J52" s="62" t="n">
        <v>50</v>
      </c>
      <c r="K52" s="62" t="n">
        <v>50</v>
      </c>
    </row>
    <row r="53" customFormat="false" ht="15" hidden="false" customHeight="false" outlineLevel="0" collapsed="false">
      <c r="A53" s="56" t="s">
        <v>271</v>
      </c>
      <c r="B53" s="13" t="s">
        <v>234</v>
      </c>
      <c r="G53" s="62" t="n">
        <v>10</v>
      </c>
      <c r="H53" s="62" t="n">
        <v>10</v>
      </c>
      <c r="I53" s="62" t="n">
        <v>10</v>
      </c>
      <c r="J53" s="62" t="n">
        <v>10</v>
      </c>
      <c r="K53" s="62" t="n">
        <v>10</v>
      </c>
    </row>
    <row r="54" customFormat="false" ht="15" hidden="false" customHeight="false" outlineLevel="0" collapsed="false">
      <c r="A54" s="56" t="s">
        <v>272</v>
      </c>
      <c r="B54" s="13" t="s">
        <v>237</v>
      </c>
      <c r="G54" s="62" t="n">
        <v>22</v>
      </c>
      <c r="H54" s="62" t="n">
        <v>22</v>
      </c>
      <c r="I54" s="62" t="n">
        <v>22</v>
      </c>
      <c r="J54" s="62" t="n">
        <v>22</v>
      </c>
      <c r="K54" s="62" t="n">
        <v>22</v>
      </c>
    </row>
    <row r="55" customFormat="false" ht="15" hidden="false" customHeight="false" outlineLevel="0" collapsed="false">
      <c r="B55" s="4" t="s">
        <v>239</v>
      </c>
    </row>
    <row r="56" customFormat="false" ht="15" hidden="false" customHeight="false" outlineLevel="0" collapsed="false">
      <c r="A56" s="56" t="s">
        <v>273</v>
      </c>
      <c r="B56" s="13" t="s">
        <v>241</v>
      </c>
      <c r="G56" s="61" t="n">
        <v>0.25</v>
      </c>
      <c r="H56" s="61" t="n">
        <v>0.25</v>
      </c>
      <c r="I56" s="61" t="n">
        <v>0.25</v>
      </c>
      <c r="J56" s="61" t="n">
        <v>0.25</v>
      </c>
      <c r="K56" s="61" t="n">
        <v>0.25</v>
      </c>
    </row>
    <row r="57" customFormat="false" ht="15" hidden="false" customHeight="false" outlineLevel="0" collapsed="false">
      <c r="A57" s="56" t="s">
        <v>274</v>
      </c>
      <c r="B57" s="13" t="s">
        <v>244</v>
      </c>
      <c r="G57" s="61" t="n">
        <v>0.0849</v>
      </c>
      <c r="H57" s="61" t="n">
        <v>0.0849</v>
      </c>
      <c r="I57" s="61" t="n">
        <v>0.0849</v>
      </c>
      <c r="J57" s="61" t="n">
        <v>0.0849</v>
      </c>
      <c r="K57" s="61" t="n">
        <v>0.0849</v>
      </c>
    </row>
    <row r="58" customFormat="false" ht="15" hidden="false" customHeight="false" outlineLevel="0" collapsed="false">
      <c r="A58" s="56" t="s">
        <v>275</v>
      </c>
      <c r="B58" s="13" t="s">
        <v>247</v>
      </c>
      <c r="G58" s="61" t="n">
        <v>0</v>
      </c>
      <c r="H58" s="61" t="n">
        <v>0</v>
      </c>
      <c r="I58" s="61" t="n">
        <v>0</v>
      </c>
      <c r="J58" s="61" t="n">
        <v>0</v>
      </c>
      <c r="K58" s="61" t="n">
        <v>0</v>
      </c>
    </row>
    <row r="59" customFormat="false" ht="15" hidden="false" customHeight="false" outlineLevel="0" collapsed="false">
      <c r="A59" s="56" t="s">
        <v>276</v>
      </c>
      <c r="B59" s="13" t="s">
        <v>250</v>
      </c>
      <c r="G59" s="63" t="n">
        <v>0</v>
      </c>
      <c r="H59" s="63" t="n">
        <v>0</v>
      </c>
      <c r="I59" s="63" t="n">
        <v>0</v>
      </c>
      <c r="J59" s="63" t="n">
        <v>0</v>
      </c>
      <c r="K59" s="63" t="n">
        <v>0</v>
      </c>
    </row>
    <row r="60" customFormat="false" ht="15" hidden="false" customHeight="false" outlineLevel="0" collapsed="false">
      <c r="A60" s="56" t="s">
        <v>277</v>
      </c>
      <c r="B60" s="13" t="s">
        <v>253</v>
      </c>
      <c r="G60" s="61" t="n">
        <v>0</v>
      </c>
      <c r="H60" s="61" t="n">
        <v>0</v>
      </c>
      <c r="I60" s="61" t="n">
        <v>0</v>
      </c>
      <c r="J60" s="61" t="n">
        <v>0</v>
      </c>
      <c r="K60" s="61" t="n">
        <v>0</v>
      </c>
    </row>
    <row r="61" customFormat="false" ht="15" hidden="false" customHeight="false" outlineLevel="0" collapsed="false">
      <c r="A61" s="56" t="s">
        <v>278</v>
      </c>
      <c r="B61" s="13" t="s">
        <v>256</v>
      </c>
      <c r="G61" s="61" t="n">
        <v>0</v>
      </c>
      <c r="H61" s="61" t="n">
        <v>0</v>
      </c>
      <c r="I61" s="61" t="n">
        <v>0</v>
      </c>
      <c r="J61" s="61" t="n">
        <v>0</v>
      </c>
      <c r="K61" s="61" t="n">
        <v>0</v>
      </c>
    </row>
    <row r="63" customFormat="false" ht="15" hidden="false" customHeight="false" outlineLevel="0" collapsed="false">
      <c r="A63" s="16"/>
      <c r="B63" s="17" t="s">
        <v>279</v>
      </c>
      <c r="C63" s="16"/>
      <c r="D63" s="16"/>
      <c r="E63" s="16"/>
      <c r="F63" s="16"/>
      <c r="G63" s="16"/>
      <c r="H63" s="16"/>
      <c r="I63" s="16"/>
      <c r="J63" s="16"/>
      <c r="K63" s="16"/>
      <c r="L63" s="16"/>
    </row>
    <row r="64" customFormat="false" ht="15" hidden="false" customHeight="false" outlineLevel="0" collapsed="false">
      <c r="B64" s="4" t="s">
        <v>193</v>
      </c>
    </row>
    <row r="65" customFormat="false" ht="15" hidden="false" customHeight="false" outlineLevel="0" collapsed="false">
      <c r="A65" s="56" t="s">
        <v>280</v>
      </c>
      <c r="B65" s="13" t="s">
        <v>195</v>
      </c>
      <c r="G65" s="61" t="n">
        <v>0.12</v>
      </c>
      <c r="H65" s="61" t="n">
        <v>0.12</v>
      </c>
      <c r="I65" s="61" t="n">
        <v>0.12</v>
      </c>
      <c r="J65" s="61" t="n">
        <v>0.12</v>
      </c>
      <c r="K65" s="61" t="n">
        <v>0.12</v>
      </c>
    </row>
    <row r="66" customFormat="false" ht="15" hidden="false" customHeight="false" outlineLevel="0" collapsed="false">
      <c r="A66" s="56" t="s">
        <v>281</v>
      </c>
      <c r="B66" s="13" t="s">
        <v>198</v>
      </c>
      <c r="G66" s="61" t="n">
        <v>0.12</v>
      </c>
      <c r="H66" s="61" t="n">
        <v>0.12</v>
      </c>
      <c r="I66" s="61" t="n">
        <v>0.12</v>
      </c>
      <c r="J66" s="61" t="n">
        <v>0.12</v>
      </c>
      <c r="K66" s="61" t="n">
        <v>0.12</v>
      </c>
    </row>
    <row r="67" customFormat="false" ht="15" hidden="false" customHeight="false" outlineLevel="0" collapsed="false">
      <c r="A67" s="56" t="s">
        <v>282</v>
      </c>
      <c r="B67" s="13" t="s">
        <v>201</v>
      </c>
      <c r="G67" s="61" t="n">
        <v>0.12</v>
      </c>
      <c r="H67" s="61" t="n">
        <v>0.12</v>
      </c>
      <c r="I67" s="61" t="n">
        <v>0.12</v>
      </c>
      <c r="J67" s="61" t="n">
        <v>0.12</v>
      </c>
      <c r="K67" s="61" t="n">
        <v>0.12</v>
      </c>
    </row>
    <row r="68" customFormat="false" ht="15" hidden="false" customHeight="false" outlineLevel="0" collapsed="false">
      <c r="A68" s="56" t="s">
        <v>283</v>
      </c>
      <c r="B68" s="13" t="s">
        <v>204</v>
      </c>
      <c r="G68" s="61" t="n">
        <v>0.0009</v>
      </c>
      <c r="H68" s="61" t="n">
        <v>0.0009</v>
      </c>
      <c r="I68" s="61" t="n">
        <v>0.0009</v>
      </c>
      <c r="J68" s="61" t="n">
        <v>0.0009</v>
      </c>
      <c r="K68" s="61" t="n">
        <v>0.0009</v>
      </c>
    </row>
    <row r="69" customFormat="false" ht="15" hidden="false" customHeight="false" outlineLevel="0" collapsed="false">
      <c r="B69" s="4" t="s">
        <v>206</v>
      </c>
    </row>
    <row r="70" customFormat="false" ht="15" hidden="false" customHeight="false" outlineLevel="0" collapsed="false">
      <c r="A70" s="56" t="s">
        <v>284</v>
      </c>
      <c r="B70" s="13" t="s">
        <v>208</v>
      </c>
      <c r="G70" s="61" t="n">
        <v>0.65</v>
      </c>
      <c r="H70" s="61" t="n">
        <v>0.65</v>
      </c>
      <c r="I70" s="61" t="n">
        <v>0.65</v>
      </c>
      <c r="J70" s="61" t="n">
        <v>0.65</v>
      </c>
      <c r="K70" s="61" t="n">
        <v>0.65</v>
      </c>
    </row>
    <row r="71" customFormat="false" ht="15" hidden="false" customHeight="false" outlineLevel="0" collapsed="false">
      <c r="A71" s="56" t="s">
        <v>285</v>
      </c>
      <c r="B71" s="13" t="s">
        <v>211</v>
      </c>
      <c r="G71" s="61" t="n">
        <v>0.19</v>
      </c>
      <c r="H71" s="61" t="n">
        <v>0.19</v>
      </c>
      <c r="I71" s="61" t="n">
        <v>0.19</v>
      </c>
      <c r="J71" s="61" t="n">
        <v>0.19</v>
      </c>
      <c r="K71" s="61" t="n">
        <v>0.19</v>
      </c>
    </row>
    <row r="72" customFormat="false" ht="15" hidden="false" customHeight="false" outlineLevel="0" collapsed="false">
      <c r="A72" s="56" t="s">
        <v>286</v>
      </c>
      <c r="B72" s="13" t="s">
        <v>214</v>
      </c>
      <c r="G72" s="61" t="n">
        <v>0.003</v>
      </c>
      <c r="H72" s="61" t="n">
        <v>0.003</v>
      </c>
      <c r="I72" s="61" t="n">
        <v>0.003</v>
      </c>
      <c r="J72" s="61" t="n">
        <v>0.003</v>
      </c>
      <c r="K72" s="61" t="n">
        <v>0.003</v>
      </c>
    </row>
    <row r="73" customFormat="false" ht="15" hidden="false" customHeight="false" outlineLevel="0" collapsed="false">
      <c r="B73" s="4" t="s">
        <v>216</v>
      </c>
    </row>
    <row r="74" customFormat="false" ht="15" hidden="false" customHeight="false" outlineLevel="0" collapsed="false">
      <c r="A74" s="56" t="s">
        <v>287</v>
      </c>
      <c r="B74" s="13" t="s">
        <v>218</v>
      </c>
      <c r="G74" s="61" t="n">
        <v>0.07</v>
      </c>
      <c r="H74" s="61" t="n">
        <v>0.07</v>
      </c>
      <c r="I74" s="61" t="n">
        <v>0.07</v>
      </c>
      <c r="J74" s="61" t="n">
        <v>0.07</v>
      </c>
      <c r="K74" s="61" t="n">
        <v>0.07</v>
      </c>
    </row>
    <row r="75" customFormat="false" ht="15" hidden="false" customHeight="false" outlineLevel="0" collapsed="false">
      <c r="A75" s="56" t="s">
        <v>288</v>
      </c>
      <c r="B75" s="13" t="s">
        <v>221</v>
      </c>
      <c r="G75" s="61" t="n">
        <v>0.0034</v>
      </c>
      <c r="H75" s="61" t="n">
        <v>0.0034</v>
      </c>
      <c r="I75" s="61" t="n">
        <v>0.0034</v>
      </c>
      <c r="J75" s="61" t="n">
        <v>0.0034</v>
      </c>
      <c r="K75" s="61" t="n">
        <v>0.0034</v>
      </c>
    </row>
    <row r="76" customFormat="false" ht="15" hidden="false" customHeight="false" outlineLevel="0" collapsed="false">
      <c r="A76" s="56" t="s">
        <v>289</v>
      </c>
      <c r="B76" s="13" t="s">
        <v>224</v>
      </c>
      <c r="G76" s="61" t="n">
        <v>0.0984</v>
      </c>
      <c r="H76" s="61" t="n">
        <v>0.0984</v>
      </c>
      <c r="I76" s="61" t="n">
        <v>0.0984</v>
      </c>
      <c r="J76" s="61" t="n">
        <v>0.0984</v>
      </c>
      <c r="K76" s="61" t="n">
        <v>0.0984</v>
      </c>
    </row>
    <row r="77" customFormat="false" ht="15" hidden="false" customHeight="false" outlineLevel="0" collapsed="false">
      <c r="A77" s="56" t="s">
        <v>290</v>
      </c>
      <c r="B77" s="13" t="s">
        <v>227</v>
      </c>
      <c r="G77" s="61" t="n">
        <v>0</v>
      </c>
      <c r="H77" s="61" t="n">
        <v>0</v>
      </c>
      <c r="I77" s="61" t="n">
        <v>0</v>
      </c>
      <c r="J77" s="61" t="n">
        <v>0</v>
      </c>
      <c r="K77" s="61" t="n">
        <v>0</v>
      </c>
    </row>
    <row r="78" customFormat="false" ht="15" hidden="false" customHeight="false" outlineLevel="0" collapsed="false">
      <c r="B78" s="4" t="s">
        <v>229</v>
      </c>
    </row>
    <row r="79" customFormat="false" ht="15" hidden="false" customHeight="false" outlineLevel="0" collapsed="false">
      <c r="A79" s="56" t="s">
        <v>291</v>
      </c>
      <c r="B79" s="13" t="s">
        <v>231</v>
      </c>
      <c r="G79" s="62" t="n">
        <v>45</v>
      </c>
      <c r="H79" s="62" t="n">
        <v>45</v>
      </c>
      <c r="I79" s="62" t="n">
        <v>45</v>
      </c>
      <c r="J79" s="62" t="n">
        <v>45</v>
      </c>
      <c r="K79" s="62" t="n">
        <v>45</v>
      </c>
    </row>
    <row r="80" customFormat="false" ht="15" hidden="false" customHeight="false" outlineLevel="0" collapsed="false">
      <c r="A80" s="56" t="s">
        <v>292</v>
      </c>
      <c r="B80" s="13" t="s">
        <v>234</v>
      </c>
      <c r="G80" s="62" t="n">
        <v>8</v>
      </c>
      <c r="H80" s="62" t="n">
        <v>8</v>
      </c>
      <c r="I80" s="62" t="n">
        <v>8</v>
      </c>
      <c r="J80" s="62" t="n">
        <v>8</v>
      </c>
      <c r="K80" s="62" t="n">
        <v>8</v>
      </c>
    </row>
    <row r="81" customFormat="false" ht="15" hidden="false" customHeight="false" outlineLevel="0" collapsed="false">
      <c r="A81" s="56" t="s">
        <v>293</v>
      </c>
      <c r="B81" s="13" t="s">
        <v>237</v>
      </c>
      <c r="G81" s="62" t="n">
        <v>25</v>
      </c>
      <c r="H81" s="62" t="n">
        <v>25</v>
      </c>
      <c r="I81" s="62" t="n">
        <v>25</v>
      </c>
      <c r="J81" s="62" t="n">
        <v>25</v>
      </c>
      <c r="K81" s="62" t="n">
        <v>25</v>
      </c>
    </row>
    <row r="82" customFormat="false" ht="15" hidden="false" customHeight="false" outlineLevel="0" collapsed="false">
      <c r="B82" s="4" t="s">
        <v>239</v>
      </c>
    </row>
    <row r="83" customFormat="false" ht="15" hidden="false" customHeight="false" outlineLevel="0" collapsed="false">
      <c r="A83" s="56" t="s">
        <v>294</v>
      </c>
      <c r="B83" s="13" t="s">
        <v>241</v>
      </c>
      <c r="G83" s="61" t="n">
        <v>0.22</v>
      </c>
      <c r="H83" s="61" t="n">
        <v>0.22</v>
      </c>
      <c r="I83" s="61" t="n">
        <v>0.22</v>
      </c>
      <c r="J83" s="61" t="n">
        <v>0.22</v>
      </c>
      <c r="K83" s="61" t="n">
        <v>0.22</v>
      </c>
    </row>
    <row r="84" customFormat="false" ht="15" hidden="false" customHeight="false" outlineLevel="0" collapsed="false">
      <c r="A84" s="56" t="s">
        <v>295</v>
      </c>
      <c r="B84" s="13" t="s">
        <v>244</v>
      </c>
      <c r="G84" s="61" t="n">
        <v>0.0764</v>
      </c>
      <c r="H84" s="61" t="n">
        <v>0.0764</v>
      </c>
      <c r="I84" s="61" t="n">
        <v>0.0764</v>
      </c>
      <c r="J84" s="61" t="n">
        <v>0.0764</v>
      </c>
      <c r="K84" s="61" t="n">
        <v>0.0764</v>
      </c>
    </row>
    <row r="85" customFormat="false" ht="15" hidden="false" customHeight="false" outlineLevel="0" collapsed="false">
      <c r="A85" s="56" t="s">
        <v>296</v>
      </c>
      <c r="B85" s="13" t="s">
        <v>247</v>
      </c>
      <c r="G85" s="61" t="n">
        <v>0</v>
      </c>
      <c r="H85" s="61" t="n">
        <v>0</v>
      </c>
      <c r="I85" s="61" t="n">
        <v>0</v>
      </c>
      <c r="J85" s="61" t="n">
        <v>0</v>
      </c>
      <c r="K85" s="61" t="n">
        <v>0</v>
      </c>
    </row>
    <row r="86" customFormat="false" ht="15" hidden="false" customHeight="false" outlineLevel="0" collapsed="false">
      <c r="A86" s="56" t="s">
        <v>297</v>
      </c>
      <c r="B86" s="13" t="s">
        <v>250</v>
      </c>
      <c r="G86" s="63" t="n">
        <v>0</v>
      </c>
      <c r="H86" s="63" t="n">
        <v>0</v>
      </c>
      <c r="I86" s="63" t="n">
        <v>0</v>
      </c>
      <c r="J86" s="63" t="n">
        <v>0</v>
      </c>
      <c r="K86" s="63" t="n">
        <v>0</v>
      </c>
    </row>
    <row r="87" customFormat="false" ht="15" hidden="false" customHeight="false" outlineLevel="0" collapsed="false">
      <c r="A87" s="56" t="s">
        <v>298</v>
      </c>
      <c r="B87" s="13" t="s">
        <v>253</v>
      </c>
      <c r="G87" s="61" t="n">
        <v>0</v>
      </c>
      <c r="H87" s="61" t="n">
        <v>0</v>
      </c>
      <c r="I87" s="61" t="n">
        <v>0</v>
      </c>
      <c r="J87" s="61" t="n">
        <v>0</v>
      </c>
      <c r="K87" s="61" t="n">
        <v>0</v>
      </c>
    </row>
    <row r="88" customFormat="false" ht="15" hidden="false" customHeight="false" outlineLevel="0" collapsed="false">
      <c r="A88" s="56" t="s">
        <v>299</v>
      </c>
      <c r="B88" s="13" t="s">
        <v>256</v>
      </c>
      <c r="G88" s="61" t="n">
        <v>0</v>
      </c>
      <c r="H88" s="61" t="n">
        <v>0</v>
      </c>
      <c r="I88" s="61" t="n">
        <v>0</v>
      </c>
      <c r="J88" s="61" t="n">
        <v>0</v>
      </c>
      <c r="K88" s="61" t="n">
        <v>0</v>
      </c>
    </row>
    <row r="90" customFormat="false" ht="15" hidden="false" customHeight="false" outlineLevel="0" collapsed="false">
      <c r="A90" s="16"/>
      <c r="B90" s="17" t="s">
        <v>300</v>
      </c>
      <c r="C90" s="16"/>
      <c r="D90" s="16"/>
      <c r="E90" s="16"/>
      <c r="F90" s="16"/>
      <c r="G90" s="16"/>
      <c r="H90" s="16"/>
      <c r="I90" s="16"/>
      <c r="J90" s="16"/>
      <c r="K90" s="16"/>
      <c r="L90" s="16"/>
    </row>
    <row r="91" customFormat="false" ht="15" hidden="false" customHeight="false" outlineLevel="0" collapsed="false">
      <c r="B91" s="4" t="s">
        <v>193</v>
      </c>
    </row>
    <row r="92" customFormat="false" ht="15" hidden="false" customHeight="false" outlineLevel="0" collapsed="false">
      <c r="A92" s="56" t="s">
        <v>301</v>
      </c>
      <c r="B92" s="13" t="s">
        <v>195</v>
      </c>
      <c r="G92" s="61" t="n">
        <v>0.03</v>
      </c>
      <c r="H92" s="61" t="n">
        <v>0.03</v>
      </c>
      <c r="I92" s="61" t="n">
        <v>0.03</v>
      </c>
      <c r="J92" s="61" t="n">
        <v>0.03</v>
      </c>
      <c r="K92" s="61" t="n">
        <v>0.03</v>
      </c>
    </row>
    <row r="93" customFormat="false" ht="15" hidden="false" customHeight="false" outlineLevel="0" collapsed="false">
      <c r="A93" s="56" t="s">
        <v>302</v>
      </c>
      <c r="B93" s="13" t="s">
        <v>198</v>
      </c>
      <c r="G93" s="61" t="n">
        <v>0.03</v>
      </c>
      <c r="H93" s="61" t="n">
        <v>0.03</v>
      </c>
      <c r="I93" s="61" t="n">
        <v>0.03</v>
      </c>
      <c r="J93" s="61" t="n">
        <v>0.03</v>
      </c>
      <c r="K93" s="61" t="n">
        <v>0.03</v>
      </c>
    </row>
    <row r="94" customFormat="false" ht="15" hidden="false" customHeight="false" outlineLevel="0" collapsed="false">
      <c r="A94" s="56" t="s">
        <v>303</v>
      </c>
      <c r="B94" s="13" t="s">
        <v>201</v>
      </c>
      <c r="G94" s="61" t="n">
        <v>0.03</v>
      </c>
      <c r="H94" s="61" t="n">
        <v>0.03</v>
      </c>
      <c r="I94" s="61" t="n">
        <v>0.03</v>
      </c>
      <c r="J94" s="61" t="n">
        <v>0.03</v>
      </c>
      <c r="K94" s="61" t="n">
        <v>0.03</v>
      </c>
    </row>
    <row r="95" customFormat="false" ht="15" hidden="false" customHeight="false" outlineLevel="0" collapsed="false">
      <c r="A95" s="56" t="s">
        <v>304</v>
      </c>
      <c r="B95" s="13" t="s">
        <v>204</v>
      </c>
      <c r="G95" s="61" t="n">
        <v>0.0009</v>
      </c>
      <c r="H95" s="61" t="n">
        <v>0.0009</v>
      </c>
      <c r="I95" s="61" t="n">
        <v>0.0009</v>
      </c>
      <c r="J95" s="61" t="n">
        <v>0.0009</v>
      </c>
      <c r="K95" s="61" t="n">
        <v>0.0009</v>
      </c>
    </row>
    <row r="96" customFormat="false" ht="15" hidden="false" customHeight="false" outlineLevel="0" collapsed="false">
      <c r="B96" s="4" t="s">
        <v>206</v>
      </c>
    </row>
    <row r="97" customFormat="false" ht="15" hidden="false" customHeight="false" outlineLevel="0" collapsed="false">
      <c r="A97" s="56" t="s">
        <v>305</v>
      </c>
      <c r="B97" s="13" t="s">
        <v>208</v>
      </c>
      <c r="G97" s="61" t="n">
        <v>0.69</v>
      </c>
      <c r="H97" s="61" t="n">
        <v>0.69</v>
      </c>
      <c r="I97" s="61" t="n">
        <v>0.69</v>
      </c>
      <c r="J97" s="61" t="n">
        <v>0.69</v>
      </c>
      <c r="K97" s="61" t="n">
        <v>0.69</v>
      </c>
    </row>
    <row r="98" customFormat="false" ht="15" hidden="false" customHeight="false" outlineLevel="0" collapsed="false">
      <c r="A98" s="56" t="s">
        <v>306</v>
      </c>
      <c r="B98" s="13" t="s">
        <v>211</v>
      </c>
      <c r="G98" s="61" t="n">
        <v>0.215</v>
      </c>
      <c r="H98" s="61" t="n">
        <v>0.215</v>
      </c>
      <c r="I98" s="61" t="n">
        <v>0.215</v>
      </c>
      <c r="J98" s="61" t="n">
        <v>0.215</v>
      </c>
      <c r="K98" s="61" t="n">
        <v>0.215</v>
      </c>
    </row>
    <row r="99" customFormat="false" ht="15" hidden="false" customHeight="false" outlineLevel="0" collapsed="false">
      <c r="A99" s="56" t="s">
        <v>307</v>
      </c>
      <c r="B99" s="13" t="s">
        <v>214</v>
      </c>
      <c r="G99" s="61" t="n">
        <v>0</v>
      </c>
      <c r="H99" s="61" t="n">
        <v>0</v>
      </c>
      <c r="I99" s="61" t="n">
        <v>0</v>
      </c>
      <c r="J99" s="61" t="n">
        <v>0</v>
      </c>
      <c r="K99" s="61" t="n">
        <v>0</v>
      </c>
    </row>
    <row r="100" customFormat="false" ht="15" hidden="false" customHeight="false" outlineLevel="0" collapsed="false">
      <c r="B100" s="4" t="s">
        <v>216</v>
      </c>
    </row>
    <row r="101" customFormat="false" ht="15" hidden="false" customHeight="false" outlineLevel="0" collapsed="false">
      <c r="A101" s="56" t="s">
        <v>308</v>
      </c>
      <c r="B101" s="13" t="s">
        <v>218</v>
      </c>
      <c r="G101" s="61" t="n">
        <v>0.12</v>
      </c>
      <c r="H101" s="61" t="n">
        <v>0.12</v>
      </c>
      <c r="I101" s="61" t="n">
        <v>0.12</v>
      </c>
      <c r="J101" s="61" t="n">
        <v>0.12</v>
      </c>
      <c r="K101" s="61" t="n">
        <v>0.12</v>
      </c>
    </row>
    <row r="102" customFormat="false" ht="15" hidden="false" customHeight="false" outlineLevel="0" collapsed="false">
      <c r="A102" s="56" t="s">
        <v>309</v>
      </c>
      <c r="B102" s="13" t="s">
        <v>221</v>
      </c>
      <c r="G102" s="61" t="n">
        <v>0.0034</v>
      </c>
      <c r="H102" s="61" t="n">
        <v>0.0034</v>
      </c>
      <c r="I102" s="61" t="n">
        <v>0.0034</v>
      </c>
      <c r="J102" s="61" t="n">
        <v>0.0034</v>
      </c>
      <c r="K102" s="61" t="n">
        <v>0.0034</v>
      </c>
    </row>
    <row r="103" customFormat="false" ht="15" hidden="false" customHeight="false" outlineLevel="0" collapsed="false">
      <c r="A103" s="56" t="s">
        <v>310</v>
      </c>
      <c r="B103" s="13" t="s">
        <v>224</v>
      </c>
      <c r="G103" s="61" t="n">
        <v>0.0984</v>
      </c>
      <c r="H103" s="61" t="n">
        <v>0.0984</v>
      </c>
      <c r="I103" s="61" t="n">
        <v>0.0984</v>
      </c>
      <c r="J103" s="61" t="n">
        <v>0.0984</v>
      </c>
      <c r="K103" s="61" t="n">
        <v>0.0984</v>
      </c>
    </row>
    <row r="104" customFormat="false" ht="15" hidden="false" customHeight="false" outlineLevel="0" collapsed="false">
      <c r="A104" s="56" t="s">
        <v>311</v>
      </c>
      <c r="B104" s="13" t="s">
        <v>227</v>
      </c>
      <c r="G104" s="61" t="n">
        <v>0</v>
      </c>
      <c r="H104" s="61" t="n">
        <v>0</v>
      </c>
      <c r="I104" s="61" t="n">
        <v>0</v>
      </c>
      <c r="J104" s="61" t="n">
        <v>0</v>
      </c>
      <c r="K104" s="61" t="n">
        <v>0</v>
      </c>
    </row>
    <row r="105" customFormat="false" ht="15" hidden="false" customHeight="false" outlineLevel="0" collapsed="false">
      <c r="B105" s="4" t="s">
        <v>229</v>
      </c>
    </row>
    <row r="106" customFormat="false" ht="15" hidden="false" customHeight="false" outlineLevel="0" collapsed="false">
      <c r="A106" s="56" t="s">
        <v>312</v>
      </c>
      <c r="B106" s="13" t="s">
        <v>231</v>
      </c>
      <c r="G106" s="62" t="n">
        <v>60</v>
      </c>
      <c r="H106" s="62" t="n">
        <v>60</v>
      </c>
      <c r="I106" s="62" t="n">
        <v>60</v>
      </c>
      <c r="J106" s="62" t="n">
        <v>60</v>
      </c>
      <c r="K106" s="62" t="n">
        <v>60</v>
      </c>
    </row>
    <row r="107" customFormat="false" ht="15" hidden="false" customHeight="false" outlineLevel="0" collapsed="false">
      <c r="A107" s="56" t="s">
        <v>313</v>
      </c>
      <c r="B107" s="13" t="s">
        <v>234</v>
      </c>
      <c r="G107" s="62" t="n">
        <v>14</v>
      </c>
      <c r="H107" s="62" t="n">
        <v>14</v>
      </c>
      <c r="I107" s="62" t="n">
        <v>14</v>
      </c>
      <c r="J107" s="62" t="n">
        <v>14</v>
      </c>
      <c r="K107" s="62" t="n">
        <v>14</v>
      </c>
    </row>
    <row r="108" customFormat="false" ht="15" hidden="false" customHeight="false" outlineLevel="0" collapsed="false">
      <c r="A108" s="56" t="s">
        <v>314</v>
      </c>
      <c r="B108" s="13" t="s">
        <v>237</v>
      </c>
      <c r="G108" s="62" t="n">
        <v>18</v>
      </c>
      <c r="H108" s="62" t="n">
        <v>18</v>
      </c>
      <c r="I108" s="62" t="n">
        <v>18</v>
      </c>
      <c r="J108" s="62" t="n">
        <v>18</v>
      </c>
      <c r="K108" s="62" t="n">
        <v>18</v>
      </c>
    </row>
    <row r="109" customFormat="false" ht="15" hidden="false" customHeight="false" outlineLevel="0" collapsed="false">
      <c r="B109" s="4" t="s">
        <v>239</v>
      </c>
    </row>
    <row r="110" customFormat="false" ht="15" hidden="false" customHeight="false" outlineLevel="0" collapsed="false">
      <c r="A110" s="56" t="s">
        <v>315</v>
      </c>
      <c r="B110" s="13" t="s">
        <v>241</v>
      </c>
      <c r="G110" s="61" t="n">
        <v>0.3</v>
      </c>
      <c r="H110" s="61" t="n">
        <v>0.3</v>
      </c>
      <c r="I110" s="61" t="n">
        <v>0.3</v>
      </c>
      <c r="J110" s="61" t="n">
        <v>0.3</v>
      </c>
      <c r="K110" s="61" t="n">
        <v>0.3</v>
      </c>
    </row>
    <row r="111" customFormat="false" ht="15" hidden="false" customHeight="false" outlineLevel="0" collapsed="false">
      <c r="A111" s="56" t="s">
        <v>316</v>
      </c>
      <c r="B111" s="13" t="s">
        <v>244</v>
      </c>
      <c r="G111" s="61" t="n">
        <v>0.0934</v>
      </c>
      <c r="H111" s="61" t="n">
        <v>0.0934</v>
      </c>
      <c r="I111" s="61" t="n">
        <v>0.0934</v>
      </c>
      <c r="J111" s="61" t="n">
        <v>0.0934</v>
      </c>
      <c r="K111" s="61" t="n">
        <v>0.0934</v>
      </c>
    </row>
    <row r="112" customFormat="false" ht="15" hidden="false" customHeight="false" outlineLevel="0" collapsed="false">
      <c r="A112" s="56" t="s">
        <v>317</v>
      </c>
      <c r="B112" s="13" t="s">
        <v>247</v>
      </c>
      <c r="G112" s="61" t="n">
        <v>0</v>
      </c>
      <c r="H112" s="61" t="n">
        <v>0</v>
      </c>
      <c r="I112" s="61" t="n">
        <v>0</v>
      </c>
      <c r="J112" s="61" t="n">
        <v>0</v>
      </c>
      <c r="K112" s="61" t="n">
        <v>0</v>
      </c>
    </row>
    <row r="113" customFormat="false" ht="15" hidden="false" customHeight="false" outlineLevel="0" collapsed="false">
      <c r="A113" s="56" t="s">
        <v>318</v>
      </c>
      <c r="B113" s="13" t="s">
        <v>250</v>
      </c>
      <c r="G113" s="63" t="n">
        <v>0</v>
      </c>
      <c r="H113" s="63" t="n">
        <v>0</v>
      </c>
      <c r="I113" s="63" t="n">
        <v>0</v>
      </c>
      <c r="J113" s="63" t="n">
        <v>0</v>
      </c>
      <c r="K113" s="63" t="n">
        <v>0</v>
      </c>
    </row>
    <row r="114" customFormat="false" ht="15" hidden="false" customHeight="false" outlineLevel="0" collapsed="false">
      <c r="A114" s="56" t="s">
        <v>319</v>
      </c>
      <c r="B114" s="13" t="s">
        <v>253</v>
      </c>
      <c r="G114" s="61" t="n">
        <v>0</v>
      </c>
      <c r="H114" s="61" t="n">
        <v>0</v>
      </c>
      <c r="I114" s="61" t="n">
        <v>0</v>
      </c>
      <c r="J114" s="61" t="n">
        <v>0</v>
      </c>
      <c r="K114" s="61" t="n">
        <v>0</v>
      </c>
    </row>
    <row r="115" customFormat="false" ht="15" hidden="false" customHeight="false" outlineLevel="0" collapsed="false">
      <c r="A115" s="56" t="s">
        <v>320</v>
      </c>
      <c r="B115" s="13" t="s">
        <v>256</v>
      </c>
      <c r="G115" s="61" t="n">
        <v>0</v>
      </c>
      <c r="H115" s="61" t="n">
        <v>0</v>
      </c>
      <c r="I115" s="61" t="n">
        <v>0</v>
      </c>
      <c r="J115" s="61" t="n">
        <v>0</v>
      </c>
      <c r="K115" s="61" t="n">
        <v>0</v>
      </c>
    </row>
    <row r="117" customFormat="false" ht="15" hidden="false" customHeight="false" outlineLevel="0" collapsed="false">
      <c r="A117" s="16"/>
      <c r="B117" s="17" t="s">
        <v>321</v>
      </c>
      <c r="C117" s="16"/>
      <c r="D117" s="16"/>
      <c r="E117" s="16"/>
      <c r="F117" s="16"/>
      <c r="G117" s="16"/>
      <c r="H117" s="16"/>
      <c r="I117" s="16"/>
      <c r="J117" s="16"/>
      <c r="K117" s="16"/>
      <c r="L117" s="16"/>
    </row>
    <row r="118" customFormat="false" ht="15" hidden="false" customHeight="false" outlineLevel="0" collapsed="false">
      <c r="A118" s="56" t="s">
        <v>322</v>
      </c>
      <c r="B118" s="13" t="s">
        <v>323</v>
      </c>
      <c r="C118" s="64" t="n">
        <v>2550078941</v>
      </c>
      <c r="L118" s="15" t="s">
        <v>324</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L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1" min="3" style="0" width="16"/>
    <col collapsed="false" customWidth="true" hidden="false" outlineLevel="0" max="12" min="12" style="0" width="55"/>
  </cols>
  <sheetData>
    <row r="1" customFormat="false" ht="17.35" hidden="false" customHeight="false" outlineLevel="0" collapsed="false">
      <c r="A1" s="14" t="s">
        <v>325</v>
      </c>
    </row>
    <row r="2" customFormat="false" ht="15" hidden="false" customHeight="false" outlineLevel="0" collapsed="false">
      <c r="A2" s="15" t="s">
        <v>326</v>
      </c>
    </row>
    <row r="3" customFormat="false" ht="15" hidden="false" customHeight="false" outlineLevel="0" collapsed="false">
      <c r="A3" s="4" t="s">
        <v>168</v>
      </c>
      <c r="C3" s="44" t="str">
        <f aca="false">Asumsi!C4</f>
        <v>Base</v>
      </c>
      <c r="G3" s="15" t="s">
        <v>327</v>
      </c>
      <c r="H3" s="15" t="s">
        <v>327</v>
      </c>
      <c r="I3" s="15" t="s">
        <v>327</v>
      </c>
      <c r="J3" s="15" t="s">
        <v>327</v>
      </c>
      <c r="K3" s="15" t="s">
        <v>327</v>
      </c>
    </row>
    <row r="4" customFormat="false" ht="15" hidden="false" customHeight="false" outlineLevel="0" collapsed="false">
      <c r="A4" s="25" t="s">
        <v>328</v>
      </c>
      <c r="B4" s="25" t="s">
        <v>329</v>
      </c>
      <c r="C4" s="25" t="s">
        <v>130</v>
      </c>
      <c r="D4" s="25" t="s">
        <v>131</v>
      </c>
      <c r="E4" s="25" t="s">
        <v>132</v>
      </c>
      <c r="F4" s="25" t="s">
        <v>133</v>
      </c>
      <c r="G4" s="45" t="s">
        <v>169</v>
      </c>
      <c r="H4" s="45" t="s">
        <v>170</v>
      </c>
      <c r="I4" s="45" t="s">
        <v>171</v>
      </c>
      <c r="J4" s="45" t="s">
        <v>172</v>
      </c>
      <c r="K4" s="45" t="s">
        <v>173</v>
      </c>
      <c r="L4" s="25" t="s">
        <v>330</v>
      </c>
    </row>
    <row r="5" customFormat="false" ht="15" hidden="false" customHeight="false" outlineLevel="0" collapsed="false">
      <c r="A5" s="16"/>
      <c r="B5" s="17" t="s">
        <v>331</v>
      </c>
      <c r="C5" s="16"/>
      <c r="D5" s="16"/>
      <c r="E5" s="16"/>
      <c r="F5" s="16"/>
      <c r="G5" s="16"/>
      <c r="H5" s="16"/>
      <c r="I5" s="16"/>
      <c r="J5" s="16"/>
      <c r="K5" s="16"/>
      <c r="L5" s="16"/>
    </row>
    <row r="6" customFormat="false" ht="15" hidden="false" customHeight="false" outlineLevel="0" collapsed="false">
      <c r="A6" s="56" t="s">
        <v>332</v>
      </c>
      <c r="B6" s="13" t="s">
        <v>333</v>
      </c>
      <c r="C6" s="52" t="n">
        <f aca="false">Schedules!C6</f>
        <v>2534971388</v>
      </c>
      <c r="D6" s="52" t="n">
        <f aca="false">Schedules!D6</f>
        <v>11883764227</v>
      </c>
      <c r="E6" s="52" t="n">
        <f aca="false">Schedules!E6</f>
        <v>46134618145</v>
      </c>
      <c r="F6" s="52" t="n">
        <f aca="false">Schedules!F6</f>
        <v>30600343048</v>
      </c>
      <c r="G6" s="53" t="n">
        <f aca="false">F6*(1+Asumsi!G10)</f>
        <v>33048370491.84</v>
      </c>
      <c r="H6" s="53" t="n">
        <f aca="false">G6*(1+Asumsi!H10)</f>
        <v>35692240131.1872</v>
      </c>
      <c r="I6" s="53" t="n">
        <f aca="false">H6*(1+Asumsi!I10)</f>
        <v>38547619341.6822</v>
      </c>
      <c r="J6" s="53" t="n">
        <f aca="false">I6*(1+Asumsi!J10)</f>
        <v>41631428889.0168</v>
      </c>
      <c r="K6" s="53" t="n">
        <f aca="false">J6*(1+Asumsi!K10)</f>
        <v>44961943200.1381</v>
      </c>
    </row>
    <row r="7" customFormat="false" ht="15" hidden="false" customHeight="false" outlineLevel="0" collapsed="false">
      <c r="A7" s="56" t="s">
        <v>334</v>
      </c>
      <c r="B7" s="13" t="s">
        <v>335</v>
      </c>
      <c r="C7" s="52" t="n">
        <f aca="false">Schedules!C7</f>
        <v>53534000426</v>
      </c>
      <c r="D7" s="52" t="n">
        <f aca="false">Schedules!D7</f>
        <v>79579352582</v>
      </c>
      <c r="E7" s="52" t="n">
        <f aca="false">Schedules!E7</f>
        <v>85919977894</v>
      </c>
      <c r="F7" s="52" t="n">
        <f aca="false">Schedules!F7</f>
        <v>74120487810</v>
      </c>
      <c r="G7" s="53" t="n">
        <f aca="false">F7*(1+Asumsi!G11)</f>
        <v>80050126834.8</v>
      </c>
      <c r="H7" s="53" t="n">
        <f aca="false">G7*(1+Asumsi!H11)</f>
        <v>86454136981.584</v>
      </c>
      <c r="I7" s="53" t="n">
        <f aca="false">H7*(1+Asumsi!I11)</f>
        <v>93370467940.1108</v>
      </c>
      <c r="J7" s="53" t="n">
        <f aca="false">I7*(1+Asumsi!J11)</f>
        <v>100840105375.32</v>
      </c>
      <c r="K7" s="53" t="n">
        <f aca="false">J7*(1+Asumsi!K11)</f>
        <v>108907313805.345</v>
      </c>
    </row>
    <row r="8" customFormat="false" ht="15" hidden="false" customHeight="false" outlineLevel="0" collapsed="false">
      <c r="A8" s="56" t="s">
        <v>336</v>
      </c>
      <c r="B8" s="13" t="s">
        <v>337</v>
      </c>
      <c r="C8" s="52" t="n">
        <f aca="false">Schedules!C8</f>
        <v>43332660354</v>
      </c>
      <c r="D8" s="52" t="n">
        <f aca="false">Schedules!D8</f>
        <v>42651501335</v>
      </c>
      <c r="E8" s="52" t="n">
        <f aca="false">Schedules!E8</f>
        <v>19931209046</v>
      </c>
      <c r="F8" s="52" t="n">
        <f aca="false">Schedules!F8</f>
        <v>39969278831</v>
      </c>
      <c r="G8" s="53" t="n">
        <f aca="false">F8*(1+Asumsi!G12)</f>
        <v>43166821137.48</v>
      </c>
      <c r="H8" s="53" t="n">
        <f aca="false">G8*(1+Asumsi!H12)</f>
        <v>46620166828.4784</v>
      </c>
      <c r="I8" s="53" t="n">
        <f aca="false">H8*(1+Asumsi!I12)</f>
        <v>50349780174.7567</v>
      </c>
      <c r="J8" s="53" t="n">
        <f aca="false">I8*(1+Asumsi!J12)</f>
        <v>54377762588.7372</v>
      </c>
      <c r="K8" s="53" t="n">
        <f aca="false">J8*(1+Asumsi!K12)</f>
        <v>58727983595.8362</v>
      </c>
    </row>
    <row r="9" customFormat="false" ht="15" hidden="false" customHeight="false" outlineLevel="0" collapsed="false">
      <c r="A9" s="56" t="s">
        <v>338</v>
      </c>
      <c r="B9" s="13" t="s">
        <v>339</v>
      </c>
      <c r="C9" s="52" t="n">
        <f aca="false">Schedules!C9</f>
        <v>176512253</v>
      </c>
      <c r="D9" s="52" t="n">
        <f aca="false">Schedules!D9</f>
        <v>73060785</v>
      </c>
      <c r="E9" s="52" t="n">
        <f aca="false">Schedules!E9</f>
        <v>156443699</v>
      </c>
      <c r="F9" s="52" t="n">
        <f aca="false">Schedules!F9</f>
        <v>183158700</v>
      </c>
      <c r="G9" s="53" t="n">
        <f aca="false">(G6+G7+G8)*Asumsi!G13</f>
        <v>140638786.617708</v>
      </c>
      <c r="H9" s="53" t="n">
        <f aca="false">(H6+H7+H8)*Asumsi!H13</f>
        <v>151889889.547125</v>
      </c>
      <c r="I9" s="53" t="n">
        <f aca="false">(I6+I7+I8)*Asumsi!I13</f>
        <v>164041080.710895</v>
      </c>
      <c r="J9" s="53" t="n">
        <f aca="false">(J6+J7+J8)*Asumsi!J13</f>
        <v>177164367.167766</v>
      </c>
      <c r="K9" s="53" t="n">
        <f aca="false">(K6+K7+K8)*Asumsi!K13</f>
        <v>191337516.541188</v>
      </c>
    </row>
    <row r="10" customFormat="false" ht="15" hidden="false" customHeight="false" outlineLevel="0" collapsed="false">
      <c r="A10" s="65" t="s">
        <v>340</v>
      </c>
      <c r="B10" s="66" t="s">
        <v>134</v>
      </c>
      <c r="C10" s="67" t="n">
        <f aca="false">IS!C6</f>
        <v>99578144421</v>
      </c>
      <c r="D10" s="67" t="n">
        <f aca="false">IS!D6</f>
        <v>134187678929</v>
      </c>
      <c r="E10" s="67" t="n">
        <f aca="false">IS!E6</f>
        <v>152142248784</v>
      </c>
      <c r="F10" s="67" t="n">
        <f aca="false">IS!F6</f>
        <v>144873268389</v>
      </c>
      <c r="G10" s="68" t="n">
        <f aca="false">G6+G7+G8+G9</f>
        <v>156405957250.738</v>
      </c>
      <c r="H10" s="68" t="n">
        <f aca="false">H6+H7+H8+H9</f>
        <v>168918433830.797</v>
      </c>
      <c r="I10" s="68" t="n">
        <f aca="false">I6+I7+I8+I9</f>
        <v>182431908537.261</v>
      </c>
      <c r="J10" s="68" t="n">
        <f aca="false">J6+J7+J8+J9</f>
        <v>197026461220.241</v>
      </c>
      <c r="K10" s="68" t="n">
        <f aca="false">K6+K7+K8+K9</f>
        <v>212788578117.861</v>
      </c>
    </row>
    <row r="11" customFormat="false" ht="15" hidden="false" customHeight="false" outlineLevel="0" collapsed="false">
      <c r="A11" s="56" t="s">
        <v>341</v>
      </c>
      <c r="B11" s="13" t="s">
        <v>342</v>
      </c>
      <c r="C11" s="61"/>
      <c r="D11" s="69" t="n">
        <f aca="false">D10/C10-1</f>
        <v>0.347561552881289</v>
      </c>
      <c r="E11" s="69" t="n">
        <f aca="false">E10/D10-1</f>
        <v>0.133801925767715</v>
      </c>
      <c r="F11" s="69" t="n">
        <f aca="false">F10/E10-1</f>
        <v>-0.0477775269729314</v>
      </c>
      <c r="G11" s="70" t="n">
        <f aca="false">G10/F10-1</f>
        <v>0.0796053612235161</v>
      </c>
      <c r="H11" s="70" t="n">
        <f aca="false">H10/G10-1</f>
        <v>0.0800000000000001</v>
      </c>
      <c r="I11" s="70" t="n">
        <f aca="false">I10/H10-1</f>
        <v>0.0800000000000003</v>
      </c>
      <c r="J11" s="70" t="n">
        <f aca="false">J10/I10-1</f>
        <v>0.0799999999999999</v>
      </c>
      <c r="K11" s="70" t="n">
        <f aca="false">K10/J10-1</f>
        <v>0.0800000000000003</v>
      </c>
    </row>
    <row r="12" customFormat="false" ht="15" hidden="false" customHeight="false" outlineLevel="0" collapsed="false">
      <c r="A12" s="16"/>
      <c r="B12" s="17" t="s">
        <v>343</v>
      </c>
      <c r="C12" s="16"/>
      <c r="D12" s="16"/>
      <c r="E12" s="16"/>
      <c r="F12" s="16"/>
      <c r="G12" s="16"/>
      <c r="H12" s="16"/>
      <c r="I12" s="16"/>
      <c r="J12" s="16"/>
      <c r="K12" s="16"/>
      <c r="L12" s="16"/>
    </row>
    <row r="13" customFormat="false" ht="15" hidden="false" customHeight="false" outlineLevel="0" collapsed="false">
      <c r="A13" s="56" t="s">
        <v>344</v>
      </c>
      <c r="B13" s="13" t="s">
        <v>345</v>
      </c>
      <c r="C13" s="52" t="n">
        <f aca="false">IS!C7+Schedules!C12+Schedules!C16+Schedules!C17</f>
        <v>-63838203004</v>
      </c>
      <c r="D13" s="52" t="n">
        <f aca="false">IS!D7+Schedules!D12+Schedules!D16+Schedules!D17</f>
        <v>-85187343300</v>
      </c>
      <c r="E13" s="52" t="n">
        <f aca="false">IS!E7+Schedules!E12+Schedules!E16+Schedules!E17</f>
        <v>-99125797801</v>
      </c>
      <c r="F13" s="52" t="n">
        <f aca="false">IS!F7+Schedules!F12+Schedules!F16+Schedules!F17</f>
        <v>-100202557824</v>
      </c>
      <c r="G13" s="53" t="n">
        <f aca="false">-G10*Asumsi!G15</f>
        <v>-104791991357.994</v>
      </c>
      <c r="H13" s="53" t="n">
        <f aca="false">-H10*Asumsi!H15</f>
        <v>-113175350666.634</v>
      </c>
      <c r="I13" s="53" t="n">
        <f aca="false">-I10*Asumsi!I15</f>
        <v>-122229378719.965</v>
      </c>
      <c r="J13" s="53" t="n">
        <f aca="false">-J10*Asumsi!J15</f>
        <v>-132007729017.562</v>
      </c>
      <c r="K13" s="53" t="n">
        <f aca="false">-K10*Asumsi!K15</f>
        <v>-142568347338.967</v>
      </c>
    </row>
    <row r="14" customFormat="false" ht="15" hidden="false" customHeight="false" outlineLevel="0" collapsed="false">
      <c r="A14" s="65" t="s">
        <v>346</v>
      </c>
      <c r="B14" s="66" t="s">
        <v>347</v>
      </c>
      <c r="C14" s="68" t="n">
        <f aca="false">C10+C13</f>
        <v>35739941417</v>
      </c>
      <c r="D14" s="68" t="n">
        <f aca="false">D10+D13</f>
        <v>49000335629</v>
      </c>
      <c r="E14" s="68" t="n">
        <f aca="false">E10+E13</f>
        <v>53016450983</v>
      </c>
      <c r="F14" s="68" t="n">
        <f aca="false">F10+F13</f>
        <v>44670710565</v>
      </c>
      <c r="G14" s="68" t="n">
        <f aca="false">G10+G13</f>
        <v>51613965892.7434</v>
      </c>
      <c r="H14" s="68" t="n">
        <f aca="false">H10+H13</f>
        <v>55743083164.1629</v>
      </c>
      <c r="I14" s="68" t="n">
        <f aca="false">I10+I13</f>
        <v>60202529817.296</v>
      </c>
      <c r="J14" s="68" t="n">
        <f aca="false">J10+J13</f>
        <v>65018732202.6796</v>
      </c>
      <c r="K14" s="68" t="n">
        <f aca="false">K10+K13</f>
        <v>70220230778.894</v>
      </c>
    </row>
    <row r="15" customFormat="false" ht="15" hidden="false" customHeight="false" outlineLevel="0" collapsed="false">
      <c r="A15" s="56" t="s">
        <v>348</v>
      </c>
      <c r="B15" s="13" t="s">
        <v>349</v>
      </c>
      <c r="C15" s="52" t="n">
        <f aca="false">IS!C11+Schedules!C13+Schedules!C18</f>
        <v>-21815774673</v>
      </c>
      <c r="D15" s="52" t="n">
        <f aca="false">IS!D11+Schedules!D13+Schedules!D18</f>
        <v>-31571259863</v>
      </c>
      <c r="E15" s="52" t="n">
        <f aca="false">IS!E11+Schedules!E13+Schedules!E18</f>
        <v>-31949269543</v>
      </c>
      <c r="F15" s="52" t="n">
        <f aca="false">IS!F11+Schedules!F13+Schedules!F18</f>
        <v>-28616778422</v>
      </c>
      <c r="G15" s="53" t="n">
        <f aca="false">-G10*Asumsi!G16</f>
        <v>-31281191450.1476</v>
      </c>
      <c r="H15" s="53" t="n">
        <f aca="false">-H10*Asumsi!H16</f>
        <v>-33783686766.1594</v>
      </c>
      <c r="I15" s="53" t="n">
        <f aca="false">-I10*Asumsi!I16</f>
        <v>-36486381707.4521</v>
      </c>
      <c r="J15" s="53" t="n">
        <f aca="false">-J10*Asumsi!J16</f>
        <v>-39405292244.0483</v>
      </c>
      <c r="K15" s="53" t="n">
        <f aca="false">-K10*Asumsi!K16</f>
        <v>-42557715623.5721</v>
      </c>
    </row>
    <row r="16" customFormat="false" ht="15" hidden="false" customHeight="false" outlineLevel="0" collapsed="false">
      <c r="A16" s="56" t="s">
        <v>350</v>
      </c>
      <c r="B16" s="13" t="s">
        <v>351</v>
      </c>
      <c r="C16" s="52" t="n">
        <f aca="false">IS!C13</f>
        <v>1226392843</v>
      </c>
      <c r="D16" s="52" t="n">
        <f aca="false">IS!D13</f>
        <v>75326392</v>
      </c>
      <c r="E16" s="52" t="n">
        <f aca="false">IS!E13</f>
        <v>313957191</v>
      </c>
      <c r="F16" s="52" t="n">
        <f aca="false">IS!F13</f>
        <v>-710131821</v>
      </c>
      <c r="G16" s="53" t="n">
        <f aca="false">G10*Asumsi!G17</f>
        <v>312811914.501475</v>
      </c>
      <c r="H16" s="53" t="n">
        <f aca="false">H10*Asumsi!H17</f>
        <v>337836867.661594</v>
      </c>
      <c r="I16" s="53" t="n">
        <f aca="false">I10*Asumsi!I17</f>
        <v>364863817.074521</v>
      </c>
      <c r="J16" s="53" t="n">
        <f aca="false">J10*Asumsi!J17</f>
        <v>394052922.440483</v>
      </c>
      <c r="K16" s="53" t="n">
        <f aca="false">K10*Asumsi!K17</f>
        <v>425577156.235721</v>
      </c>
    </row>
    <row r="17" customFormat="false" ht="15" hidden="false" customHeight="false" outlineLevel="0" collapsed="false">
      <c r="A17" s="65" t="s">
        <v>352</v>
      </c>
      <c r="B17" s="66" t="s">
        <v>106</v>
      </c>
      <c r="C17" s="68" t="n">
        <f aca="false">C14+C15+C16</f>
        <v>15150559587</v>
      </c>
      <c r="D17" s="68" t="n">
        <f aca="false">D14+D15+D16</f>
        <v>17504402158</v>
      </c>
      <c r="E17" s="68" t="n">
        <f aca="false">E14+E15+E16</f>
        <v>21381138631</v>
      </c>
      <c r="F17" s="68" t="n">
        <f aca="false">F14+F15+F16</f>
        <v>15343800322</v>
      </c>
      <c r="G17" s="68" t="n">
        <f aca="false">G14+G15+G16</f>
        <v>20645586357.0974</v>
      </c>
      <c r="H17" s="68" t="n">
        <f aca="false">H14+H15+H16</f>
        <v>22297233265.6652</v>
      </c>
      <c r="I17" s="68" t="n">
        <f aca="false">I14+I15+I16</f>
        <v>24081011926.9184</v>
      </c>
      <c r="J17" s="68" t="n">
        <f aca="false">J14+J15+J16</f>
        <v>26007492881.0718</v>
      </c>
      <c r="K17" s="68" t="n">
        <f aca="false">K14+K15+K16</f>
        <v>28088092311.5576</v>
      </c>
      <c r="L17" s="15" t="s">
        <v>353</v>
      </c>
    </row>
    <row r="18" customFormat="false" ht="15" hidden="false" customHeight="false" outlineLevel="0" collapsed="false">
      <c r="A18" s="56" t="s">
        <v>354</v>
      </c>
      <c r="B18" s="13" t="s">
        <v>355</v>
      </c>
      <c r="C18" s="52" t="n">
        <f aca="false">-Schedules!C20</f>
        <v>-6778169378</v>
      </c>
      <c r="D18" s="52" t="n">
        <f aca="false">-Schedules!D20</f>
        <v>-7754681103</v>
      </c>
      <c r="E18" s="52" t="n">
        <f aca="false">-Schedules!E20</f>
        <v>-9756026475</v>
      </c>
      <c r="F18" s="52" t="n">
        <f aca="false">-Schedules!F20</f>
        <v>-12603292085</v>
      </c>
      <c r="G18" s="53" t="n">
        <f aca="false">-(Schedules_Proj!G9+Schedules_Proj!G13)</f>
        <v>-12587433585.8568</v>
      </c>
      <c r="H18" s="53" t="n">
        <f aca="false">-(Schedules_Proj!H9+Schedules_Proj!H13)</f>
        <v>-12786288455.4788</v>
      </c>
      <c r="I18" s="53" t="n">
        <f aca="false">-(Schedules_Proj!I9+Schedules_Proj!I13)</f>
        <v>-13080572672.6877</v>
      </c>
      <c r="J18" s="53" t="n">
        <f aca="false">-(Schedules_Proj!J9+Schedules_Proj!J13)</f>
        <v>-13470095723.0214</v>
      </c>
      <c r="K18" s="53" t="n">
        <f aca="false">-(Schedules_Proj!K9+Schedules_Proj!K13)</f>
        <v>-13955421817.3084</v>
      </c>
    </row>
    <row r="19" customFormat="false" ht="15" hidden="false" customHeight="false" outlineLevel="0" collapsed="false">
      <c r="A19" s="65" t="s">
        <v>356</v>
      </c>
      <c r="B19" s="66" t="s">
        <v>357</v>
      </c>
      <c r="C19" s="68" t="n">
        <f aca="false">C17+C18</f>
        <v>8372390209</v>
      </c>
      <c r="D19" s="68" t="n">
        <f aca="false">D17+D18</f>
        <v>9749721055</v>
      </c>
      <c r="E19" s="68" t="n">
        <f aca="false">E17+E18</f>
        <v>11625112156</v>
      </c>
      <c r="F19" s="68" t="n">
        <f aca="false">F17+F18</f>
        <v>2740508237</v>
      </c>
      <c r="G19" s="68" t="n">
        <f aca="false">G17+G18</f>
        <v>8058152771.24057</v>
      </c>
      <c r="H19" s="68" t="n">
        <f aca="false">H17+H18</f>
        <v>9510944810.18633</v>
      </c>
      <c r="I19" s="68" t="n">
        <f aca="false">I17+I18</f>
        <v>11000439254.2307</v>
      </c>
      <c r="J19" s="68" t="n">
        <f aca="false">J17+J18</f>
        <v>12537397158.0504</v>
      </c>
      <c r="K19" s="68" t="n">
        <f aca="false">K17+K18</f>
        <v>14132670494.2492</v>
      </c>
      <c r="L19" s="15" t="s">
        <v>358</v>
      </c>
    </row>
    <row r="20" customFormat="false" ht="15" hidden="false" customHeight="false" outlineLevel="0" collapsed="false">
      <c r="A20" s="56" t="s">
        <v>359</v>
      </c>
      <c r="B20" s="13" t="s">
        <v>360</v>
      </c>
      <c r="C20" s="52" t="n">
        <f aca="false">IS!C16</f>
        <v>0</v>
      </c>
      <c r="D20" s="52" t="n">
        <f aca="false">IS!D16</f>
        <v>0</v>
      </c>
      <c r="E20" s="52" t="n">
        <f aca="false">IS!E16</f>
        <v>0</v>
      </c>
      <c r="F20" s="52" t="n">
        <f aca="false">IS!F16</f>
        <v>13190576716</v>
      </c>
      <c r="G20" s="53" t="n">
        <f aca="false">BS_Proj!F6*Asumsi!G30</f>
        <v>0</v>
      </c>
      <c r="H20" s="53" t="n">
        <f aca="false">BS_Proj!G6*Asumsi!H30</f>
        <v>-0</v>
      </c>
      <c r="I20" s="53" t="n">
        <f aca="false">BS_Proj!H6*Asumsi!I30</f>
        <v>-0</v>
      </c>
      <c r="J20" s="53" t="n">
        <f aca="false">BS_Proj!I6*Asumsi!J30</f>
        <v>-0</v>
      </c>
      <c r="K20" s="53" t="n">
        <f aca="false">BS_Proj!J6*Asumsi!K30</f>
        <v>-0</v>
      </c>
      <c r="L20" s="15" t="s">
        <v>361</v>
      </c>
    </row>
    <row r="21" customFormat="false" ht="15" hidden="false" customHeight="false" outlineLevel="0" collapsed="false">
      <c r="A21" s="56" t="s">
        <v>362</v>
      </c>
      <c r="B21" s="13" t="s">
        <v>363</v>
      </c>
      <c r="C21" s="52" t="n">
        <f aca="false">IS!C15</f>
        <v>-3643595812</v>
      </c>
      <c r="D21" s="52" t="n">
        <f aca="false">IS!D15</f>
        <v>-7565985614</v>
      </c>
      <c r="E21" s="52" t="n">
        <f aca="false">IS!E15</f>
        <v>-11555610977</v>
      </c>
      <c r="F21" s="52" t="n">
        <f aca="false">IS!F15</f>
        <v>-10242145297</v>
      </c>
      <c r="G21" s="53" t="n">
        <f aca="false">-Schedules_Proj!G24*Asumsi!G29</f>
        <v>-7638617027.3943</v>
      </c>
      <c r="H21" s="53" t="n">
        <f aca="false">-Schedules_Proj!H24*Asumsi!H29</f>
        <v>-7638617027.3943</v>
      </c>
      <c r="I21" s="53" t="n">
        <f aca="false">-Schedules_Proj!I24*Asumsi!I29</f>
        <v>-7638617027.3943</v>
      </c>
      <c r="J21" s="53" t="n">
        <f aca="false">-Schedules_Proj!J24*Asumsi!J29</f>
        <v>-7638617027.3943</v>
      </c>
      <c r="K21" s="53" t="n">
        <f aca="false">-Schedules_Proj!K24*Asumsi!K29</f>
        <v>-7638617027.3943</v>
      </c>
      <c r="L21" s="15" t="s">
        <v>364</v>
      </c>
    </row>
    <row r="22" customFormat="false" ht="15" hidden="false" customHeight="false" outlineLevel="0" collapsed="false">
      <c r="A22" s="65" t="s">
        <v>365</v>
      </c>
      <c r="B22" s="66" t="s">
        <v>366</v>
      </c>
      <c r="C22" s="68" t="n">
        <f aca="false">C19+C20+C21</f>
        <v>4728794397</v>
      </c>
      <c r="D22" s="68" t="n">
        <f aca="false">D19+D20+D21</f>
        <v>2183735441</v>
      </c>
      <c r="E22" s="68" t="n">
        <f aca="false">E19+E20+E21</f>
        <v>69501179</v>
      </c>
      <c r="F22" s="68" t="n">
        <f aca="false">F19+F20+F21</f>
        <v>5688939656</v>
      </c>
      <c r="G22" s="68" t="n">
        <f aca="false">G19+G20+G21</f>
        <v>419535743.846266</v>
      </c>
      <c r="H22" s="68" t="n">
        <f aca="false">H19+H20+H21</f>
        <v>1872327782.79203</v>
      </c>
      <c r="I22" s="68" t="n">
        <f aca="false">I19+I20+I21</f>
        <v>3361822226.8364</v>
      </c>
      <c r="J22" s="68" t="n">
        <f aca="false">J19+J20+J21</f>
        <v>4898780130.65612</v>
      </c>
      <c r="K22" s="68" t="n">
        <f aca="false">K19+K20+K21</f>
        <v>6494053466.85491</v>
      </c>
    </row>
    <row r="23" customFormat="false" ht="15" hidden="false" customHeight="false" outlineLevel="0" collapsed="false">
      <c r="A23" s="56" t="s">
        <v>367</v>
      </c>
      <c r="B23" s="13" t="s">
        <v>368</v>
      </c>
      <c r="C23" s="52" t="n">
        <f aca="false">IS!C18</f>
        <v>-1220088106</v>
      </c>
      <c r="D23" s="52" t="n">
        <f aca="false">IS!D18</f>
        <v>-1675692417</v>
      </c>
      <c r="E23" s="52" t="n">
        <f aca="false">IS!E18</f>
        <v>-480368880</v>
      </c>
      <c r="F23" s="52" t="n">
        <f aca="false">IS!F18</f>
        <v>332957861</v>
      </c>
      <c r="G23" s="53" t="n">
        <f aca="false">-MAX(G22,0)*Asumsi!G28</f>
        <v>-104883935.961566</v>
      </c>
      <c r="H23" s="53" t="n">
        <f aca="false">-MAX(H22,0)*Asumsi!H28</f>
        <v>-468081945.698007</v>
      </c>
      <c r="I23" s="53" t="n">
        <f aca="false">-MAX(I22,0)*Asumsi!I28</f>
        <v>-840455556.7091</v>
      </c>
      <c r="J23" s="53" t="n">
        <f aca="false">-MAX(J22,0)*Asumsi!J28</f>
        <v>-1224695032.66403</v>
      </c>
      <c r="K23" s="53" t="n">
        <f aca="false">-MAX(K22,0)*Asumsi!K28</f>
        <v>-1623513366.71373</v>
      </c>
    </row>
    <row r="24" customFormat="false" ht="15" hidden="false" customHeight="false" outlineLevel="0" collapsed="false">
      <c r="A24" s="56" t="s">
        <v>369</v>
      </c>
      <c r="B24" s="13" t="s">
        <v>370</v>
      </c>
      <c r="C24" s="52" t="n">
        <f aca="false">IS!C19</f>
        <v>1379459473</v>
      </c>
      <c r="D24" s="52" t="n">
        <f aca="false">IS!D19</f>
        <v>3031673373</v>
      </c>
      <c r="E24" s="52" t="n">
        <f aca="false">IS!E19</f>
        <v>3248230974</v>
      </c>
      <c r="F24" s="52" t="n">
        <f aca="false">IS!F19</f>
        <v>0</v>
      </c>
      <c r="G24" s="71" t="n">
        <f aca="false">0</f>
        <v>0</v>
      </c>
      <c r="H24" s="71" t="n">
        <f aca="false">0</f>
        <v>0</v>
      </c>
      <c r="I24" s="71" t="n">
        <f aca="false">0</f>
        <v>0</v>
      </c>
      <c r="J24" s="71" t="n">
        <f aca="false">0</f>
        <v>0</v>
      </c>
      <c r="K24" s="71" t="n">
        <f aca="false">0</f>
        <v>0</v>
      </c>
      <c r="L24" s="15" t="s">
        <v>371</v>
      </c>
    </row>
    <row r="25" customFormat="false" ht="15" hidden="false" customHeight="false" outlineLevel="0" collapsed="false">
      <c r="A25" s="65" t="s">
        <v>372</v>
      </c>
      <c r="B25" s="66" t="s">
        <v>138</v>
      </c>
      <c r="C25" s="68" t="n">
        <f aca="false">C22+C23+C24</f>
        <v>4888165764</v>
      </c>
      <c r="D25" s="68" t="n">
        <f aca="false">D22+D23+D24</f>
        <v>3539716397</v>
      </c>
      <c r="E25" s="68" t="n">
        <f aca="false">E22+E23+E24</f>
        <v>2837363273</v>
      </c>
      <c r="F25" s="68" t="n">
        <f aca="false">F22+F23+F24</f>
        <v>6021897517</v>
      </c>
      <c r="G25" s="68" t="n">
        <f aca="false">G22+G23+G24</f>
        <v>314651807.884699</v>
      </c>
      <c r="H25" s="68" t="n">
        <f aca="false">H22+H23+H24</f>
        <v>1404245837.09402</v>
      </c>
      <c r="I25" s="68" t="n">
        <f aca="false">I22+I23+I24</f>
        <v>2521366670.1273</v>
      </c>
      <c r="J25" s="68" t="n">
        <f aca="false">J22+J23+J24</f>
        <v>3674085097.99209</v>
      </c>
      <c r="K25" s="68" t="n">
        <f aca="false">K22+K23+K24</f>
        <v>4870540100.14118</v>
      </c>
    </row>
    <row r="26" customFormat="false" ht="15" hidden="false" customHeight="false" outlineLevel="0" collapsed="false">
      <c r="A26" s="56" t="s">
        <v>373</v>
      </c>
      <c r="B26" s="13" t="s">
        <v>374</v>
      </c>
      <c r="C26" s="52" t="n">
        <f aca="false">IS!C30</f>
        <v>0</v>
      </c>
      <c r="D26" s="52" t="n">
        <f aca="false">IS!D30</f>
        <v>0</v>
      </c>
      <c r="E26" s="52" t="n">
        <f aca="false">IS!E30</f>
        <v>131449</v>
      </c>
      <c r="F26" s="52" t="n">
        <f aca="false">IS!F30</f>
        <v>249404</v>
      </c>
      <c r="G26" s="53" t="n">
        <f aca="false">G25*Asumsi!G33</f>
        <v>0</v>
      </c>
      <c r="H26" s="53" t="n">
        <f aca="false">H25*Asumsi!H33</f>
        <v>0</v>
      </c>
      <c r="I26" s="53" t="n">
        <f aca="false">I25*Asumsi!I33</f>
        <v>0</v>
      </c>
      <c r="J26" s="53" t="n">
        <f aca="false">J25*Asumsi!J33</f>
        <v>0</v>
      </c>
      <c r="K26" s="53" t="n">
        <f aca="false">K25*Asumsi!K33</f>
        <v>0</v>
      </c>
    </row>
    <row r="27" customFormat="false" ht="15" hidden="false" customHeight="false" outlineLevel="0" collapsed="false">
      <c r="A27" s="65" t="s">
        <v>375</v>
      </c>
      <c r="B27" s="66" t="s">
        <v>376</v>
      </c>
      <c r="C27" s="68" t="n">
        <f aca="false">C25-C26</f>
        <v>4888165764</v>
      </c>
      <c r="D27" s="68" t="n">
        <f aca="false">D25-D26</f>
        <v>3539716397</v>
      </c>
      <c r="E27" s="68" t="n">
        <f aca="false">E25-E26</f>
        <v>2837231824</v>
      </c>
      <c r="F27" s="68" t="n">
        <f aca="false">F25-F26</f>
        <v>6021648113</v>
      </c>
      <c r="G27" s="68" t="n">
        <f aca="false">G25-G26</f>
        <v>314651807.884699</v>
      </c>
      <c r="H27" s="68" t="n">
        <f aca="false">H25-H26</f>
        <v>1404245837.09402</v>
      </c>
      <c r="I27" s="68" t="n">
        <f aca="false">I25-I26</f>
        <v>2521366670.1273</v>
      </c>
      <c r="J27" s="68" t="n">
        <f aca="false">J25-J26</f>
        <v>3674085097.99209</v>
      </c>
      <c r="K27" s="68" t="n">
        <f aca="false">K25-K26</f>
        <v>4870540100.14118</v>
      </c>
    </row>
    <row r="28" customFormat="false" ht="15" hidden="false" customHeight="false" outlineLevel="0" collapsed="false">
      <c r="A28" s="56" t="s">
        <v>377</v>
      </c>
      <c r="B28" s="13" t="s">
        <v>378</v>
      </c>
      <c r="C28" s="72" t="n">
        <f aca="false">C27/Asumsi!$C$118</f>
        <v>1.91686840960427</v>
      </c>
      <c r="D28" s="72" t="n">
        <f aca="false">D27/Asumsi!$C$118</f>
        <v>1.38808110607428</v>
      </c>
      <c r="E28" s="72" t="n">
        <f aca="false">E27/Asumsi!$C$118</f>
        <v>1.1126054877687</v>
      </c>
      <c r="F28" s="72" t="n">
        <f aca="false">F27/Asumsi!$C$118</f>
        <v>2.36135753140201</v>
      </c>
      <c r="G28" s="73" t="n">
        <f aca="false">G27/Asumsi!$C$118</f>
        <v>0.123389046050986</v>
      </c>
      <c r="H28" s="73" t="n">
        <f aca="false">H27/Asumsi!$C$118</f>
        <v>0.550667594840556</v>
      </c>
      <c r="I28" s="73" t="n">
        <f aca="false">I27/Asumsi!$C$118</f>
        <v>0.988740634491323</v>
      </c>
      <c r="J28" s="73" t="n">
        <f aca="false">J27/Asumsi!$C$118</f>
        <v>1.4407730831075</v>
      </c>
      <c r="K28" s="73" t="n">
        <f aca="false">K27/Asumsi!$C$118</f>
        <v>1.90995659853229</v>
      </c>
      <c r="L28" s="15" t="s">
        <v>379</v>
      </c>
    </row>
    <row r="29" customFormat="false" ht="15" hidden="false" customHeight="false" outlineLevel="0" collapsed="false">
      <c r="A29" s="16"/>
      <c r="B29" s="17" t="s">
        <v>380</v>
      </c>
      <c r="C29" s="16"/>
      <c r="D29" s="16"/>
      <c r="E29" s="16"/>
      <c r="F29" s="16"/>
      <c r="G29" s="16"/>
      <c r="H29" s="16"/>
      <c r="I29" s="16"/>
      <c r="J29" s="16"/>
      <c r="K29" s="16"/>
      <c r="L29" s="16"/>
    </row>
    <row r="30" customFormat="false" ht="15" hidden="false" customHeight="false" outlineLevel="0" collapsed="false">
      <c r="A30" s="56" t="s">
        <v>381</v>
      </c>
      <c r="B30" s="13" t="s">
        <v>382</v>
      </c>
      <c r="C30" s="69" t="n">
        <f aca="false">C14/C10</f>
        <v>0.35891351083926</v>
      </c>
      <c r="D30" s="69" t="n">
        <f aca="false">D14/D10</f>
        <v>0.365162703611012</v>
      </c>
      <c r="E30" s="69" t="n">
        <f aca="false">E14/E10</f>
        <v>0.348466329416944</v>
      </c>
      <c r="F30" s="69" t="n">
        <f aca="false">F14/F10</f>
        <v>0.30834336148926</v>
      </c>
      <c r="G30" s="70" t="n">
        <f aca="false">G14/G10</f>
        <v>0.33</v>
      </c>
      <c r="H30" s="70" t="n">
        <f aca="false">H14/H10</f>
        <v>0.33</v>
      </c>
      <c r="I30" s="70" t="n">
        <f aca="false">I14/I10</f>
        <v>0.33</v>
      </c>
      <c r="J30" s="70" t="n">
        <f aca="false">J14/J10</f>
        <v>0.33</v>
      </c>
      <c r="K30" s="70" t="n">
        <f aca="false">K14/K10</f>
        <v>0.33</v>
      </c>
    </row>
    <row r="31" customFormat="false" ht="15" hidden="false" customHeight="false" outlineLevel="0" collapsed="false">
      <c r="A31" s="56" t="s">
        <v>383</v>
      </c>
      <c r="B31" s="13" t="s">
        <v>177</v>
      </c>
      <c r="C31" s="69" t="n">
        <f aca="false">C17/C10</f>
        <v>0.152147438326888</v>
      </c>
      <c r="D31" s="69" t="n">
        <f aca="false">D17/D10</f>
        <v>0.130447163984867</v>
      </c>
      <c r="E31" s="69" t="n">
        <f aca="false">E17/E10</f>
        <v>0.140533867494987</v>
      </c>
      <c r="F31" s="69" t="n">
        <f aca="false">F17/F10</f>
        <v>0.105911880725989</v>
      </c>
      <c r="G31" s="70" t="n">
        <f aca="false">G17/G10</f>
        <v>0.132</v>
      </c>
      <c r="H31" s="70" t="n">
        <f aca="false">H17/H10</f>
        <v>0.132</v>
      </c>
      <c r="I31" s="70" t="n">
        <f aca="false">I17/I10</f>
        <v>0.132</v>
      </c>
      <c r="J31" s="70" t="n">
        <f aca="false">J17/J10</f>
        <v>0.132</v>
      </c>
      <c r="K31" s="70" t="n">
        <f aca="false">K17/K10</f>
        <v>0.132</v>
      </c>
    </row>
    <row r="32" customFormat="false" ht="15" hidden="false" customHeight="false" outlineLevel="0" collapsed="false">
      <c r="A32" s="56" t="s">
        <v>384</v>
      </c>
      <c r="B32" s="13" t="s">
        <v>385</v>
      </c>
      <c r="C32" s="69" t="n">
        <f aca="false">C19/C10</f>
        <v>0.0840785923224569</v>
      </c>
      <c r="D32" s="69" t="n">
        <f aca="false">D19/D10</f>
        <v>0.0726573492649699</v>
      </c>
      <c r="E32" s="69" t="n">
        <f aca="false">E19/E10</f>
        <v>0.0764094934110278</v>
      </c>
      <c r="F32" s="69" t="n">
        <f aca="false">F19/F10</f>
        <v>0.0189165901168285</v>
      </c>
      <c r="G32" s="70" t="n">
        <f aca="false">G19/G10</f>
        <v>0.0515207535114687</v>
      </c>
      <c r="H32" s="70" t="n">
        <f aca="false">H19/H10</f>
        <v>0.0563049549684631</v>
      </c>
      <c r="I32" s="70" t="n">
        <f aca="false">I19/I10</f>
        <v>0.0602988772218207</v>
      </c>
      <c r="J32" s="70" t="n">
        <f aca="false">J19/J10</f>
        <v>0.0636330626881421</v>
      </c>
      <c r="K32" s="70" t="n">
        <f aca="false">K19/K10</f>
        <v>0.0664164901107677</v>
      </c>
    </row>
    <row r="33" customFormat="false" ht="15" hidden="false" customHeight="false" outlineLevel="0" collapsed="false">
      <c r="A33" s="56" t="s">
        <v>386</v>
      </c>
      <c r="B33" s="13" t="s">
        <v>387</v>
      </c>
      <c r="C33" s="69" t="n">
        <f aca="false">C25/C10</f>
        <v>0.0490887412335546</v>
      </c>
      <c r="D33" s="69" t="n">
        <f aca="false">D25/D10</f>
        <v>0.0263788480824152</v>
      </c>
      <c r="E33" s="69" t="n">
        <f aca="false">E25/E10</f>
        <v>0.0186494106382526</v>
      </c>
      <c r="F33" s="69" t="n">
        <f aca="false">F25/F10</f>
        <v>0.0415666574238566</v>
      </c>
      <c r="G33" s="70" t="n">
        <f aca="false">G25/G10</f>
        <v>0.0020117635761167</v>
      </c>
      <c r="H33" s="70" t="n">
        <f aca="false">H25/H10</f>
        <v>0.00831315922867622</v>
      </c>
      <c r="I33" s="70" t="n">
        <f aca="false">I25/I10</f>
        <v>0.0138208644000034</v>
      </c>
      <c r="J33" s="70" t="n">
        <f aca="false">J25/J10</f>
        <v>0.0186476733898453</v>
      </c>
      <c r="K33" s="70" t="n">
        <f aca="false">K25/K10</f>
        <v>0.0228891049661672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L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1" min="3" style="0" width="16"/>
    <col collapsed="false" customWidth="true" hidden="false" outlineLevel="0" max="12" min="12" style="0" width="55"/>
  </cols>
  <sheetData>
    <row r="1" customFormat="false" ht="17.35" hidden="false" customHeight="false" outlineLevel="0" collapsed="false">
      <c r="A1" s="14" t="s">
        <v>388</v>
      </c>
    </row>
    <row r="2" customFormat="false" ht="15" hidden="false" customHeight="false" outlineLevel="0" collapsed="false">
      <c r="A2" s="15" t="s">
        <v>326</v>
      </c>
    </row>
    <row r="3" customFormat="false" ht="15" hidden="false" customHeight="false" outlineLevel="0" collapsed="false">
      <c r="A3" s="4" t="s">
        <v>168</v>
      </c>
      <c r="C3" s="44" t="str">
        <f aca="false">Asumsi!C4</f>
        <v>Base</v>
      </c>
      <c r="G3" s="15" t="s">
        <v>327</v>
      </c>
      <c r="H3" s="15" t="s">
        <v>327</v>
      </c>
      <c r="I3" s="15" t="s">
        <v>327</v>
      </c>
      <c r="J3" s="15" t="s">
        <v>327</v>
      </c>
      <c r="K3" s="15" t="s">
        <v>327</v>
      </c>
    </row>
    <row r="4" customFormat="false" ht="15" hidden="false" customHeight="false" outlineLevel="0" collapsed="false">
      <c r="A4" s="25" t="s">
        <v>328</v>
      </c>
      <c r="B4" s="25" t="s">
        <v>329</v>
      </c>
      <c r="C4" s="25" t="s">
        <v>130</v>
      </c>
      <c r="D4" s="25" t="s">
        <v>131</v>
      </c>
      <c r="E4" s="25" t="s">
        <v>132</v>
      </c>
      <c r="F4" s="25" t="s">
        <v>133</v>
      </c>
      <c r="G4" s="45" t="s">
        <v>169</v>
      </c>
      <c r="H4" s="45" t="s">
        <v>170</v>
      </c>
      <c r="I4" s="45" t="s">
        <v>171</v>
      </c>
      <c r="J4" s="45" t="s">
        <v>172</v>
      </c>
      <c r="K4" s="45" t="s">
        <v>173</v>
      </c>
      <c r="L4" s="25" t="s">
        <v>330</v>
      </c>
    </row>
    <row r="5" customFormat="false" ht="15" hidden="false" customHeight="false" outlineLevel="0" collapsed="false">
      <c r="A5" s="16"/>
      <c r="B5" s="17" t="s">
        <v>389</v>
      </c>
      <c r="C5" s="16"/>
      <c r="D5" s="16"/>
      <c r="E5" s="16"/>
      <c r="F5" s="16"/>
      <c r="G5" s="16"/>
      <c r="H5" s="16"/>
      <c r="I5" s="16"/>
      <c r="J5" s="16"/>
      <c r="K5" s="16"/>
      <c r="L5" s="16"/>
    </row>
    <row r="6" customFormat="false" ht="15" hidden="false" customHeight="false" outlineLevel="0" collapsed="false">
      <c r="A6" s="56" t="s">
        <v>390</v>
      </c>
      <c r="B6" s="13" t="s">
        <v>391</v>
      </c>
      <c r="C6" s="52" t="n">
        <f aca="false">BS!C6</f>
        <v>29547207476</v>
      </c>
      <c r="D6" s="52" t="n">
        <f aca="false">BS!D6</f>
        <v>2463973775</v>
      </c>
      <c r="E6" s="52" t="n">
        <f aca="false">BS!E6</f>
        <v>2663388349</v>
      </c>
      <c r="F6" s="52" t="n">
        <f aca="false">BS!F6</f>
        <v>4036506961</v>
      </c>
      <c r="G6" s="53" t="n">
        <f aca="false">CF_Proj!G24</f>
        <v>-2019569903.23345</v>
      </c>
      <c r="H6" s="53" t="n">
        <f aca="false">CF_Proj!H24</f>
        <v>-5044437925.79749</v>
      </c>
      <c r="I6" s="53" t="n">
        <f aca="false">CF_Proj!I24</f>
        <v>-8035133083.33038</v>
      </c>
      <c r="J6" s="53" t="n">
        <f aca="false">CF_Proj!J24</f>
        <v>-10970997522.6925</v>
      </c>
      <c r="K6" s="53" t="n">
        <f aca="false">CF_Proj!K24</f>
        <v>-13831484486.4487</v>
      </c>
      <c r="L6" s="15" t="s">
        <v>392</v>
      </c>
    </row>
    <row r="7" customFormat="false" ht="15" hidden="false" customHeight="false" outlineLevel="0" collapsed="false">
      <c r="A7" s="56" t="s">
        <v>393</v>
      </c>
      <c r="B7" s="13" t="s">
        <v>394</v>
      </c>
      <c r="C7" s="52" t="n">
        <f aca="false">(BS!C8+BS!C9)</f>
        <v>12118406500</v>
      </c>
      <c r="D7" s="52" t="n">
        <f aca="false">(BS!D8+BS!D9)</f>
        <v>16783681668</v>
      </c>
      <c r="E7" s="52" t="n">
        <f aca="false">(BS!E8+BS!E9)</f>
        <v>25075858587</v>
      </c>
      <c r="F7" s="52" t="n">
        <f aca="false">(BS!F8+BS!F9)</f>
        <v>18872446355</v>
      </c>
      <c r="G7" s="53" t="n">
        <f aca="false">Schedules_Proj!G26</f>
        <v>21425473595.9915</v>
      </c>
      <c r="H7" s="53" t="n">
        <f aca="false">Schedules_Proj!H26</f>
        <v>23139511483.6708</v>
      </c>
      <c r="I7" s="53" t="n">
        <f aca="false">Schedules_Proj!I26</f>
        <v>24990672402.3645</v>
      </c>
      <c r="J7" s="53" t="n">
        <f aca="false">Schedules_Proj!J26</f>
        <v>26989926194.5536</v>
      </c>
      <c r="K7" s="53" t="n">
        <f aca="false">Schedules_Proj!K26</f>
        <v>29149120290.1179</v>
      </c>
    </row>
    <row r="8" customFormat="false" ht="15" hidden="false" customHeight="false" outlineLevel="0" collapsed="false">
      <c r="A8" s="56" t="s">
        <v>395</v>
      </c>
      <c r="B8" s="13" t="s">
        <v>396</v>
      </c>
      <c r="C8" s="52" t="n">
        <f aca="false">BS!C12</f>
        <v>2264889867</v>
      </c>
      <c r="D8" s="52" t="n">
        <f aca="false">BS!D12</f>
        <v>4036032457</v>
      </c>
      <c r="E8" s="52" t="n">
        <f aca="false">BS!E12</f>
        <v>4135618544</v>
      </c>
      <c r="F8" s="52" t="n">
        <f aca="false">BS!F12</f>
        <v>1336242114</v>
      </c>
      <c r="G8" s="53" t="n">
        <f aca="false">Schedules_Proj!G27</f>
        <v>2871013461.86286</v>
      </c>
      <c r="H8" s="53" t="n">
        <f aca="false">Schedules_Proj!H27</f>
        <v>3100694538.81189</v>
      </c>
      <c r="I8" s="53" t="n">
        <f aca="false">Schedules_Proj!I27</f>
        <v>3348750101.91684</v>
      </c>
      <c r="J8" s="53" t="n">
        <f aca="false">Schedules_Proj!J27</f>
        <v>3616650110.07018</v>
      </c>
      <c r="K8" s="53" t="n">
        <f aca="false">Schedules_Proj!K27</f>
        <v>3905982118.8758</v>
      </c>
    </row>
    <row r="9" customFormat="false" ht="15" hidden="false" customHeight="false" outlineLevel="0" collapsed="false">
      <c r="A9" s="56" t="s">
        <v>397</v>
      </c>
      <c r="B9" s="13" t="s">
        <v>398</v>
      </c>
      <c r="C9" s="52" t="n">
        <f aca="false">BS!C16-BS!C6-BS!C8-BS!C9-BS!C12</f>
        <v>1685855107</v>
      </c>
      <c r="D9" s="52" t="n">
        <f aca="false">BS!D16-BS!D6-BS!D8-BS!D9-BS!D12</f>
        <v>4616338154</v>
      </c>
      <c r="E9" s="52" t="n">
        <f aca="false">BS!E16-BS!E6-BS!E8-BS!E9-BS!E12</f>
        <v>3217661624</v>
      </c>
      <c r="F9" s="52" t="n">
        <f aca="false">BS!F16-BS!F6-BS!F8-BS!F9-BS!F12</f>
        <v>15099657194</v>
      </c>
      <c r="G9" s="71" t="n">
        <f aca="false">F9</f>
        <v>15099657194</v>
      </c>
      <c r="H9" s="71" t="n">
        <f aca="false">G9</f>
        <v>15099657194</v>
      </c>
      <c r="I9" s="71" t="n">
        <f aca="false">H9</f>
        <v>15099657194</v>
      </c>
      <c r="J9" s="71" t="n">
        <f aca="false">I9</f>
        <v>15099657194</v>
      </c>
      <c r="K9" s="71" t="n">
        <f aca="false">J9</f>
        <v>15099657194</v>
      </c>
      <c r="L9" s="15" t="s">
        <v>399</v>
      </c>
    </row>
    <row r="10" customFormat="false" ht="15" hidden="false" customHeight="false" outlineLevel="0" collapsed="false">
      <c r="A10" s="65" t="s">
        <v>400</v>
      </c>
      <c r="B10" s="66" t="s">
        <v>401</v>
      </c>
      <c r="C10" s="68" t="n">
        <f aca="false">C6+C7+C8+C9</f>
        <v>45616358950</v>
      </c>
      <c r="D10" s="68" t="n">
        <f aca="false">D6+D7+D8+D9</f>
        <v>27900026054</v>
      </c>
      <c r="E10" s="68" t="n">
        <f aca="false">E6+E7+E8+E9</f>
        <v>35092527104</v>
      </c>
      <c r="F10" s="68" t="n">
        <f aca="false">F6+F7+F8+F9</f>
        <v>39344852624</v>
      </c>
      <c r="G10" s="68" t="n">
        <f aca="false">G6+G7+G8+G9</f>
        <v>37376574348.6209</v>
      </c>
      <c r="H10" s="68" t="n">
        <f aca="false">H6+H7+H8+H9</f>
        <v>36295425290.6852</v>
      </c>
      <c r="I10" s="68" t="n">
        <f aca="false">I6+I7+I8+I9</f>
        <v>35403946614.9509</v>
      </c>
      <c r="J10" s="68" t="n">
        <f aca="false">J6+J7+J8+J9</f>
        <v>34735235975.9313</v>
      </c>
      <c r="K10" s="68" t="n">
        <f aca="false">K6+K7+K8+K9</f>
        <v>34323275116.545</v>
      </c>
    </row>
    <row r="11" customFormat="false" ht="15" hidden="false" customHeight="false" outlineLevel="0" collapsed="false">
      <c r="A11" s="56" t="s">
        <v>402</v>
      </c>
      <c r="B11" s="13" t="s">
        <v>403</v>
      </c>
      <c r="C11" s="52" t="n">
        <f aca="false">BS!C21</f>
        <v>66252356120</v>
      </c>
      <c r="D11" s="52" t="n">
        <f aca="false">BS!D21</f>
        <v>117418739194</v>
      </c>
      <c r="E11" s="52" t="n">
        <f aca="false">BS!E21</f>
        <v>132385666764</v>
      </c>
      <c r="F11" s="52" t="n">
        <f aca="false">BS!F21</f>
        <v>127921073027</v>
      </c>
      <c r="G11" s="53" t="n">
        <f aca="false">Schedules_Proj!G10</f>
        <v>129941955848.362</v>
      </c>
      <c r="H11" s="53" t="n">
        <f aca="false">Schedules_Proj!H10</f>
        <v>132932649112.68</v>
      </c>
      <c r="I11" s="53" t="n">
        <f aca="false">Schedules_Proj!I10</f>
        <v>136891216697.372</v>
      </c>
      <c r="J11" s="53" t="n">
        <f aca="false">Schedules_Proj!J10</f>
        <v>141823392452.321</v>
      </c>
      <c r="K11" s="53" t="n">
        <f aca="false">Schedules_Proj!K10</f>
        <v>147742423831.221</v>
      </c>
    </row>
    <row r="12" customFormat="false" ht="15" hidden="false" customHeight="false" outlineLevel="0" collapsed="false">
      <c r="A12" s="56" t="s">
        <v>404</v>
      </c>
      <c r="B12" s="13" t="s">
        <v>405</v>
      </c>
      <c r="C12" s="52" t="n">
        <f aca="false">BS!C17</f>
        <v>0</v>
      </c>
      <c r="D12" s="52" t="n">
        <f aca="false">BS!D17</f>
        <v>0</v>
      </c>
      <c r="E12" s="52" t="n">
        <f aca="false">BS!E17</f>
        <v>0</v>
      </c>
      <c r="F12" s="52" t="n">
        <f aca="false">BS!F17</f>
        <v>0</v>
      </c>
      <c r="G12" s="53" t="n">
        <f aca="false">Schedules_Proj!G15</f>
        <v>0</v>
      </c>
      <c r="H12" s="53" t="n">
        <f aca="false">Schedules_Proj!H15</f>
        <v>0</v>
      </c>
      <c r="I12" s="53" t="n">
        <f aca="false">Schedules_Proj!I15</f>
        <v>0</v>
      </c>
      <c r="J12" s="53" t="n">
        <f aca="false">Schedules_Proj!J15</f>
        <v>0</v>
      </c>
      <c r="K12" s="53" t="n">
        <f aca="false">Schedules_Proj!K15</f>
        <v>0</v>
      </c>
    </row>
    <row r="13" customFormat="false" ht="15" hidden="false" customHeight="false" outlineLevel="0" collapsed="false">
      <c r="A13" s="56" t="s">
        <v>406</v>
      </c>
      <c r="B13" s="13" t="s">
        <v>407</v>
      </c>
      <c r="C13" s="52" t="n">
        <f aca="false">BS!C26-BS!C21-BS!C17</f>
        <v>48124674181</v>
      </c>
      <c r="D13" s="52" t="n">
        <f aca="false">BS!D26-BS!D21-BS!D17</f>
        <v>155351127589</v>
      </c>
      <c r="E13" s="52" t="n">
        <f aca="false">BS!E26-BS!E21-BS!E17</f>
        <v>100622046044</v>
      </c>
      <c r="F13" s="52" t="n">
        <f aca="false">BS!F26-BS!F21-BS!F17</f>
        <v>162946944844</v>
      </c>
      <c r="G13" s="71" t="n">
        <f aca="false">F13</f>
        <v>162946944844</v>
      </c>
      <c r="H13" s="71" t="n">
        <f aca="false">G13</f>
        <v>162946944844</v>
      </c>
      <c r="I13" s="71" t="n">
        <f aca="false">H13</f>
        <v>162946944844</v>
      </c>
      <c r="J13" s="71" t="n">
        <f aca="false">I13</f>
        <v>162946944844</v>
      </c>
      <c r="K13" s="71" t="n">
        <f aca="false">J13</f>
        <v>162946944844</v>
      </c>
      <c r="L13" s="15" t="s">
        <v>399</v>
      </c>
    </row>
    <row r="14" customFormat="false" ht="15" hidden="false" customHeight="false" outlineLevel="0" collapsed="false">
      <c r="A14" s="65" t="s">
        <v>408</v>
      </c>
      <c r="B14" s="66" t="s">
        <v>409</v>
      </c>
      <c r="C14" s="68" t="n">
        <f aca="false">C11+C12+C13</f>
        <v>114377030301</v>
      </c>
      <c r="D14" s="68" t="n">
        <f aca="false">D11+D12+D13</f>
        <v>272769866783</v>
      </c>
      <c r="E14" s="68" t="n">
        <f aca="false">E11+E12+E13</f>
        <v>233007712808</v>
      </c>
      <c r="F14" s="68" t="n">
        <f aca="false">F11+F12+F13</f>
        <v>290868017871</v>
      </c>
      <c r="G14" s="68" t="n">
        <f aca="false">G11+G12+G13</f>
        <v>292888900692.362</v>
      </c>
      <c r="H14" s="68" t="n">
        <f aca="false">H11+H12+H13</f>
        <v>295879593956.68</v>
      </c>
      <c r="I14" s="68" t="n">
        <f aca="false">I11+I12+I13</f>
        <v>299838161541.372</v>
      </c>
      <c r="J14" s="68" t="n">
        <f aca="false">J11+J12+J13</f>
        <v>304770337296.321</v>
      </c>
      <c r="K14" s="68" t="n">
        <f aca="false">K11+K12+K13</f>
        <v>310689368675.221</v>
      </c>
    </row>
    <row r="15" customFormat="false" ht="15" hidden="false" customHeight="false" outlineLevel="0" collapsed="false">
      <c r="A15" s="65" t="s">
        <v>410</v>
      </c>
      <c r="B15" s="66" t="s">
        <v>411</v>
      </c>
      <c r="C15" s="68" t="n">
        <f aca="false">C10+C14</f>
        <v>159993389251</v>
      </c>
      <c r="D15" s="68" t="n">
        <f aca="false">D10+D14</f>
        <v>300669892837</v>
      </c>
      <c r="E15" s="68" t="n">
        <f aca="false">E10+E14</f>
        <v>268100239912</v>
      </c>
      <c r="F15" s="68" t="n">
        <f aca="false">F10+F14</f>
        <v>330212870495</v>
      </c>
      <c r="G15" s="68" t="n">
        <f aca="false">G10+G14</f>
        <v>330265475040.983</v>
      </c>
      <c r="H15" s="68" t="n">
        <f aca="false">H10+H14</f>
        <v>332175019247.365</v>
      </c>
      <c r="I15" s="68" t="n">
        <f aca="false">I10+I14</f>
        <v>335242108156.323</v>
      </c>
      <c r="J15" s="68" t="n">
        <f aca="false">J10+J14</f>
        <v>339505573272.253</v>
      </c>
      <c r="K15" s="68" t="n">
        <f aca="false">K10+K14</f>
        <v>345012643791.766</v>
      </c>
    </row>
    <row r="16" customFormat="false" ht="15" hidden="false" customHeight="false" outlineLevel="0" collapsed="false">
      <c r="A16" s="16"/>
      <c r="B16" s="17" t="s">
        <v>412</v>
      </c>
      <c r="C16" s="16"/>
      <c r="D16" s="16"/>
      <c r="E16" s="16"/>
      <c r="F16" s="16"/>
      <c r="G16" s="16"/>
      <c r="H16" s="16"/>
      <c r="I16" s="16"/>
      <c r="J16" s="16"/>
      <c r="K16" s="16"/>
      <c r="L16" s="16"/>
    </row>
    <row r="17" customFormat="false" ht="15" hidden="false" customHeight="false" outlineLevel="0" collapsed="false">
      <c r="A17" s="56" t="s">
        <v>413</v>
      </c>
      <c r="B17" s="13" t="s">
        <v>414</v>
      </c>
      <c r="C17" s="52" t="n">
        <f aca="false">(BS!C30+BS!C31)</f>
        <v>2059291014</v>
      </c>
      <c r="D17" s="52" t="n">
        <f aca="false">(BS!D30+BS!D31)</f>
        <v>4772562529</v>
      </c>
      <c r="E17" s="52" t="n">
        <f aca="false">(BS!E30+BS!E31)</f>
        <v>5668668826</v>
      </c>
      <c r="F17" s="52" t="n">
        <f aca="false">(BS!F30+BS!F31)</f>
        <v>6578276878</v>
      </c>
      <c r="G17" s="53" t="n">
        <f aca="false">Schedules_Proj!G28</f>
        <v>6316229616.09829</v>
      </c>
      <c r="H17" s="53" t="n">
        <f aca="false">Schedules_Proj!H28</f>
        <v>6821527985.38615</v>
      </c>
      <c r="I17" s="53" t="n">
        <f aca="false">Schedules_Proj!I28</f>
        <v>7367250224.21704</v>
      </c>
      <c r="J17" s="53" t="n">
        <f aca="false">Schedules_Proj!J28</f>
        <v>7956630242.1544</v>
      </c>
      <c r="K17" s="53" t="n">
        <f aca="false">Schedules_Proj!K28</f>
        <v>8593160661.52676</v>
      </c>
    </row>
    <row r="18" customFormat="false" ht="15" hidden="false" customHeight="false" outlineLevel="0" collapsed="false">
      <c r="A18" s="56" t="s">
        <v>415</v>
      </c>
      <c r="B18" s="13" t="s">
        <v>416</v>
      </c>
      <c r="C18" s="52" t="n">
        <f aca="false">(BS!C29+BS!C38+BS!C43+BS!C39+BS!C44+BS!C40+BS!C45+BS!C49+BS!C50)</f>
        <v>93671342320</v>
      </c>
      <c r="D18" s="52" t="n">
        <f aca="false">(BS!D29+BS!D38+BS!D43+BS!D39+BS!D44+BS!D40+BS!D45+BS!D49+BS!D50)</f>
        <v>145115583789</v>
      </c>
      <c r="E18" s="52" t="n">
        <f aca="false">(BS!E29+BS!E38+BS!E43+BS!E39+BS!E44+BS!E40+BS!E45+BS!E49+BS!E50)</f>
        <v>111845439271</v>
      </c>
      <c r="F18" s="52" t="n">
        <f aca="false">(BS!F29+BS!F38+BS!F43+BS!F39+BS!F44+BS!F40+BS!F45+BS!F49+BS!F50)</f>
        <v>89971932007</v>
      </c>
      <c r="G18" s="53" t="n">
        <f aca="false">Schedules_Proj!G23</f>
        <v>89971932007</v>
      </c>
      <c r="H18" s="53" t="n">
        <f aca="false">Schedules_Proj!H23</f>
        <v>89971932007</v>
      </c>
      <c r="I18" s="53" t="n">
        <f aca="false">Schedules_Proj!I23</f>
        <v>89971932007</v>
      </c>
      <c r="J18" s="53" t="n">
        <f aca="false">Schedules_Proj!J23</f>
        <v>89971932007</v>
      </c>
      <c r="K18" s="53" t="n">
        <f aca="false">Schedules_Proj!K23</f>
        <v>89971932007</v>
      </c>
    </row>
    <row r="19" customFormat="false" ht="15" hidden="false" customHeight="false" outlineLevel="0" collapsed="false">
      <c r="A19" s="56" t="s">
        <v>417</v>
      </c>
      <c r="B19" s="13" t="s">
        <v>418</v>
      </c>
      <c r="C19" s="52" t="n">
        <f aca="false">(BS!C41+BS!C46)</f>
        <v>0</v>
      </c>
      <c r="D19" s="52" t="n">
        <f aca="false">(BS!D41+BS!D46)</f>
        <v>0</v>
      </c>
      <c r="E19" s="52" t="n">
        <f aca="false">(BS!E41+BS!E46)</f>
        <v>2328487150</v>
      </c>
      <c r="F19" s="52" t="n">
        <f aca="false">(BS!F41+BS!F46)</f>
        <v>1329650108</v>
      </c>
      <c r="G19" s="53" t="n">
        <f aca="false">Schedules_Proj!G18</f>
        <v>1329650108</v>
      </c>
      <c r="H19" s="53" t="n">
        <f aca="false">Schedules_Proj!H18</f>
        <v>1329650108</v>
      </c>
      <c r="I19" s="53" t="n">
        <f aca="false">Schedules_Proj!I18</f>
        <v>1329650108</v>
      </c>
      <c r="J19" s="53" t="n">
        <f aca="false">Schedules_Proj!J18</f>
        <v>1329650108</v>
      </c>
      <c r="K19" s="53" t="n">
        <f aca="false">Schedules_Proj!K18</f>
        <v>1329650108</v>
      </c>
    </row>
    <row r="20" customFormat="false" ht="15" hidden="false" customHeight="false" outlineLevel="0" collapsed="false">
      <c r="A20" s="56" t="s">
        <v>419</v>
      </c>
      <c r="B20" s="13" t="s">
        <v>420</v>
      </c>
      <c r="C20" s="52" t="n">
        <f aca="false">BS!C52-BS!C30-BS!C31-(BS!C29+BS!C38+BS!C43+BS!C39+BS!C44+BS!C40+BS!C45+BS!C49+BS!C50)-BS!C41-BS!C46</f>
        <v>13196011190</v>
      </c>
      <c r="D20" s="52" t="n">
        <f aca="false">BS!D52-BS!D30-BS!D31-(BS!D29+BS!D38+BS!D43+BS!D39+BS!D44+BS!D40+BS!D45+BS!D49+BS!D50)-BS!D41-BS!D46</f>
        <v>21628740131</v>
      </c>
      <c r="E20" s="52" t="n">
        <f aca="false">BS!E52-BS!E30-BS!E31-(BS!E29+BS!E38+BS!E43+BS!E39+BS!E44+BS!E40+BS!E45+BS!E49+BS!E50)-BS!E41-BS!E46</f>
        <v>18528254195</v>
      </c>
      <c r="F20" s="52" t="n">
        <f aca="false">BS!F52-BS!F30-BS!F31-(BS!F29+BS!F38+BS!F43+BS!F39+BS!F44+BS!F40+BS!F45+BS!F49+BS!F50)-BS!F41-BS!F46</f>
        <v>25827020582</v>
      </c>
      <c r="G20" s="71" t="n">
        <f aca="false">F20</f>
        <v>25827020582</v>
      </c>
      <c r="H20" s="71" t="n">
        <f aca="false">G20</f>
        <v>25827020582</v>
      </c>
      <c r="I20" s="71" t="n">
        <f aca="false">H20</f>
        <v>25827020582</v>
      </c>
      <c r="J20" s="71" t="n">
        <f aca="false">I20</f>
        <v>25827020582</v>
      </c>
      <c r="K20" s="71" t="n">
        <f aca="false">J20</f>
        <v>25827020582</v>
      </c>
      <c r="L20" s="15" t="s">
        <v>421</v>
      </c>
    </row>
    <row r="21" customFormat="false" ht="15" hidden="false" customHeight="false" outlineLevel="0" collapsed="false">
      <c r="A21" s="65" t="s">
        <v>422</v>
      </c>
      <c r="B21" s="66" t="s">
        <v>423</v>
      </c>
      <c r="C21" s="68" t="n">
        <f aca="false">C17+C18+C19+C20</f>
        <v>108926644524</v>
      </c>
      <c r="D21" s="68" t="n">
        <f aca="false">D17+D18+D19+D20</f>
        <v>171516886449</v>
      </c>
      <c r="E21" s="68" t="n">
        <f aca="false">E17+E18+E19+E20</f>
        <v>138370849442</v>
      </c>
      <c r="F21" s="68" t="n">
        <f aca="false">F17+F18+F19+F20</f>
        <v>123706879575</v>
      </c>
      <c r="G21" s="68" t="n">
        <f aca="false">G17+G18+G19+G20</f>
        <v>123444832313.098</v>
      </c>
      <c r="H21" s="68" t="n">
        <f aca="false">H17+H18+H19+H20</f>
        <v>123950130682.386</v>
      </c>
      <c r="I21" s="68" t="n">
        <f aca="false">I17+I18+I19+I20</f>
        <v>124495852921.217</v>
      </c>
      <c r="J21" s="68" t="n">
        <f aca="false">J17+J18+J19+J20</f>
        <v>125085232939.154</v>
      </c>
      <c r="K21" s="68" t="n">
        <f aca="false">K17+K18+K19+K20</f>
        <v>125721763358.527</v>
      </c>
    </row>
    <row r="22" customFormat="false" ht="15" hidden="false" customHeight="false" outlineLevel="0" collapsed="false">
      <c r="A22" s="16"/>
      <c r="B22" s="17" t="s">
        <v>424</v>
      </c>
      <c r="C22" s="16"/>
      <c r="D22" s="16"/>
      <c r="E22" s="16"/>
      <c r="F22" s="16"/>
      <c r="G22" s="16"/>
      <c r="H22" s="16"/>
      <c r="I22" s="16"/>
      <c r="J22" s="16"/>
      <c r="K22" s="16"/>
      <c r="L22" s="16"/>
    </row>
    <row r="23" customFormat="false" ht="15" hidden="false" customHeight="false" outlineLevel="0" collapsed="false">
      <c r="A23" s="56" t="s">
        <v>425</v>
      </c>
      <c r="B23" s="13" t="s">
        <v>426</v>
      </c>
      <c r="C23" s="52" t="n">
        <f aca="false">BS!C59-BS!C58</f>
        <v>31525576875</v>
      </c>
      <c r="D23" s="52" t="n">
        <f aca="false">BS!D59-BS!D58</f>
        <v>106072122139</v>
      </c>
      <c r="E23" s="52" t="n">
        <f aca="false">BS!E59-BS!E58</f>
        <v>103807584338</v>
      </c>
      <c r="F23" s="52" t="n">
        <f aca="false">BS!F59-BS!F58</f>
        <v>174562244493</v>
      </c>
      <c r="G23" s="71" t="n">
        <f aca="false">F23</f>
        <v>174562244493</v>
      </c>
      <c r="H23" s="71" t="n">
        <f aca="false">G23</f>
        <v>174562244493</v>
      </c>
      <c r="I23" s="71" t="n">
        <f aca="false">H23</f>
        <v>174562244493</v>
      </c>
      <c r="J23" s="71" t="n">
        <f aca="false">I23</f>
        <v>174562244493</v>
      </c>
      <c r="K23" s="71" t="n">
        <f aca="false">J23</f>
        <v>174562244493</v>
      </c>
      <c r="L23" s="15" t="s">
        <v>399</v>
      </c>
    </row>
    <row r="24" customFormat="false" ht="15" hidden="false" customHeight="false" outlineLevel="0" collapsed="false">
      <c r="A24" s="56" t="s">
        <v>427</v>
      </c>
      <c r="B24" s="13" t="s">
        <v>428</v>
      </c>
      <c r="C24" s="52" t="n">
        <f aca="false">BS!C58</f>
        <v>19541167852</v>
      </c>
      <c r="D24" s="52" t="n">
        <f aca="false">BS!D58</f>
        <v>23080884249</v>
      </c>
      <c r="E24" s="52" t="n">
        <f aca="false">BS!E58</f>
        <v>25918247522</v>
      </c>
      <c r="F24" s="52" t="n">
        <f aca="false">BS!F58</f>
        <v>31939895635</v>
      </c>
      <c r="G24" s="53" t="n">
        <f aca="false">F24+IS_Proj!G27+CF_Proj!G19</f>
        <v>32254547442.8847</v>
      </c>
      <c r="H24" s="53" t="n">
        <f aca="false">G24+IS_Proj!H27+CF_Proj!H19</f>
        <v>33658793279.9787</v>
      </c>
      <c r="I24" s="53" t="n">
        <f aca="false">H24+IS_Proj!I27+CF_Proj!I19</f>
        <v>36180159950.106</v>
      </c>
      <c r="J24" s="53" t="n">
        <f aca="false">I24+IS_Proj!J27+CF_Proj!J19</f>
        <v>39854245048.0981</v>
      </c>
      <c r="K24" s="53" t="n">
        <f aca="false">J24+IS_Proj!K27+CF_Proj!K19</f>
        <v>44724785148.2393</v>
      </c>
    </row>
    <row r="25" customFormat="false" ht="15" hidden="false" customHeight="false" outlineLevel="0" collapsed="false">
      <c r="A25" s="65" t="s">
        <v>429</v>
      </c>
      <c r="B25" s="66" t="s">
        <v>430</v>
      </c>
      <c r="C25" s="68" t="n">
        <f aca="false">C23+C24</f>
        <v>51066744727</v>
      </c>
      <c r="D25" s="68" t="n">
        <f aca="false">D23+D24</f>
        <v>129153006388</v>
      </c>
      <c r="E25" s="68" t="n">
        <f aca="false">E23+E24</f>
        <v>129725831860</v>
      </c>
      <c r="F25" s="68" t="n">
        <f aca="false">F23+F24</f>
        <v>206502140128</v>
      </c>
      <c r="G25" s="68" t="n">
        <f aca="false">G23+G24</f>
        <v>206816791935.885</v>
      </c>
      <c r="H25" s="68" t="n">
        <f aca="false">H23+H24</f>
        <v>208221037772.979</v>
      </c>
      <c r="I25" s="68" t="n">
        <f aca="false">I23+I24</f>
        <v>210742404443.106</v>
      </c>
      <c r="J25" s="68" t="n">
        <f aca="false">J23+J24</f>
        <v>214416489541.098</v>
      </c>
      <c r="K25" s="68" t="n">
        <f aca="false">K23+K24</f>
        <v>219287029641.239</v>
      </c>
    </row>
    <row r="26" customFormat="false" ht="15" hidden="false" customHeight="false" outlineLevel="0" collapsed="false">
      <c r="A26" s="56" t="s">
        <v>431</v>
      </c>
      <c r="B26" s="13" t="s">
        <v>432</v>
      </c>
      <c r="C26" s="52" t="n">
        <f aca="false">BS!C60</f>
        <v>0</v>
      </c>
      <c r="D26" s="52" t="n">
        <f aca="false">BS!D60</f>
        <v>0</v>
      </c>
      <c r="E26" s="52" t="n">
        <f aca="false">BS!E60</f>
        <v>3558610</v>
      </c>
      <c r="F26" s="52" t="n">
        <f aca="false">BS!F60</f>
        <v>3850792</v>
      </c>
      <c r="G26" s="53" t="n">
        <f aca="false">F26+IS_Proj!G26</f>
        <v>3850792</v>
      </c>
      <c r="H26" s="53" t="n">
        <f aca="false">G26+IS_Proj!H26</f>
        <v>3850792</v>
      </c>
      <c r="I26" s="53" t="n">
        <f aca="false">H26+IS_Proj!I26</f>
        <v>3850792</v>
      </c>
      <c r="J26" s="53" t="n">
        <f aca="false">I26+IS_Proj!J26</f>
        <v>3850792</v>
      </c>
      <c r="K26" s="53" t="n">
        <f aca="false">J26+IS_Proj!K26</f>
        <v>3850792</v>
      </c>
      <c r="L26" s="15" t="s">
        <v>433</v>
      </c>
    </row>
    <row r="27" customFormat="false" ht="15" hidden="false" customHeight="false" outlineLevel="0" collapsed="false">
      <c r="A27" s="65" t="s">
        <v>434</v>
      </c>
      <c r="B27" s="66" t="s">
        <v>435</v>
      </c>
      <c r="C27" s="68" t="n">
        <f aca="false">C25+C26</f>
        <v>51066744727</v>
      </c>
      <c r="D27" s="68" t="n">
        <f aca="false">D25+D26</f>
        <v>129153006388</v>
      </c>
      <c r="E27" s="68" t="n">
        <f aca="false">E25+E26</f>
        <v>129729390470</v>
      </c>
      <c r="F27" s="68" t="n">
        <f aca="false">F25+F26</f>
        <v>206505990920</v>
      </c>
      <c r="G27" s="68" t="n">
        <f aca="false">G25+G26</f>
        <v>206820642727.885</v>
      </c>
      <c r="H27" s="68" t="n">
        <f aca="false">H25+H26</f>
        <v>208224888564.979</v>
      </c>
      <c r="I27" s="68" t="n">
        <f aca="false">I25+I26</f>
        <v>210746255235.106</v>
      </c>
      <c r="J27" s="68" t="n">
        <f aca="false">J25+J26</f>
        <v>214420340333.098</v>
      </c>
      <c r="K27" s="68" t="n">
        <f aca="false">K25+K26</f>
        <v>219290880433.239</v>
      </c>
    </row>
    <row r="28" customFormat="false" ht="15" hidden="false" customHeight="false" outlineLevel="0" collapsed="false">
      <c r="A28" s="65" t="s">
        <v>436</v>
      </c>
      <c r="B28" s="66" t="s">
        <v>437</v>
      </c>
      <c r="C28" s="68" t="n">
        <f aca="false">C21+C27</f>
        <v>159993389251</v>
      </c>
      <c r="D28" s="68" t="n">
        <f aca="false">D21+D27</f>
        <v>300669892837</v>
      </c>
      <c r="E28" s="68" t="n">
        <f aca="false">E21+E27</f>
        <v>268100239912</v>
      </c>
      <c r="F28" s="68" t="n">
        <f aca="false">F21+F27</f>
        <v>330212870495</v>
      </c>
      <c r="G28" s="68" t="n">
        <f aca="false">G21+G27</f>
        <v>330265475040.983</v>
      </c>
      <c r="H28" s="68" t="n">
        <f aca="false">H21+H27</f>
        <v>332175019247.365</v>
      </c>
      <c r="I28" s="68" t="n">
        <f aca="false">I21+I27</f>
        <v>335242108156.323</v>
      </c>
      <c r="J28" s="68" t="n">
        <f aca="false">J21+J27</f>
        <v>339505573272.253</v>
      </c>
      <c r="K28" s="68" t="n">
        <f aca="false">K21+K27</f>
        <v>345012643791.766</v>
      </c>
    </row>
    <row r="30" customFormat="false" ht="15" hidden="false" customHeight="false" outlineLevel="0" collapsed="false">
      <c r="A30" s="56" t="s">
        <v>438</v>
      </c>
      <c r="B30" s="13" t="s">
        <v>439</v>
      </c>
      <c r="C30" s="74" t="n">
        <f aca="false">ROUND(C15-C28,0)</f>
        <v>0</v>
      </c>
      <c r="D30" s="74" t="n">
        <f aca="false">ROUND(D15-D28,0)</f>
        <v>0</v>
      </c>
      <c r="E30" s="74" t="n">
        <f aca="false">ROUND(E15-E28,0)</f>
        <v>0</v>
      </c>
      <c r="F30" s="74" t="n">
        <f aca="false">ROUND(F15-F28,0)</f>
        <v>0</v>
      </c>
      <c r="G30" s="71" t="n">
        <f aca="false">ROUND(G15-G28,0)</f>
        <v>0</v>
      </c>
      <c r="H30" s="71" t="n">
        <f aca="false">ROUND(H15-H28,0)</f>
        <v>0</v>
      </c>
      <c r="I30" s="71" t="n">
        <f aca="false">ROUND(I15-I28,0)</f>
        <v>0</v>
      </c>
      <c r="J30" s="71" t="n">
        <f aca="false">ROUND(J15-J28,0)</f>
        <v>0</v>
      </c>
      <c r="K30" s="71" t="n">
        <f aca="false">ROUND(K15-K28,0)</f>
        <v>0</v>
      </c>
    </row>
    <row r="31" customFormat="false" ht="15" hidden="false" customHeight="false" outlineLevel="0" collapsed="false">
      <c r="A31" s="56" t="s">
        <v>440</v>
      </c>
      <c r="B31" s="13" t="s">
        <v>441</v>
      </c>
      <c r="C31" s="74" t="n">
        <f aca="false">C18+C19-C6</f>
        <v>64124134844</v>
      </c>
      <c r="D31" s="74" t="n">
        <f aca="false">D18+D19-D6</f>
        <v>142651610014</v>
      </c>
      <c r="E31" s="74" t="n">
        <f aca="false">E18+E19-E6</f>
        <v>111510538072</v>
      </c>
      <c r="F31" s="74" t="n">
        <f aca="false">F18+F19-F6</f>
        <v>87265075154</v>
      </c>
      <c r="G31" s="71" t="n">
        <f aca="false">G18+G19-G6</f>
        <v>93321152018.2334</v>
      </c>
      <c r="H31" s="71" t="n">
        <f aca="false">H18+H19-H6</f>
        <v>96346020040.7975</v>
      </c>
      <c r="I31" s="71" t="n">
        <f aca="false">I18+I19-I6</f>
        <v>99336715198.3304</v>
      </c>
      <c r="J31" s="71" t="n">
        <f aca="false">J18+J19-J6</f>
        <v>102272579637.693</v>
      </c>
      <c r="K31" s="71" t="n">
        <f aca="false">K18+K19-K6</f>
        <v>105133066601.449</v>
      </c>
    </row>
    <row r="32" customFormat="false" ht="15" hidden="false" customHeight="false" outlineLevel="0" collapsed="false">
      <c r="A32" s="56" t="s">
        <v>442</v>
      </c>
      <c r="B32" s="13" t="s">
        <v>443</v>
      </c>
      <c r="C32" s="61"/>
      <c r="D32" s="48" t="n">
        <f aca="false">IS_Proj!D27/AVERAGE(C25,D25)</f>
        <v>0.0392822248959968</v>
      </c>
      <c r="E32" s="48" t="n">
        <f aca="false">IS_Proj!E27/AVERAGE(D25,E25)</f>
        <v>0.0219193800713985</v>
      </c>
      <c r="F32" s="48" t="n">
        <f aca="false">IS_Proj!F27/AVERAGE(E25,F25)</f>
        <v>0.035818840873923</v>
      </c>
      <c r="G32" s="49" t="n">
        <f aca="false">IS_Proj!G27/AVERAGE(F25,G25)</f>
        <v>0.00152256179659375</v>
      </c>
      <c r="H32" s="49" t="n">
        <f aca="false">IS_Proj!H27/AVERAGE(G25,H25)</f>
        <v>0.00676683298040112</v>
      </c>
      <c r="I32" s="49" t="n">
        <f aca="false">IS_Proj!I27/AVERAGE(H25,I25)</f>
        <v>0.0120362132638145</v>
      </c>
      <c r="J32" s="49" t="n">
        <f aca="false">IS_Proj!J27/AVERAGE(I25,J25)</f>
        <v>0.0172833505307246</v>
      </c>
      <c r="K32" s="49" t="n">
        <f aca="false">IS_Proj!K27/AVERAGE(J25,K25)</f>
        <v>0.0224602286341768</v>
      </c>
    </row>
    <row r="33" customFormat="false" ht="15" hidden="false" customHeight="false" outlineLevel="0" collapsed="false">
      <c r="A33" s="56" t="s">
        <v>444</v>
      </c>
      <c r="B33" s="13" t="s">
        <v>445</v>
      </c>
      <c r="C33" s="50" t="n">
        <f aca="false">C31/IS_Proj!C17</f>
        <v>4.23245982934003</v>
      </c>
      <c r="D33" s="50" t="n">
        <f aca="false">D31/IS_Proj!D17</f>
        <v>8.14947055754225</v>
      </c>
      <c r="E33" s="50" t="n">
        <f aca="false">E31/IS_Proj!E17</f>
        <v>5.21536948973913</v>
      </c>
      <c r="F33" s="50" t="n">
        <f aca="false">F31/IS_Proj!F17</f>
        <v>5.68731822121531</v>
      </c>
      <c r="G33" s="51" t="n">
        <f aca="false">G31/IS_Proj!G17</f>
        <v>4.52015023473297</v>
      </c>
      <c r="H33" s="51" t="n">
        <f aca="false">H31/IS_Proj!H17</f>
        <v>4.32098542867908</v>
      </c>
      <c r="I33" s="51" t="n">
        <f aca="false">I31/IS_Proj!I17</f>
        <v>4.1251055188129</v>
      </c>
      <c r="J33" s="51" t="n">
        <f aca="false">J31/IS_Proj!J17</f>
        <v>3.93242747793372</v>
      </c>
      <c r="K33" s="51" t="n">
        <f aca="false">K31/IS_Proj!K17</f>
        <v>3.74297639851421</v>
      </c>
    </row>
  </sheetData>
  <conditionalFormatting sqref="C30:K30">
    <cfRule type="cellIs" priority="2" operator="notEqual"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L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1" min="3" style="0" width="16"/>
    <col collapsed="false" customWidth="true" hidden="false" outlineLevel="0" max="12" min="12" style="0" width="55"/>
  </cols>
  <sheetData>
    <row r="1" customFormat="false" ht="17.35" hidden="false" customHeight="false" outlineLevel="0" collapsed="false">
      <c r="A1" s="14" t="s">
        <v>446</v>
      </c>
    </row>
    <row r="2" customFormat="false" ht="15" hidden="false" customHeight="false" outlineLevel="0" collapsed="false">
      <c r="A2" s="15" t="s">
        <v>326</v>
      </c>
    </row>
    <row r="3" customFormat="false" ht="15" hidden="false" customHeight="false" outlineLevel="0" collapsed="false">
      <c r="A3" s="4" t="s">
        <v>168</v>
      </c>
      <c r="C3" s="44" t="str">
        <f aca="false">Asumsi!C4</f>
        <v>Base</v>
      </c>
      <c r="G3" s="15" t="s">
        <v>327</v>
      </c>
      <c r="H3" s="15" t="s">
        <v>327</v>
      </c>
      <c r="I3" s="15" t="s">
        <v>327</v>
      </c>
      <c r="J3" s="15" t="s">
        <v>327</v>
      </c>
      <c r="K3" s="15" t="s">
        <v>327</v>
      </c>
    </row>
    <row r="4" customFormat="false" ht="15" hidden="false" customHeight="false" outlineLevel="0" collapsed="false">
      <c r="A4" s="25" t="s">
        <v>328</v>
      </c>
      <c r="B4" s="25" t="s">
        <v>329</v>
      </c>
      <c r="C4" s="25" t="s">
        <v>130</v>
      </c>
      <c r="D4" s="25" t="s">
        <v>131</v>
      </c>
      <c r="E4" s="25" t="s">
        <v>132</v>
      </c>
      <c r="F4" s="25" t="s">
        <v>133</v>
      </c>
      <c r="G4" s="45" t="s">
        <v>169</v>
      </c>
      <c r="H4" s="45" t="s">
        <v>170</v>
      </c>
      <c r="I4" s="45" t="s">
        <v>171</v>
      </c>
      <c r="J4" s="45" t="s">
        <v>172</v>
      </c>
      <c r="K4" s="45" t="s">
        <v>173</v>
      </c>
      <c r="L4" s="25" t="s">
        <v>330</v>
      </c>
    </row>
    <row r="5" customFormat="false" ht="15" hidden="false" customHeight="false" outlineLevel="0" collapsed="false">
      <c r="A5" s="16"/>
      <c r="B5" s="17" t="s">
        <v>447</v>
      </c>
      <c r="C5" s="16"/>
      <c r="D5" s="16"/>
      <c r="E5" s="16"/>
      <c r="F5" s="16"/>
      <c r="G5" s="16"/>
      <c r="H5" s="16"/>
      <c r="I5" s="16"/>
      <c r="J5" s="16"/>
      <c r="K5" s="16"/>
      <c r="L5" s="16"/>
    </row>
    <row r="6" customFormat="false" ht="15" hidden="false" customHeight="false" outlineLevel="0" collapsed="false">
      <c r="A6" s="56" t="s">
        <v>448</v>
      </c>
      <c r="B6" s="13" t="s">
        <v>138</v>
      </c>
      <c r="C6" s="52" t="n">
        <f aca="false">IS_Proj!C25</f>
        <v>4888165764</v>
      </c>
      <c r="D6" s="52" t="n">
        <f aca="false">IS_Proj!D25</f>
        <v>3539716397</v>
      </c>
      <c r="E6" s="52" t="n">
        <f aca="false">IS_Proj!E25</f>
        <v>2837363273</v>
      </c>
      <c r="F6" s="52" t="n">
        <f aca="false">IS_Proj!F25</f>
        <v>6021897517</v>
      </c>
      <c r="G6" s="53" t="n">
        <f aca="false">IS_Proj!G25</f>
        <v>314651807.884699</v>
      </c>
      <c r="H6" s="53" t="n">
        <f aca="false">IS_Proj!H25</f>
        <v>1404245837.09402</v>
      </c>
      <c r="I6" s="53" t="n">
        <f aca="false">IS_Proj!I25</f>
        <v>2521366670.1273</v>
      </c>
      <c r="J6" s="53" t="n">
        <f aca="false">IS_Proj!J25</f>
        <v>3674085097.99209</v>
      </c>
      <c r="K6" s="53" t="n">
        <f aca="false">IS_Proj!K25</f>
        <v>4870540100.14118</v>
      </c>
    </row>
    <row r="7" customFormat="false" ht="15" hidden="false" customHeight="false" outlineLevel="0" collapsed="false">
      <c r="A7" s="56" t="s">
        <v>449</v>
      </c>
      <c r="B7" s="13" t="s">
        <v>450</v>
      </c>
      <c r="C7" s="63"/>
      <c r="D7" s="63"/>
      <c r="E7" s="63"/>
      <c r="F7" s="63"/>
      <c r="G7" s="53" t="n">
        <f aca="false">-IS_Proj!G18</f>
        <v>12587433585.8568</v>
      </c>
      <c r="H7" s="53" t="n">
        <f aca="false">-IS_Proj!H18</f>
        <v>12786288455.4788</v>
      </c>
      <c r="I7" s="53" t="n">
        <f aca="false">-IS_Proj!I18</f>
        <v>13080572672.6877</v>
      </c>
      <c r="J7" s="53" t="n">
        <f aca="false">-IS_Proj!J18</f>
        <v>13470095723.0214</v>
      </c>
      <c r="K7" s="53" t="n">
        <f aca="false">-IS_Proj!K18</f>
        <v>13955421817.3084</v>
      </c>
    </row>
    <row r="8" customFormat="false" ht="15" hidden="false" customHeight="false" outlineLevel="0" collapsed="false">
      <c r="A8" s="56" t="s">
        <v>451</v>
      </c>
      <c r="B8" s="13" t="s">
        <v>452</v>
      </c>
      <c r="C8" s="63"/>
      <c r="D8" s="63"/>
      <c r="E8" s="63"/>
      <c r="F8" s="63"/>
      <c r="G8" s="53" t="n">
        <f aca="false">BS_Proj!F7-BS_Proj!G7</f>
        <v>-2553027240.99147</v>
      </c>
      <c r="H8" s="53" t="n">
        <f aca="false">BS_Proj!G7-BS_Proj!H7</f>
        <v>-1714037887.67932</v>
      </c>
      <c r="I8" s="53" t="n">
        <f aca="false">BS_Proj!H7-BS_Proj!I7</f>
        <v>-1851160918.69367</v>
      </c>
      <c r="J8" s="53" t="n">
        <f aca="false">BS_Proj!I7-BS_Proj!J7</f>
        <v>-1999253792.18915</v>
      </c>
      <c r="K8" s="53" t="n">
        <f aca="false">BS_Proj!J7-BS_Proj!K7</f>
        <v>-2159194095.5643</v>
      </c>
    </row>
    <row r="9" customFormat="false" ht="15" hidden="false" customHeight="false" outlineLevel="0" collapsed="false">
      <c r="A9" s="56" t="s">
        <v>453</v>
      </c>
      <c r="B9" s="13" t="s">
        <v>454</v>
      </c>
      <c r="C9" s="63"/>
      <c r="D9" s="63"/>
      <c r="E9" s="63"/>
      <c r="F9" s="63"/>
      <c r="G9" s="53" t="n">
        <f aca="false">BS_Proj!F8-BS_Proj!G8</f>
        <v>-1534771347.86286</v>
      </c>
      <c r="H9" s="53" t="n">
        <f aca="false">BS_Proj!G8-BS_Proj!H8</f>
        <v>-229681076.949029</v>
      </c>
      <c r="I9" s="53" t="n">
        <f aca="false">BS_Proj!H8-BS_Proj!I8</f>
        <v>-248055563.104951</v>
      </c>
      <c r="J9" s="53" t="n">
        <f aca="false">BS_Proj!I8-BS_Proj!J8</f>
        <v>-267900008.153347</v>
      </c>
      <c r="K9" s="53" t="n">
        <f aca="false">BS_Proj!J8-BS_Proj!K8</f>
        <v>-289332008.805615</v>
      </c>
    </row>
    <row r="10" customFormat="false" ht="15" hidden="false" customHeight="false" outlineLevel="0" collapsed="false">
      <c r="A10" s="56" t="s">
        <v>455</v>
      </c>
      <c r="B10" s="13" t="s">
        <v>456</v>
      </c>
      <c r="C10" s="63"/>
      <c r="D10" s="63"/>
      <c r="E10" s="63"/>
      <c r="F10" s="63"/>
      <c r="G10" s="53" t="n">
        <f aca="false">BS_Proj!G17-BS_Proj!F17</f>
        <v>-262047261.901713</v>
      </c>
      <c r="H10" s="53" t="n">
        <f aca="false">BS_Proj!H17-BS_Proj!G17</f>
        <v>505298369.287862</v>
      </c>
      <c r="I10" s="53" t="n">
        <f aca="false">BS_Proj!I17-BS_Proj!H17</f>
        <v>545722238.830894</v>
      </c>
      <c r="J10" s="53" t="n">
        <f aca="false">BS_Proj!J17-BS_Proj!I17</f>
        <v>589380017.937362</v>
      </c>
      <c r="K10" s="53" t="n">
        <f aca="false">BS_Proj!K17-BS_Proj!J17</f>
        <v>636530419.372355</v>
      </c>
    </row>
    <row r="11" customFormat="false" ht="15" hidden="false" customHeight="false" outlineLevel="0" collapsed="false">
      <c r="A11" s="65" t="s">
        <v>457</v>
      </c>
      <c r="B11" s="66" t="s">
        <v>142</v>
      </c>
      <c r="C11" s="67" t="n">
        <f aca="false">CF!C14</f>
        <v>7734100083</v>
      </c>
      <c r="D11" s="67" t="n">
        <f aca="false">CF!D14</f>
        <v>19735705441</v>
      </c>
      <c r="E11" s="67" t="n">
        <f aca="false">CF!E14</f>
        <v>2997687548</v>
      </c>
      <c r="F11" s="67" t="n">
        <f aca="false">CF!F14</f>
        <v>5567951370</v>
      </c>
      <c r="G11" s="68" t="n">
        <f aca="false">G6+G7+G8+G9+G10</f>
        <v>8552239542.98546</v>
      </c>
      <c r="H11" s="68" t="n">
        <f aca="false">H6+H7+H8+H9+H10</f>
        <v>12752113697.2324</v>
      </c>
      <c r="I11" s="68" t="n">
        <f aca="false">I6+I7+I8+I9+I10</f>
        <v>14048445099.8473</v>
      </c>
      <c r="J11" s="68" t="n">
        <f aca="false">J6+J7+J8+J9+J10</f>
        <v>15466407038.6084</v>
      </c>
      <c r="K11" s="68" t="n">
        <f aca="false">K6+K7+K8+K9+K10</f>
        <v>17013966232.452</v>
      </c>
      <c r="L11" s="15" t="s">
        <v>458</v>
      </c>
    </row>
    <row r="12" customFormat="false" ht="15" hidden="false" customHeight="false" outlineLevel="0" collapsed="false">
      <c r="A12" s="16"/>
      <c r="B12" s="17" t="s">
        <v>459</v>
      </c>
      <c r="C12" s="16"/>
      <c r="D12" s="16"/>
      <c r="E12" s="16"/>
      <c r="F12" s="16"/>
      <c r="G12" s="16"/>
      <c r="H12" s="16"/>
      <c r="I12" s="16"/>
      <c r="J12" s="16"/>
      <c r="K12" s="16"/>
      <c r="L12" s="16"/>
    </row>
    <row r="13" customFormat="false" ht="15" hidden="false" customHeight="false" outlineLevel="0" collapsed="false">
      <c r="A13" s="56" t="s">
        <v>460</v>
      </c>
      <c r="B13" s="13" t="s">
        <v>461</v>
      </c>
      <c r="C13" s="52" t="n">
        <f aca="false">CF!C16+CF!C17</f>
        <v>-16981553674</v>
      </c>
      <c r="D13" s="52" t="n">
        <f aca="false">CF!D16+CF!D17</f>
        <v>-36146492177</v>
      </c>
      <c r="E13" s="52" t="n">
        <f aca="false">CF!E16+CF!E17</f>
        <v>-24447662378</v>
      </c>
      <c r="F13" s="52" t="n">
        <f aca="false">CF!F16+CF!F17</f>
        <v>-27390827865</v>
      </c>
      <c r="G13" s="53" t="n">
        <f aca="false">-Schedules_Proj!G7</f>
        <v>-14076536152.5664</v>
      </c>
      <c r="H13" s="53" t="n">
        <f aca="false">-Schedules_Proj!H7</f>
        <v>-15202659044.7717</v>
      </c>
      <c r="I13" s="53" t="n">
        <f aca="false">-Schedules_Proj!I7</f>
        <v>-16418871768.3534</v>
      </c>
      <c r="J13" s="53" t="n">
        <f aca="false">-Schedules_Proj!J7</f>
        <v>-17732381509.8217</v>
      </c>
      <c r="K13" s="53" t="n">
        <f aca="false">-Schedules_Proj!K7</f>
        <v>-19150972030.6075</v>
      </c>
    </row>
    <row r="14" customFormat="false" ht="15" hidden="false" customHeight="false" outlineLevel="0" collapsed="false">
      <c r="A14" s="56" t="s">
        <v>462</v>
      </c>
      <c r="B14" s="13" t="s">
        <v>463</v>
      </c>
      <c r="C14" s="52" t="n">
        <f aca="false">CF!C19</f>
        <v>0</v>
      </c>
      <c r="D14" s="52" t="n">
        <f aca="false">CF!D19</f>
        <v>0</v>
      </c>
      <c r="E14" s="52" t="n">
        <f aca="false">CF!E19</f>
        <v>0</v>
      </c>
      <c r="F14" s="52" t="n">
        <f aca="false">CF!F19</f>
        <v>0</v>
      </c>
      <c r="G14" s="53" t="n">
        <f aca="false">-Schedules_Proj!G14</f>
        <v>-0</v>
      </c>
      <c r="H14" s="53" t="n">
        <f aca="false">-Schedules_Proj!H14</f>
        <v>-0</v>
      </c>
      <c r="I14" s="53" t="n">
        <f aca="false">-Schedules_Proj!I14</f>
        <v>-0</v>
      </c>
      <c r="J14" s="53" t="n">
        <f aca="false">-Schedules_Proj!J14</f>
        <v>-0</v>
      </c>
      <c r="K14" s="53" t="n">
        <f aca="false">-Schedules_Proj!K14</f>
        <v>-0</v>
      </c>
    </row>
    <row r="15" customFormat="false" ht="15" hidden="false" customHeight="false" outlineLevel="0" collapsed="false">
      <c r="A15" s="65" t="s">
        <v>464</v>
      </c>
      <c r="B15" s="66" t="s">
        <v>465</v>
      </c>
      <c r="C15" s="67" t="n">
        <f aca="false">CF!C24</f>
        <v>-16981553674</v>
      </c>
      <c r="D15" s="67" t="n">
        <f aca="false">CF!D24</f>
        <v>-36146492177</v>
      </c>
      <c r="E15" s="67" t="n">
        <f aca="false">CF!E24</f>
        <v>-26160414859</v>
      </c>
      <c r="F15" s="67" t="n">
        <f aca="false">CF!F24</f>
        <v>-27390827865</v>
      </c>
      <c r="G15" s="68" t="n">
        <f aca="false">G13+G14</f>
        <v>-14076536152.5664</v>
      </c>
      <c r="H15" s="68" t="n">
        <f aca="false">H13+H14</f>
        <v>-15202659044.7717</v>
      </c>
      <c r="I15" s="68" t="n">
        <f aca="false">I13+I14</f>
        <v>-16418871768.3534</v>
      </c>
      <c r="J15" s="68" t="n">
        <f aca="false">J13+J14</f>
        <v>-17732381509.8217</v>
      </c>
      <c r="K15" s="68" t="n">
        <f aca="false">K13+K14</f>
        <v>-19150972030.6075</v>
      </c>
      <c r="L15" s="15" t="s">
        <v>466</v>
      </c>
    </row>
    <row r="16" customFormat="false" ht="15" hidden="false" customHeight="false" outlineLevel="0" collapsed="false">
      <c r="A16" s="16"/>
      <c r="B16" s="17" t="s">
        <v>467</v>
      </c>
      <c r="C16" s="16"/>
      <c r="D16" s="16"/>
      <c r="E16" s="16"/>
      <c r="F16" s="16"/>
      <c r="G16" s="16"/>
      <c r="H16" s="16"/>
      <c r="I16" s="16"/>
      <c r="J16" s="16"/>
      <c r="K16" s="16"/>
      <c r="L16" s="16"/>
    </row>
    <row r="17" customFormat="false" ht="15" hidden="false" customHeight="false" outlineLevel="0" collapsed="false">
      <c r="A17" s="56" t="s">
        <v>468</v>
      </c>
      <c r="B17" s="13" t="s">
        <v>469</v>
      </c>
      <c r="C17" s="52" t="n">
        <f aca="false">(CF!C26+CF!C27+CF!C28+CF!C29+CF!C30+CF!C31+CF!C32+CF!C33+CF!C34+CF!C35)</f>
        <v>24039069796</v>
      </c>
      <c r="D17" s="52" t="n">
        <f aca="false">(CF!D26+CF!D27+CF!D28+CF!D29+CF!D30+CF!D31+CF!D32+CF!D33+CF!D34+CF!D35)</f>
        <v>58444061469</v>
      </c>
      <c r="E17" s="52" t="n">
        <f aca="false">(CF!E26+CF!E27+CF!E28+CF!E29+CF!E30+CF!E31+CF!E32+CF!E33+CF!E34+CF!E35)</f>
        <v>-3270309520</v>
      </c>
      <c r="F17" s="52" t="n">
        <f aca="false">(CF!F26+CF!F27+CF!F28+CF!F29+CF!F30+CF!F31+CF!F32+CF!F33+CF!F34+CF!F35)</f>
        <v>-21873507263</v>
      </c>
      <c r="G17" s="53" t="n">
        <f aca="false">Asumsi!G31</f>
        <v>0</v>
      </c>
      <c r="H17" s="53" t="n">
        <f aca="false">Asumsi!H31</f>
        <v>0</v>
      </c>
      <c r="I17" s="53" t="n">
        <f aca="false">Asumsi!I31</f>
        <v>0</v>
      </c>
      <c r="J17" s="53" t="n">
        <f aca="false">Asumsi!J31</f>
        <v>0</v>
      </c>
      <c r="K17" s="53" t="n">
        <f aca="false">Asumsi!K31</f>
        <v>0</v>
      </c>
    </row>
    <row r="18" customFormat="false" ht="15" hidden="false" customHeight="false" outlineLevel="0" collapsed="false">
      <c r="A18" s="56" t="s">
        <v>470</v>
      </c>
      <c r="B18" s="13" t="s">
        <v>471</v>
      </c>
      <c r="C18" s="52" t="n">
        <f aca="false">CF!C40</f>
        <v>-163528380</v>
      </c>
      <c r="D18" s="52" t="n">
        <f aca="false">CF!D40</f>
        <v>0</v>
      </c>
      <c r="E18" s="52" t="n">
        <f aca="false">CF!E40</f>
        <v>-505637369</v>
      </c>
      <c r="F18" s="52" t="n">
        <f aca="false">CF!F40</f>
        <v>-998837042</v>
      </c>
      <c r="G18" s="53" t="n">
        <f aca="false">-Schedules_Proj!G8</f>
        <v>-531780254.652508</v>
      </c>
      <c r="H18" s="53" t="n">
        <f aca="false">-Schedules_Proj!H8</f>
        <v>-574322675.024709</v>
      </c>
      <c r="I18" s="53" t="n">
        <f aca="false">-Schedules_Proj!I8</f>
        <v>-620268489.026686</v>
      </c>
      <c r="J18" s="53" t="n">
        <f aca="false">-Schedules_Proj!J8</f>
        <v>-669889968.148821</v>
      </c>
      <c r="K18" s="53" t="n">
        <f aca="false">-Schedules_Proj!K8</f>
        <v>-723481165.600726</v>
      </c>
    </row>
    <row r="19" customFormat="false" ht="15" hidden="false" customHeight="false" outlineLevel="0" collapsed="false">
      <c r="A19" s="56" t="s">
        <v>472</v>
      </c>
      <c r="B19" s="13" t="s">
        <v>473</v>
      </c>
      <c r="C19" s="52" t="n">
        <f aca="false">CF!C41</f>
        <v>0</v>
      </c>
      <c r="D19" s="52" t="n">
        <f aca="false">CF!D41</f>
        <v>0</v>
      </c>
      <c r="E19" s="52" t="n">
        <f aca="false">CF!E41</f>
        <v>0</v>
      </c>
      <c r="F19" s="52" t="n">
        <f aca="false">CF!F41</f>
        <v>0</v>
      </c>
      <c r="G19" s="53" t="n">
        <f aca="false">-Asumsi!G32*MAX(IS_Proj!F27,0)</f>
        <v>-0</v>
      </c>
      <c r="H19" s="53" t="n">
        <f aca="false">-Asumsi!H32*MAX(IS_Proj!G27,0)</f>
        <v>-0</v>
      </c>
      <c r="I19" s="53" t="n">
        <f aca="false">-Asumsi!I32*MAX(IS_Proj!H27,0)</f>
        <v>-0</v>
      </c>
      <c r="J19" s="53" t="n">
        <f aca="false">-Asumsi!J32*MAX(IS_Proj!I27,0)</f>
        <v>-0</v>
      </c>
      <c r="K19" s="53" t="n">
        <f aca="false">-Asumsi!K32*MAX(IS_Proj!J27,0)</f>
        <v>-0</v>
      </c>
    </row>
    <row r="20" customFormat="false" ht="15" hidden="false" customHeight="false" outlineLevel="0" collapsed="false">
      <c r="A20" s="65" t="s">
        <v>474</v>
      </c>
      <c r="B20" s="66" t="s">
        <v>475</v>
      </c>
      <c r="C20" s="67" t="n">
        <f aca="false">CF!C43</f>
        <v>-11058092740</v>
      </c>
      <c r="D20" s="67" t="n">
        <f aca="false">CF!D43</f>
        <v>-13672626965</v>
      </c>
      <c r="E20" s="67" t="n">
        <f aca="false">CF!E43</f>
        <v>23362141885</v>
      </c>
      <c r="F20" s="67" t="n">
        <f aca="false">CF!F43</f>
        <v>23195995107</v>
      </c>
      <c r="G20" s="68" t="n">
        <f aca="false">G17+G18+G19</f>
        <v>-531780254.652508</v>
      </c>
      <c r="H20" s="68" t="n">
        <f aca="false">H17+H18+H19</f>
        <v>-574322675.024709</v>
      </c>
      <c r="I20" s="68" t="n">
        <f aca="false">I17+I18+I19</f>
        <v>-620268489.026686</v>
      </c>
      <c r="J20" s="68" t="n">
        <f aca="false">J17+J18+J19</f>
        <v>-669889968.148821</v>
      </c>
      <c r="K20" s="68" t="n">
        <f aca="false">K17+K18+K19</f>
        <v>-723481165.600726</v>
      </c>
      <c r="L20" s="15" t="s">
        <v>466</v>
      </c>
    </row>
    <row r="22" customFormat="false" ht="15" hidden="false" customHeight="false" outlineLevel="0" collapsed="false">
      <c r="A22" s="65" t="s">
        <v>476</v>
      </c>
      <c r="B22" s="66" t="s">
        <v>477</v>
      </c>
      <c r="C22" s="68" t="n">
        <f aca="false">C11+C15+C20</f>
        <v>-20305546331</v>
      </c>
      <c r="D22" s="68" t="n">
        <f aca="false">D11+D15+D20</f>
        <v>-30083413701</v>
      </c>
      <c r="E22" s="68" t="n">
        <f aca="false">E11+E15+E20</f>
        <v>199414574</v>
      </c>
      <c r="F22" s="68" t="n">
        <f aca="false">F11+F15+F20</f>
        <v>1373118612</v>
      </c>
      <c r="G22" s="68" t="n">
        <f aca="false">G11+G15+G20</f>
        <v>-6056076864.23345</v>
      </c>
      <c r="H22" s="68" t="n">
        <f aca="false">H11+H15+H20</f>
        <v>-3024868022.56405</v>
      </c>
      <c r="I22" s="68" t="n">
        <f aca="false">I11+I15+I20</f>
        <v>-2990695157.53288</v>
      </c>
      <c r="J22" s="68" t="n">
        <f aca="false">J11+J15+J20</f>
        <v>-2935864439.36217</v>
      </c>
      <c r="K22" s="68" t="n">
        <f aca="false">K11+K15+K20</f>
        <v>-2860486963.75615</v>
      </c>
    </row>
    <row r="23" customFormat="false" ht="15" hidden="false" customHeight="false" outlineLevel="0" collapsed="false">
      <c r="A23" s="56" t="s">
        <v>478</v>
      </c>
      <c r="B23" s="13" t="s">
        <v>479</v>
      </c>
      <c r="C23" s="52" t="n">
        <f aca="false">CF!C45</f>
        <v>59602857240</v>
      </c>
      <c r="D23" s="52" t="n">
        <f aca="false">CF!D45</f>
        <v>29547207476</v>
      </c>
      <c r="E23" s="52" t="n">
        <f aca="false">CF!E45</f>
        <v>2463973775</v>
      </c>
      <c r="F23" s="52" t="n">
        <f aca="false">CF!F45</f>
        <v>2663388349</v>
      </c>
      <c r="G23" s="53" t="n">
        <f aca="false">BS_Proj!F6</f>
        <v>4036506961</v>
      </c>
      <c r="H23" s="53" t="n">
        <f aca="false">BS_Proj!G6</f>
        <v>-2019569903.23345</v>
      </c>
      <c r="I23" s="53" t="n">
        <f aca="false">BS_Proj!H6</f>
        <v>-5044437925.79749</v>
      </c>
      <c r="J23" s="53" t="n">
        <f aca="false">BS_Proj!I6</f>
        <v>-8035133083.33038</v>
      </c>
      <c r="K23" s="53" t="n">
        <f aca="false">BS_Proj!J6</f>
        <v>-10970997522.6925</v>
      </c>
      <c r="L23" s="15" t="s">
        <v>480</v>
      </c>
    </row>
    <row r="24" customFormat="false" ht="15" hidden="false" customHeight="false" outlineLevel="0" collapsed="false">
      <c r="A24" s="65" t="s">
        <v>481</v>
      </c>
      <c r="B24" s="66" t="s">
        <v>482</v>
      </c>
      <c r="C24" s="68" t="n">
        <f aca="false">C23+C22</f>
        <v>39297310909</v>
      </c>
      <c r="D24" s="68" t="n">
        <f aca="false">D23+D22</f>
        <v>-536206225</v>
      </c>
      <c r="E24" s="68" t="n">
        <f aca="false">E23+E22</f>
        <v>2663388349</v>
      </c>
      <c r="F24" s="68" t="n">
        <f aca="false">F23+F22</f>
        <v>4036506961</v>
      </c>
      <c r="G24" s="68" t="n">
        <f aca="false">G23+G22</f>
        <v>-2019569903.23345</v>
      </c>
      <c r="H24" s="68" t="n">
        <f aca="false">H23+H22</f>
        <v>-5044437925.79749</v>
      </c>
      <c r="I24" s="68" t="n">
        <f aca="false">I23+I22</f>
        <v>-8035133083.33038</v>
      </c>
      <c r="J24" s="68" t="n">
        <f aca="false">J23+J22</f>
        <v>-10970997522.6925</v>
      </c>
      <c r="K24" s="68" t="n">
        <f aca="false">K23+K22</f>
        <v>-13831484486.4487</v>
      </c>
    </row>
    <row r="25" customFormat="false" ht="15" hidden="false" customHeight="false" outlineLevel="0" collapsed="false">
      <c r="A25" s="16"/>
      <c r="B25" s="17" t="s">
        <v>483</v>
      </c>
      <c r="C25" s="16"/>
      <c r="D25" s="16"/>
      <c r="E25" s="16"/>
      <c r="F25" s="16"/>
      <c r="G25" s="16"/>
      <c r="H25" s="16"/>
      <c r="I25" s="16"/>
      <c r="J25" s="16"/>
      <c r="K25" s="16"/>
      <c r="L25" s="16"/>
    </row>
    <row r="26" customFormat="false" ht="15" hidden="false" customHeight="false" outlineLevel="0" collapsed="false">
      <c r="A26" s="56" t="s">
        <v>484</v>
      </c>
      <c r="B26" s="13" t="s">
        <v>485</v>
      </c>
      <c r="C26" s="74" t="n">
        <f aca="false">C11+C13+N(C14)</f>
        <v>-9247453591</v>
      </c>
      <c r="D26" s="74" t="n">
        <f aca="false">D11+D13+N(D14)</f>
        <v>-16410786736</v>
      </c>
      <c r="E26" s="74" t="n">
        <f aca="false">E11+E13+N(E14)</f>
        <v>-21449974830</v>
      </c>
      <c r="F26" s="74" t="n">
        <f aca="false">F11+F13+N(F14)</f>
        <v>-21822876495</v>
      </c>
      <c r="G26" s="71" t="n">
        <f aca="false">G11+G13+G14</f>
        <v>-5524296609.58094</v>
      </c>
      <c r="H26" s="71" t="n">
        <f aca="false">H11+H13+H14</f>
        <v>-2450545347.53934</v>
      </c>
      <c r="I26" s="71" t="n">
        <f aca="false">I11+I13+I14</f>
        <v>-2370426668.5062</v>
      </c>
      <c r="J26" s="71" t="n">
        <f aca="false">J11+J13+J14</f>
        <v>-2265974471.21334</v>
      </c>
      <c r="K26" s="71" t="n">
        <f aca="false">K11+K13+K14</f>
        <v>-2137005798.15543</v>
      </c>
    </row>
    <row r="27" customFormat="false" ht="15" hidden="false" customHeight="false" outlineLevel="0" collapsed="false">
      <c r="A27" s="56" t="s">
        <v>486</v>
      </c>
      <c r="B27" s="13" t="s">
        <v>487</v>
      </c>
      <c r="C27" s="74" t="n">
        <f aca="false">C26+C18</f>
        <v>-9410981971</v>
      </c>
      <c r="D27" s="74" t="n">
        <f aca="false">D26+D18</f>
        <v>-16410786736</v>
      </c>
      <c r="E27" s="74" t="n">
        <f aca="false">E26+E18</f>
        <v>-21955612199</v>
      </c>
      <c r="F27" s="74" t="n">
        <f aca="false">F26+F18</f>
        <v>-22821713537</v>
      </c>
      <c r="G27" s="71" t="n">
        <f aca="false">G26+G18</f>
        <v>-6056076864.23345</v>
      </c>
      <c r="H27" s="71" t="n">
        <f aca="false">H26+H18</f>
        <v>-3024868022.56405</v>
      </c>
      <c r="I27" s="71" t="n">
        <f aca="false">I26+I18</f>
        <v>-2990695157.53288</v>
      </c>
      <c r="J27" s="71" t="n">
        <f aca="false">J26+J18</f>
        <v>-2935864439.36217</v>
      </c>
      <c r="K27" s="71" t="n">
        <f aca="false">K26+K18</f>
        <v>-2860486963.75615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1" min="3" style="0" width="16"/>
    <col collapsed="false" customWidth="true" hidden="false" outlineLevel="0" max="12" min="12" style="0" width="55"/>
  </cols>
  <sheetData>
    <row r="1" customFormat="false" ht="17.35" hidden="false" customHeight="false" outlineLevel="0" collapsed="false">
      <c r="A1" s="14" t="s">
        <v>488</v>
      </c>
    </row>
    <row r="2" customFormat="false" ht="15" hidden="false" customHeight="false" outlineLevel="0" collapsed="false">
      <c r="A2" s="15" t="s">
        <v>326</v>
      </c>
    </row>
    <row r="3" customFormat="false" ht="15" hidden="false" customHeight="false" outlineLevel="0" collapsed="false">
      <c r="A3" s="4" t="s">
        <v>168</v>
      </c>
      <c r="C3" s="44" t="str">
        <f aca="false">Asumsi!C4</f>
        <v>Base</v>
      </c>
      <c r="G3" s="15" t="s">
        <v>327</v>
      </c>
      <c r="H3" s="15" t="s">
        <v>327</v>
      </c>
      <c r="I3" s="15" t="s">
        <v>327</v>
      </c>
      <c r="J3" s="15" t="s">
        <v>327</v>
      </c>
      <c r="K3" s="15" t="s">
        <v>327</v>
      </c>
    </row>
    <row r="4" customFormat="false" ht="15" hidden="false" customHeight="false" outlineLevel="0" collapsed="false">
      <c r="A4" s="25" t="s">
        <v>328</v>
      </c>
      <c r="B4" s="25" t="s">
        <v>329</v>
      </c>
      <c r="C4" s="25" t="s">
        <v>130</v>
      </c>
      <c r="D4" s="25" t="s">
        <v>131</v>
      </c>
      <c r="E4" s="25" t="s">
        <v>132</v>
      </c>
      <c r="F4" s="25" t="s">
        <v>133</v>
      </c>
      <c r="G4" s="45" t="s">
        <v>169</v>
      </c>
      <c r="H4" s="45" t="s">
        <v>170</v>
      </c>
      <c r="I4" s="45" t="s">
        <v>171</v>
      </c>
      <c r="J4" s="45" t="s">
        <v>172</v>
      </c>
      <c r="K4" s="45" t="s">
        <v>173</v>
      </c>
      <c r="L4" s="25" t="s">
        <v>330</v>
      </c>
    </row>
    <row r="5" customFormat="false" ht="15" hidden="false" customHeight="false" outlineLevel="0" collapsed="false">
      <c r="A5" s="16"/>
      <c r="B5" s="17" t="s">
        <v>489</v>
      </c>
      <c r="C5" s="16"/>
      <c r="D5" s="16"/>
      <c r="E5" s="16"/>
      <c r="F5" s="16"/>
      <c r="G5" s="16"/>
      <c r="H5" s="16"/>
      <c r="I5" s="16"/>
      <c r="J5" s="16"/>
      <c r="K5" s="16"/>
      <c r="L5" s="16"/>
    </row>
    <row r="6" customFormat="false" ht="15" hidden="false" customHeight="false" outlineLevel="0" collapsed="false">
      <c r="A6" s="56" t="s">
        <v>490</v>
      </c>
      <c r="B6" s="13" t="s">
        <v>491</v>
      </c>
      <c r="C6" s="63"/>
      <c r="D6" s="63"/>
      <c r="E6" s="63"/>
      <c r="F6" s="63"/>
      <c r="G6" s="53" t="n">
        <f aca="false">BS_Proj!F11</f>
        <v>127921073027</v>
      </c>
      <c r="H6" s="53" t="n">
        <f aca="false">BS_Proj!G11</f>
        <v>129941955848.362</v>
      </c>
      <c r="I6" s="53" t="n">
        <f aca="false">BS_Proj!H11</f>
        <v>132932649112.68</v>
      </c>
      <c r="J6" s="53" t="n">
        <f aca="false">BS_Proj!I11</f>
        <v>136891216697.372</v>
      </c>
      <c r="K6" s="53" t="n">
        <f aca="false">BS_Proj!J11</f>
        <v>141823392452.321</v>
      </c>
    </row>
    <row r="7" customFormat="false" ht="15" hidden="false" customHeight="false" outlineLevel="0" collapsed="false">
      <c r="A7" s="56" t="s">
        <v>492</v>
      </c>
      <c r="B7" s="13" t="s">
        <v>493</v>
      </c>
      <c r="C7" s="52" t="n">
        <f aca="false">-(CF!C16+CF!C17)</f>
        <v>16981553674</v>
      </c>
      <c r="D7" s="52" t="n">
        <f aca="false">-(CF!D16+CF!D17)</f>
        <v>36146492177</v>
      </c>
      <c r="E7" s="52" t="n">
        <f aca="false">-(CF!E16+CF!E17)</f>
        <v>24447662378</v>
      </c>
      <c r="F7" s="52" t="n">
        <f aca="false">-(CF!F16+CF!F17)</f>
        <v>27390827865</v>
      </c>
      <c r="G7" s="53" t="n">
        <f aca="false">Asumsi!G19*IS_Proj!G10</f>
        <v>14076536152.5664</v>
      </c>
      <c r="H7" s="53" t="n">
        <f aca="false">Asumsi!H19*IS_Proj!H10</f>
        <v>15202659044.7717</v>
      </c>
      <c r="I7" s="53" t="n">
        <f aca="false">Asumsi!I19*IS_Proj!I10</f>
        <v>16418871768.3534</v>
      </c>
      <c r="J7" s="53" t="n">
        <f aca="false">Asumsi!J19*IS_Proj!J10</f>
        <v>17732381509.8217</v>
      </c>
      <c r="K7" s="53" t="n">
        <f aca="false">Asumsi!K19*IS_Proj!K10</f>
        <v>19150972030.6075</v>
      </c>
    </row>
    <row r="8" customFormat="false" ht="15" hidden="false" customHeight="false" outlineLevel="0" collapsed="false">
      <c r="A8" s="56" t="s">
        <v>494</v>
      </c>
      <c r="B8" s="13" t="s">
        <v>495</v>
      </c>
      <c r="C8" s="52" t="n">
        <f aca="false">-CF!C40</f>
        <v>163528380</v>
      </c>
      <c r="D8" s="52" t="n">
        <f aca="false">-CF!D40</f>
        <v>-0</v>
      </c>
      <c r="E8" s="52" t="n">
        <f aca="false">-CF!E40</f>
        <v>505637369</v>
      </c>
      <c r="F8" s="52" t="n">
        <f aca="false">-CF!F40</f>
        <v>998837042</v>
      </c>
      <c r="G8" s="53" t="n">
        <f aca="false">Asumsi!G20*IS_Proj!G10</f>
        <v>531780254.652508</v>
      </c>
      <c r="H8" s="53" t="n">
        <f aca="false">Asumsi!H20*IS_Proj!H10</f>
        <v>574322675.024709</v>
      </c>
      <c r="I8" s="53" t="n">
        <f aca="false">Asumsi!I20*IS_Proj!I10</f>
        <v>620268489.026686</v>
      </c>
      <c r="J8" s="53" t="n">
        <f aca="false">Asumsi!J20*IS_Proj!J10</f>
        <v>669889968.148821</v>
      </c>
      <c r="K8" s="53" t="n">
        <f aca="false">Asumsi!K20*IS_Proj!K10</f>
        <v>723481165.600726</v>
      </c>
    </row>
    <row r="9" customFormat="false" ht="15" hidden="false" customHeight="false" outlineLevel="0" collapsed="false">
      <c r="A9" s="56" t="s">
        <v>496</v>
      </c>
      <c r="B9" s="13" t="s">
        <v>497</v>
      </c>
      <c r="C9" s="52" t="n">
        <f aca="false">Schedules!C14+Schedules!C16</f>
        <v>6778169378</v>
      </c>
      <c r="D9" s="52" t="n">
        <f aca="false">Schedules!D14+Schedules!D16</f>
        <v>7754681103</v>
      </c>
      <c r="E9" s="52" t="n">
        <f aca="false">Schedules!E14+Schedules!E16</f>
        <v>9756026475</v>
      </c>
      <c r="F9" s="52" t="n">
        <f aca="false">Schedules!F14+Schedules!F16</f>
        <v>12603292085</v>
      </c>
      <c r="G9" s="53" t="n">
        <f aca="false">G6*Asumsi!G21</f>
        <v>12587433585.8568</v>
      </c>
      <c r="H9" s="53" t="n">
        <f aca="false">H6*Asumsi!H21</f>
        <v>12786288455.4788</v>
      </c>
      <c r="I9" s="53" t="n">
        <f aca="false">I6*Asumsi!I21</f>
        <v>13080572672.6877</v>
      </c>
      <c r="J9" s="53" t="n">
        <f aca="false">J6*Asumsi!J21</f>
        <v>13470095723.0214</v>
      </c>
      <c r="K9" s="53" t="n">
        <f aca="false">K6*Asumsi!K21</f>
        <v>13955421817.3084</v>
      </c>
    </row>
    <row r="10" customFormat="false" ht="15" hidden="false" customHeight="false" outlineLevel="0" collapsed="false">
      <c r="A10" s="65" t="s">
        <v>498</v>
      </c>
      <c r="B10" s="66" t="s">
        <v>499</v>
      </c>
      <c r="C10" s="67" t="n">
        <f aca="false">BS!C21</f>
        <v>66252356120</v>
      </c>
      <c r="D10" s="67" t="n">
        <f aca="false">BS!D21</f>
        <v>117418739194</v>
      </c>
      <c r="E10" s="67" t="n">
        <f aca="false">BS!E21</f>
        <v>132385666764</v>
      </c>
      <c r="F10" s="67" t="n">
        <f aca="false">BS!F21</f>
        <v>127921073027</v>
      </c>
      <c r="G10" s="68" t="n">
        <f aca="false">G6+G7+G8-G9</f>
        <v>129941955848.362</v>
      </c>
      <c r="H10" s="68" t="n">
        <f aca="false">H6+H7+H8-H9</f>
        <v>132932649112.68</v>
      </c>
      <c r="I10" s="68" t="n">
        <f aca="false">I6+I7+I8-I9</f>
        <v>136891216697.372</v>
      </c>
      <c r="J10" s="68" t="n">
        <f aca="false">J6+J7+J8-J9</f>
        <v>141823392452.321</v>
      </c>
      <c r="K10" s="68" t="n">
        <f aca="false">K6+K7+K8-K9</f>
        <v>147742423831.221</v>
      </c>
      <c r="L10" s="15" t="s">
        <v>500</v>
      </c>
    </row>
    <row r="11" customFormat="false" ht="15" hidden="false" customHeight="false" outlineLevel="0" collapsed="false">
      <c r="A11" s="16"/>
      <c r="B11" s="17" t="s">
        <v>501</v>
      </c>
      <c r="C11" s="16"/>
      <c r="D11" s="16"/>
      <c r="E11" s="16"/>
      <c r="F11" s="16"/>
      <c r="G11" s="16"/>
      <c r="H11" s="16"/>
      <c r="I11" s="16"/>
      <c r="J11" s="16"/>
      <c r="K11" s="16"/>
      <c r="L11" s="16"/>
    </row>
    <row r="12" customFormat="false" ht="15" hidden="false" customHeight="false" outlineLevel="0" collapsed="false">
      <c r="A12" s="56" t="s">
        <v>502</v>
      </c>
      <c r="B12" s="13" t="s">
        <v>503</v>
      </c>
      <c r="C12" s="63"/>
      <c r="D12" s="63"/>
      <c r="E12" s="63"/>
      <c r="F12" s="63"/>
      <c r="G12" s="53" t="n">
        <f aca="false">BS_Proj!F12</f>
        <v>0</v>
      </c>
      <c r="H12" s="53" t="n">
        <f aca="false">BS_Proj!G12</f>
        <v>0</v>
      </c>
      <c r="I12" s="53" t="n">
        <f aca="false">BS_Proj!H12</f>
        <v>0</v>
      </c>
      <c r="J12" s="53" t="n">
        <f aca="false">BS_Proj!I12</f>
        <v>0</v>
      </c>
      <c r="K12" s="53" t="n">
        <f aca="false">BS_Proj!J12</f>
        <v>0</v>
      </c>
    </row>
    <row r="13" customFormat="false" ht="15" hidden="false" customHeight="false" outlineLevel="0" collapsed="false">
      <c r="A13" s="56" t="s">
        <v>504</v>
      </c>
      <c r="B13" s="13" t="s">
        <v>505</v>
      </c>
      <c r="C13" s="52" t="n">
        <f aca="false">Schedules!C19</f>
        <v>0</v>
      </c>
      <c r="D13" s="52" t="n">
        <f aca="false">Schedules!D19</f>
        <v>0</v>
      </c>
      <c r="E13" s="52" t="n">
        <f aca="false">Schedules!E19</f>
        <v>0</v>
      </c>
      <c r="F13" s="52" t="n">
        <f aca="false">Schedules!F19</f>
        <v>0</v>
      </c>
      <c r="G13" s="53" t="n">
        <f aca="false">G12*Asumsi!G22</f>
        <v>0</v>
      </c>
      <c r="H13" s="53" t="n">
        <f aca="false">H12*Asumsi!H22</f>
        <v>0</v>
      </c>
      <c r="I13" s="53" t="n">
        <f aca="false">I12*Asumsi!I22</f>
        <v>0</v>
      </c>
      <c r="J13" s="53" t="n">
        <f aca="false">J12*Asumsi!J22</f>
        <v>0</v>
      </c>
      <c r="K13" s="53" t="n">
        <f aca="false">K12*Asumsi!K22</f>
        <v>0</v>
      </c>
    </row>
    <row r="14" customFormat="false" ht="15" hidden="false" customHeight="false" outlineLevel="0" collapsed="false">
      <c r="A14" s="56" t="s">
        <v>506</v>
      </c>
      <c r="B14" s="13" t="s">
        <v>507</v>
      </c>
      <c r="C14" s="63"/>
      <c r="D14" s="63"/>
      <c r="E14" s="63"/>
      <c r="F14" s="63"/>
      <c r="G14" s="71" t="n">
        <f aca="false">G13</f>
        <v>0</v>
      </c>
      <c r="H14" s="71" t="n">
        <f aca="false">H13</f>
        <v>0</v>
      </c>
      <c r="I14" s="71" t="n">
        <f aca="false">I13</f>
        <v>0</v>
      </c>
      <c r="J14" s="71" t="n">
        <f aca="false">J13</f>
        <v>0</v>
      </c>
      <c r="K14" s="71" t="n">
        <f aca="false">K13</f>
        <v>0</v>
      </c>
    </row>
    <row r="15" customFormat="false" ht="15" hidden="false" customHeight="false" outlineLevel="0" collapsed="false">
      <c r="A15" s="65" t="s">
        <v>508</v>
      </c>
      <c r="B15" s="66" t="s">
        <v>509</v>
      </c>
      <c r="C15" s="67" t="n">
        <f aca="false">BS!C17</f>
        <v>0</v>
      </c>
      <c r="D15" s="67" t="n">
        <f aca="false">BS!D17</f>
        <v>0</v>
      </c>
      <c r="E15" s="67" t="n">
        <f aca="false">BS!E17</f>
        <v>0</v>
      </c>
      <c r="F15" s="67" t="n">
        <f aca="false">BS!F17</f>
        <v>0</v>
      </c>
      <c r="G15" s="68" t="n">
        <f aca="false">G12+G14-G13</f>
        <v>0</v>
      </c>
      <c r="H15" s="68" t="n">
        <f aca="false">H12+H14-H13</f>
        <v>0</v>
      </c>
      <c r="I15" s="68" t="n">
        <f aca="false">I12+I14-I13</f>
        <v>0</v>
      </c>
      <c r="J15" s="68" t="n">
        <f aca="false">J12+J14-J13</f>
        <v>0</v>
      </c>
      <c r="K15" s="68" t="n">
        <f aca="false">K12+K14-K13</f>
        <v>0</v>
      </c>
    </row>
    <row r="16" customFormat="false" ht="15" hidden="false" customHeight="false" outlineLevel="0" collapsed="false">
      <c r="A16" s="16"/>
      <c r="B16" s="17" t="s">
        <v>510</v>
      </c>
      <c r="C16" s="16"/>
      <c r="D16" s="16"/>
      <c r="E16" s="16"/>
      <c r="F16" s="16"/>
      <c r="G16" s="16"/>
      <c r="H16" s="16"/>
      <c r="I16" s="16"/>
      <c r="J16" s="16"/>
      <c r="K16" s="16"/>
      <c r="L16" s="16"/>
    </row>
    <row r="17" customFormat="false" ht="15" hidden="false" customHeight="false" outlineLevel="0" collapsed="false">
      <c r="A17" s="56" t="s">
        <v>511</v>
      </c>
      <c r="B17" s="13" t="s">
        <v>512</v>
      </c>
      <c r="C17" s="63"/>
      <c r="D17" s="63"/>
      <c r="E17" s="63"/>
      <c r="F17" s="63"/>
      <c r="G17" s="53" t="n">
        <f aca="false">BS_Proj!F19</f>
        <v>1329650108</v>
      </c>
      <c r="H17" s="53" t="n">
        <f aca="false">BS_Proj!G19</f>
        <v>1329650108</v>
      </c>
      <c r="I17" s="53" t="n">
        <f aca="false">BS_Proj!H19</f>
        <v>1329650108</v>
      </c>
      <c r="J17" s="53" t="n">
        <f aca="false">BS_Proj!I19</f>
        <v>1329650108</v>
      </c>
      <c r="K17" s="53" t="n">
        <f aca="false">BS_Proj!J19</f>
        <v>1329650108</v>
      </c>
    </row>
    <row r="18" customFormat="false" ht="15" hidden="false" customHeight="false" outlineLevel="0" collapsed="false">
      <c r="A18" s="65" t="s">
        <v>513</v>
      </c>
      <c r="B18" s="66" t="s">
        <v>514</v>
      </c>
      <c r="C18" s="67" t="n">
        <f aca="false">(BS!C41+BS!C46)</f>
        <v>0</v>
      </c>
      <c r="D18" s="67" t="n">
        <f aca="false">(BS!D41+BS!D46)</f>
        <v>0</v>
      </c>
      <c r="E18" s="67" t="n">
        <f aca="false">(BS!E41+BS!E46)</f>
        <v>2328487150</v>
      </c>
      <c r="F18" s="67" t="n">
        <f aca="false">(BS!F41+BS!F46)</f>
        <v>1329650108</v>
      </c>
      <c r="G18" s="68" t="n">
        <f aca="false">G17</f>
        <v>1329650108</v>
      </c>
      <c r="H18" s="68" t="n">
        <f aca="false">H17</f>
        <v>1329650108</v>
      </c>
      <c r="I18" s="68" t="n">
        <f aca="false">I17</f>
        <v>1329650108</v>
      </c>
      <c r="J18" s="68" t="n">
        <f aca="false">J17</f>
        <v>1329650108</v>
      </c>
      <c r="K18" s="68" t="n">
        <f aca="false">K17</f>
        <v>1329650108</v>
      </c>
      <c r="L18" s="15" t="s">
        <v>515</v>
      </c>
    </row>
    <row r="19" customFormat="false" ht="15" hidden="false" customHeight="false" outlineLevel="0" collapsed="false">
      <c r="A19" s="56" t="s">
        <v>516</v>
      </c>
      <c r="B19" s="13" t="s">
        <v>517</v>
      </c>
      <c r="C19" s="63"/>
      <c r="D19" s="52" t="n">
        <f aca="false">AVERAGE((BS!C41+BS!C46),D18)</f>
        <v>0</v>
      </c>
      <c r="E19" s="52" t="n">
        <f aca="false">AVERAGE((BS!D41+BS!D46),E18)</f>
        <v>1164243575</v>
      </c>
      <c r="F19" s="52" t="n">
        <f aca="false">AVERAGE((BS!E41+BS!E46),F18)</f>
        <v>1829068629</v>
      </c>
      <c r="G19" s="71" t="n">
        <f aca="false">AVERAGE(G17,G18)</f>
        <v>1329650108</v>
      </c>
      <c r="H19" s="71" t="n">
        <f aca="false">AVERAGE(H17,H18)</f>
        <v>1329650108</v>
      </c>
      <c r="I19" s="71" t="n">
        <f aca="false">AVERAGE(I17,I18)</f>
        <v>1329650108</v>
      </c>
      <c r="J19" s="71" t="n">
        <f aca="false">AVERAGE(J17,J18)</f>
        <v>1329650108</v>
      </c>
      <c r="K19" s="71" t="n">
        <f aca="false">AVERAGE(K17,K18)</f>
        <v>1329650108</v>
      </c>
    </row>
    <row r="20" customFormat="false" ht="15" hidden="false" customHeight="false" outlineLevel="0" collapsed="false">
      <c r="A20" s="16"/>
      <c r="B20" s="17" t="s">
        <v>518</v>
      </c>
      <c r="C20" s="16"/>
      <c r="D20" s="16"/>
      <c r="E20" s="16"/>
      <c r="F20" s="16"/>
      <c r="G20" s="16"/>
      <c r="H20" s="16"/>
      <c r="I20" s="16"/>
      <c r="J20" s="16"/>
      <c r="K20" s="16"/>
      <c r="L20" s="16"/>
    </row>
    <row r="21" customFormat="false" ht="15" hidden="false" customHeight="false" outlineLevel="0" collapsed="false">
      <c r="A21" s="56" t="s">
        <v>519</v>
      </c>
      <c r="B21" s="13" t="s">
        <v>520</v>
      </c>
      <c r="C21" s="63"/>
      <c r="D21" s="63"/>
      <c r="E21" s="63"/>
      <c r="F21" s="63"/>
      <c r="G21" s="53" t="n">
        <f aca="false">BS_Proj!F18</f>
        <v>89971932007</v>
      </c>
      <c r="H21" s="53" t="n">
        <f aca="false">BS_Proj!G18</f>
        <v>89971932007</v>
      </c>
      <c r="I21" s="53" t="n">
        <f aca="false">BS_Proj!H18</f>
        <v>89971932007</v>
      </c>
      <c r="J21" s="53" t="n">
        <f aca="false">BS_Proj!I18</f>
        <v>89971932007</v>
      </c>
      <c r="K21" s="53" t="n">
        <f aca="false">BS_Proj!J18</f>
        <v>89971932007</v>
      </c>
    </row>
    <row r="22" customFormat="false" ht="15" hidden="false" customHeight="false" outlineLevel="0" collapsed="false">
      <c r="A22" s="56" t="s">
        <v>521</v>
      </c>
      <c r="B22" s="13" t="s">
        <v>522</v>
      </c>
      <c r="C22" s="63"/>
      <c r="D22" s="63"/>
      <c r="E22" s="63"/>
      <c r="F22" s="63"/>
      <c r="G22" s="53" t="n">
        <f aca="false">Asumsi!G31</f>
        <v>0</v>
      </c>
      <c r="H22" s="53" t="n">
        <f aca="false">Asumsi!H31</f>
        <v>0</v>
      </c>
      <c r="I22" s="53" t="n">
        <f aca="false">Asumsi!I31</f>
        <v>0</v>
      </c>
      <c r="J22" s="53" t="n">
        <f aca="false">Asumsi!J31</f>
        <v>0</v>
      </c>
      <c r="K22" s="53" t="n">
        <f aca="false">Asumsi!K31</f>
        <v>0</v>
      </c>
    </row>
    <row r="23" customFormat="false" ht="15" hidden="false" customHeight="false" outlineLevel="0" collapsed="false">
      <c r="A23" s="65" t="s">
        <v>523</v>
      </c>
      <c r="B23" s="66" t="s">
        <v>524</v>
      </c>
      <c r="C23" s="67" t="n">
        <f aca="false">(BS!C29+BS!C38+BS!C43+BS!C39+BS!C44+BS!C40+BS!C45+BS!C49+BS!C50)</f>
        <v>93671342320</v>
      </c>
      <c r="D23" s="67" t="n">
        <f aca="false">(BS!D29+BS!D38+BS!D43+BS!D39+BS!D44+BS!D40+BS!D45+BS!D49+BS!D50)</f>
        <v>145115583789</v>
      </c>
      <c r="E23" s="67" t="n">
        <f aca="false">(BS!E29+BS!E38+BS!E43+BS!E39+BS!E44+BS!E40+BS!E45+BS!E49+BS!E50)</f>
        <v>111845439271</v>
      </c>
      <c r="F23" s="67" t="n">
        <f aca="false">(BS!F29+BS!F38+BS!F43+BS!F39+BS!F44+BS!F40+BS!F45+BS!F49+BS!F50)</f>
        <v>89971932007</v>
      </c>
      <c r="G23" s="68" t="n">
        <f aca="false">G21+G22</f>
        <v>89971932007</v>
      </c>
      <c r="H23" s="68" t="n">
        <f aca="false">H21+H22</f>
        <v>89971932007</v>
      </c>
      <c r="I23" s="68" t="n">
        <f aca="false">I21+I22</f>
        <v>89971932007</v>
      </c>
      <c r="J23" s="68" t="n">
        <f aca="false">J21+J22</f>
        <v>89971932007</v>
      </c>
      <c r="K23" s="68" t="n">
        <f aca="false">K21+K22</f>
        <v>89971932007</v>
      </c>
    </row>
    <row r="24" customFormat="false" ht="15" hidden="false" customHeight="false" outlineLevel="0" collapsed="false">
      <c r="A24" s="56" t="s">
        <v>525</v>
      </c>
      <c r="B24" s="13" t="s">
        <v>526</v>
      </c>
      <c r="C24" s="63"/>
      <c r="D24" s="52" t="n">
        <f aca="false">AVERAGE((BS!C29+BS!C38+BS!C43+BS!C39+BS!C44+BS!C40+BS!C45+BS!C49+BS!C50),D23)</f>
        <v>119393463054.5</v>
      </c>
      <c r="E24" s="52" t="n">
        <f aca="false">AVERAGE((BS!D29+BS!D38+BS!D43+BS!D39+BS!D44+BS!D40+BS!D45+BS!D49+BS!D50),E23)</f>
        <v>128480511530</v>
      </c>
      <c r="F24" s="52" t="n">
        <f aca="false">AVERAGE((BS!E29+BS!E38+BS!E43+BS!E39+BS!E44+BS!E40+BS!E45+BS!E49+BS!E50),F23)</f>
        <v>100908685639</v>
      </c>
      <c r="G24" s="71" t="n">
        <f aca="false">AVERAGE(G21,G23)</f>
        <v>89971932007</v>
      </c>
      <c r="H24" s="71" t="n">
        <f aca="false">AVERAGE(H21,H23)</f>
        <v>89971932007</v>
      </c>
      <c r="I24" s="71" t="n">
        <f aca="false">AVERAGE(I21,I23)</f>
        <v>89971932007</v>
      </c>
      <c r="J24" s="71" t="n">
        <f aca="false">AVERAGE(J21,J23)</f>
        <v>89971932007</v>
      </c>
      <c r="K24" s="71" t="n">
        <f aca="false">AVERAGE(K21,K23)</f>
        <v>89971932007</v>
      </c>
    </row>
    <row r="25" customFormat="false" ht="15" hidden="false" customHeight="false" outlineLevel="0" collapsed="false">
      <c r="A25" s="16"/>
      <c r="B25" s="17" t="s">
        <v>527</v>
      </c>
      <c r="C25" s="16"/>
      <c r="D25" s="16"/>
      <c r="E25" s="16"/>
      <c r="F25" s="16"/>
      <c r="G25" s="16"/>
      <c r="H25" s="16"/>
      <c r="I25" s="16"/>
      <c r="J25" s="16"/>
      <c r="K25" s="16"/>
      <c r="L25" s="16"/>
    </row>
    <row r="26" customFormat="false" ht="15" hidden="false" customHeight="false" outlineLevel="0" collapsed="false">
      <c r="A26" s="56" t="s">
        <v>528</v>
      </c>
      <c r="B26" s="13" t="s">
        <v>529</v>
      </c>
      <c r="C26" s="52" t="n">
        <f aca="false">(BS!C8+BS!C9)</f>
        <v>12118406500</v>
      </c>
      <c r="D26" s="52" t="n">
        <f aca="false">(BS!D8+BS!D9)</f>
        <v>16783681668</v>
      </c>
      <c r="E26" s="52" t="n">
        <f aca="false">(BS!E8+BS!E9)</f>
        <v>25075858587</v>
      </c>
      <c r="F26" s="52" t="n">
        <f aca="false">(BS!F8+BS!F9)</f>
        <v>18872446355</v>
      </c>
      <c r="G26" s="53" t="n">
        <f aca="false">IS_Proj!G10*Asumsi!G24/365</f>
        <v>21425473595.9915</v>
      </c>
      <c r="H26" s="53" t="n">
        <f aca="false">IS_Proj!H10*Asumsi!H24/365</f>
        <v>23139511483.6708</v>
      </c>
      <c r="I26" s="53" t="n">
        <f aca="false">IS_Proj!I10*Asumsi!I24/365</f>
        <v>24990672402.3645</v>
      </c>
      <c r="J26" s="53" t="n">
        <f aca="false">IS_Proj!J10*Asumsi!J24/365</f>
        <v>26989926194.5536</v>
      </c>
      <c r="K26" s="53" t="n">
        <f aca="false">IS_Proj!K10*Asumsi!K24/365</f>
        <v>29149120290.1179</v>
      </c>
    </row>
    <row r="27" customFormat="false" ht="15" hidden="false" customHeight="false" outlineLevel="0" collapsed="false">
      <c r="A27" s="56" t="s">
        <v>530</v>
      </c>
      <c r="B27" s="13" t="s">
        <v>531</v>
      </c>
      <c r="C27" s="52" t="n">
        <f aca="false">BS!C12</f>
        <v>2264889867</v>
      </c>
      <c r="D27" s="52" t="n">
        <f aca="false">BS!D12</f>
        <v>4036032457</v>
      </c>
      <c r="E27" s="52" t="n">
        <f aca="false">BS!E12</f>
        <v>4135618544</v>
      </c>
      <c r="F27" s="52" t="n">
        <f aca="false">BS!F12</f>
        <v>1336242114</v>
      </c>
      <c r="G27" s="53" t="n">
        <f aca="false">-IS_Proj!G13*Asumsi!G25/365</f>
        <v>2871013461.86286</v>
      </c>
      <c r="H27" s="53" t="n">
        <f aca="false">-IS_Proj!H13*Asumsi!H25/365</f>
        <v>3100694538.81189</v>
      </c>
      <c r="I27" s="53" t="n">
        <f aca="false">-IS_Proj!I13*Asumsi!I25/365</f>
        <v>3348750101.91684</v>
      </c>
      <c r="J27" s="53" t="n">
        <f aca="false">-IS_Proj!J13*Asumsi!J25/365</f>
        <v>3616650110.07018</v>
      </c>
      <c r="K27" s="53" t="n">
        <f aca="false">-IS_Proj!K13*Asumsi!K25/365</f>
        <v>3905982118.8758</v>
      </c>
    </row>
    <row r="28" customFormat="false" ht="15" hidden="false" customHeight="false" outlineLevel="0" collapsed="false">
      <c r="A28" s="56" t="s">
        <v>532</v>
      </c>
      <c r="B28" s="13" t="s">
        <v>533</v>
      </c>
      <c r="C28" s="52" t="n">
        <f aca="false">(BS!C30+BS!C31)</f>
        <v>2059291014</v>
      </c>
      <c r="D28" s="52" t="n">
        <f aca="false">(BS!D30+BS!D31)</f>
        <v>4772562529</v>
      </c>
      <c r="E28" s="52" t="n">
        <f aca="false">(BS!E30+BS!E31)</f>
        <v>5668668826</v>
      </c>
      <c r="F28" s="52" t="n">
        <f aca="false">(BS!F30+BS!F31)</f>
        <v>6578276878</v>
      </c>
      <c r="G28" s="53" t="n">
        <f aca="false">-IS_Proj!G13*Asumsi!G26/365</f>
        <v>6316229616.09829</v>
      </c>
      <c r="H28" s="53" t="n">
        <f aca="false">-IS_Proj!H13*Asumsi!H26/365</f>
        <v>6821527985.38615</v>
      </c>
      <c r="I28" s="53" t="n">
        <f aca="false">-IS_Proj!I13*Asumsi!I26/365</f>
        <v>7367250224.21704</v>
      </c>
      <c r="J28" s="53" t="n">
        <f aca="false">-IS_Proj!J13*Asumsi!J26/365</f>
        <v>7956630242.1544</v>
      </c>
      <c r="K28" s="53" t="n">
        <f aca="false">-IS_Proj!K13*Asumsi!K26/365</f>
        <v>8593160661.52676</v>
      </c>
    </row>
    <row r="29" customFormat="false" ht="15" hidden="false" customHeight="false" outlineLevel="0" collapsed="false">
      <c r="A29" s="65" t="s">
        <v>534</v>
      </c>
      <c r="B29" s="66" t="s">
        <v>535</v>
      </c>
      <c r="C29" s="68" t="n">
        <f aca="false">C26+C27-C28</f>
        <v>12324005353</v>
      </c>
      <c r="D29" s="68" t="n">
        <f aca="false">D26+D27-D28</f>
        <v>16047151596</v>
      </c>
      <c r="E29" s="68" t="n">
        <f aca="false">E26+E27-E28</f>
        <v>23542808305</v>
      </c>
      <c r="F29" s="68" t="n">
        <f aca="false">F26+F27-F28</f>
        <v>13630411591</v>
      </c>
      <c r="G29" s="68" t="n">
        <f aca="false">G26+G27-G28</f>
        <v>17980257441.756</v>
      </c>
      <c r="H29" s="68" t="n">
        <f aca="false">H26+H27-H28</f>
        <v>19418678037.0965</v>
      </c>
      <c r="I29" s="68" t="n">
        <f aca="false">I26+I27-I28</f>
        <v>20972172280.0643</v>
      </c>
      <c r="J29" s="68" t="n">
        <f aca="false">J26+J27-J28</f>
        <v>22649946062.4694</v>
      </c>
      <c r="K29" s="68" t="n">
        <f aca="false">K26+K27-K28</f>
        <v>24461941747.467</v>
      </c>
    </row>
    <row r="30" customFormat="false" ht="15" hidden="false" customHeight="false" outlineLevel="0" collapsed="false">
      <c r="A30" s="56" t="s">
        <v>536</v>
      </c>
      <c r="B30" s="13" t="s">
        <v>537</v>
      </c>
      <c r="C30" s="63"/>
      <c r="D30" s="74" t="n">
        <f aca="false">C29-D29</f>
        <v>-3723146243</v>
      </c>
      <c r="E30" s="74" t="n">
        <f aca="false">D29-E29</f>
        <v>-7495656709</v>
      </c>
      <c r="F30" s="74" t="n">
        <f aca="false">E29-F29</f>
        <v>9912396714</v>
      </c>
      <c r="G30" s="71" t="n">
        <f aca="false">F29-G29</f>
        <v>-4349845850.75604</v>
      </c>
      <c r="H30" s="71" t="n">
        <f aca="false">G29-H29</f>
        <v>-1438420595.34048</v>
      </c>
      <c r="I30" s="71" t="n">
        <f aca="false">H29-I29</f>
        <v>-1553494242.96773</v>
      </c>
      <c r="J30" s="71" t="n">
        <f aca="false">I29-J29</f>
        <v>-1677773782.40513</v>
      </c>
      <c r="K30" s="71" t="n">
        <f aca="false">J29-K29</f>
        <v>-1811995684.99756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L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11" min="3" style="0" width="16"/>
    <col collapsed="false" customWidth="true" hidden="false" outlineLevel="0" max="12" min="12" style="0" width="40"/>
  </cols>
  <sheetData>
    <row r="1" customFormat="false" ht="17.35" hidden="false" customHeight="false" outlineLevel="0" collapsed="false">
      <c r="A1" s="14" t="s">
        <v>538</v>
      </c>
    </row>
    <row r="2" customFormat="false" ht="15" hidden="false" customHeight="false" outlineLevel="0" collapsed="false">
      <c r="A2" s="15" t="s">
        <v>539</v>
      </c>
    </row>
    <row r="4" customFormat="false" ht="15" hidden="false" customHeight="false" outlineLevel="0" collapsed="false">
      <c r="A4" s="16"/>
      <c r="B4" s="17" t="s">
        <v>540</v>
      </c>
      <c r="C4" s="16"/>
      <c r="D4" s="16"/>
      <c r="E4" s="16"/>
      <c r="F4" s="16"/>
      <c r="G4" s="16"/>
      <c r="H4" s="16"/>
      <c r="I4" s="16"/>
      <c r="J4" s="16"/>
      <c r="K4" s="16"/>
      <c r="L4" s="16"/>
    </row>
    <row r="5" customFormat="false" ht="15" hidden="false" customHeight="false" outlineLevel="0" collapsed="false">
      <c r="B5" s="13" t="s">
        <v>541</v>
      </c>
      <c r="C5" s="75"/>
      <c r="D5" s="15" t="s">
        <v>542</v>
      </c>
    </row>
    <row r="6" customFormat="false" ht="15" hidden="false" customHeight="false" outlineLevel="0" collapsed="false">
      <c r="B6" s="13" t="s">
        <v>543</v>
      </c>
      <c r="C6" s="75"/>
      <c r="D6" s="15" t="s">
        <v>544</v>
      </c>
    </row>
    <row r="7" customFormat="false" ht="15" hidden="false" customHeight="false" outlineLevel="0" collapsed="false">
      <c r="B7" s="13" t="s">
        <v>545</v>
      </c>
      <c r="C7" s="76"/>
      <c r="D7" s="15" t="s">
        <v>546</v>
      </c>
    </row>
    <row r="8" customFormat="false" ht="15" hidden="false" customHeight="false" outlineLevel="0" collapsed="false">
      <c r="B8" s="13" t="s">
        <v>547</v>
      </c>
      <c r="C8" s="75"/>
      <c r="D8" s="15" t="s">
        <v>548</v>
      </c>
    </row>
    <row r="9" customFormat="false" ht="15" hidden="false" customHeight="false" outlineLevel="0" collapsed="false">
      <c r="B9" s="13" t="s">
        <v>549</v>
      </c>
      <c r="C9" s="75"/>
      <c r="D9" s="15" t="s">
        <v>550</v>
      </c>
    </row>
    <row r="10" customFormat="false" ht="15" hidden="false" customHeight="false" outlineLevel="0" collapsed="false">
      <c r="B10" s="13" t="s">
        <v>551</v>
      </c>
      <c r="C10" s="75"/>
      <c r="D10" s="15" t="s">
        <v>552</v>
      </c>
    </row>
    <row r="11" customFormat="false" ht="15" hidden="false" customHeight="false" outlineLevel="0" collapsed="false">
      <c r="B11" s="13" t="s">
        <v>553</v>
      </c>
      <c r="C11" s="75"/>
      <c r="D11" s="15" t="s">
        <v>550</v>
      </c>
    </row>
    <row r="12" customFormat="false" ht="15" hidden="false" customHeight="false" outlineLevel="0" collapsed="false">
      <c r="B12" s="13" t="s">
        <v>554</v>
      </c>
      <c r="C12" s="75"/>
      <c r="D12" s="15" t="s">
        <v>550</v>
      </c>
    </row>
    <row r="13" customFormat="false" ht="15" hidden="false" customHeight="false" outlineLevel="0" collapsed="false">
      <c r="B13" s="13" t="s">
        <v>555</v>
      </c>
      <c r="C13" s="77"/>
      <c r="D13" s="15" t="s">
        <v>556</v>
      </c>
    </row>
    <row r="14" customFormat="false" ht="15" hidden="false" customHeight="false" outlineLevel="0" collapsed="false">
      <c r="B14" s="13" t="s">
        <v>557</v>
      </c>
      <c r="C14" s="78"/>
      <c r="D14" s="15" t="s">
        <v>548</v>
      </c>
    </row>
    <row r="15" customFormat="false" ht="15" hidden="false" customHeight="false" outlineLevel="0" collapsed="false">
      <c r="B15" s="13" t="s">
        <v>558</v>
      </c>
      <c r="C15" s="79" t="b">
        <f aca="false">COUNT($C$5,$C$6,$C$7,$C$9,$C$10,$C$11)=6</f>
        <v>0</v>
      </c>
    </row>
    <row r="16" customFormat="false" ht="15" hidden="false" customHeight="false" outlineLevel="0" collapsed="false">
      <c r="B16" s="13" t="s">
        <v>559</v>
      </c>
      <c r="C16" s="79" t="b">
        <f aca="false">AND($C$15,COUNT($C$12)=1)</f>
        <v>0</v>
      </c>
    </row>
    <row r="17" customFormat="false" ht="15" hidden="false" customHeight="false" outlineLevel="0" collapsed="false">
      <c r="B17" s="13" t="s">
        <v>560</v>
      </c>
      <c r="C17" s="79" t="b">
        <f aca="false">AND($C$15,COUNT($C$13)=1)</f>
        <v>0</v>
      </c>
    </row>
    <row r="19" customFormat="false" ht="15" hidden="false" customHeight="false" outlineLevel="0" collapsed="false">
      <c r="A19" s="16"/>
      <c r="B19" s="17" t="s">
        <v>561</v>
      </c>
      <c r="C19" s="16"/>
      <c r="D19" s="16"/>
      <c r="E19" s="16"/>
      <c r="F19" s="16"/>
      <c r="G19" s="16"/>
      <c r="H19" s="16"/>
      <c r="I19" s="16"/>
      <c r="J19" s="16"/>
      <c r="K19" s="16"/>
      <c r="L19" s="16"/>
    </row>
    <row r="20" customFormat="false" ht="15" hidden="false" customHeight="false" outlineLevel="0" collapsed="false">
      <c r="B20" s="13" t="s">
        <v>562</v>
      </c>
      <c r="C20" s="69" t="str">
        <f aca="false">IF($C$15,$C$5+$C$7*$C$6+N($C$8),"")</f>
        <v/>
      </c>
    </row>
    <row r="21" customFormat="false" ht="15" hidden="false" customHeight="false" outlineLevel="0" collapsed="false">
      <c r="B21" s="13" t="s">
        <v>563</v>
      </c>
      <c r="C21" s="69" t="str">
        <f aca="false">IF($C$15,$C$9*(1-$C$10),"")</f>
        <v/>
      </c>
    </row>
    <row r="22" customFormat="false" ht="15" hidden="false" customHeight="false" outlineLevel="0" collapsed="false">
      <c r="B22" s="13" t="s">
        <v>561</v>
      </c>
      <c r="C22" s="69" t="str">
        <f aca="false">IF($C$15,$C$20*(1-$C$11)+$C$21*$C$11,"")</f>
        <v/>
      </c>
    </row>
    <row r="24" customFormat="false" ht="15" hidden="false" customHeight="false" outlineLevel="0" collapsed="false">
      <c r="A24" s="16"/>
      <c r="B24" s="17" t="s">
        <v>564</v>
      </c>
      <c r="C24" s="16"/>
      <c r="D24" s="16"/>
      <c r="E24" s="16"/>
      <c r="F24" s="16"/>
      <c r="G24" s="16"/>
      <c r="H24" s="16"/>
      <c r="I24" s="16"/>
      <c r="J24" s="16"/>
      <c r="K24" s="16"/>
      <c r="L24" s="16"/>
    </row>
    <row r="25" customFormat="false" ht="15" hidden="false" customHeight="false" outlineLevel="0" collapsed="false">
      <c r="G25" s="45" t="s">
        <v>169</v>
      </c>
      <c r="H25" s="45" t="s">
        <v>170</v>
      </c>
      <c r="I25" s="45" t="s">
        <v>171</v>
      </c>
      <c r="J25" s="45" t="s">
        <v>172</v>
      </c>
      <c r="K25" s="45" t="s">
        <v>173</v>
      </c>
    </row>
    <row r="26" customFormat="false" ht="15" hidden="false" customHeight="false" outlineLevel="0" collapsed="false">
      <c r="B26" s="13" t="s">
        <v>565</v>
      </c>
      <c r="G26" s="80" t="n">
        <v>1</v>
      </c>
      <c r="H26" s="80" t="n">
        <v>2</v>
      </c>
      <c r="I26" s="80" t="n">
        <v>3</v>
      </c>
      <c r="J26" s="80" t="n">
        <v>4</v>
      </c>
      <c r="K26" s="80" t="n">
        <v>5</v>
      </c>
    </row>
    <row r="27" customFormat="false" ht="15" hidden="false" customHeight="false" outlineLevel="0" collapsed="false">
      <c r="B27" s="13" t="s">
        <v>566</v>
      </c>
      <c r="G27" s="52" t="n">
        <f aca="false">IS_Proj!G19</f>
        <v>8058152771.24057</v>
      </c>
      <c r="H27" s="52" t="n">
        <f aca="false">IS_Proj!H19</f>
        <v>9510944810.18633</v>
      </c>
      <c r="I27" s="52" t="n">
        <f aca="false">IS_Proj!I19</f>
        <v>11000439254.2307</v>
      </c>
      <c r="J27" s="52" t="n">
        <f aca="false">IS_Proj!J19</f>
        <v>12537397158.0504</v>
      </c>
      <c r="K27" s="52" t="n">
        <f aca="false">IS_Proj!K19</f>
        <v>14132670494.2492</v>
      </c>
    </row>
    <row r="28" customFormat="false" ht="15" hidden="false" customHeight="false" outlineLevel="0" collapsed="false">
      <c r="B28" s="13" t="s">
        <v>567</v>
      </c>
      <c r="G28" s="52" t="n">
        <f aca="false">-MAX(G27,0)*Asumsi!G28</f>
        <v>-2014538192.81014</v>
      </c>
      <c r="H28" s="52" t="n">
        <f aca="false">-MAX(H27,0)*Asumsi!H28</f>
        <v>-2377736202.54658</v>
      </c>
      <c r="I28" s="52" t="n">
        <f aca="false">-MAX(I27,0)*Asumsi!I28</f>
        <v>-2750109813.55768</v>
      </c>
      <c r="J28" s="52" t="n">
        <f aca="false">-MAX(J27,0)*Asumsi!J28</f>
        <v>-3134349289.51261</v>
      </c>
      <c r="K28" s="52" t="n">
        <f aca="false">-MAX(K27,0)*Asumsi!K28</f>
        <v>-3533167623.5623</v>
      </c>
    </row>
    <row r="29" customFormat="false" ht="15" hidden="false" customHeight="false" outlineLevel="0" collapsed="false">
      <c r="B29" s="13" t="s">
        <v>568</v>
      </c>
      <c r="G29" s="74" t="n">
        <f aca="false">G27+G28</f>
        <v>6043614578.43043</v>
      </c>
      <c r="H29" s="74" t="n">
        <f aca="false">H27+H28</f>
        <v>7133208607.63975</v>
      </c>
      <c r="I29" s="74" t="n">
        <f aca="false">I27+I28</f>
        <v>8250329440.67303</v>
      </c>
      <c r="J29" s="74" t="n">
        <f aca="false">J27+J28</f>
        <v>9403047868.53782</v>
      </c>
      <c r="K29" s="74" t="n">
        <f aca="false">K27+K28</f>
        <v>10599502870.6869</v>
      </c>
    </row>
    <row r="30" customFormat="false" ht="15" hidden="false" customHeight="false" outlineLevel="0" collapsed="false">
      <c r="B30" s="13" t="s">
        <v>569</v>
      </c>
      <c r="G30" s="52" t="n">
        <f aca="false">-IS_Proj!G18</f>
        <v>12587433585.8568</v>
      </c>
      <c r="H30" s="52" t="n">
        <f aca="false">-IS_Proj!H18</f>
        <v>12786288455.4788</v>
      </c>
      <c r="I30" s="52" t="n">
        <f aca="false">-IS_Proj!I18</f>
        <v>13080572672.6877</v>
      </c>
      <c r="J30" s="52" t="n">
        <f aca="false">-IS_Proj!J18</f>
        <v>13470095723.0214</v>
      </c>
      <c r="K30" s="52" t="n">
        <f aca="false">-IS_Proj!K18</f>
        <v>13955421817.3084</v>
      </c>
    </row>
    <row r="31" customFormat="false" ht="15" hidden="false" customHeight="false" outlineLevel="0" collapsed="false">
      <c r="B31" s="13" t="s">
        <v>570</v>
      </c>
      <c r="G31" s="52" t="n">
        <f aca="false">CF_Proj!G13</f>
        <v>-14076536152.5664</v>
      </c>
      <c r="H31" s="52" t="n">
        <f aca="false">CF_Proj!H13</f>
        <v>-15202659044.7717</v>
      </c>
      <c r="I31" s="52" t="n">
        <f aca="false">CF_Proj!I13</f>
        <v>-16418871768.3534</v>
      </c>
      <c r="J31" s="52" t="n">
        <f aca="false">CF_Proj!J13</f>
        <v>-17732381509.8217</v>
      </c>
      <c r="K31" s="52" t="n">
        <f aca="false">CF_Proj!K13</f>
        <v>-19150972030.6075</v>
      </c>
    </row>
    <row r="32" customFormat="false" ht="15" hidden="false" customHeight="false" outlineLevel="0" collapsed="false">
      <c r="B32" s="13" t="s">
        <v>571</v>
      </c>
      <c r="G32" s="52" t="n">
        <f aca="false">Schedules_Proj!G30</f>
        <v>-4349845850.75604</v>
      </c>
      <c r="H32" s="52" t="n">
        <f aca="false">Schedules_Proj!H30</f>
        <v>-1438420595.34048</v>
      </c>
      <c r="I32" s="52" t="n">
        <f aca="false">Schedules_Proj!I30</f>
        <v>-1553494242.96773</v>
      </c>
      <c r="J32" s="52" t="n">
        <f aca="false">Schedules_Proj!J30</f>
        <v>-1677773782.40513</v>
      </c>
      <c r="K32" s="52" t="n">
        <f aca="false">Schedules_Proj!K30</f>
        <v>-1811995684.99756</v>
      </c>
    </row>
    <row r="33" customFormat="false" ht="15" hidden="false" customHeight="false" outlineLevel="0" collapsed="false">
      <c r="B33" s="4" t="s">
        <v>572</v>
      </c>
      <c r="G33" s="81" t="n">
        <f aca="false">SUM(G29:G32)</f>
        <v>204666160.964787</v>
      </c>
      <c r="H33" s="81" t="n">
        <f aca="false">SUM(H29:H32)</f>
        <v>3278417423.00639</v>
      </c>
      <c r="I33" s="81" t="n">
        <f aca="false">SUM(I29:I32)</f>
        <v>3358536102.03953</v>
      </c>
      <c r="J33" s="81" t="n">
        <f aca="false">SUM(J29:J32)</f>
        <v>3462988299.33238</v>
      </c>
      <c r="K33" s="81" t="n">
        <f aca="false">SUM(K29:K32)</f>
        <v>3591956972.39029</v>
      </c>
    </row>
    <row r="34" customFormat="false" ht="15" hidden="false" customHeight="false" outlineLevel="0" collapsed="false">
      <c r="B34" s="13" t="s">
        <v>573</v>
      </c>
      <c r="G34" s="82" t="str">
        <f aca="false">IF($C$15,1/(1+$C$22)^G26,"")</f>
        <v/>
      </c>
      <c r="H34" s="82" t="str">
        <f aca="false">IF($C$15,1/(1+$C$22)^H26,"")</f>
        <v/>
      </c>
      <c r="I34" s="82" t="str">
        <f aca="false">IF($C$15,1/(1+$C$22)^I26,"")</f>
        <v/>
      </c>
      <c r="J34" s="82" t="str">
        <f aca="false">IF($C$15,1/(1+$C$22)^J26,"")</f>
        <v/>
      </c>
      <c r="K34" s="82" t="str">
        <f aca="false">IF($C$15,1/(1+$C$22)^K26,"")</f>
        <v/>
      </c>
    </row>
    <row r="35" customFormat="false" ht="15" hidden="false" customHeight="false" outlineLevel="0" collapsed="false">
      <c r="B35" s="13" t="s">
        <v>574</v>
      </c>
      <c r="G35" s="74" t="str">
        <f aca="false">IF($C$15,G33*G34,"")</f>
        <v/>
      </c>
      <c r="H35" s="74" t="str">
        <f aca="false">IF($C$15,H33*H34,"")</f>
        <v/>
      </c>
      <c r="I35" s="74" t="str">
        <f aca="false">IF($C$15,I33*I34,"")</f>
        <v/>
      </c>
      <c r="J35" s="74" t="str">
        <f aca="false">IF($C$15,J33*J34,"")</f>
        <v/>
      </c>
      <c r="K35" s="74" t="str">
        <f aca="false">IF($C$15,K33*K34,"")</f>
        <v/>
      </c>
    </row>
    <row r="36" customFormat="false" ht="15" hidden="false" customHeight="false" outlineLevel="0" collapsed="false">
      <c r="B36" s="15" t="s">
        <v>575</v>
      </c>
    </row>
    <row r="38" customFormat="false" ht="15" hidden="false" customHeight="false" outlineLevel="0" collapsed="false">
      <c r="A38" s="16"/>
      <c r="B38" s="17" t="s">
        <v>576</v>
      </c>
      <c r="C38" s="83" t="s">
        <v>577</v>
      </c>
      <c r="D38" s="83" t="s">
        <v>578</v>
      </c>
      <c r="E38" s="16"/>
      <c r="F38" s="16"/>
      <c r="G38" s="16"/>
      <c r="H38" s="16"/>
      <c r="I38" s="16"/>
      <c r="J38" s="16"/>
      <c r="K38" s="16"/>
      <c r="L38" s="16"/>
    </row>
    <row r="39" customFormat="false" ht="15" hidden="false" customHeight="false" outlineLevel="0" collapsed="false">
      <c r="B39" s="13" t="s">
        <v>579</v>
      </c>
      <c r="C39" s="74" t="str">
        <f aca="false">IF($C$16,SUMPRODUCT($G$33:$K$33/(1+$C$22)^$G$26:$K$26),"")</f>
        <v/>
      </c>
      <c r="D39" s="74" t="str">
        <f aca="false">IF($C$17,SUMPRODUCT($G$33:$K$33/(1+$C$22)^$G$26:$K$26),"")</f>
        <v/>
      </c>
    </row>
    <row r="40" customFormat="false" ht="15" hidden="false" customHeight="false" outlineLevel="0" collapsed="false">
      <c r="B40" s="13" t="s">
        <v>580</v>
      </c>
      <c r="C40" s="74" t="str">
        <f aca="false">IF($C$16,IF($C$22&gt;$C$12,$K$33*(1+$C$12)/($C$22-$C$12),"WACC&lt;=g"),"")</f>
        <v/>
      </c>
      <c r="D40" s="52" t="str">
        <f aca="false">IF($C$17,IS_Proj!$K$17*$C$13,"")</f>
        <v/>
      </c>
    </row>
    <row r="41" customFormat="false" ht="15" hidden="false" customHeight="false" outlineLevel="0" collapsed="false">
      <c r="B41" s="13" t="s">
        <v>581</v>
      </c>
      <c r="C41" s="74" t="str">
        <f aca="false">IFERROR(C40/(1+$C$22)^5,"")</f>
        <v/>
      </c>
      <c r="D41" s="74" t="str">
        <f aca="false">IFERROR(D40/(1+$C$22)^5,"")</f>
        <v/>
      </c>
    </row>
    <row r="42" customFormat="false" ht="15" hidden="false" customHeight="false" outlineLevel="0" collapsed="false">
      <c r="B42" s="4" t="s">
        <v>582</v>
      </c>
      <c r="C42" s="84" t="str">
        <f aca="false">IFERROR(C39+C41,"")</f>
        <v/>
      </c>
      <c r="D42" s="84" t="str">
        <f aca="false">IFERROR(D39+D41,"")</f>
        <v/>
      </c>
    </row>
    <row r="43" customFormat="false" ht="15" hidden="false" customHeight="false" outlineLevel="0" collapsed="false">
      <c r="B43" s="13" t="s">
        <v>583</v>
      </c>
      <c r="C43" s="52" t="n">
        <f aca="false">-BS_Proj!F18</f>
        <v>-89971932007</v>
      </c>
      <c r="D43" s="52" t="n">
        <f aca="false">-BS_Proj!F18</f>
        <v>-89971932007</v>
      </c>
    </row>
    <row r="44" customFormat="false" ht="15" hidden="false" customHeight="false" outlineLevel="0" collapsed="false">
      <c r="B44" s="13" t="s">
        <v>584</v>
      </c>
      <c r="C44" s="52" t="n">
        <f aca="false">-BS_Proj!F19</f>
        <v>-1329650108</v>
      </c>
      <c r="D44" s="52" t="n">
        <f aca="false">-BS_Proj!F19</f>
        <v>-1329650108</v>
      </c>
    </row>
    <row r="45" customFormat="false" ht="15" hidden="false" customHeight="false" outlineLevel="0" collapsed="false">
      <c r="B45" s="13" t="s">
        <v>585</v>
      </c>
      <c r="C45" s="52" t="n">
        <f aca="false">BS_Proj!F6</f>
        <v>4036506961</v>
      </c>
      <c r="D45" s="52" t="n">
        <f aca="false">BS_Proj!F6</f>
        <v>4036506961</v>
      </c>
    </row>
    <row r="46" customFormat="false" ht="15" hidden="false" customHeight="false" outlineLevel="0" collapsed="false">
      <c r="B46" s="13" t="s">
        <v>586</v>
      </c>
      <c r="C46" s="52" t="n">
        <f aca="false">-BS_Proj!F26</f>
        <v>-3850792</v>
      </c>
      <c r="D46" s="52" t="n">
        <f aca="false">-BS_Proj!F26</f>
        <v>-3850792</v>
      </c>
    </row>
    <row r="47" customFormat="false" ht="15" hidden="false" customHeight="false" outlineLevel="0" collapsed="false">
      <c r="B47" s="13" t="s">
        <v>587</v>
      </c>
      <c r="C47" s="74" t="n">
        <f aca="false">N($C$14)</f>
        <v>0</v>
      </c>
      <c r="D47" s="74" t="n">
        <f aca="false">N($C$14)</f>
        <v>0</v>
      </c>
    </row>
    <row r="48" customFormat="false" ht="15" hidden="false" customHeight="false" outlineLevel="0" collapsed="false">
      <c r="B48" s="4" t="s">
        <v>588</v>
      </c>
      <c r="C48" s="84" t="str">
        <f aca="false">IFERROR(C42+SUM(C43:C47),"")</f>
        <v/>
      </c>
      <c r="D48" s="84" t="str">
        <f aca="false">IFERROR(D42+SUM(D43:D47),"")</f>
        <v/>
      </c>
    </row>
    <row r="49" customFormat="false" ht="15" hidden="false" customHeight="false" outlineLevel="0" collapsed="false">
      <c r="B49" s="13" t="s">
        <v>589</v>
      </c>
      <c r="C49" s="72" t="str">
        <f aca="false">IFERROR(C48/Asumsi!$C$118,"")</f>
        <v/>
      </c>
      <c r="D49" s="72" t="str">
        <f aca="false">IFERROR(D48/Asumsi!$C$118,"")</f>
        <v/>
      </c>
    </row>
    <row r="50" customFormat="false" ht="15" hidden="false" customHeight="false" outlineLevel="0" collapsed="false">
      <c r="B50" s="15" t="s">
        <v>590</v>
      </c>
    </row>
    <row r="52" customFormat="false" ht="15" hidden="false" customHeight="false" outlineLevel="0" collapsed="false">
      <c r="A52" s="16"/>
      <c r="B52" s="17" t="s">
        <v>591</v>
      </c>
      <c r="C52" s="16"/>
      <c r="D52" s="16"/>
      <c r="E52" s="16"/>
      <c r="F52" s="16"/>
      <c r="G52" s="16"/>
      <c r="H52" s="16"/>
      <c r="I52" s="16"/>
      <c r="J52" s="16"/>
      <c r="K52" s="16"/>
      <c r="L52" s="16"/>
    </row>
    <row r="53" customFormat="false" ht="15" hidden="false" customHeight="false" outlineLevel="0" collapsed="false">
      <c r="B53" s="4" t="s">
        <v>592</v>
      </c>
      <c r="C53" s="85" t="str">
        <f aca="false">IF($C$16,$C$12+(-0.01),"")</f>
        <v/>
      </c>
      <c r="D53" s="85" t="str">
        <f aca="false">IF($C$16,$C$12+(-0.005),"")</f>
        <v/>
      </c>
      <c r="E53" s="85" t="str">
        <f aca="false">IF($C$16,$C$12+(0),"")</f>
        <v/>
      </c>
      <c r="F53" s="85" t="str">
        <f aca="false">IF($C$16,$C$12+(0.005),"")</f>
        <v/>
      </c>
      <c r="G53" s="85" t="str">
        <f aca="false">IF($C$16,$C$12+(0.01),"")</f>
        <v/>
      </c>
    </row>
    <row r="54" customFormat="false" ht="15" hidden="false" customHeight="false" outlineLevel="0" collapsed="false">
      <c r="B54" s="85" t="str">
        <f aca="false">IF($C$16,$C$22+(-0.02),"")</f>
        <v/>
      </c>
      <c r="C54" s="86" t="str">
        <f aca="false">IF($C$16,IFERROR(IF($B54&gt;C$53,(SUMPRODUCT($G$33:$K$33/(1+$B54)^$G$26:$K$26)+$K$33*(1+C$53)/($B54-C$53)/(1+$B54)^5+SUM($C$43:$C$47))/Asumsi!$C$118,"n/a"),""),"")</f>
        <v/>
      </c>
      <c r="D54" s="86" t="str">
        <f aca="false">IF($C$16,IFERROR(IF($B54&gt;D$53,(SUMPRODUCT($G$33:$K$33/(1+$B54)^$G$26:$K$26)+$K$33*(1+D$53)/($B54-D$53)/(1+$B54)^5+SUM($C$43:$C$47))/Asumsi!$C$118,"n/a"),""),"")</f>
        <v/>
      </c>
      <c r="E54" s="86" t="str">
        <f aca="false">IF($C$16,IFERROR(IF($B54&gt;E$53,(SUMPRODUCT($G$33:$K$33/(1+$B54)^$G$26:$K$26)+$K$33*(1+E$53)/($B54-E$53)/(1+$B54)^5+SUM($C$43:$C$47))/Asumsi!$C$118,"n/a"),""),"")</f>
        <v/>
      </c>
      <c r="F54" s="86" t="str">
        <f aca="false">IF($C$16,IFERROR(IF($B54&gt;F$53,(SUMPRODUCT($G$33:$K$33/(1+$B54)^$G$26:$K$26)+$K$33*(1+F$53)/($B54-F$53)/(1+$B54)^5+SUM($C$43:$C$47))/Asumsi!$C$118,"n/a"),""),"")</f>
        <v/>
      </c>
      <c r="G54" s="86" t="str">
        <f aca="false">IF($C$16,IFERROR(IF($B54&gt;G$53,(SUMPRODUCT($G$33:$K$33/(1+$B54)^$G$26:$K$26)+$K$33*(1+G$53)/($B54-G$53)/(1+$B54)^5+SUM($C$43:$C$47))/Asumsi!$C$118,"n/a"),""),"")</f>
        <v/>
      </c>
    </row>
    <row r="55" customFormat="false" ht="15" hidden="false" customHeight="false" outlineLevel="0" collapsed="false">
      <c r="B55" s="85" t="str">
        <f aca="false">IF($C$16,$C$22+(-0.01),"")</f>
        <v/>
      </c>
      <c r="C55" s="86" t="str">
        <f aca="false">IF($C$16,IFERROR(IF($B55&gt;C$53,(SUMPRODUCT($G$33:$K$33/(1+$B55)^$G$26:$K$26)+$K$33*(1+C$53)/($B55-C$53)/(1+$B55)^5+SUM($C$43:$C$47))/Asumsi!$C$118,"n/a"),""),"")</f>
        <v/>
      </c>
      <c r="D55" s="86" t="str">
        <f aca="false">IF($C$16,IFERROR(IF($B55&gt;D$53,(SUMPRODUCT($G$33:$K$33/(1+$B55)^$G$26:$K$26)+$K$33*(1+D$53)/($B55-D$53)/(1+$B55)^5+SUM($C$43:$C$47))/Asumsi!$C$118,"n/a"),""),"")</f>
        <v/>
      </c>
      <c r="E55" s="86" t="str">
        <f aca="false">IF($C$16,IFERROR(IF($B55&gt;E$53,(SUMPRODUCT($G$33:$K$33/(1+$B55)^$G$26:$K$26)+$K$33*(1+E$53)/($B55-E$53)/(1+$B55)^5+SUM($C$43:$C$47))/Asumsi!$C$118,"n/a"),""),"")</f>
        <v/>
      </c>
      <c r="F55" s="86" t="str">
        <f aca="false">IF($C$16,IFERROR(IF($B55&gt;F$53,(SUMPRODUCT($G$33:$K$33/(1+$B55)^$G$26:$K$26)+$K$33*(1+F$53)/($B55-F$53)/(1+$B55)^5+SUM($C$43:$C$47))/Asumsi!$C$118,"n/a"),""),"")</f>
        <v/>
      </c>
      <c r="G55" s="86" t="str">
        <f aca="false">IF($C$16,IFERROR(IF($B55&gt;G$53,(SUMPRODUCT($G$33:$K$33/(1+$B55)^$G$26:$K$26)+$K$33*(1+G$53)/($B55-G$53)/(1+$B55)^5+SUM($C$43:$C$47))/Asumsi!$C$118,"n/a"),""),"")</f>
        <v/>
      </c>
    </row>
    <row r="56" customFormat="false" ht="15" hidden="false" customHeight="false" outlineLevel="0" collapsed="false">
      <c r="B56" s="85" t="str">
        <f aca="false">IF($C$16,$C$22+(0),"")</f>
        <v/>
      </c>
      <c r="C56" s="86" t="str">
        <f aca="false">IF($C$16,IFERROR(IF($B56&gt;C$53,(SUMPRODUCT($G$33:$K$33/(1+$B56)^$G$26:$K$26)+$K$33*(1+C$53)/($B56-C$53)/(1+$B56)^5+SUM($C$43:$C$47))/Asumsi!$C$118,"n/a"),""),"")</f>
        <v/>
      </c>
      <c r="D56" s="86" t="str">
        <f aca="false">IF($C$16,IFERROR(IF($B56&gt;D$53,(SUMPRODUCT($G$33:$K$33/(1+$B56)^$G$26:$K$26)+$K$33*(1+D$53)/($B56-D$53)/(1+$B56)^5+SUM($C$43:$C$47))/Asumsi!$C$118,"n/a"),""),"")</f>
        <v/>
      </c>
      <c r="E56" s="86" t="str">
        <f aca="false">IF($C$16,IFERROR(IF($B56&gt;E$53,(SUMPRODUCT($G$33:$K$33/(1+$B56)^$G$26:$K$26)+$K$33*(1+E$53)/($B56-E$53)/(1+$B56)^5+SUM($C$43:$C$47))/Asumsi!$C$118,"n/a"),""),"")</f>
        <v/>
      </c>
      <c r="F56" s="86" t="str">
        <f aca="false">IF($C$16,IFERROR(IF($B56&gt;F$53,(SUMPRODUCT($G$33:$K$33/(1+$B56)^$G$26:$K$26)+$K$33*(1+F$53)/($B56-F$53)/(1+$B56)^5+SUM($C$43:$C$47))/Asumsi!$C$118,"n/a"),""),"")</f>
        <v/>
      </c>
      <c r="G56" s="86" t="str">
        <f aca="false">IF($C$16,IFERROR(IF($B56&gt;G$53,(SUMPRODUCT($G$33:$K$33/(1+$B56)^$G$26:$K$26)+$K$33*(1+G$53)/($B56-G$53)/(1+$B56)^5+SUM($C$43:$C$47))/Asumsi!$C$118,"n/a"),""),"")</f>
        <v/>
      </c>
    </row>
    <row r="57" customFormat="false" ht="15" hidden="false" customHeight="false" outlineLevel="0" collapsed="false">
      <c r="B57" s="85" t="str">
        <f aca="false">IF($C$16,$C$22+(0.01),"")</f>
        <v/>
      </c>
      <c r="C57" s="86" t="str">
        <f aca="false">IF($C$16,IFERROR(IF($B57&gt;C$53,(SUMPRODUCT($G$33:$K$33/(1+$B57)^$G$26:$K$26)+$K$33*(1+C$53)/($B57-C$53)/(1+$B57)^5+SUM($C$43:$C$47))/Asumsi!$C$118,"n/a"),""),"")</f>
        <v/>
      </c>
      <c r="D57" s="86" t="str">
        <f aca="false">IF($C$16,IFERROR(IF($B57&gt;D$53,(SUMPRODUCT($G$33:$K$33/(1+$B57)^$G$26:$K$26)+$K$33*(1+D$53)/($B57-D$53)/(1+$B57)^5+SUM($C$43:$C$47))/Asumsi!$C$118,"n/a"),""),"")</f>
        <v/>
      </c>
      <c r="E57" s="86" t="str">
        <f aca="false">IF($C$16,IFERROR(IF($B57&gt;E$53,(SUMPRODUCT($G$33:$K$33/(1+$B57)^$G$26:$K$26)+$K$33*(1+E$53)/($B57-E$53)/(1+$B57)^5+SUM($C$43:$C$47))/Asumsi!$C$118,"n/a"),""),"")</f>
        <v/>
      </c>
      <c r="F57" s="86" t="str">
        <f aca="false">IF($C$16,IFERROR(IF($B57&gt;F$53,(SUMPRODUCT($G$33:$K$33/(1+$B57)^$G$26:$K$26)+$K$33*(1+F$53)/($B57-F$53)/(1+$B57)^5+SUM($C$43:$C$47))/Asumsi!$C$118,"n/a"),""),"")</f>
        <v/>
      </c>
      <c r="G57" s="86" t="str">
        <f aca="false">IF($C$16,IFERROR(IF($B57&gt;G$53,(SUMPRODUCT($G$33:$K$33/(1+$B57)^$G$26:$K$26)+$K$33*(1+G$53)/($B57-G$53)/(1+$B57)^5+SUM($C$43:$C$47))/Asumsi!$C$118,"n/a"),""),"")</f>
        <v/>
      </c>
    </row>
    <row r="58" customFormat="false" ht="15" hidden="false" customHeight="false" outlineLevel="0" collapsed="false">
      <c r="B58" s="85" t="str">
        <f aca="false">IF($C$16,$C$22+(0.02),"")</f>
        <v/>
      </c>
      <c r="C58" s="86" t="str">
        <f aca="false">IF($C$16,IFERROR(IF($B58&gt;C$53,(SUMPRODUCT($G$33:$K$33/(1+$B58)^$G$26:$K$26)+$K$33*(1+C$53)/($B58-C$53)/(1+$B58)^5+SUM($C$43:$C$47))/Asumsi!$C$118,"n/a"),""),"")</f>
        <v/>
      </c>
      <c r="D58" s="86" t="str">
        <f aca="false">IF($C$16,IFERROR(IF($B58&gt;D$53,(SUMPRODUCT($G$33:$K$33/(1+$B58)^$G$26:$K$26)+$K$33*(1+D$53)/($B58-D$53)/(1+$B58)^5+SUM($C$43:$C$47))/Asumsi!$C$118,"n/a"),""),"")</f>
        <v/>
      </c>
      <c r="E58" s="86" t="str">
        <f aca="false">IF($C$16,IFERROR(IF($B58&gt;E$53,(SUMPRODUCT($G$33:$K$33/(1+$B58)^$G$26:$K$26)+$K$33*(1+E$53)/($B58-E$53)/(1+$B58)^5+SUM($C$43:$C$47))/Asumsi!$C$118,"n/a"),""),"")</f>
        <v/>
      </c>
      <c r="F58" s="86" t="str">
        <f aca="false">IF($C$16,IFERROR(IF($B58&gt;F$53,(SUMPRODUCT($G$33:$K$33/(1+$B58)^$G$26:$K$26)+$K$33*(1+F$53)/($B58-F$53)/(1+$B58)^5+SUM($C$43:$C$47))/Asumsi!$C$118,"n/a"),""),"")</f>
        <v/>
      </c>
      <c r="G58" s="86" t="str">
        <f aca="false">IF($C$16,IFERROR(IF($B58&gt;G$53,(SUMPRODUCT($G$33:$K$33/(1+$B58)^$G$26:$K$26)+$K$33*(1+G$53)/($B58-G$53)/(1+$B58)^5+SUM($C$43:$C$47))/Asumsi!$C$118,"n/a"),""),"")</f>
        <v/>
      </c>
    </row>
    <row r="60" customFormat="false" ht="15" hidden="false" customHeight="false" outlineLevel="0" collapsed="false">
      <c r="B60" s="55" t="s">
        <v>593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594</v>
      </c>
    </row>
    <row r="2" customFormat="false" ht="15" hidden="false" customHeight="false" outlineLevel="0" collapsed="false">
      <c r="A2" s="15" t="s">
        <v>595</v>
      </c>
    </row>
    <row r="4" customFormat="false" ht="42" hidden="false" customHeight="true" outlineLevel="0" collapsed="false">
      <c r="A4" s="25" t="s">
        <v>328</v>
      </c>
      <c r="B4" s="25" t="s">
        <v>596</v>
      </c>
      <c r="C4" s="25" t="s">
        <v>597</v>
      </c>
      <c r="D4" s="25" t="s">
        <v>598</v>
      </c>
      <c r="E4" s="25" t="s">
        <v>599</v>
      </c>
      <c r="F4" s="25" t="s">
        <v>176</v>
      </c>
      <c r="G4" s="25" t="s">
        <v>177</v>
      </c>
      <c r="H4" s="25" t="s">
        <v>387</v>
      </c>
      <c r="I4" s="25" t="s">
        <v>181</v>
      </c>
      <c r="J4" s="25" t="s">
        <v>600</v>
      </c>
      <c r="K4" s="25" t="s">
        <v>601</v>
      </c>
      <c r="L4" s="25" t="s">
        <v>180</v>
      </c>
      <c r="M4" s="25" t="s">
        <v>602</v>
      </c>
      <c r="N4" s="25" t="s">
        <v>603</v>
      </c>
      <c r="O4" s="25" t="s">
        <v>604</v>
      </c>
      <c r="P4" s="25" t="s">
        <v>605</v>
      </c>
      <c r="Q4" s="25" t="s">
        <v>606</v>
      </c>
    </row>
    <row r="5" customFormat="false" ht="15" hidden="false" customHeight="false" outlineLevel="0" collapsed="false">
      <c r="A5" s="13" t="s">
        <v>607</v>
      </c>
      <c r="B5" s="13" t="s">
        <v>608</v>
      </c>
      <c r="C5" s="13" t="s">
        <v>609</v>
      </c>
      <c r="D5" s="87" t="n">
        <v>2025</v>
      </c>
      <c r="E5" s="46" t="n">
        <f aca="false">IS_Proj!F10/1000000000</f>
        <v>144.873268389</v>
      </c>
      <c r="F5" s="48" t="n">
        <f aca="false">IS_Proj!F11</f>
        <v>-0.0477775269729314</v>
      </c>
      <c r="G5" s="48" t="n">
        <f aca="false">IS_Proj!F31</f>
        <v>0.105911880725989</v>
      </c>
      <c r="H5" s="48" t="n">
        <f aca="false">IS_Proj!F33</f>
        <v>0.0415666574238566</v>
      </c>
      <c r="I5" s="48" t="n">
        <f aca="false">BS_Proj!F32</f>
        <v>0.035818840873923</v>
      </c>
      <c r="J5" s="48" t="n">
        <f aca="false">IS_Proj!F25/BS_Proj!F15</f>
        <v>0.0182364106764615</v>
      </c>
      <c r="K5" s="50" t="n">
        <f aca="false">BS_Proj!F18/BS_Proj!F27</f>
        <v>0.435686788582589</v>
      </c>
      <c r="L5" s="50" t="n">
        <f aca="false">BS_Proj!F33</f>
        <v>5.68731822121531</v>
      </c>
      <c r="M5" s="88"/>
      <c r="N5" s="88"/>
      <c r="O5" s="48" t="n">
        <f aca="false">IS_Proj!F6/IS_Proj!F10</f>
        <v>0.211221458508376</v>
      </c>
      <c r="P5" s="13" t="s">
        <v>610</v>
      </c>
      <c r="Q5" s="13"/>
    </row>
    <row r="6" customFormat="false" ht="15" hidden="false" customHeight="false" outlineLevel="0" collapsed="false">
      <c r="A6" s="89"/>
      <c r="B6" s="89"/>
      <c r="C6" s="89"/>
      <c r="D6" s="90"/>
      <c r="E6" s="91"/>
      <c r="F6" s="75"/>
      <c r="G6" s="75"/>
      <c r="H6" s="75"/>
      <c r="I6" s="75"/>
      <c r="J6" s="75"/>
      <c r="K6" s="77"/>
      <c r="L6" s="77"/>
      <c r="M6" s="92"/>
      <c r="N6" s="92"/>
      <c r="O6" s="75"/>
      <c r="P6" s="89"/>
      <c r="Q6" s="89"/>
    </row>
    <row r="7" customFormat="false" ht="15" hidden="false" customHeight="false" outlineLevel="0" collapsed="false">
      <c r="A7" s="89"/>
      <c r="B7" s="89"/>
      <c r="C7" s="89"/>
      <c r="D7" s="90"/>
      <c r="E7" s="91"/>
      <c r="F7" s="75"/>
      <c r="G7" s="75"/>
      <c r="H7" s="75"/>
      <c r="I7" s="75"/>
      <c r="J7" s="75"/>
      <c r="K7" s="77"/>
      <c r="L7" s="77"/>
      <c r="M7" s="92"/>
      <c r="N7" s="92"/>
      <c r="O7" s="75"/>
      <c r="P7" s="89"/>
      <c r="Q7" s="89"/>
    </row>
    <row r="8" customFormat="false" ht="15" hidden="false" customHeight="false" outlineLevel="0" collapsed="false">
      <c r="A8" s="89"/>
      <c r="B8" s="89"/>
      <c r="C8" s="89"/>
      <c r="D8" s="90"/>
      <c r="E8" s="91"/>
      <c r="F8" s="75"/>
      <c r="G8" s="75"/>
      <c r="H8" s="75"/>
      <c r="I8" s="75"/>
      <c r="J8" s="75"/>
      <c r="K8" s="77"/>
      <c r="L8" s="77"/>
      <c r="M8" s="92"/>
      <c r="N8" s="92"/>
      <c r="O8" s="75"/>
      <c r="P8" s="89"/>
      <c r="Q8" s="89"/>
    </row>
    <row r="9" customFormat="false" ht="15" hidden="false" customHeight="false" outlineLevel="0" collapsed="false">
      <c r="A9" s="89"/>
      <c r="B9" s="89"/>
      <c r="C9" s="89"/>
      <c r="D9" s="90"/>
      <c r="E9" s="91"/>
      <c r="F9" s="75"/>
      <c r="G9" s="75"/>
      <c r="H9" s="75"/>
      <c r="I9" s="75"/>
      <c r="J9" s="75"/>
      <c r="K9" s="77"/>
      <c r="L9" s="77"/>
      <c r="M9" s="92"/>
      <c r="N9" s="92"/>
      <c r="O9" s="75"/>
      <c r="P9" s="89"/>
      <c r="Q9" s="89"/>
    </row>
    <row r="10" customFormat="false" ht="15" hidden="false" customHeight="false" outlineLevel="0" collapsed="false">
      <c r="A10" s="89"/>
      <c r="B10" s="89"/>
      <c r="C10" s="89"/>
      <c r="D10" s="90"/>
      <c r="E10" s="91"/>
      <c r="F10" s="75"/>
      <c r="G10" s="75"/>
      <c r="H10" s="75"/>
      <c r="I10" s="75"/>
      <c r="J10" s="75"/>
      <c r="K10" s="77"/>
      <c r="L10" s="77"/>
      <c r="M10" s="92"/>
      <c r="N10" s="92"/>
      <c r="O10" s="75"/>
      <c r="P10" s="89"/>
      <c r="Q10" s="89"/>
    </row>
    <row r="11" customFormat="false" ht="15" hidden="false" customHeight="false" outlineLevel="0" collapsed="false">
      <c r="A11" s="89"/>
      <c r="B11" s="89"/>
      <c r="C11" s="89"/>
      <c r="D11" s="90"/>
      <c r="E11" s="91"/>
      <c r="F11" s="75"/>
      <c r="G11" s="75"/>
      <c r="H11" s="75"/>
      <c r="I11" s="75"/>
      <c r="J11" s="75"/>
      <c r="K11" s="77"/>
      <c r="L11" s="77"/>
      <c r="M11" s="92"/>
      <c r="N11" s="92"/>
      <c r="O11" s="75"/>
      <c r="P11" s="89"/>
      <c r="Q11" s="89"/>
    </row>
    <row r="12" customFormat="false" ht="15" hidden="false" customHeight="false" outlineLevel="0" collapsed="false">
      <c r="A12" s="89"/>
      <c r="B12" s="89"/>
      <c r="C12" s="89"/>
      <c r="D12" s="90"/>
      <c r="E12" s="91"/>
      <c r="F12" s="75"/>
      <c r="G12" s="75"/>
      <c r="H12" s="75"/>
      <c r="I12" s="75"/>
      <c r="J12" s="75"/>
      <c r="K12" s="77"/>
      <c r="L12" s="77"/>
      <c r="M12" s="92"/>
      <c r="N12" s="92"/>
      <c r="O12" s="75"/>
      <c r="P12" s="89"/>
      <c r="Q12" s="89"/>
    </row>
    <row r="13" customFormat="false" ht="15" hidden="false" customHeight="false" outlineLevel="0" collapsed="false">
      <c r="A13" s="89"/>
      <c r="B13" s="89"/>
      <c r="C13" s="89"/>
      <c r="D13" s="90"/>
      <c r="E13" s="91"/>
      <c r="F13" s="75"/>
      <c r="G13" s="75"/>
      <c r="H13" s="75"/>
      <c r="I13" s="75"/>
      <c r="J13" s="75"/>
      <c r="K13" s="77"/>
      <c r="L13" s="77"/>
      <c r="M13" s="92"/>
      <c r="N13" s="92"/>
      <c r="O13" s="75"/>
      <c r="P13" s="89"/>
      <c r="Q13" s="89"/>
    </row>
    <row r="14" customFormat="false" ht="15" hidden="false" customHeight="false" outlineLevel="0" collapsed="false">
      <c r="B14" s="4" t="s">
        <v>611</v>
      </c>
      <c r="E14" s="93" t="str">
        <f aca="false">IF(COUNT(E6:E13)=0,"",MEDIAN(E6:E13))</f>
        <v/>
      </c>
      <c r="F14" s="85" t="str">
        <f aca="false">IF(COUNT(F6:F13)=0,"",MEDIAN(F6:F13))</f>
        <v/>
      </c>
      <c r="G14" s="85" t="str">
        <f aca="false">IF(COUNT(G6:G13)=0,"",MEDIAN(G6:G13))</f>
        <v/>
      </c>
      <c r="H14" s="85" t="str">
        <f aca="false">IF(COUNT(H6:H13)=0,"",MEDIAN(H6:H13))</f>
        <v/>
      </c>
      <c r="I14" s="85" t="str">
        <f aca="false">IF(COUNT(I6:I13)=0,"",MEDIAN(I6:I13))</f>
        <v/>
      </c>
      <c r="J14" s="85" t="str">
        <f aca="false">IF(COUNT(J6:J13)=0,"",MEDIAN(J6:J13))</f>
        <v/>
      </c>
      <c r="K14" s="94" t="str">
        <f aca="false">IF(COUNT(K6:K13)=0,"",MEDIAN(K6:K13))</f>
        <v/>
      </c>
      <c r="L14" s="94" t="str">
        <f aca="false">IF(COUNT(L6:L13)=0,"",MEDIAN(L6:L13))</f>
        <v/>
      </c>
      <c r="M14" s="95" t="str">
        <f aca="false">IF(COUNT(M6:M13)=0,"",MEDIAN(M6:M13))</f>
        <v/>
      </c>
      <c r="N14" s="95" t="str">
        <f aca="false">IF(COUNT(N6:N13)=0,"",MEDIAN(N6:N13))</f>
        <v/>
      </c>
      <c r="O14" s="85" t="str">
        <f aca="false">IF(COUNT(O6:O13)=0,"",MEDIAN(O6:O13))</f>
        <v/>
      </c>
    </row>
    <row r="15" customFormat="false" ht="15" hidden="false" customHeight="false" outlineLevel="0" collapsed="false">
      <c r="B15" s="4" t="s">
        <v>612</v>
      </c>
      <c r="E15" s="93" t="str">
        <f aca="false">IF(COUNT(E6:E13)=0,"",AVERAGE(E6:E13))</f>
        <v/>
      </c>
      <c r="F15" s="85" t="str">
        <f aca="false">IF(COUNT(F6:F13)=0,"",AVERAGE(F6:F13))</f>
        <v/>
      </c>
      <c r="G15" s="85" t="str">
        <f aca="false">IF(COUNT(G6:G13)=0,"",AVERAGE(G6:G13))</f>
        <v/>
      </c>
      <c r="H15" s="85" t="str">
        <f aca="false">IF(COUNT(H6:H13)=0,"",AVERAGE(H6:H13))</f>
        <v/>
      </c>
      <c r="I15" s="85" t="str">
        <f aca="false">IF(COUNT(I6:I13)=0,"",AVERAGE(I6:I13))</f>
        <v/>
      </c>
      <c r="J15" s="85" t="str">
        <f aca="false">IF(COUNT(J6:J13)=0,"",AVERAGE(J6:J13))</f>
        <v/>
      </c>
      <c r="K15" s="94" t="str">
        <f aca="false">IF(COUNT(K6:K13)=0,"",AVERAGE(K6:K13))</f>
        <v/>
      </c>
      <c r="L15" s="94" t="str">
        <f aca="false">IF(COUNT(L6:L13)=0,"",AVERAGE(L6:L13))</f>
        <v/>
      </c>
      <c r="M15" s="95" t="str">
        <f aca="false">IF(COUNT(M6:M13)=0,"",AVERAGE(M6:M13))</f>
        <v/>
      </c>
      <c r="N15" s="95" t="str">
        <f aca="false">IF(COUNT(N6:N13)=0,"",AVERAGE(N6:N13))</f>
        <v/>
      </c>
      <c r="O15" s="85" t="str">
        <f aca="false">IF(COUNT(O6:O13)=0,"",AVERAGE(O6:O13))</f>
        <v/>
      </c>
    </row>
    <row r="17" customFormat="false" ht="15" hidden="false" customHeight="false" outlineLevel="0" collapsed="false">
      <c r="B17" s="15" t="s">
        <v>613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6" min="3" style="0" width="16"/>
    <col collapsed="false" customWidth="true" hidden="false" outlineLevel="0" max="7" min="7" style="0" width="55"/>
  </cols>
  <sheetData>
    <row r="1" customFormat="false" ht="17.35" hidden="false" customHeight="false" outlineLevel="0" collapsed="false">
      <c r="A1" s="14" t="s">
        <v>614</v>
      </c>
    </row>
    <row r="2" customFormat="false" ht="15" hidden="false" customHeight="false" outlineLevel="0" collapsed="false">
      <c r="A2" s="15" t="s">
        <v>615</v>
      </c>
    </row>
    <row r="3" customFormat="false" ht="39.75" hidden="false" customHeight="true" outlineLevel="0" collapsed="false">
      <c r="B3" s="15" t="s">
        <v>616</v>
      </c>
      <c r="C3" s="96" t="s">
        <v>617</v>
      </c>
      <c r="D3" s="97" t="s">
        <v>617</v>
      </c>
      <c r="E3" s="97" t="s">
        <v>618</v>
      </c>
      <c r="F3" s="97" t="s">
        <v>619</v>
      </c>
      <c r="G3" s="5" t="s">
        <v>620</v>
      </c>
    </row>
    <row r="4" customFormat="false" ht="15" hidden="false" customHeight="false" outlineLevel="0" collapsed="false">
      <c r="A4" s="25" t="s">
        <v>328</v>
      </c>
      <c r="B4" s="25" t="s">
        <v>329</v>
      </c>
      <c r="C4" s="25" t="s">
        <v>130</v>
      </c>
      <c r="D4" s="25" t="s">
        <v>131</v>
      </c>
      <c r="E4" s="25" t="s">
        <v>132</v>
      </c>
      <c r="F4" s="25" t="s">
        <v>133</v>
      </c>
      <c r="G4" s="25" t="s">
        <v>330</v>
      </c>
    </row>
    <row r="5" customFormat="false" ht="15" hidden="false" customHeight="false" outlineLevel="0" collapsed="false">
      <c r="A5" s="16"/>
      <c r="B5" s="17" t="s">
        <v>621</v>
      </c>
      <c r="C5" s="16"/>
      <c r="D5" s="16"/>
      <c r="E5" s="16"/>
      <c r="F5" s="16"/>
      <c r="G5" s="16"/>
    </row>
    <row r="6" customFormat="false" ht="15" hidden="false" customHeight="false" outlineLevel="0" collapsed="false">
      <c r="A6" s="56" t="s">
        <v>622</v>
      </c>
      <c r="B6" s="13" t="s">
        <v>623</v>
      </c>
      <c r="C6" s="63" t="n">
        <v>99578144421</v>
      </c>
      <c r="D6" s="63" t="n">
        <v>134187678929</v>
      </c>
      <c r="E6" s="63" t="n">
        <v>152142248784</v>
      </c>
      <c r="F6" s="63" t="n">
        <v>144873268389</v>
      </c>
      <c r="G6" s="15" t="s">
        <v>624</v>
      </c>
    </row>
    <row r="7" customFormat="false" ht="15" hidden="false" customHeight="false" outlineLevel="0" collapsed="false">
      <c r="A7" s="56" t="s">
        <v>625</v>
      </c>
      <c r="B7" s="13" t="s">
        <v>626</v>
      </c>
      <c r="C7" s="63" t="n">
        <v>-67593755280</v>
      </c>
      <c r="D7" s="63" t="n">
        <v>-89574415546</v>
      </c>
      <c r="E7" s="63" t="n">
        <v>-104806476450</v>
      </c>
      <c r="F7" s="63" t="n">
        <v>-110732463969</v>
      </c>
      <c r="G7" s="15" t="s">
        <v>627</v>
      </c>
    </row>
    <row r="8" customFormat="false" ht="15" hidden="false" customHeight="false" outlineLevel="0" collapsed="false">
      <c r="A8" s="65" t="s">
        <v>628</v>
      </c>
      <c r="B8" s="66" t="s">
        <v>629</v>
      </c>
      <c r="C8" s="68" t="n">
        <f aca="false">C6+C7</f>
        <v>31984389141</v>
      </c>
      <c r="D8" s="68" t="n">
        <f aca="false">D6+D7</f>
        <v>44613263383</v>
      </c>
      <c r="E8" s="68" t="n">
        <f aca="false">E6+E7</f>
        <v>47335772334</v>
      </c>
      <c r="F8" s="68" t="n">
        <f aca="false">F6+F7</f>
        <v>34140804420</v>
      </c>
    </row>
    <row r="9" customFormat="false" ht="15" hidden="false" customHeight="false" outlineLevel="0" collapsed="false">
      <c r="A9" s="56" t="s">
        <v>630</v>
      </c>
      <c r="B9" s="13" t="s">
        <v>631</v>
      </c>
      <c r="C9" s="63" t="n">
        <v>-974896353</v>
      </c>
      <c r="D9" s="63" t="n">
        <v>-3183805931</v>
      </c>
      <c r="E9" s="63" t="n">
        <v>-4061959293</v>
      </c>
      <c r="F9" s="63" t="n">
        <v>-2783285450</v>
      </c>
      <c r="G9" s="15" t="s">
        <v>632</v>
      </c>
    </row>
    <row r="10" customFormat="false" ht="15" hidden="false" customHeight="false" outlineLevel="0" collapsed="false">
      <c r="A10" s="56" t="s">
        <v>633</v>
      </c>
      <c r="B10" s="13" t="s">
        <v>634</v>
      </c>
      <c r="C10" s="63" t="n">
        <v>-23863495422</v>
      </c>
      <c r="D10" s="63" t="n">
        <v>-31755062789</v>
      </c>
      <c r="E10" s="63" t="n">
        <v>-31962658076</v>
      </c>
      <c r="F10" s="63" t="n">
        <v>-27906878912</v>
      </c>
      <c r="G10" s="15" t="s">
        <v>635</v>
      </c>
    </row>
    <row r="11" customFormat="false" ht="15" hidden="false" customHeight="false" outlineLevel="0" collapsed="false">
      <c r="A11" s="65" t="s">
        <v>636</v>
      </c>
      <c r="B11" s="66" t="s">
        <v>637</v>
      </c>
      <c r="C11" s="68" t="n">
        <f aca="false">C9+C10</f>
        <v>-24838391775</v>
      </c>
      <c r="D11" s="68" t="n">
        <f aca="false">D9+D10</f>
        <v>-34938868720</v>
      </c>
      <c r="E11" s="68" t="n">
        <f aca="false">E9+E10</f>
        <v>-36024617369</v>
      </c>
      <c r="F11" s="68" t="n">
        <f aca="false">F9+F10</f>
        <v>-30690164362</v>
      </c>
    </row>
    <row r="12" customFormat="false" ht="15" hidden="false" customHeight="false" outlineLevel="0" collapsed="false">
      <c r="A12" s="56" t="s">
        <v>638</v>
      </c>
      <c r="B12" s="13" t="s">
        <v>639</v>
      </c>
      <c r="C12" s="63" t="n">
        <v>1226392843</v>
      </c>
      <c r="D12" s="63" t="n">
        <v>75326392</v>
      </c>
      <c r="E12" s="63" t="n">
        <v>313957191</v>
      </c>
      <c r="F12" s="63" t="n">
        <v>-710131821</v>
      </c>
      <c r="G12" s="15" t="s">
        <v>640</v>
      </c>
    </row>
    <row r="13" customFormat="false" ht="15" hidden="false" customHeight="false" outlineLevel="0" collapsed="false">
      <c r="A13" s="65" t="s">
        <v>641</v>
      </c>
      <c r="B13" s="66" t="s">
        <v>351</v>
      </c>
      <c r="C13" s="68" t="n">
        <f aca="false">C12</f>
        <v>1226392843</v>
      </c>
      <c r="D13" s="68" t="n">
        <f aca="false">D12</f>
        <v>75326392</v>
      </c>
      <c r="E13" s="68" t="n">
        <f aca="false">E12</f>
        <v>313957191</v>
      </c>
      <c r="F13" s="68" t="n">
        <f aca="false">F12</f>
        <v>-710131821</v>
      </c>
    </row>
    <row r="14" customFormat="false" ht="15" hidden="false" customHeight="false" outlineLevel="0" collapsed="false">
      <c r="A14" s="65" t="s">
        <v>642</v>
      </c>
      <c r="B14" s="66" t="s">
        <v>643</v>
      </c>
      <c r="C14" s="68" t="n">
        <f aca="false">C8+C11+C13</f>
        <v>8372390209</v>
      </c>
      <c r="D14" s="68" t="n">
        <f aca="false">D8+D11+D13</f>
        <v>9749721055</v>
      </c>
      <c r="E14" s="68" t="n">
        <f aca="false">E8+E11+E13</f>
        <v>11625112156</v>
      </c>
      <c r="F14" s="68" t="n">
        <f aca="false">F8+F11+F13</f>
        <v>2740508237</v>
      </c>
    </row>
    <row r="15" customFormat="false" ht="15" hidden="false" customHeight="false" outlineLevel="0" collapsed="false">
      <c r="A15" s="56" t="s">
        <v>644</v>
      </c>
      <c r="B15" s="13" t="s">
        <v>363</v>
      </c>
      <c r="C15" s="63" t="n">
        <v>-3643595812</v>
      </c>
      <c r="D15" s="63" t="n">
        <v>-7565985614</v>
      </c>
      <c r="E15" s="63" t="n">
        <v>-11555610977</v>
      </c>
      <c r="F15" s="63" t="n">
        <v>-10242145297</v>
      </c>
      <c r="G15" s="15" t="s">
        <v>645</v>
      </c>
    </row>
    <row r="16" customFormat="false" ht="15" hidden="false" customHeight="false" outlineLevel="0" collapsed="false">
      <c r="A16" s="56" t="s">
        <v>646</v>
      </c>
      <c r="B16" s="13" t="s">
        <v>360</v>
      </c>
      <c r="C16" s="63" t="n">
        <v>0</v>
      </c>
      <c r="D16" s="63" t="n">
        <v>0</v>
      </c>
      <c r="E16" s="63" t="n">
        <v>0</v>
      </c>
      <c r="F16" s="63" t="n">
        <v>13190576716</v>
      </c>
      <c r="G16" s="15" t="s">
        <v>647</v>
      </c>
    </row>
    <row r="17" customFormat="false" ht="15" hidden="false" customHeight="false" outlineLevel="0" collapsed="false">
      <c r="A17" s="65" t="s">
        <v>648</v>
      </c>
      <c r="B17" s="66" t="s">
        <v>366</v>
      </c>
      <c r="C17" s="68" t="n">
        <f aca="false">C14+C16+C15</f>
        <v>4728794397</v>
      </c>
      <c r="D17" s="68" t="n">
        <f aca="false">D14+D16+D15</f>
        <v>2183735441</v>
      </c>
      <c r="E17" s="68" t="n">
        <f aca="false">E14+E16+E15</f>
        <v>69501179</v>
      </c>
      <c r="F17" s="68" t="n">
        <f aca="false">F14+F16+F15</f>
        <v>5688939656</v>
      </c>
    </row>
    <row r="18" customFormat="false" ht="15" hidden="false" customHeight="false" outlineLevel="0" collapsed="false">
      <c r="A18" s="56" t="s">
        <v>649</v>
      </c>
      <c r="B18" s="13" t="s">
        <v>650</v>
      </c>
      <c r="C18" s="63" t="n">
        <v>-1220088106</v>
      </c>
      <c r="D18" s="63" t="n">
        <v>-1675692417</v>
      </c>
      <c r="E18" s="63" t="n">
        <v>-480368880</v>
      </c>
      <c r="F18" s="63" t="n">
        <v>332957861</v>
      </c>
      <c r="G18" s="15" t="s">
        <v>651</v>
      </c>
    </row>
    <row r="19" customFormat="false" ht="15" hidden="false" customHeight="false" outlineLevel="0" collapsed="false">
      <c r="A19" s="56" t="s">
        <v>652</v>
      </c>
      <c r="B19" s="13" t="s">
        <v>653</v>
      </c>
      <c r="C19" s="63" t="n">
        <v>1379459473</v>
      </c>
      <c r="D19" s="63" t="n">
        <v>3031673373</v>
      </c>
      <c r="E19" s="63" t="n">
        <v>3248230974</v>
      </c>
      <c r="F19" s="63" t="n">
        <v>0</v>
      </c>
      <c r="G19" s="15" t="s">
        <v>654</v>
      </c>
    </row>
    <row r="20" customFormat="false" ht="15" hidden="false" customHeight="false" outlineLevel="0" collapsed="false">
      <c r="A20" s="65" t="s">
        <v>655</v>
      </c>
      <c r="B20" s="66" t="s">
        <v>138</v>
      </c>
      <c r="C20" s="68" t="n">
        <f aca="false">C17+C18+C19</f>
        <v>4888165764</v>
      </c>
      <c r="D20" s="68" t="n">
        <f aca="false">D17+D18+D19</f>
        <v>3539716397</v>
      </c>
      <c r="E20" s="68" t="n">
        <f aca="false">E17+E18+E19</f>
        <v>2837363273</v>
      </c>
      <c r="F20" s="68" t="n">
        <f aca="false">F17+F18+F19</f>
        <v>6021897517</v>
      </c>
    </row>
    <row r="21" customFormat="false" ht="15" hidden="false" customHeight="false" outlineLevel="0" collapsed="false">
      <c r="A21" s="16"/>
      <c r="B21" s="17" t="s">
        <v>656</v>
      </c>
      <c r="C21" s="16"/>
      <c r="D21" s="16"/>
      <c r="E21" s="16"/>
      <c r="F21" s="16"/>
      <c r="G21" s="16"/>
    </row>
    <row r="22" customFormat="false" ht="15" hidden="false" customHeight="false" outlineLevel="0" collapsed="false">
      <c r="A22" s="56" t="s">
        <v>657</v>
      </c>
      <c r="B22" s="13" t="s">
        <v>658</v>
      </c>
      <c r="C22" s="63" t="n">
        <v>0</v>
      </c>
      <c r="D22" s="63" t="n">
        <v>25288897160</v>
      </c>
      <c r="E22" s="63" t="n">
        <v>0</v>
      </c>
      <c r="F22" s="63" t="n">
        <v>0</v>
      </c>
      <c r="G22" s="15" t="s">
        <v>659</v>
      </c>
    </row>
    <row r="23" customFormat="false" ht="15" hidden="false" customHeight="false" outlineLevel="0" collapsed="false">
      <c r="A23" s="56" t="s">
        <v>660</v>
      </c>
      <c r="B23" s="13" t="s">
        <v>661</v>
      </c>
      <c r="C23" s="63" t="n">
        <v>-364663854</v>
      </c>
      <c r="D23" s="63" t="n">
        <v>2259954342</v>
      </c>
      <c r="E23" s="63" t="n">
        <v>209939468</v>
      </c>
      <c r="F23" s="63" t="n">
        <v>1003162921</v>
      </c>
      <c r="G23" s="15" t="s">
        <v>662</v>
      </c>
    </row>
    <row r="24" customFormat="false" ht="15" hidden="false" customHeight="false" outlineLevel="0" collapsed="false">
      <c r="A24" s="56" t="s">
        <v>663</v>
      </c>
      <c r="B24" s="13" t="s">
        <v>664</v>
      </c>
      <c r="C24" s="63" t="n">
        <v>80226048</v>
      </c>
      <c r="D24" s="63" t="n">
        <v>-497189955</v>
      </c>
      <c r="E24" s="63" t="n">
        <v>-46186683</v>
      </c>
      <c r="F24" s="63" t="n">
        <v>-220695843</v>
      </c>
      <c r="G24" s="15" t="s">
        <v>665</v>
      </c>
    </row>
    <row r="25" customFormat="false" ht="15" hidden="false" customHeight="false" outlineLevel="0" collapsed="false">
      <c r="A25" s="56" t="s">
        <v>666</v>
      </c>
      <c r="B25" s="13" t="s">
        <v>667</v>
      </c>
      <c r="C25" s="63" t="n">
        <v>0</v>
      </c>
      <c r="D25" s="63" t="n">
        <v>0</v>
      </c>
      <c r="E25" s="63" t="n">
        <v>128763209</v>
      </c>
      <c r="F25" s="63" t="n">
        <v>0</v>
      </c>
      <c r="G25" s="15" t="s">
        <v>668</v>
      </c>
    </row>
    <row r="26" customFormat="false" ht="15" hidden="false" customHeight="false" outlineLevel="0" collapsed="false">
      <c r="A26" s="65" t="s">
        <v>669</v>
      </c>
      <c r="B26" s="66" t="s">
        <v>670</v>
      </c>
      <c r="C26" s="68" t="n">
        <f aca="false">C22+C23+C24+C25</f>
        <v>-284437806</v>
      </c>
      <c r="D26" s="68" t="n">
        <f aca="false">D22+D23+D24+D25</f>
        <v>27051661547</v>
      </c>
      <c r="E26" s="68" t="n">
        <f aca="false">E22+E23+E24+E25</f>
        <v>292515994</v>
      </c>
      <c r="F26" s="68" t="n">
        <f aca="false">F22+F23+F24+F25</f>
        <v>782467078</v>
      </c>
    </row>
    <row r="27" customFormat="false" ht="15" hidden="false" customHeight="false" outlineLevel="0" collapsed="false">
      <c r="A27" s="65" t="s">
        <v>671</v>
      </c>
      <c r="B27" s="66" t="s">
        <v>672</v>
      </c>
      <c r="C27" s="68" t="n">
        <f aca="false">C20+C26</f>
        <v>4603727958</v>
      </c>
      <c r="D27" s="68" t="n">
        <f aca="false">D20+D26</f>
        <v>30591377944</v>
      </c>
      <c r="E27" s="68" t="n">
        <f aca="false">E20+E26</f>
        <v>3129879267</v>
      </c>
      <c r="F27" s="68" t="n">
        <f aca="false">F20+F26</f>
        <v>6804364595</v>
      </c>
    </row>
    <row r="28" customFormat="false" ht="15" hidden="false" customHeight="false" outlineLevel="0" collapsed="false">
      <c r="A28" s="16"/>
      <c r="B28" s="17" t="s">
        <v>673</v>
      </c>
      <c r="C28" s="16"/>
      <c r="D28" s="16"/>
      <c r="E28" s="16"/>
      <c r="F28" s="16"/>
      <c r="G28" s="16"/>
    </row>
    <row r="29" customFormat="false" ht="15" hidden="false" customHeight="false" outlineLevel="0" collapsed="false">
      <c r="A29" s="56" t="s">
        <v>674</v>
      </c>
      <c r="B29" s="13" t="s">
        <v>675</v>
      </c>
      <c r="C29" s="63" t="n">
        <v>4888165764</v>
      </c>
      <c r="D29" s="63" t="n">
        <v>3539716397</v>
      </c>
      <c r="E29" s="63" t="n">
        <v>2837231824</v>
      </c>
      <c r="F29" s="63" t="n">
        <v>6021648113</v>
      </c>
      <c r="G29" s="15" t="s">
        <v>676</v>
      </c>
    </row>
    <row r="30" customFormat="false" ht="15" hidden="false" customHeight="false" outlineLevel="0" collapsed="false">
      <c r="A30" s="56" t="s">
        <v>677</v>
      </c>
      <c r="B30" s="13" t="s">
        <v>678</v>
      </c>
      <c r="C30" s="63" t="n">
        <v>0</v>
      </c>
      <c r="D30" s="63" t="n">
        <v>0</v>
      </c>
      <c r="E30" s="63" t="n">
        <v>131449</v>
      </c>
      <c r="F30" s="63" t="n">
        <v>249404</v>
      </c>
      <c r="G30" s="15" t="s">
        <v>679</v>
      </c>
    </row>
    <row r="31" customFormat="false" ht="15" hidden="false" customHeight="false" outlineLevel="0" collapsed="false">
      <c r="A31" s="56" t="s">
        <v>680</v>
      </c>
      <c r="B31" s="13" t="s">
        <v>681</v>
      </c>
      <c r="C31" s="63" t="n">
        <v>4603727958</v>
      </c>
      <c r="D31" s="63" t="n">
        <v>30591377944</v>
      </c>
      <c r="E31" s="63" t="n">
        <v>3129872183</v>
      </c>
      <c r="F31" s="63" t="n">
        <v>6804407373</v>
      </c>
      <c r="G31" s="15" t="s">
        <v>682</v>
      </c>
    </row>
    <row r="32" customFormat="false" ht="15" hidden="false" customHeight="false" outlineLevel="0" collapsed="false">
      <c r="A32" s="56" t="s">
        <v>683</v>
      </c>
      <c r="B32" s="13" t="s">
        <v>684</v>
      </c>
      <c r="C32" s="63" t="n">
        <v>0</v>
      </c>
      <c r="D32" s="63" t="n">
        <v>0</v>
      </c>
      <c r="E32" s="63" t="n">
        <v>-7084</v>
      </c>
      <c r="F32" s="63" t="n">
        <v>42778</v>
      </c>
      <c r="G32" s="15" t="s">
        <v>685</v>
      </c>
    </row>
    <row r="33" customFormat="false" ht="15" hidden="false" customHeight="false" outlineLevel="0" collapsed="false">
      <c r="A33" s="56" t="s">
        <v>686</v>
      </c>
      <c r="B33" s="13" t="s">
        <v>687</v>
      </c>
      <c r="C33" s="98" t="n">
        <v>8.81</v>
      </c>
      <c r="D33" s="98" t="n">
        <v>6.38</v>
      </c>
      <c r="E33" s="98" t="n">
        <v>4</v>
      </c>
      <c r="F33" s="98" t="n">
        <v>3</v>
      </c>
      <c r="G33" s="15" t="s">
        <v>688</v>
      </c>
    </row>
    <row r="34" customFormat="false" ht="15" hidden="false" customHeight="false" outlineLevel="0" collapsed="false">
      <c r="A34" s="56" t="s">
        <v>689</v>
      </c>
      <c r="B34" s="13" t="s">
        <v>690</v>
      </c>
      <c r="C34" s="98" t="n">
        <v>8.81</v>
      </c>
      <c r="D34" s="98" t="n">
        <v>6.38</v>
      </c>
      <c r="E34" s="98" t="n">
        <v>4</v>
      </c>
      <c r="F34" s="98" t="n">
        <v>3</v>
      </c>
      <c r="G34" s="15" t="s">
        <v>691</v>
      </c>
    </row>
    <row r="35" customFormat="false" ht="15" hidden="false" customHeight="false" outlineLevel="0" collapsed="false">
      <c r="A35" s="16"/>
      <c r="B35" s="17" t="s">
        <v>692</v>
      </c>
      <c r="C35" s="16"/>
      <c r="D35" s="16"/>
      <c r="E35" s="16"/>
      <c r="F35" s="16"/>
      <c r="G35" s="16"/>
    </row>
    <row r="36" customFormat="false" ht="15" hidden="false" customHeight="false" outlineLevel="0" collapsed="false">
      <c r="A36" s="56" t="s">
        <v>693</v>
      </c>
      <c r="B36" s="13" t="s">
        <v>694</v>
      </c>
      <c r="C36" s="63" t="n">
        <v>31984389141</v>
      </c>
      <c r="D36" s="63" t="n">
        <v>44613263383</v>
      </c>
      <c r="E36" s="63" t="n">
        <v>47335772334</v>
      </c>
      <c r="F36" s="63" t="n">
        <v>34140804420</v>
      </c>
      <c r="G36" s="15" t="s">
        <v>695</v>
      </c>
    </row>
    <row r="37" customFormat="false" ht="15" hidden="false" customHeight="false" outlineLevel="0" collapsed="false">
      <c r="A37" s="56" t="s">
        <v>696</v>
      </c>
      <c r="B37" s="13" t="s">
        <v>697</v>
      </c>
      <c r="C37" s="63" t="n">
        <v>7145997366</v>
      </c>
      <c r="D37" s="63" t="n">
        <v>9674394663</v>
      </c>
      <c r="E37" s="63" t="n">
        <v>11311154965</v>
      </c>
      <c r="F37" s="63" t="n">
        <v>3450640058</v>
      </c>
      <c r="G37" s="15" t="s">
        <v>698</v>
      </c>
    </row>
    <row r="38" customFormat="false" ht="15" hidden="false" customHeight="false" outlineLevel="0" collapsed="false">
      <c r="A38" s="56" t="s">
        <v>699</v>
      </c>
      <c r="B38" s="13" t="s">
        <v>700</v>
      </c>
      <c r="C38" s="63" t="n">
        <v>4728794397</v>
      </c>
      <c r="D38" s="63" t="n">
        <v>2183735441</v>
      </c>
      <c r="E38" s="63" t="n">
        <v>69501179</v>
      </c>
      <c r="F38" s="63" t="n">
        <v>5688939656</v>
      </c>
      <c r="G38" s="15" t="s">
        <v>701</v>
      </c>
    </row>
    <row r="39" customFormat="false" ht="15" hidden="false" customHeight="false" outlineLevel="0" collapsed="false">
      <c r="A39" s="56" t="s">
        <v>702</v>
      </c>
      <c r="B39" s="13" t="s">
        <v>703</v>
      </c>
      <c r="C39" s="63" t="n">
        <v>4888165764</v>
      </c>
      <c r="D39" s="63" t="n">
        <v>3539716397</v>
      </c>
      <c r="E39" s="63" t="n">
        <v>2837363273</v>
      </c>
      <c r="F39" s="63" t="n">
        <v>6021897517</v>
      </c>
      <c r="G39" s="15" t="s">
        <v>704</v>
      </c>
    </row>
    <row r="40" customFormat="false" ht="15" hidden="false" customHeight="false" outlineLevel="0" collapsed="false">
      <c r="A40" s="56" t="s">
        <v>705</v>
      </c>
      <c r="B40" s="13" t="s">
        <v>706</v>
      </c>
      <c r="C40" s="63" t="n">
        <v>-284437806</v>
      </c>
      <c r="D40" s="63" t="n">
        <v>27051661547</v>
      </c>
      <c r="E40" s="63" t="n">
        <v>292515994</v>
      </c>
      <c r="F40" s="63" t="n">
        <v>782467078</v>
      </c>
      <c r="G40" s="15" t="s">
        <v>707</v>
      </c>
    </row>
    <row r="41" customFormat="false" ht="15" hidden="false" customHeight="false" outlineLevel="0" collapsed="false">
      <c r="A41" s="56" t="s">
        <v>708</v>
      </c>
      <c r="B41" s="13" t="s">
        <v>709</v>
      </c>
      <c r="C41" s="63" t="n">
        <v>4603727958</v>
      </c>
      <c r="D41" s="63" t="n">
        <v>30591377944</v>
      </c>
      <c r="E41" s="63" t="n">
        <v>3129879267</v>
      </c>
      <c r="F41" s="63" t="n">
        <v>6804364595</v>
      </c>
      <c r="G41" s="15" t="s">
        <v>710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G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6" min="3" style="0" width="16"/>
    <col collapsed="false" customWidth="true" hidden="false" outlineLevel="0" max="7" min="7" style="0" width="55"/>
  </cols>
  <sheetData>
    <row r="1" customFormat="false" ht="17.35" hidden="false" customHeight="false" outlineLevel="0" collapsed="false">
      <c r="A1" s="14" t="s">
        <v>711</v>
      </c>
    </row>
    <row r="2" customFormat="false" ht="15" hidden="false" customHeight="false" outlineLevel="0" collapsed="false">
      <c r="A2" s="15" t="s">
        <v>615</v>
      </c>
    </row>
    <row r="3" customFormat="false" ht="39.75" hidden="false" customHeight="true" outlineLevel="0" collapsed="false">
      <c r="B3" s="15" t="s">
        <v>616</v>
      </c>
      <c r="C3" s="96" t="s">
        <v>617</v>
      </c>
      <c r="D3" s="97" t="s">
        <v>617</v>
      </c>
      <c r="E3" s="97" t="s">
        <v>618</v>
      </c>
      <c r="F3" s="97" t="s">
        <v>619</v>
      </c>
      <c r="G3" s="5" t="s">
        <v>620</v>
      </c>
    </row>
    <row r="4" customFormat="false" ht="15" hidden="false" customHeight="false" outlineLevel="0" collapsed="false">
      <c r="A4" s="25" t="s">
        <v>328</v>
      </c>
      <c r="B4" s="25" t="s">
        <v>329</v>
      </c>
      <c r="C4" s="25" t="s">
        <v>130</v>
      </c>
      <c r="D4" s="25" t="s">
        <v>131</v>
      </c>
      <c r="E4" s="25" t="s">
        <v>132</v>
      </c>
      <c r="F4" s="25" t="s">
        <v>133</v>
      </c>
      <c r="G4" s="25" t="s">
        <v>330</v>
      </c>
    </row>
    <row r="5" customFormat="false" ht="15" hidden="false" customHeight="false" outlineLevel="0" collapsed="false">
      <c r="A5" s="16"/>
      <c r="B5" s="17" t="s">
        <v>389</v>
      </c>
      <c r="C5" s="16"/>
      <c r="D5" s="16"/>
      <c r="E5" s="16"/>
      <c r="F5" s="16"/>
      <c r="G5" s="16"/>
    </row>
    <row r="6" customFormat="false" ht="15" hidden="false" customHeight="false" outlineLevel="0" collapsed="false">
      <c r="A6" s="56" t="s">
        <v>712</v>
      </c>
      <c r="B6" s="13" t="s">
        <v>391</v>
      </c>
      <c r="C6" s="63" t="n">
        <v>29547207476</v>
      </c>
      <c r="D6" s="63" t="n">
        <v>2463973775</v>
      </c>
      <c r="E6" s="63" t="n">
        <v>2663388349</v>
      </c>
      <c r="F6" s="63" t="n">
        <v>4036506961</v>
      </c>
      <c r="G6" s="15" t="s">
        <v>713</v>
      </c>
    </row>
    <row r="7" customFormat="false" ht="15" hidden="false" customHeight="false" outlineLevel="0" collapsed="false">
      <c r="A7" s="56" t="s">
        <v>714</v>
      </c>
      <c r="B7" s="13" t="s">
        <v>715</v>
      </c>
      <c r="C7" s="63"/>
      <c r="D7" s="63"/>
      <c r="E7" s="63"/>
      <c r="F7" s="63"/>
      <c r="G7" s="15" t="s">
        <v>716</v>
      </c>
    </row>
    <row r="8" customFormat="false" ht="15" hidden="false" customHeight="false" outlineLevel="0" collapsed="false">
      <c r="A8" s="56" t="s">
        <v>717</v>
      </c>
      <c r="B8" s="13" t="s">
        <v>718</v>
      </c>
      <c r="C8" s="63" t="n">
        <v>12118406500</v>
      </c>
      <c r="D8" s="63" t="n">
        <v>16783681668</v>
      </c>
      <c r="E8" s="63" t="n">
        <v>25075858587</v>
      </c>
      <c r="F8" s="63" t="n">
        <v>18872446355</v>
      </c>
      <c r="G8" s="15" t="s">
        <v>719</v>
      </c>
    </row>
    <row r="9" customFormat="false" ht="15" hidden="false" customHeight="false" outlineLevel="0" collapsed="false">
      <c r="A9" s="56" t="s">
        <v>720</v>
      </c>
      <c r="B9" s="13" t="s">
        <v>721</v>
      </c>
      <c r="C9" s="63"/>
      <c r="D9" s="63"/>
      <c r="E9" s="63"/>
      <c r="F9" s="63"/>
      <c r="G9" s="15" t="s">
        <v>716</v>
      </c>
    </row>
    <row r="10" customFormat="false" ht="15" hidden="false" customHeight="false" outlineLevel="0" collapsed="false">
      <c r="A10" s="56" t="s">
        <v>722</v>
      </c>
      <c r="B10" s="13" t="s">
        <v>723</v>
      </c>
      <c r="C10" s="63" t="n">
        <v>97099554</v>
      </c>
      <c r="D10" s="63" t="n">
        <v>27440000</v>
      </c>
      <c r="E10" s="63" t="n">
        <v>630259097</v>
      </c>
      <c r="F10" s="63" t="n">
        <v>140874649</v>
      </c>
      <c r="G10" s="15" t="s">
        <v>724</v>
      </c>
    </row>
    <row r="11" customFormat="false" ht="15" hidden="false" customHeight="false" outlineLevel="0" collapsed="false">
      <c r="A11" s="56" t="s">
        <v>725</v>
      </c>
      <c r="B11" s="13" t="s">
        <v>726</v>
      </c>
      <c r="C11" s="63" t="n">
        <v>0</v>
      </c>
      <c r="D11" s="63" t="n">
        <v>0</v>
      </c>
      <c r="E11" s="63" t="n">
        <v>0</v>
      </c>
      <c r="F11" s="63" t="n">
        <v>13190606059</v>
      </c>
      <c r="G11" s="15" t="s">
        <v>727</v>
      </c>
    </row>
    <row r="12" customFormat="false" ht="15" hidden="false" customHeight="false" outlineLevel="0" collapsed="false">
      <c r="A12" s="56" t="s">
        <v>728</v>
      </c>
      <c r="B12" s="13" t="s">
        <v>396</v>
      </c>
      <c r="C12" s="63" t="n">
        <v>2264889867</v>
      </c>
      <c r="D12" s="63" t="n">
        <v>4036032457</v>
      </c>
      <c r="E12" s="63" t="n">
        <v>4135618544</v>
      </c>
      <c r="F12" s="63" t="n">
        <v>1336242114</v>
      </c>
      <c r="G12" s="15" t="s">
        <v>729</v>
      </c>
    </row>
    <row r="13" customFormat="false" ht="15" hidden="false" customHeight="false" outlineLevel="0" collapsed="false">
      <c r="A13" s="56" t="s">
        <v>730</v>
      </c>
      <c r="B13" s="13" t="s">
        <v>731</v>
      </c>
      <c r="C13" s="63" t="n">
        <v>1533846590</v>
      </c>
      <c r="D13" s="63" t="n">
        <v>4549578293</v>
      </c>
      <c r="E13" s="63" t="n">
        <v>58296415</v>
      </c>
      <c r="F13" s="63" t="n">
        <v>166401766</v>
      </c>
      <c r="G13" s="15" t="s">
        <v>732</v>
      </c>
    </row>
    <row r="14" customFormat="false" ht="15" hidden="false" customHeight="false" outlineLevel="0" collapsed="false">
      <c r="A14" s="56" t="s">
        <v>733</v>
      </c>
      <c r="B14" s="13" t="s">
        <v>734</v>
      </c>
      <c r="C14" s="63" t="n">
        <v>54908963</v>
      </c>
      <c r="D14" s="63" t="n">
        <v>39319861</v>
      </c>
      <c r="E14" s="63" t="n">
        <v>1166210842</v>
      </c>
      <c r="F14" s="63" t="n">
        <v>1468574720</v>
      </c>
      <c r="G14" s="15" t="s">
        <v>735</v>
      </c>
    </row>
    <row r="15" customFormat="false" ht="15" hidden="false" customHeight="false" outlineLevel="0" collapsed="false">
      <c r="A15" s="56" t="s">
        <v>736</v>
      </c>
      <c r="B15" s="13" t="s">
        <v>737</v>
      </c>
      <c r="C15" s="63" t="n">
        <v>0</v>
      </c>
      <c r="D15" s="63" t="n">
        <v>0</v>
      </c>
      <c r="E15" s="63" t="n">
        <v>1362895270</v>
      </c>
      <c r="F15" s="63" t="n">
        <v>133200000</v>
      </c>
      <c r="G15" s="15" t="s">
        <v>738</v>
      </c>
    </row>
    <row r="16" customFormat="false" ht="15" hidden="false" customHeight="false" outlineLevel="0" collapsed="false">
      <c r="A16" s="65" t="s">
        <v>739</v>
      </c>
      <c r="B16" s="66" t="s">
        <v>401</v>
      </c>
      <c r="C16" s="68" t="n">
        <f aca="false">C6+C7+C8+C9+C10+C11+C12+C13+C14+C15</f>
        <v>45616358950</v>
      </c>
      <c r="D16" s="68" t="n">
        <f aca="false">D6+D7+D8+D9+D10+D11+D12+D13+D14+D15</f>
        <v>27900026054</v>
      </c>
      <c r="E16" s="68" t="n">
        <f aca="false">E6+E7+E8+E9+E10+E11+E12+E13+E14+E15</f>
        <v>35092527104</v>
      </c>
      <c r="F16" s="68" t="n">
        <f aca="false">F6+F7+F8+F9+F10+F11+F12+F13+F14+F15</f>
        <v>39344852624</v>
      </c>
    </row>
    <row r="17" customFormat="false" ht="15" hidden="false" customHeight="false" outlineLevel="0" collapsed="false">
      <c r="A17" s="56" t="s">
        <v>740</v>
      </c>
      <c r="B17" s="13" t="s">
        <v>741</v>
      </c>
      <c r="C17" s="63"/>
      <c r="D17" s="63"/>
      <c r="E17" s="63"/>
      <c r="F17" s="63"/>
      <c r="G17" s="15" t="s">
        <v>716</v>
      </c>
    </row>
    <row r="18" customFormat="false" ht="15" hidden="false" customHeight="false" outlineLevel="0" collapsed="false">
      <c r="A18" s="56" t="s">
        <v>742</v>
      </c>
      <c r="B18" s="13" t="s">
        <v>743</v>
      </c>
      <c r="C18" s="63" t="n">
        <v>3268826531</v>
      </c>
      <c r="D18" s="63" t="n">
        <v>3377073718</v>
      </c>
      <c r="E18" s="63" t="n">
        <v>3733825590</v>
      </c>
      <c r="F18" s="63" t="n">
        <v>4029438145</v>
      </c>
      <c r="G18" s="15" t="s">
        <v>744</v>
      </c>
    </row>
    <row r="19" customFormat="false" ht="15" hidden="false" customHeight="false" outlineLevel="0" collapsed="false">
      <c r="A19" s="56" t="s">
        <v>745</v>
      </c>
      <c r="B19" s="13" t="s">
        <v>746</v>
      </c>
      <c r="C19" s="63"/>
      <c r="D19" s="63"/>
      <c r="E19" s="63"/>
      <c r="F19" s="63"/>
      <c r="G19" s="15" t="s">
        <v>716</v>
      </c>
    </row>
    <row r="20" customFormat="false" ht="15" hidden="false" customHeight="false" outlineLevel="0" collapsed="false">
      <c r="A20" s="56" t="s">
        <v>747</v>
      </c>
      <c r="B20" s="13" t="s">
        <v>748</v>
      </c>
      <c r="C20" s="63" t="n">
        <v>0</v>
      </c>
      <c r="D20" s="63" t="n">
        <v>0</v>
      </c>
      <c r="E20" s="63" t="n">
        <v>323045319</v>
      </c>
      <c r="F20" s="63" t="n">
        <v>23480000000</v>
      </c>
      <c r="G20" s="15" t="s">
        <v>749</v>
      </c>
    </row>
    <row r="21" customFormat="false" ht="15" hidden="false" customHeight="false" outlineLevel="0" collapsed="false">
      <c r="A21" s="56" t="s">
        <v>750</v>
      </c>
      <c r="B21" s="13" t="s">
        <v>751</v>
      </c>
      <c r="C21" s="63" t="n">
        <v>66252356120</v>
      </c>
      <c r="D21" s="63" t="n">
        <v>117418739194</v>
      </c>
      <c r="E21" s="63" t="n">
        <v>132385666764</v>
      </c>
      <c r="F21" s="63" t="n">
        <v>127921073027</v>
      </c>
      <c r="G21" s="15" t="s">
        <v>752</v>
      </c>
    </row>
    <row r="22" customFormat="false" ht="15" hidden="false" customHeight="false" outlineLevel="0" collapsed="false">
      <c r="A22" s="56" t="s">
        <v>753</v>
      </c>
      <c r="B22" s="13" t="s">
        <v>754</v>
      </c>
      <c r="C22" s="63" t="n">
        <v>0</v>
      </c>
      <c r="D22" s="63" t="n">
        <v>0</v>
      </c>
      <c r="E22" s="63" t="n">
        <v>4142708331</v>
      </c>
      <c r="F22" s="63" t="n">
        <v>3890104167</v>
      </c>
      <c r="G22" s="15" t="s">
        <v>755</v>
      </c>
    </row>
    <row r="23" customFormat="false" ht="15" hidden="false" customHeight="false" outlineLevel="0" collapsed="false">
      <c r="A23" s="56" t="s">
        <v>756</v>
      </c>
      <c r="B23" s="13" t="s">
        <v>757</v>
      </c>
      <c r="C23" s="63" t="n">
        <v>0</v>
      </c>
      <c r="D23" s="63" t="n">
        <v>14040900000</v>
      </c>
      <c r="E23" s="63" t="n">
        <v>14040900000</v>
      </c>
      <c r="F23" s="63" t="n">
        <v>14502013517</v>
      </c>
      <c r="G23" s="15" t="s">
        <v>758</v>
      </c>
    </row>
    <row r="24" customFormat="false" ht="15" hidden="false" customHeight="false" outlineLevel="0" collapsed="false">
      <c r="A24" s="56" t="s">
        <v>759</v>
      </c>
      <c r="B24" s="13" t="s">
        <v>760</v>
      </c>
      <c r="C24" s="63" t="n">
        <v>14855847650</v>
      </c>
      <c r="D24" s="63" t="n">
        <v>107933153871</v>
      </c>
      <c r="E24" s="63" t="n">
        <v>78381566804</v>
      </c>
      <c r="F24" s="63" t="n">
        <v>117045389015</v>
      </c>
      <c r="G24" s="15" t="s">
        <v>761</v>
      </c>
    </row>
    <row r="25" customFormat="false" ht="15" hidden="false" customHeight="false" outlineLevel="0" collapsed="false">
      <c r="A25" s="56" t="s">
        <v>762</v>
      </c>
      <c r="B25" s="13" t="s">
        <v>763</v>
      </c>
      <c r="C25" s="63" t="n">
        <v>30000000000</v>
      </c>
      <c r="D25" s="63" t="n">
        <v>30000000000</v>
      </c>
      <c r="E25" s="63" t="n">
        <v>0</v>
      </c>
      <c r="F25" s="63" t="n">
        <v>0</v>
      </c>
      <c r="G25" s="15" t="s">
        <v>764</v>
      </c>
    </row>
    <row r="26" customFormat="false" ht="15" hidden="false" customHeight="false" outlineLevel="0" collapsed="false">
      <c r="A26" s="65" t="s">
        <v>765</v>
      </c>
      <c r="B26" s="66" t="s">
        <v>409</v>
      </c>
      <c r="C26" s="68" t="n">
        <f aca="false">C17+C18+C19+C20+C21+C22+C23+C24+C25</f>
        <v>114377030301</v>
      </c>
      <c r="D26" s="68" t="n">
        <f aca="false">D17+D18+D19+D20+D21+D22+D23+D24+D25</f>
        <v>272769866783</v>
      </c>
      <c r="E26" s="68" t="n">
        <f aca="false">E17+E18+E19+E20+E21+E22+E23+E24+E25</f>
        <v>233007712808</v>
      </c>
      <c r="F26" s="68" t="n">
        <f aca="false">F17+F18+F19+F20+F21+F22+F23+F24+F25</f>
        <v>290868017871</v>
      </c>
    </row>
    <row r="27" customFormat="false" ht="15" hidden="false" customHeight="false" outlineLevel="0" collapsed="false">
      <c r="A27" s="65" t="s">
        <v>766</v>
      </c>
      <c r="B27" s="66" t="s">
        <v>411</v>
      </c>
      <c r="C27" s="68" t="n">
        <f aca="false">C16+C26</f>
        <v>159993389251</v>
      </c>
      <c r="D27" s="68" t="n">
        <f aca="false">D16+D26</f>
        <v>300669892837</v>
      </c>
      <c r="E27" s="68" t="n">
        <f aca="false">E16+E26</f>
        <v>268100239912</v>
      </c>
      <c r="F27" s="68" t="n">
        <f aca="false">F16+F26</f>
        <v>330212870495</v>
      </c>
    </row>
    <row r="28" customFormat="false" ht="15" hidden="false" customHeight="false" outlineLevel="0" collapsed="false">
      <c r="A28" s="16"/>
      <c r="B28" s="17" t="s">
        <v>412</v>
      </c>
      <c r="C28" s="16"/>
      <c r="D28" s="16"/>
      <c r="E28" s="16"/>
      <c r="F28" s="16"/>
      <c r="G28" s="16"/>
    </row>
    <row r="29" customFormat="false" ht="15" hidden="false" customHeight="false" outlineLevel="0" collapsed="false">
      <c r="A29" s="56" t="s">
        <v>767</v>
      </c>
      <c r="B29" s="13" t="s">
        <v>768</v>
      </c>
      <c r="C29" s="63" t="n">
        <v>6988804035</v>
      </c>
      <c r="D29" s="63" t="n">
        <v>9988984035</v>
      </c>
      <c r="E29" s="63" t="n">
        <v>11162071905</v>
      </c>
      <c r="F29" s="63" t="n">
        <v>9396425044</v>
      </c>
      <c r="G29" s="15" t="s">
        <v>769</v>
      </c>
    </row>
    <row r="30" customFormat="false" ht="15" hidden="false" customHeight="false" outlineLevel="0" collapsed="false">
      <c r="A30" s="56" t="s">
        <v>770</v>
      </c>
      <c r="B30" s="13" t="s">
        <v>771</v>
      </c>
      <c r="C30" s="63" t="n">
        <v>2059291014</v>
      </c>
      <c r="D30" s="63" t="n">
        <v>4772562529</v>
      </c>
      <c r="E30" s="63" t="n">
        <v>5668668826</v>
      </c>
      <c r="F30" s="63" t="n">
        <v>6578276878</v>
      </c>
      <c r="G30" s="15" t="s">
        <v>772</v>
      </c>
    </row>
    <row r="31" customFormat="false" ht="15" hidden="false" customHeight="false" outlineLevel="0" collapsed="false">
      <c r="A31" s="56" t="s">
        <v>773</v>
      </c>
      <c r="B31" s="13" t="s">
        <v>774</v>
      </c>
      <c r="C31" s="63"/>
      <c r="D31" s="63"/>
      <c r="E31" s="63"/>
      <c r="F31" s="63"/>
      <c r="G31" s="15" t="s">
        <v>716</v>
      </c>
    </row>
    <row r="32" customFormat="false" ht="15" hidden="false" customHeight="false" outlineLevel="0" collapsed="false">
      <c r="A32" s="56" t="s">
        <v>775</v>
      </c>
      <c r="B32" s="13" t="s">
        <v>776</v>
      </c>
      <c r="C32" s="63" t="n">
        <v>889836562</v>
      </c>
      <c r="D32" s="63" t="n">
        <v>2310412449</v>
      </c>
      <c r="E32" s="63" t="n">
        <v>804070003</v>
      </c>
      <c r="F32" s="63" t="n">
        <v>708852420</v>
      </c>
      <c r="G32" s="15" t="s">
        <v>777</v>
      </c>
    </row>
    <row r="33" customFormat="false" ht="15" hidden="false" customHeight="false" outlineLevel="0" collapsed="false">
      <c r="A33" s="56" t="s">
        <v>778</v>
      </c>
      <c r="B33" s="13" t="s">
        <v>779</v>
      </c>
      <c r="C33" s="63" t="n">
        <v>0</v>
      </c>
      <c r="D33" s="63" t="n">
        <v>0</v>
      </c>
      <c r="E33" s="63" t="n">
        <v>0</v>
      </c>
      <c r="F33" s="63" t="n">
        <v>233968266</v>
      </c>
      <c r="G33" s="15" t="s">
        <v>780</v>
      </c>
    </row>
    <row r="34" customFormat="false" ht="15" hidden="false" customHeight="false" outlineLevel="0" collapsed="false">
      <c r="A34" s="56" t="s">
        <v>781</v>
      </c>
      <c r="B34" s="13" t="s">
        <v>782</v>
      </c>
      <c r="C34" s="63" t="n">
        <v>6011636598</v>
      </c>
      <c r="D34" s="63" t="n">
        <v>11650476198</v>
      </c>
      <c r="E34" s="63" t="n">
        <v>2027768405</v>
      </c>
      <c r="F34" s="63" t="n">
        <v>1537989603</v>
      </c>
      <c r="G34" s="15" t="s">
        <v>783</v>
      </c>
    </row>
    <row r="35" customFormat="false" ht="15" hidden="false" customHeight="false" outlineLevel="0" collapsed="false">
      <c r="A35" s="56" t="s">
        <v>784</v>
      </c>
      <c r="B35" s="13" t="s">
        <v>785</v>
      </c>
      <c r="C35" s="63" t="n">
        <v>0</v>
      </c>
      <c r="D35" s="63" t="n">
        <v>0</v>
      </c>
      <c r="E35" s="63" t="n">
        <v>7074679859</v>
      </c>
      <c r="F35" s="63" t="n">
        <v>1016716073</v>
      </c>
      <c r="G35" s="15" t="s">
        <v>786</v>
      </c>
    </row>
    <row r="36" customFormat="false" ht="15" hidden="false" customHeight="false" outlineLevel="0" collapsed="false">
      <c r="A36" s="56" t="s">
        <v>787</v>
      </c>
      <c r="B36" s="13" t="s">
        <v>788</v>
      </c>
      <c r="C36" s="63" t="n">
        <v>4990900</v>
      </c>
      <c r="D36" s="63" t="n">
        <v>109015136</v>
      </c>
      <c r="E36" s="63" t="n">
        <v>217251809</v>
      </c>
      <c r="F36" s="63" t="n">
        <v>145725435</v>
      </c>
      <c r="G36" s="15" t="s">
        <v>789</v>
      </c>
    </row>
    <row r="37" customFormat="false" ht="15" hidden="false" customHeight="false" outlineLevel="0" collapsed="false">
      <c r="A37" s="56" t="s">
        <v>790</v>
      </c>
      <c r="B37" s="13" t="s">
        <v>791</v>
      </c>
      <c r="C37" s="63" t="n">
        <v>1576828919</v>
      </c>
      <c r="D37" s="63" t="n">
        <v>5339423095</v>
      </c>
      <c r="E37" s="63" t="n">
        <v>4563471447</v>
      </c>
      <c r="F37" s="63" t="n">
        <v>5125717507</v>
      </c>
      <c r="G37" s="15" t="s">
        <v>792</v>
      </c>
    </row>
    <row r="38" customFormat="false" ht="15" hidden="false" customHeight="false" outlineLevel="0" collapsed="false">
      <c r="A38" s="56" t="s">
        <v>793</v>
      </c>
      <c r="B38" s="13" t="s">
        <v>794</v>
      </c>
      <c r="C38" s="63" t="n">
        <v>700008000</v>
      </c>
      <c r="D38" s="63" t="n">
        <v>7476298000</v>
      </c>
      <c r="E38" s="63" t="n">
        <v>7068000000</v>
      </c>
      <c r="F38" s="63" t="n">
        <v>7068000000</v>
      </c>
      <c r="G38" s="15" t="s">
        <v>795</v>
      </c>
    </row>
    <row r="39" customFormat="false" ht="15" hidden="false" customHeight="false" outlineLevel="0" collapsed="false">
      <c r="A39" s="56" t="s">
        <v>796</v>
      </c>
      <c r="B39" s="13" t="s">
        <v>797</v>
      </c>
      <c r="C39" s="63"/>
      <c r="D39" s="63"/>
      <c r="E39" s="63"/>
      <c r="F39" s="63"/>
      <c r="G39" s="15" t="s">
        <v>716</v>
      </c>
    </row>
    <row r="40" customFormat="false" ht="15" hidden="false" customHeight="false" outlineLevel="0" collapsed="false">
      <c r="A40" s="56" t="s">
        <v>798</v>
      </c>
      <c r="B40" s="13" t="s">
        <v>799</v>
      </c>
      <c r="C40" s="63" t="n">
        <v>174233989</v>
      </c>
      <c r="D40" s="63" t="n">
        <v>231752112</v>
      </c>
      <c r="E40" s="63" t="n">
        <v>143594960</v>
      </c>
      <c r="F40" s="63" t="n">
        <v>52991281</v>
      </c>
      <c r="G40" s="15" t="s">
        <v>800</v>
      </c>
    </row>
    <row r="41" customFormat="false" ht="15" hidden="false" customHeight="false" outlineLevel="0" collapsed="false">
      <c r="A41" s="56" t="s">
        <v>801</v>
      </c>
      <c r="B41" s="13" t="s">
        <v>802</v>
      </c>
      <c r="C41" s="63" t="n">
        <v>0</v>
      </c>
      <c r="D41" s="63" t="n">
        <v>0</v>
      </c>
      <c r="E41" s="63" t="n">
        <v>920444528</v>
      </c>
      <c r="F41" s="63" t="n">
        <v>1047230532</v>
      </c>
      <c r="G41" s="15" t="s">
        <v>803</v>
      </c>
    </row>
    <row r="42" customFormat="false" ht="15" hidden="false" customHeight="false" outlineLevel="0" collapsed="false">
      <c r="A42" s="65" t="s">
        <v>804</v>
      </c>
      <c r="B42" s="66" t="s">
        <v>805</v>
      </c>
      <c r="C42" s="68" t="n">
        <f aca="false">C29+C30+C31+C32+C33+C34+C35+C36+C37+C38+C39+C40+C41</f>
        <v>18405630017</v>
      </c>
      <c r="D42" s="68" t="n">
        <f aca="false">D29+D30+D31+D32+D33+D34+D35+D36+D37+D38+D39+D40+D41</f>
        <v>41878923554</v>
      </c>
      <c r="E42" s="68" t="n">
        <f aca="false">E29+E30+E31+E32+E33+E34+E35+E36+E37+E38+E39+E40+E41</f>
        <v>39650021742</v>
      </c>
      <c r="F42" s="68" t="n">
        <f aca="false">F29+F30+F31+F32+F33+F34+F35+F36+F37+F38+F39+F40+F41</f>
        <v>32911893039</v>
      </c>
    </row>
    <row r="43" customFormat="false" ht="15" hidden="false" customHeight="false" outlineLevel="0" collapsed="false">
      <c r="A43" s="56" t="s">
        <v>806</v>
      </c>
      <c r="B43" s="13" t="s">
        <v>807</v>
      </c>
      <c r="C43" s="63" t="n">
        <v>55654298000</v>
      </c>
      <c r="D43" s="63" t="n">
        <v>71249929334</v>
      </c>
      <c r="E43" s="63" t="n">
        <v>15268666300</v>
      </c>
      <c r="F43" s="63" t="n">
        <v>4083000000</v>
      </c>
      <c r="G43" s="15" t="s">
        <v>808</v>
      </c>
    </row>
    <row r="44" customFormat="false" ht="15" hidden="false" customHeight="false" outlineLevel="0" collapsed="false">
      <c r="A44" s="56" t="s">
        <v>809</v>
      </c>
      <c r="B44" s="13" t="s">
        <v>810</v>
      </c>
      <c r="C44" s="63"/>
      <c r="D44" s="63"/>
      <c r="E44" s="63"/>
      <c r="F44" s="63"/>
      <c r="G44" s="15" t="s">
        <v>716</v>
      </c>
    </row>
    <row r="45" customFormat="false" ht="15" hidden="false" customHeight="false" outlineLevel="0" collapsed="false">
      <c r="A45" s="56" t="s">
        <v>811</v>
      </c>
      <c r="B45" s="13" t="s">
        <v>812</v>
      </c>
      <c r="C45" s="63" t="n">
        <v>331522552</v>
      </c>
      <c r="D45" s="63" t="n">
        <v>190255560</v>
      </c>
      <c r="E45" s="63" t="n">
        <v>50700680</v>
      </c>
      <c r="F45" s="63" t="n">
        <v>0</v>
      </c>
      <c r="G45" s="15" t="s">
        <v>813</v>
      </c>
    </row>
    <row r="46" customFormat="false" ht="15" hidden="false" customHeight="false" outlineLevel="0" collapsed="false">
      <c r="A46" s="56" t="s">
        <v>814</v>
      </c>
      <c r="B46" s="13" t="s">
        <v>815</v>
      </c>
      <c r="C46" s="63" t="n">
        <v>0</v>
      </c>
      <c r="D46" s="63" t="n">
        <v>0</v>
      </c>
      <c r="E46" s="63" t="n">
        <v>1408042622</v>
      </c>
      <c r="F46" s="63" t="n">
        <v>282419576</v>
      </c>
      <c r="G46" s="15" t="s">
        <v>816</v>
      </c>
    </row>
    <row r="47" customFormat="false" ht="15" hidden="false" customHeight="false" outlineLevel="0" collapsed="false">
      <c r="A47" s="56" t="s">
        <v>817</v>
      </c>
      <c r="B47" s="13" t="s">
        <v>818</v>
      </c>
      <c r="C47" s="63" t="n">
        <v>2095601594</v>
      </c>
      <c r="D47" s="63" t="n">
        <v>1058806553</v>
      </c>
      <c r="E47" s="63" t="n">
        <v>2680405972</v>
      </c>
      <c r="F47" s="63" t="n">
        <v>4024099405</v>
      </c>
      <c r="G47" s="15" t="s">
        <v>819</v>
      </c>
    </row>
    <row r="48" customFormat="false" ht="15" hidden="false" customHeight="false" outlineLevel="0" collapsed="false">
      <c r="A48" s="56" t="s">
        <v>820</v>
      </c>
      <c r="B48" s="13" t="s">
        <v>821</v>
      </c>
      <c r="C48" s="63" t="n">
        <v>2617116617</v>
      </c>
      <c r="D48" s="63" t="n">
        <v>1160606700</v>
      </c>
      <c r="E48" s="63" t="n">
        <v>1160606700</v>
      </c>
      <c r="F48" s="63" t="n">
        <v>13033951873</v>
      </c>
      <c r="G48" s="15" t="s">
        <v>822</v>
      </c>
    </row>
    <row r="49" customFormat="false" ht="15" hidden="false" customHeight="false" outlineLevel="0" collapsed="false">
      <c r="A49" s="56" t="s">
        <v>823</v>
      </c>
      <c r="B49" s="13" t="s">
        <v>824</v>
      </c>
      <c r="C49" s="63"/>
      <c r="D49" s="63"/>
      <c r="E49" s="63"/>
      <c r="F49" s="63"/>
      <c r="G49" s="15" t="s">
        <v>716</v>
      </c>
    </row>
    <row r="50" customFormat="false" ht="15" hidden="false" customHeight="false" outlineLevel="0" collapsed="false">
      <c r="A50" s="56" t="s">
        <v>825</v>
      </c>
      <c r="B50" s="13" t="s">
        <v>826</v>
      </c>
      <c r="C50" s="63" t="n">
        <v>29822475744</v>
      </c>
      <c r="D50" s="63" t="n">
        <v>55978364748</v>
      </c>
      <c r="E50" s="63" t="n">
        <v>78152405426</v>
      </c>
      <c r="F50" s="63" t="n">
        <v>69371515682</v>
      </c>
      <c r="G50" s="15" t="s">
        <v>827</v>
      </c>
    </row>
    <row r="51" customFormat="false" ht="15" hidden="false" customHeight="false" outlineLevel="0" collapsed="false">
      <c r="A51" s="65" t="s">
        <v>828</v>
      </c>
      <c r="B51" s="66" t="s">
        <v>829</v>
      </c>
      <c r="C51" s="68" t="n">
        <f aca="false">C43+C44+C45+C46+C47+C48+C49+C50</f>
        <v>90521014507</v>
      </c>
      <c r="D51" s="68" t="n">
        <f aca="false">D43+D44+D45+D46+D47+D48+D49+D50</f>
        <v>129637962895</v>
      </c>
      <c r="E51" s="68" t="n">
        <f aca="false">E43+E44+E45+E46+E47+E48+E49+E50</f>
        <v>98720827700</v>
      </c>
      <c r="F51" s="68" t="n">
        <f aca="false">F43+F44+F45+F46+F47+F48+F49+F50</f>
        <v>90794986536</v>
      </c>
    </row>
    <row r="52" customFormat="false" ht="15" hidden="false" customHeight="false" outlineLevel="0" collapsed="false">
      <c r="A52" s="65" t="s">
        <v>830</v>
      </c>
      <c r="B52" s="66" t="s">
        <v>423</v>
      </c>
      <c r="C52" s="68" t="n">
        <f aca="false">C42+C51</f>
        <v>108926644524</v>
      </c>
      <c r="D52" s="68" t="n">
        <f aca="false">D42+D51</f>
        <v>171516886449</v>
      </c>
      <c r="E52" s="68" t="n">
        <f aca="false">E42+E51</f>
        <v>138370849442</v>
      </c>
      <c r="F52" s="68" t="n">
        <f aca="false">F42+F51</f>
        <v>123706879575</v>
      </c>
    </row>
    <row r="53" customFormat="false" ht="15" hidden="false" customHeight="false" outlineLevel="0" collapsed="false">
      <c r="A53" s="16"/>
      <c r="B53" s="17" t="s">
        <v>424</v>
      </c>
      <c r="C53" s="16"/>
      <c r="D53" s="16"/>
      <c r="E53" s="16"/>
      <c r="F53" s="16"/>
      <c r="G53" s="16"/>
    </row>
    <row r="54" customFormat="false" ht="15" hidden="false" customHeight="false" outlineLevel="0" collapsed="false">
      <c r="A54" s="56" t="s">
        <v>831</v>
      </c>
      <c r="B54" s="13" t="s">
        <v>832</v>
      </c>
      <c r="C54" s="63" t="n">
        <v>27734500000</v>
      </c>
      <c r="D54" s="63" t="n">
        <v>27734500000</v>
      </c>
      <c r="E54" s="63" t="n">
        <v>101000000000</v>
      </c>
      <c r="F54" s="63" t="n">
        <v>127503947050</v>
      </c>
      <c r="G54" s="15" t="s">
        <v>833</v>
      </c>
    </row>
    <row r="55" customFormat="false" ht="15" hidden="false" customHeight="false" outlineLevel="0" collapsed="false">
      <c r="A55" s="56" t="s">
        <v>834</v>
      </c>
      <c r="B55" s="13" t="s">
        <v>835</v>
      </c>
      <c r="C55" s="63" t="n">
        <v>0</v>
      </c>
      <c r="D55" s="63" t="n">
        <v>0</v>
      </c>
      <c r="E55" s="63" t="n">
        <v>-23437977914</v>
      </c>
      <c r="F55" s="63" t="n">
        <v>20030310891</v>
      </c>
      <c r="G55" s="15" t="s">
        <v>836</v>
      </c>
    </row>
    <row r="56" customFormat="false" ht="15" hidden="false" customHeight="false" outlineLevel="0" collapsed="false">
      <c r="A56" s="56" t="s">
        <v>837</v>
      </c>
      <c r="B56" s="13" t="s">
        <v>838</v>
      </c>
      <c r="C56" s="63" t="n">
        <v>4889685079</v>
      </c>
      <c r="D56" s="63" t="n">
        <v>52384568796</v>
      </c>
      <c r="E56" s="63" t="n">
        <v>0</v>
      </c>
      <c r="F56" s="63" t="n">
        <v>0</v>
      </c>
      <c r="G56" s="15" t="s">
        <v>839</v>
      </c>
    </row>
    <row r="57" customFormat="false" ht="15" hidden="false" customHeight="false" outlineLevel="0" collapsed="false">
      <c r="A57" s="56" t="s">
        <v>840</v>
      </c>
      <c r="B57" s="13" t="s">
        <v>841</v>
      </c>
      <c r="C57" s="63" t="n">
        <v>-1098608204</v>
      </c>
      <c r="D57" s="63" t="n">
        <v>25953053343</v>
      </c>
      <c r="E57" s="63" t="n">
        <v>26245562252</v>
      </c>
      <c r="F57" s="63" t="n">
        <v>27027986552</v>
      </c>
      <c r="G57" s="15" t="s">
        <v>842</v>
      </c>
    </row>
    <row r="58" customFormat="false" ht="15" hidden="false" customHeight="false" outlineLevel="0" collapsed="false">
      <c r="A58" s="56" t="s">
        <v>843</v>
      </c>
      <c r="B58" s="13" t="s">
        <v>844</v>
      </c>
      <c r="C58" s="63" t="n">
        <v>19541167852</v>
      </c>
      <c r="D58" s="63" t="n">
        <v>23080884249</v>
      </c>
      <c r="E58" s="63" t="n">
        <v>25918247522</v>
      </c>
      <c r="F58" s="63" t="n">
        <v>31939895635</v>
      </c>
      <c r="G58" s="15" t="s">
        <v>845</v>
      </c>
    </row>
    <row r="59" customFormat="false" ht="15" hidden="false" customHeight="false" outlineLevel="0" collapsed="false">
      <c r="A59" s="65" t="s">
        <v>846</v>
      </c>
      <c r="B59" s="66" t="s">
        <v>430</v>
      </c>
      <c r="C59" s="68" t="n">
        <f aca="false">C54+C55+C56+C57+C58</f>
        <v>51066744727</v>
      </c>
      <c r="D59" s="68" t="n">
        <f aca="false">D54+D55+D56+D57+D58</f>
        <v>129153006388</v>
      </c>
      <c r="E59" s="68" t="n">
        <f aca="false">E54+E55+E56+E57+E58</f>
        <v>129725831860</v>
      </c>
      <c r="F59" s="68" t="n">
        <f aca="false">F54+F55+F56+F57+F58</f>
        <v>206502140128</v>
      </c>
    </row>
    <row r="60" customFormat="false" ht="15" hidden="false" customHeight="false" outlineLevel="0" collapsed="false">
      <c r="A60" s="56" t="s">
        <v>847</v>
      </c>
      <c r="B60" s="13" t="s">
        <v>432</v>
      </c>
      <c r="C60" s="63" t="n">
        <v>0</v>
      </c>
      <c r="D60" s="63" t="n">
        <v>0</v>
      </c>
      <c r="E60" s="63" t="n">
        <v>3558610</v>
      </c>
      <c r="F60" s="63" t="n">
        <v>3850792</v>
      </c>
      <c r="G60" s="15" t="s">
        <v>848</v>
      </c>
    </row>
    <row r="61" customFormat="false" ht="15" hidden="false" customHeight="false" outlineLevel="0" collapsed="false">
      <c r="A61" s="65" t="s">
        <v>849</v>
      </c>
      <c r="B61" s="66" t="s">
        <v>435</v>
      </c>
      <c r="C61" s="68" t="n">
        <f aca="false">C59+C60</f>
        <v>51066744727</v>
      </c>
      <c r="D61" s="68" t="n">
        <f aca="false">D59+D60</f>
        <v>129153006388</v>
      </c>
      <c r="E61" s="68" t="n">
        <f aca="false">E59+E60</f>
        <v>129729390470</v>
      </c>
      <c r="F61" s="68" t="n">
        <f aca="false">F59+F60</f>
        <v>206505990920</v>
      </c>
    </row>
    <row r="62" customFormat="false" ht="15" hidden="false" customHeight="false" outlineLevel="0" collapsed="false">
      <c r="A62" s="65" t="s">
        <v>850</v>
      </c>
      <c r="B62" s="66" t="s">
        <v>437</v>
      </c>
      <c r="C62" s="68" t="n">
        <f aca="false">C52+C61</f>
        <v>159993389251</v>
      </c>
      <c r="D62" s="68" t="n">
        <f aca="false">D52+D61</f>
        <v>300669892837</v>
      </c>
      <c r="E62" s="68" t="n">
        <f aca="false">E52+E61</f>
        <v>268100239912</v>
      </c>
      <c r="F62" s="68" t="n">
        <f aca="false">F52+F61</f>
        <v>330212870495</v>
      </c>
    </row>
    <row r="63" customFormat="false" ht="15" hidden="false" customHeight="false" outlineLevel="0" collapsed="false">
      <c r="A63" s="16"/>
      <c r="B63" s="17" t="s">
        <v>851</v>
      </c>
      <c r="C63" s="16"/>
      <c r="D63" s="16"/>
      <c r="E63" s="16"/>
      <c r="F63" s="16"/>
      <c r="G63" s="16"/>
    </row>
    <row r="64" customFormat="false" ht="15" hidden="false" customHeight="false" outlineLevel="0" collapsed="false">
      <c r="A64" s="56" t="s">
        <v>852</v>
      </c>
      <c r="B64" s="13" t="s">
        <v>853</v>
      </c>
      <c r="C64" s="63" t="n">
        <v>0</v>
      </c>
      <c r="D64" s="63" t="n">
        <v>0</v>
      </c>
      <c r="E64" s="63" t="n">
        <v>100000000</v>
      </c>
      <c r="F64" s="63" t="n">
        <v>100000000</v>
      </c>
      <c r="G64" s="15" t="s">
        <v>854</v>
      </c>
    </row>
    <row r="65" customFormat="false" ht="15" hidden="false" customHeight="false" outlineLevel="0" collapsed="false">
      <c r="A65" s="56" t="s">
        <v>855</v>
      </c>
      <c r="B65" s="13" t="s">
        <v>856</v>
      </c>
      <c r="C65" s="63" t="n">
        <v>19541167852</v>
      </c>
      <c r="D65" s="63" t="n">
        <v>23080884249</v>
      </c>
      <c r="E65" s="63" t="n">
        <v>25818247522</v>
      </c>
      <c r="F65" s="63" t="n">
        <v>31839895635</v>
      </c>
      <c r="G65" s="15" t="s">
        <v>857</v>
      </c>
    </row>
    <row r="66" customFormat="false" ht="15" hidden="false" customHeight="false" outlineLevel="0" collapsed="false">
      <c r="A66" s="16"/>
      <c r="B66" s="17" t="s">
        <v>858</v>
      </c>
      <c r="C66" s="16"/>
      <c r="D66" s="16"/>
      <c r="E66" s="16"/>
      <c r="F66" s="16"/>
      <c r="G66" s="16"/>
    </row>
    <row r="67" customFormat="false" ht="15" hidden="false" customHeight="false" outlineLevel="0" collapsed="false">
      <c r="A67" s="56" t="s">
        <v>859</v>
      </c>
      <c r="B67" s="13" t="s">
        <v>860</v>
      </c>
      <c r="C67" s="63" t="n">
        <v>45616358950</v>
      </c>
      <c r="D67" s="63" t="n">
        <v>27900026054</v>
      </c>
      <c r="E67" s="63" t="n">
        <v>35092527104</v>
      </c>
      <c r="F67" s="63" t="n">
        <v>39344852624</v>
      </c>
      <c r="G67" s="15" t="s">
        <v>861</v>
      </c>
    </row>
    <row r="68" customFormat="false" ht="15" hidden="false" customHeight="false" outlineLevel="0" collapsed="false">
      <c r="A68" s="56" t="s">
        <v>862</v>
      </c>
      <c r="B68" s="13" t="s">
        <v>863</v>
      </c>
      <c r="C68" s="63" t="n">
        <v>114377030301</v>
      </c>
      <c r="D68" s="63" t="n">
        <v>272769866783</v>
      </c>
      <c r="E68" s="63" t="n">
        <v>233007712808</v>
      </c>
      <c r="F68" s="63" t="n">
        <v>290868017871</v>
      </c>
      <c r="G68" s="15" t="s">
        <v>864</v>
      </c>
    </row>
    <row r="69" customFormat="false" ht="15" hidden="false" customHeight="false" outlineLevel="0" collapsed="false">
      <c r="A69" s="56" t="s">
        <v>865</v>
      </c>
      <c r="B69" s="13" t="s">
        <v>866</v>
      </c>
      <c r="C69" s="63" t="n">
        <v>159993389251</v>
      </c>
      <c r="D69" s="63" t="n">
        <v>300669892837</v>
      </c>
      <c r="E69" s="63" t="n">
        <v>268100239912</v>
      </c>
      <c r="F69" s="63" t="n">
        <v>330212870495</v>
      </c>
      <c r="G69" s="15" t="s">
        <v>867</v>
      </c>
    </row>
    <row r="70" customFormat="false" ht="15" hidden="false" customHeight="false" outlineLevel="0" collapsed="false">
      <c r="A70" s="56" t="s">
        <v>868</v>
      </c>
      <c r="B70" s="13" t="s">
        <v>869</v>
      </c>
      <c r="C70" s="63" t="n">
        <v>18405630017</v>
      </c>
      <c r="D70" s="63" t="n">
        <v>41878923554</v>
      </c>
      <c r="E70" s="63" t="n">
        <v>39650021742</v>
      </c>
      <c r="F70" s="63" t="n">
        <v>32911893039</v>
      </c>
      <c r="G70" s="15" t="s">
        <v>870</v>
      </c>
    </row>
    <row r="71" customFormat="false" ht="15" hidden="false" customHeight="false" outlineLevel="0" collapsed="false">
      <c r="A71" s="56" t="s">
        <v>871</v>
      </c>
      <c r="B71" s="13" t="s">
        <v>872</v>
      </c>
      <c r="C71" s="63" t="n">
        <v>90521014507</v>
      </c>
      <c r="D71" s="63" t="n">
        <v>129637962895</v>
      </c>
      <c r="E71" s="63" t="n">
        <v>98720827700</v>
      </c>
      <c r="F71" s="63" t="n">
        <v>90794986536</v>
      </c>
      <c r="G71" s="15" t="s">
        <v>873</v>
      </c>
    </row>
    <row r="72" customFormat="false" ht="15" hidden="false" customHeight="false" outlineLevel="0" collapsed="false">
      <c r="A72" s="56" t="s">
        <v>874</v>
      </c>
      <c r="B72" s="13" t="s">
        <v>875</v>
      </c>
      <c r="C72" s="63" t="n">
        <v>108926644524</v>
      </c>
      <c r="D72" s="63" t="n">
        <v>171516886449</v>
      </c>
      <c r="E72" s="63" t="n">
        <v>138370849442</v>
      </c>
      <c r="F72" s="63" t="n">
        <v>123706879575</v>
      </c>
      <c r="G72" s="15" t="s">
        <v>876</v>
      </c>
    </row>
    <row r="73" customFormat="false" ht="15" hidden="false" customHeight="false" outlineLevel="0" collapsed="false">
      <c r="A73" s="56" t="s">
        <v>877</v>
      </c>
      <c r="B73" s="13" t="s">
        <v>878</v>
      </c>
      <c r="C73" s="63" t="n">
        <v>51066744727</v>
      </c>
      <c r="D73" s="63" t="n">
        <v>129153006388</v>
      </c>
      <c r="E73" s="63" t="n">
        <v>129725831860</v>
      </c>
      <c r="F73" s="63" t="n">
        <v>206502140128</v>
      </c>
      <c r="G73" s="15" t="s">
        <v>879</v>
      </c>
    </row>
    <row r="74" customFormat="false" ht="15" hidden="false" customHeight="false" outlineLevel="0" collapsed="false">
      <c r="A74" s="56" t="s">
        <v>880</v>
      </c>
      <c r="B74" s="13" t="s">
        <v>881</v>
      </c>
      <c r="C74" s="63" t="n">
        <v>51066744727</v>
      </c>
      <c r="D74" s="63" t="n">
        <v>129153006388</v>
      </c>
      <c r="E74" s="63" t="n">
        <v>129729390470</v>
      </c>
      <c r="F74" s="63" t="n">
        <v>206505990920</v>
      </c>
      <c r="G74" s="15" t="s">
        <v>882</v>
      </c>
    </row>
    <row r="75" customFormat="false" ht="15" hidden="false" customHeight="false" outlineLevel="0" collapsed="false">
      <c r="A75" s="56" t="s">
        <v>883</v>
      </c>
      <c r="B75" s="13" t="s">
        <v>884</v>
      </c>
      <c r="C75" s="63" t="n">
        <v>159993389251</v>
      </c>
      <c r="D75" s="63" t="n">
        <v>300669892837</v>
      </c>
      <c r="E75" s="63" t="n">
        <v>268100239912</v>
      </c>
      <c r="F75" s="63" t="n">
        <v>330212870495</v>
      </c>
      <c r="G75" s="15" t="s">
        <v>885</v>
      </c>
    </row>
    <row r="76" customFormat="false" ht="15" hidden="false" customHeight="false" outlineLevel="0" collapsed="false">
      <c r="A76" s="16"/>
      <c r="B76" s="17" t="s">
        <v>886</v>
      </c>
      <c r="C76" s="16"/>
      <c r="D76" s="16"/>
      <c r="E76" s="16"/>
      <c r="F76" s="16"/>
      <c r="G76" s="16"/>
    </row>
    <row r="77" customFormat="false" ht="15" hidden="false" customHeight="false" outlineLevel="0" collapsed="false">
      <c r="A77" s="65" t="s">
        <v>887</v>
      </c>
      <c r="B77" s="66" t="s">
        <v>888</v>
      </c>
      <c r="C77" s="68" t="n">
        <f aca="false">C27-C62</f>
        <v>0</v>
      </c>
      <c r="D77" s="68" t="n">
        <f aca="false">D27-D62</f>
        <v>0</v>
      </c>
      <c r="E77" s="68" t="n">
        <f aca="false">E27-E62</f>
        <v>0</v>
      </c>
      <c r="F77" s="68" t="n">
        <f aca="false">F27-F62</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G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6" min="3" style="0" width="16"/>
    <col collapsed="false" customWidth="true" hidden="false" outlineLevel="0" max="7" min="7" style="0" width="55"/>
  </cols>
  <sheetData>
    <row r="1" customFormat="false" ht="17.35" hidden="false" customHeight="false" outlineLevel="0" collapsed="false">
      <c r="A1" s="14" t="s">
        <v>889</v>
      </c>
    </row>
    <row r="2" customFormat="false" ht="15" hidden="false" customHeight="false" outlineLevel="0" collapsed="false">
      <c r="A2" s="15" t="s">
        <v>615</v>
      </c>
    </row>
    <row r="3" customFormat="false" ht="39.75" hidden="false" customHeight="true" outlineLevel="0" collapsed="false">
      <c r="B3" s="15" t="s">
        <v>616</v>
      </c>
      <c r="C3" s="96" t="s">
        <v>617</v>
      </c>
      <c r="D3" s="97" t="s">
        <v>617</v>
      </c>
      <c r="E3" s="97" t="s">
        <v>618</v>
      </c>
      <c r="F3" s="97" t="s">
        <v>619</v>
      </c>
      <c r="G3" s="5" t="s">
        <v>620</v>
      </c>
    </row>
    <row r="4" customFormat="false" ht="15" hidden="false" customHeight="false" outlineLevel="0" collapsed="false">
      <c r="A4" s="25" t="s">
        <v>328</v>
      </c>
      <c r="B4" s="25" t="s">
        <v>329</v>
      </c>
      <c r="C4" s="25" t="s">
        <v>130</v>
      </c>
      <c r="D4" s="25" t="s">
        <v>131</v>
      </c>
      <c r="E4" s="25" t="s">
        <v>132</v>
      </c>
      <c r="F4" s="25" t="s">
        <v>133</v>
      </c>
      <c r="G4" s="25" t="s">
        <v>330</v>
      </c>
    </row>
    <row r="5" customFormat="false" ht="15" hidden="false" customHeight="false" outlineLevel="0" collapsed="false">
      <c r="A5" s="16"/>
      <c r="B5" s="17" t="s">
        <v>447</v>
      </c>
      <c r="C5" s="16"/>
      <c r="D5" s="16"/>
      <c r="E5" s="16"/>
      <c r="F5" s="16"/>
      <c r="G5" s="16"/>
    </row>
    <row r="6" customFormat="false" ht="15" hidden="false" customHeight="false" outlineLevel="0" collapsed="false">
      <c r="A6" s="56" t="s">
        <v>890</v>
      </c>
      <c r="B6" s="13" t="s">
        <v>891</v>
      </c>
      <c r="C6" s="63" t="n">
        <v>101458663684</v>
      </c>
      <c r="D6" s="63" t="n">
        <v>129626427997</v>
      </c>
      <c r="E6" s="63" t="n">
        <v>143981788308</v>
      </c>
      <c r="F6" s="63" t="n">
        <v>151063423185</v>
      </c>
      <c r="G6" s="15" t="s">
        <v>892</v>
      </c>
    </row>
    <row r="7" customFormat="false" ht="15" hidden="false" customHeight="false" outlineLevel="0" collapsed="false">
      <c r="A7" s="56" t="s">
        <v>893</v>
      </c>
      <c r="B7" s="13" t="s">
        <v>894</v>
      </c>
      <c r="C7" s="63" t="n">
        <v>2786380201</v>
      </c>
      <c r="D7" s="63" t="n">
        <v>4079886993</v>
      </c>
      <c r="E7" s="63" t="n">
        <v>0</v>
      </c>
      <c r="F7" s="63" t="n">
        <v>0</v>
      </c>
      <c r="G7" s="15" t="s">
        <v>895</v>
      </c>
    </row>
    <row r="8" customFormat="false" ht="15" hidden="false" customHeight="false" outlineLevel="0" collapsed="false">
      <c r="A8" s="56" t="s">
        <v>896</v>
      </c>
      <c r="B8" s="13" t="s">
        <v>897</v>
      </c>
      <c r="C8" s="63" t="n">
        <v>-22608563678</v>
      </c>
      <c r="D8" s="63" t="n">
        <v>-42022919130</v>
      </c>
      <c r="E8" s="63" t="n">
        <v>-73980910685</v>
      </c>
      <c r="F8" s="63" t="n">
        <v>-85117618388</v>
      </c>
      <c r="G8" s="15" t="s">
        <v>898</v>
      </c>
    </row>
    <row r="9" customFormat="false" ht="15" hidden="false" customHeight="false" outlineLevel="0" collapsed="false">
      <c r="A9" s="56" t="s">
        <v>899</v>
      </c>
      <c r="B9" s="13" t="s">
        <v>900</v>
      </c>
      <c r="C9" s="63" t="n">
        <v>-40865720296</v>
      </c>
      <c r="D9" s="63" t="n">
        <v>-48709047407</v>
      </c>
      <c r="E9" s="63" t="n">
        <v>-35270130188</v>
      </c>
      <c r="F9" s="63" t="n">
        <v>-42386915098</v>
      </c>
      <c r="G9" s="15" t="s">
        <v>901</v>
      </c>
    </row>
    <row r="10" customFormat="false" ht="15" hidden="false" customHeight="false" outlineLevel="0" collapsed="false">
      <c r="A10" s="56" t="s">
        <v>902</v>
      </c>
      <c r="B10" s="13" t="s">
        <v>903</v>
      </c>
      <c r="C10" s="63" t="n">
        <v>-27383498762</v>
      </c>
      <c r="D10" s="63" t="n">
        <v>-17209085814</v>
      </c>
      <c r="E10" s="63" t="n">
        <v>-16945082659</v>
      </c>
      <c r="F10" s="63" t="n">
        <v>-21302607009</v>
      </c>
      <c r="G10" s="15" t="s">
        <v>904</v>
      </c>
    </row>
    <row r="11" customFormat="false" ht="15" hidden="false" customHeight="false" outlineLevel="0" collapsed="false">
      <c r="A11" s="65" t="s">
        <v>905</v>
      </c>
      <c r="B11" s="66" t="s">
        <v>906</v>
      </c>
      <c r="C11" s="68" t="n">
        <f aca="false">C6+C7+C8+C9+C10</f>
        <v>13387261149</v>
      </c>
      <c r="D11" s="68" t="n">
        <f aca="false">D6+D7+D8+D9+D10</f>
        <v>25765262639</v>
      </c>
      <c r="E11" s="68" t="n">
        <f aca="false">E6+E7+E8+E9+E10</f>
        <v>17785664776</v>
      </c>
      <c r="F11" s="68" t="n">
        <f aca="false">F6+F7+F8+F9+F10</f>
        <v>2256282690</v>
      </c>
    </row>
    <row r="12" customFormat="false" ht="15" hidden="false" customHeight="false" outlineLevel="0" collapsed="false">
      <c r="A12" s="56" t="s">
        <v>907</v>
      </c>
      <c r="B12" s="13" t="s">
        <v>908</v>
      </c>
      <c r="C12" s="63" t="n">
        <v>-3643595812</v>
      </c>
      <c r="D12" s="63" t="n">
        <v>-7565985614</v>
      </c>
      <c r="E12" s="63" t="n">
        <v>-11523542360</v>
      </c>
      <c r="F12" s="63" t="n">
        <v>4181857038</v>
      </c>
      <c r="G12" s="15" t="s">
        <v>909</v>
      </c>
    </row>
    <row r="13" customFormat="false" ht="15" hidden="false" customHeight="false" outlineLevel="0" collapsed="false">
      <c r="A13" s="56" t="s">
        <v>910</v>
      </c>
      <c r="B13" s="13" t="s">
        <v>911</v>
      </c>
      <c r="C13" s="63" t="n">
        <v>-2009565254</v>
      </c>
      <c r="D13" s="63" t="n">
        <v>1536428416</v>
      </c>
      <c r="E13" s="63" t="n">
        <v>-3264434868</v>
      </c>
      <c r="F13" s="63" t="n">
        <v>-870188358</v>
      </c>
      <c r="G13" s="15" t="s">
        <v>912</v>
      </c>
    </row>
    <row r="14" customFormat="false" ht="15" hidden="false" customHeight="false" outlineLevel="0" collapsed="false">
      <c r="A14" s="65" t="s">
        <v>913</v>
      </c>
      <c r="B14" s="66" t="s">
        <v>914</v>
      </c>
      <c r="C14" s="68" t="n">
        <f aca="false">C11+C12+C13</f>
        <v>7734100083</v>
      </c>
      <c r="D14" s="68" t="n">
        <f aca="false">D11+D12+D13</f>
        <v>19735705441</v>
      </c>
      <c r="E14" s="68" t="n">
        <f aca="false">E11+E12+E13</f>
        <v>2997687548</v>
      </c>
      <c r="F14" s="68" t="n">
        <f aca="false">F11+F12+F13</f>
        <v>5567951370</v>
      </c>
    </row>
    <row r="15" customFormat="false" ht="15" hidden="false" customHeight="false" outlineLevel="0" collapsed="false">
      <c r="A15" s="16"/>
      <c r="B15" s="17" t="s">
        <v>459</v>
      </c>
      <c r="C15" s="16"/>
      <c r="D15" s="16"/>
      <c r="E15" s="16"/>
      <c r="F15" s="16"/>
      <c r="G15" s="16"/>
    </row>
    <row r="16" customFormat="false" ht="15" hidden="false" customHeight="false" outlineLevel="0" collapsed="false">
      <c r="A16" s="56" t="s">
        <v>915</v>
      </c>
      <c r="B16" s="13" t="s">
        <v>916</v>
      </c>
      <c r="C16" s="63" t="n">
        <v>-16981553674</v>
      </c>
      <c r="D16" s="63" t="n">
        <v>-36091707048</v>
      </c>
      <c r="E16" s="63" t="n">
        <v>-24447662378</v>
      </c>
      <c r="F16" s="63" t="n">
        <v>-3910827865</v>
      </c>
      <c r="G16" s="15" t="s">
        <v>917</v>
      </c>
    </row>
    <row r="17" customFormat="false" ht="15" hidden="false" customHeight="false" outlineLevel="0" collapsed="false">
      <c r="A17" s="56" t="s">
        <v>918</v>
      </c>
      <c r="B17" s="13" t="s">
        <v>919</v>
      </c>
      <c r="C17" s="63" t="n">
        <v>0</v>
      </c>
      <c r="D17" s="63" t="n">
        <v>-54785129</v>
      </c>
      <c r="E17" s="63" t="n">
        <v>0</v>
      </c>
      <c r="F17" s="63" t="n">
        <v>-23480000000</v>
      </c>
      <c r="G17" s="15" t="s">
        <v>920</v>
      </c>
    </row>
    <row r="18" customFormat="false" ht="15" hidden="false" customHeight="false" outlineLevel="0" collapsed="false">
      <c r="A18" s="56" t="s">
        <v>921</v>
      </c>
      <c r="B18" s="13" t="s">
        <v>922</v>
      </c>
      <c r="C18" s="63" t="n">
        <v>0</v>
      </c>
      <c r="D18" s="63" t="n">
        <v>0</v>
      </c>
      <c r="E18" s="63" t="n">
        <v>-2015875481</v>
      </c>
      <c r="F18" s="63" t="n">
        <v>0</v>
      </c>
      <c r="G18" s="15" t="s">
        <v>923</v>
      </c>
    </row>
    <row r="19" customFormat="false" ht="15" hidden="false" customHeight="false" outlineLevel="0" collapsed="false">
      <c r="A19" s="56" t="s">
        <v>924</v>
      </c>
      <c r="B19" s="13" t="s">
        <v>463</v>
      </c>
      <c r="C19" s="63"/>
      <c r="D19" s="63"/>
      <c r="E19" s="63"/>
      <c r="F19" s="63"/>
      <c r="G19" s="15" t="s">
        <v>716</v>
      </c>
    </row>
    <row r="20" customFormat="false" ht="15" hidden="false" customHeight="false" outlineLevel="0" collapsed="false">
      <c r="A20" s="56" t="s">
        <v>925</v>
      </c>
      <c r="B20" s="13" t="s">
        <v>926</v>
      </c>
      <c r="C20" s="63" t="n">
        <v>0</v>
      </c>
      <c r="D20" s="63" t="n">
        <v>0</v>
      </c>
      <c r="E20" s="63" t="n">
        <v>303123000</v>
      </c>
      <c r="F20" s="63" t="n">
        <v>0</v>
      </c>
      <c r="G20" s="15" t="s">
        <v>927</v>
      </c>
    </row>
    <row r="21" customFormat="false" ht="15" hidden="false" customHeight="false" outlineLevel="0" collapsed="false">
      <c r="A21" s="56" t="s">
        <v>928</v>
      </c>
      <c r="B21" s="13" t="s">
        <v>929</v>
      </c>
      <c r="C21" s="63"/>
      <c r="D21" s="63"/>
      <c r="E21" s="63"/>
      <c r="F21" s="63"/>
      <c r="G21" s="15" t="s">
        <v>716</v>
      </c>
    </row>
    <row r="22" customFormat="false" ht="15" hidden="false" customHeight="false" outlineLevel="0" collapsed="false">
      <c r="A22" s="56" t="s">
        <v>930</v>
      </c>
      <c r="B22" s="13" t="s">
        <v>931</v>
      </c>
      <c r="C22" s="63"/>
      <c r="D22" s="63"/>
      <c r="E22" s="63"/>
      <c r="F22" s="63"/>
      <c r="G22" s="15" t="s">
        <v>716</v>
      </c>
    </row>
    <row r="23" customFormat="false" ht="15" hidden="false" customHeight="false" outlineLevel="0" collapsed="false">
      <c r="A23" s="56" t="s">
        <v>932</v>
      </c>
      <c r="B23" s="13" t="s">
        <v>933</v>
      </c>
      <c r="C23" s="63"/>
      <c r="D23" s="63"/>
      <c r="E23" s="63"/>
      <c r="F23" s="63"/>
      <c r="G23" s="15" t="s">
        <v>716</v>
      </c>
    </row>
    <row r="24" customFormat="false" ht="15" hidden="false" customHeight="false" outlineLevel="0" collapsed="false">
      <c r="A24" s="65" t="s">
        <v>934</v>
      </c>
      <c r="B24" s="66" t="s">
        <v>935</v>
      </c>
      <c r="C24" s="68" t="n">
        <f aca="false">C16+C17+C18+C19+C20+C21+C22+C23</f>
        <v>-16981553674</v>
      </c>
      <c r="D24" s="68" t="n">
        <f aca="false">D16+D17+D18+D19+D20+D21+D22+D23</f>
        <v>-36146492177</v>
      </c>
      <c r="E24" s="68" t="n">
        <f aca="false">E16+E17+E18+E19+E20+E21+E22+E23</f>
        <v>-26160414859</v>
      </c>
      <c r="F24" s="68" t="n">
        <f aca="false">F16+F17+F18+F19+F20+F21+F22+F23</f>
        <v>-27390827865</v>
      </c>
    </row>
    <row r="25" customFormat="false" ht="15" hidden="false" customHeight="false" outlineLevel="0" collapsed="false">
      <c r="A25" s="16"/>
      <c r="B25" s="17" t="s">
        <v>467</v>
      </c>
      <c r="C25" s="16"/>
      <c r="D25" s="16"/>
      <c r="E25" s="16"/>
      <c r="F25" s="16"/>
      <c r="G25" s="16"/>
    </row>
    <row r="26" customFormat="false" ht="15" hidden="false" customHeight="false" outlineLevel="0" collapsed="false">
      <c r="A26" s="56" t="s">
        <v>936</v>
      </c>
      <c r="B26" s="13" t="s">
        <v>937</v>
      </c>
      <c r="C26" s="63"/>
      <c r="D26" s="63"/>
      <c r="E26" s="63"/>
      <c r="F26" s="63"/>
      <c r="G26" s="15" t="s">
        <v>716</v>
      </c>
    </row>
    <row r="27" customFormat="false" ht="15" hidden="false" customHeight="false" outlineLevel="0" collapsed="false">
      <c r="A27" s="56" t="s">
        <v>938</v>
      </c>
      <c r="B27" s="13" t="s">
        <v>939</v>
      </c>
      <c r="C27" s="63"/>
      <c r="D27" s="63"/>
      <c r="E27" s="63"/>
      <c r="F27" s="63"/>
      <c r="G27" s="15" t="s">
        <v>716</v>
      </c>
    </row>
    <row r="28" customFormat="false" ht="15" hidden="false" customHeight="false" outlineLevel="0" collapsed="false">
      <c r="A28" s="56" t="s">
        <v>940</v>
      </c>
      <c r="B28" s="13" t="s">
        <v>941</v>
      </c>
      <c r="C28" s="63" t="n">
        <v>55246000000</v>
      </c>
      <c r="D28" s="63" t="n">
        <v>33071929334</v>
      </c>
      <c r="E28" s="63" t="n">
        <v>6717555926</v>
      </c>
      <c r="F28" s="63" t="n">
        <v>0</v>
      </c>
      <c r="G28" s="15" t="s">
        <v>942</v>
      </c>
    </row>
    <row r="29" customFormat="false" ht="15" hidden="false" customHeight="false" outlineLevel="0" collapsed="false">
      <c r="A29" s="56" t="s">
        <v>943</v>
      </c>
      <c r="B29" s="13" t="s">
        <v>944</v>
      </c>
      <c r="C29" s="63" t="n">
        <v>-30887841073</v>
      </c>
      <c r="D29" s="63" t="n">
        <v>-700008000</v>
      </c>
      <c r="E29" s="63" t="n">
        <v>-4015634050</v>
      </c>
      <c r="F29" s="63" t="n">
        <v>-12951313161</v>
      </c>
      <c r="G29" s="15" t="s">
        <v>945</v>
      </c>
    </row>
    <row r="30" customFormat="false" ht="15" hidden="false" customHeight="false" outlineLevel="0" collapsed="false">
      <c r="A30" s="56" t="s">
        <v>946</v>
      </c>
      <c r="B30" s="13" t="s">
        <v>947</v>
      </c>
      <c r="C30" s="63" t="n">
        <v>-174137725</v>
      </c>
      <c r="D30" s="63" t="n">
        <v>-258986069</v>
      </c>
      <c r="E30" s="63" t="n">
        <v>-227712033</v>
      </c>
      <c r="F30" s="63" t="n">
        <v>-141304358</v>
      </c>
      <c r="G30" s="15" t="s">
        <v>948</v>
      </c>
    </row>
    <row r="31" customFormat="false" ht="15" hidden="false" customHeight="false" outlineLevel="0" collapsed="false">
      <c r="A31" s="56" t="s">
        <v>949</v>
      </c>
      <c r="B31" s="13" t="s">
        <v>950</v>
      </c>
      <c r="C31" s="63"/>
      <c r="D31" s="63"/>
      <c r="E31" s="63"/>
      <c r="F31" s="63"/>
      <c r="G31" s="15" t="s">
        <v>716</v>
      </c>
    </row>
    <row r="32" customFormat="false" ht="15" hidden="false" customHeight="false" outlineLevel="0" collapsed="false">
      <c r="A32" s="56" t="s">
        <v>951</v>
      </c>
      <c r="B32" s="13" t="s">
        <v>952</v>
      </c>
      <c r="C32" s="63"/>
      <c r="D32" s="63"/>
      <c r="E32" s="63"/>
      <c r="F32" s="63"/>
      <c r="G32" s="15" t="s">
        <v>716</v>
      </c>
    </row>
    <row r="33" customFormat="false" ht="15" hidden="false" customHeight="false" outlineLevel="0" collapsed="false">
      <c r="A33" s="56" t="s">
        <v>953</v>
      </c>
      <c r="B33" s="13" t="s">
        <v>954</v>
      </c>
      <c r="C33" s="63" t="n">
        <v>3000000000</v>
      </c>
      <c r="D33" s="63" t="n">
        <v>30000000000</v>
      </c>
      <c r="E33" s="63" t="n">
        <v>0</v>
      </c>
      <c r="F33" s="63" t="n">
        <v>0</v>
      </c>
      <c r="G33" s="15" t="s">
        <v>955</v>
      </c>
    </row>
    <row r="34" customFormat="false" ht="15" hidden="false" customHeight="false" outlineLevel="0" collapsed="false">
      <c r="A34" s="56" t="s">
        <v>956</v>
      </c>
      <c r="B34" s="13" t="s">
        <v>957</v>
      </c>
      <c r="C34" s="63" t="n">
        <v>-3427524256</v>
      </c>
      <c r="D34" s="63" t="n">
        <v>-3844110996</v>
      </c>
      <c r="E34" s="63" t="n">
        <v>-5744519363</v>
      </c>
      <c r="F34" s="63" t="n">
        <v>-8780889744</v>
      </c>
      <c r="G34" s="15" t="s">
        <v>958</v>
      </c>
    </row>
    <row r="35" customFormat="false" ht="15" hidden="false" customHeight="false" outlineLevel="0" collapsed="false">
      <c r="A35" s="56" t="s">
        <v>959</v>
      </c>
      <c r="B35" s="13" t="s">
        <v>960</v>
      </c>
      <c r="C35" s="63" t="n">
        <v>282572850</v>
      </c>
      <c r="D35" s="63" t="n">
        <v>175237200</v>
      </c>
      <c r="E35" s="63" t="n">
        <v>0</v>
      </c>
      <c r="F35" s="63" t="n">
        <v>0</v>
      </c>
      <c r="G35" s="15" t="s">
        <v>961</v>
      </c>
    </row>
    <row r="36" customFormat="false" ht="15" hidden="false" customHeight="false" outlineLevel="0" collapsed="false">
      <c r="A36" s="56" t="s">
        <v>962</v>
      </c>
      <c r="B36" s="13" t="s">
        <v>963</v>
      </c>
      <c r="C36" s="63" t="n">
        <v>0</v>
      </c>
      <c r="D36" s="63" t="n">
        <v>2977204389</v>
      </c>
      <c r="E36" s="63" t="n">
        <v>16843417535</v>
      </c>
      <c r="F36" s="63" t="n">
        <v>6968037795</v>
      </c>
      <c r="G36" s="15" t="s">
        <v>964</v>
      </c>
    </row>
    <row r="37" customFormat="false" ht="15" hidden="false" customHeight="false" outlineLevel="0" collapsed="false">
      <c r="A37" s="56" t="s">
        <v>965</v>
      </c>
      <c r="B37" s="13" t="s">
        <v>966</v>
      </c>
      <c r="C37" s="63" t="n">
        <v>-4933634156</v>
      </c>
      <c r="D37" s="63" t="n">
        <v>-45093892823</v>
      </c>
      <c r="E37" s="63" t="n">
        <v>-20468827761</v>
      </c>
      <c r="F37" s="63" t="n">
        <v>-30103370433</v>
      </c>
      <c r="G37" s="15" t="s">
        <v>967</v>
      </c>
    </row>
    <row r="38" customFormat="false" ht="15" hidden="false" customHeight="false" outlineLevel="0" collapsed="false">
      <c r="A38" s="56" t="s">
        <v>968</v>
      </c>
      <c r="B38" s="13" t="s">
        <v>969</v>
      </c>
      <c r="C38" s="63" t="n">
        <v>0</v>
      </c>
      <c r="D38" s="63" t="n">
        <v>0</v>
      </c>
      <c r="E38" s="63" t="n">
        <v>30763499000</v>
      </c>
      <c r="F38" s="63" t="n">
        <v>69203672050</v>
      </c>
      <c r="G38" s="15" t="s">
        <v>970</v>
      </c>
    </row>
    <row r="39" customFormat="false" ht="15" hidden="false" customHeight="false" outlineLevel="0" collapsed="false">
      <c r="A39" s="56" t="s">
        <v>971</v>
      </c>
      <c r="B39" s="13" t="s">
        <v>972</v>
      </c>
      <c r="C39" s="63" t="n">
        <v>-30000000000</v>
      </c>
      <c r="D39" s="63" t="n">
        <v>-30000000000</v>
      </c>
      <c r="E39" s="63" t="n">
        <v>0</v>
      </c>
      <c r="F39" s="63" t="n">
        <v>0</v>
      </c>
      <c r="G39" s="15" t="s">
        <v>973</v>
      </c>
    </row>
    <row r="40" customFormat="false" ht="15" hidden="false" customHeight="false" outlineLevel="0" collapsed="false">
      <c r="A40" s="56" t="s">
        <v>974</v>
      </c>
      <c r="B40" s="13" t="s">
        <v>975</v>
      </c>
      <c r="C40" s="63" t="n">
        <v>-163528380</v>
      </c>
      <c r="D40" s="63" t="n">
        <v>0</v>
      </c>
      <c r="E40" s="63" t="n">
        <v>-505637369</v>
      </c>
      <c r="F40" s="63" t="n">
        <v>-998837042</v>
      </c>
      <c r="G40" s="15" t="s">
        <v>976</v>
      </c>
    </row>
    <row r="41" customFormat="false" ht="15" hidden="false" customHeight="false" outlineLevel="0" collapsed="false">
      <c r="A41" s="56" t="s">
        <v>977</v>
      </c>
      <c r="B41" s="13" t="s">
        <v>978</v>
      </c>
      <c r="C41" s="63"/>
      <c r="D41" s="63"/>
      <c r="E41" s="63"/>
      <c r="F41" s="63"/>
      <c r="G41" s="15" t="s">
        <v>716</v>
      </c>
    </row>
    <row r="42" customFormat="false" ht="15" hidden="false" customHeight="false" outlineLevel="0" collapsed="false">
      <c r="A42" s="56" t="s">
        <v>979</v>
      </c>
      <c r="B42" s="13" t="s">
        <v>980</v>
      </c>
      <c r="C42" s="63"/>
      <c r="D42" s="63"/>
      <c r="E42" s="63"/>
      <c r="F42" s="63"/>
      <c r="G42" s="15" t="s">
        <v>716</v>
      </c>
    </row>
    <row r="43" customFormat="false" ht="15" hidden="false" customHeight="false" outlineLevel="0" collapsed="false">
      <c r="A43" s="65" t="s">
        <v>981</v>
      </c>
      <c r="B43" s="66" t="s">
        <v>982</v>
      </c>
      <c r="C43" s="68" t="n">
        <f aca="false">C26+C27+C28+C29+C30+C31+C32+C33+C34+C35+C36+C37+C38+C39+C40+C41+C42</f>
        <v>-11058092740</v>
      </c>
      <c r="D43" s="68" t="n">
        <f aca="false">D26+D27+D28+D29+D30+D31+D32+D33+D34+D35+D36+D37+D38+D39+D40+D41+D42</f>
        <v>-13672626965</v>
      </c>
      <c r="E43" s="68" t="n">
        <f aca="false">E26+E27+E28+E29+E30+E31+E32+E33+E34+E35+E36+E37+E38+E39+E40+E41+E42</f>
        <v>23362141885</v>
      </c>
      <c r="F43" s="68" t="n">
        <f aca="false">F26+F27+F28+F29+F30+F31+F32+F33+F34+F35+F36+F37+F38+F39+F40+F41+F42</f>
        <v>23195995107</v>
      </c>
    </row>
    <row r="44" customFormat="false" ht="15" hidden="false" customHeight="false" outlineLevel="0" collapsed="false">
      <c r="A44" s="65" t="s">
        <v>983</v>
      </c>
      <c r="B44" s="66" t="s">
        <v>477</v>
      </c>
      <c r="C44" s="68" t="n">
        <f aca="false">C14+C24+C43</f>
        <v>-20305546331</v>
      </c>
      <c r="D44" s="68" t="n">
        <f aca="false">D14+D24+D43</f>
        <v>-30083413701</v>
      </c>
      <c r="E44" s="68" t="n">
        <f aca="false">E14+E24+E43</f>
        <v>199414574</v>
      </c>
      <c r="F44" s="68" t="n">
        <f aca="false">F14+F24+F43</f>
        <v>1373118612</v>
      </c>
    </row>
    <row r="45" customFormat="false" ht="15" hidden="false" customHeight="false" outlineLevel="0" collapsed="false">
      <c r="A45" s="56" t="s">
        <v>984</v>
      </c>
      <c r="B45" s="13" t="s">
        <v>479</v>
      </c>
      <c r="C45" s="63" t="n">
        <v>59602857240</v>
      </c>
      <c r="D45" s="63" t="n">
        <v>29547207476</v>
      </c>
      <c r="E45" s="63" t="n">
        <v>2463973775</v>
      </c>
      <c r="F45" s="63" t="n">
        <v>2663388349</v>
      </c>
      <c r="G45" s="15" t="s">
        <v>985</v>
      </c>
    </row>
    <row r="46" customFormat="false" ht="15" hidden="false" customHeight="false" outlineLevel="0" collapsed="false">
      <c r="A46" s="65" t="s">
        <v>986</v>
      </c>
      <c r="B46" s="66" t="s">
        <v>482</v>
      </c>
      <c r="C46" s="68" t="n">
        <f aca="false">C44+C45</f>
        <v>39297310909</v>
      </c>
      <c r="D46" s="68" t="n">
        <f aca="false">D44+D45</f>
        <v>-536206225</v>
      </c>
      <c r="E46" s="68" t="n">
        <f aca="false">E44+E45</f>
        <v>2663388349</v>
      </c>
      <c r="F46" s="68" t="n">
        <f aca="false">F44+F45</f>
        <v>4036506961</v>
      </c>
    </row>
    <row r="47" customFormat="false" ht="15" hidden="false" customHeight="false" outlineLevel="0" collapsed="false">
      <c r="A47" s="16"/>
      <c r="B47" s="17" t="s">
        <v>858</v>
      </c>
      <c r="C47" s="16"/>
      <c r="D47" s="16"/>
      <c r="E47" s="16"/>
      <c r="F47" s="16"/>
      <c r="G47" s="16"/>
    </row>
    <row r="48" customFormat="false" ht="15" hidden="false" customHeight="false" outlineLevel="0" collapsed="false">
      <c r="A48" s="56" t="s">
        <v>987</v>
      </c>
      <c r="B48" s="13" t="s">
        <v>988</v>
      </c>
      <c r="C48" s="63" t="n">
        <v>7734100083</v>
      </c>
      <c r="D48" s="63" t="n">
        <v>19735705441</v>
      </c>
      <c r="E48" s="63" t="n">
        <v>2997687548</v>
      </c>
      <c r="F48" s="63" t="n">
        <v>5567951370</v>
      </c>
      <c r="G48" s="15" t="s">
        <v>989</v>
      </c>
    </row>
    <row r="49" customFormat="false" ht="15" hidden="false" customHeight="false" outlineLevel="0" collapsed="false">
      <c r="A49" s="56" t="s">
        <v>990</v>
      </c>
      <c r="B49" s="13" t="s">
        <v>991</v>
      </c>
      <c r="C49" s="63" t="n">
        <v>-16981553674</v>
      </c>
      <c r="D49" s="63" t="n">
        <v>-36146492177</v>
      </c>
      <c r="E49" s="63" t="n">
        <v>-26160414859</v>
      </c>
      <c r="F49" s="63" t="n">
        <v>-27390827865</v>
      </c>
      <c r="G49" s="15" t="s">
        <v>992</v>
      </c>
    </row>
    <row r="50" customFormat="false" ht="15" hidden="false" customHeight="false" outlineLevel="0" collapsed="false">
      <c r="A50" s="56" t="s">
        <v>993</v>
      </c>
      <c r="B50" s="13" t="s">
        <v>994</v>
      </c>
      <c r="C50" s="63" t="n">
        <v>-11058092740</v>
      </c>
      <c r="D50" s="63" t="n">
        <v>-13672626965</v>
      </c>
      <c r="E50" s="63" t="n">
        <v>23362141885</v>
      </c>
      <c r="F50" s="63" t="n">
        <v>23195995107</v>
      </c>
      <c r="G50" s="15" t="s">
        <v>995</v>
      </c>
    </row>
    <row r="51" customFormat="false" ht="15" hidden="false" customHeight="false" outlineLevel="0" collapsed="false">
      <c r="A51" s="56" t="s">
        <v>996</v>
      </c>
      <c r="B51" s="13" t="s">
        <v>997</v>
      </c>
      <c r="C51" s="63" t="n">
        <v>-20305546331</v>
      </c>
      <c r="D51" s="63" t="n">
        <v>-30083413701</v>
      </c>
      <c r="E51" s="63" t="n">
        <v>199414574</v>
      </c>
      <c r="F51" s="63" t="n">
        <v>1373118612</v>
      </c>
      <c r="G51" s="15" t="s">
        <v>998</v>
      </c>
    </row>
    <row r="52" customFormat="false" ht="15" hidden="false" customHeight="false" outlineLevel="0" collapsed="false">
      <c r="A52" s="56" t="s">
        <v>999</v>
      </c>
      <c r="B52" s="13" t="s">
        <v>1000</v>
      </c>
      <c r="C52" s="63" t="n">
        <v>39297310909</v>
      </c>
      <c r="D52" s="63" t="n">
        <v>-536206225</v>
      </c>
      <c r="E52" s="63" t="n">
        <v>2663388349</v>
      </c>
      <c r="F52" s="63" t="n">
        <v>4036506961</v>
      </c>
      <c r="G52" s="15" t="s">
        <v>1001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G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6" min="3" style="0" width="16"/>
    <col collapsed="false" customWidth="true" hidden="false" outlineLevel="0" max="7" min="7" style="0" width="55"/>
  </cols>
  <sheetData>
    <row r="1" customFormat="false" ht="17.35" hidden="false" customHeight="false" outlineLevel="0" collapsed="false">
      <c r="A1" s="14" t="s">
        <v>1002</v>
      </c>
    </row>
    <row r="2" customFormat="false" ht="15" hidden="false" customHeight="false" outlineLevel="0" collapsed="false">
      <c r="A2" s="15" t="s">
        <v>1003</v>
      </c>
    </row>
    <row r="3" customFormat="false" ht="43.25" hidden="false" customHeight="false" outlineLevel="0" collapsed="false">
      <c r="B3" s="15" t="s">
        <v>616</v>
      </c>
      <c r="C3" s="96" t="s">
        <v>617</v>
      </c>
      <c r="D3" s="97" t="s">
        <v>617</v>
      </c>
      <c r="E3" s="97" t="s">
        <v>618</v>
      </c>
      <c r="F3" s="97" t="s">
        <v>619</v>
      </c>
    </row>
    <row r="4" customFormat="false" ht="15" hidden="false" customHeight="false" outlineLevel="0" collapsed="false">
      <c r="A4" s="25" t="s">
        <v>328</v>
      </c>
      <c r="B4" s="25" t="s">
        <v>329</v>
      </c>
      <c r="C4" s="25" t="s">
        <v>130</v>
      </c>
      <c r="D4" s="25" t="s">
        <v>131</v>
      </c>
      <c r="E4" s="25" t="s">
        <v>132</v>
      </c>
      <c r="F4" s="25" t="s">
        <v>133</v>
      </c>
      <c r="G4" s="25" t="s">
        <v>330</v>
      </c>
    </row>
    <row r="5" customFormat="false" ht="15" hidden="false" customHeight="false" outlineLevel="0" collapsed="false">
      <c r="A5" s="16"/>
      <c r="B5" s="17" t="s">
        <v>1004</v>
      </c>
      <c r="C5" s="16"/>
      <c r="D5" s="16"/>
      <c r="E5" s="16"/>
      <c r="F5" s="16"/>
      <c r="G5" s="16"/>
    </row>
    <row r="6" customFormat="false" ht="15" hidden="false" customHeight="false" outlineLevel="0" collapsed="false">
      <c r="A6" s="56" t="s">
        <v>1005</v>
      </c>
      <c r="B6" s="13" t="s">
        <v>1006</v>
      </c>
      <c r="C6" s="74" t="n">
        <f aca="false">N(C50)+N(C53)+N(C54)+N(C55)</f>
        <v>2534971388</v>
      </c>
      <c r="D6" s="74" t="n">
        <f aca="false">N(D50)+N(D53)+N(D54)+N(D55)</f>
        <v>11883764227</v>
      </c>
      <c r="E6" s="74" t="n">
        <f aca="false">N(E50)+N(E53)+N(E54)+N(E55)</f>
        <v>46134618145</v>
      </c>
      <c r="F6" s="74" t="n">
        <f aca="false">N(F50)+N(F53)+N(F54)+N(F55)</f>
        <v>30600343048</v>
      </c>
      <c r="G6" s="15" t="s">
        <v>1007</v>
      </c>
    </row>
    <row r="7" customFormat="false" ht="15" hidden="false" customHeight="false" outlineLevel="0" collapsed="false">
      <c r="A7" s="56" t="s">
        <v>1008</v>
      </c>
      <c r="B7" s="13" t="s">
        <v>1009</v>
      </c>
      <c r="C7" s="74" t="n">
        <f aca="false">N(C48)</f>
        <v>53534000426</v>
      </c>
      <c r="D7" s="74" t="n">
        <f aca="false">N(D48)</f>
        <v>79579352582</v>
      </c>
      <c r="E7" s="74" t="n">
        <f aca="false">N(E48)</f>
        <v>85919977894</v>
      </c>
      <c r="F7" s="74" t="n">
        <f aca="false">N(F48)</f>
        <v>74120487810</v>
      </c>
      <c r="G7" s="15" t="s">
        <v>1007</v>
      </c>
    </row>
    <row r="8" customFormat="false" ht="15" hidden="false" customHeight="false" outlineLevel="0" collapsed="false">
      <c r="A8" s="56" t="s">
        <v>1010</v>
      </c>
      <c r="B8" s="13" t="s">
        <v>1011</v>
      </c>
      <c r="C8" s="74" t="n">
        <f aca="false">N(C49)</f>
        <v>43332660354</v>
      </c>
      <c r="D8" s="74" t="n">
        <f aca="false">N(D49)</f>
        <v>42651501335</v>
      </c>
      <c r="E8" s="74" t="n">
        <f aca="false">N(E49)</f>
        <v>19931209046</v>
      </c>
      <c r="F8" s="74" t="n">
        <f aca="false">N(F49)</f>
        <v>39969278831</v>
      </c>
      <c r="G8" s="15" t="s">
        <v>1007</v>
      </c>
    </row>
    <row r="9" customFormat="false" ht="15" hidden="false" customHeight="false" outlineLevel="0" collapsed="false">
      <c r="A9" s="56" t="s">
        <v>1012</v>
      </c>
      <c r="B9" s="13" t="s">
        <v>1013</v>
      </c>
      <c r="C9" s="74" t="n">
        <f aca="false">N(C52)-C6-C7-C8</f>
        <v>176512253</v>
      </c>
      <c r="D9" s="74" t="n">
        <f aca="false">N(D52)-D6-D7-D8</f>
        <v>73060785</v>
      </c>
      <c r="E9" s="74" t="n">
        <f aca="false">N(E52)-E6-E7-E8</f>
        <v>156443699</v>
      </c>
      <c r="F9" s="74" t="n">
        <f aca="false">N(F52)-F6-F7-F8</f>
        <v>183158700</v>
      </c>
      <c r="G9" s="15" t="s">
        <v>1014</v>
      </c>
    </row>
    <row r="10" customFormat="false" ht="15" hidden="false" customHeight="false" outlineLevel="0" collapsed="false">
      <c r="A10" s="65" t="s">
        <v>1015</v>
      </c>
      <c r="B10" s="66" t="s">
        <v>1016</v>
      </c>
      <c r="C10" s="68" t="n">
        <f aca="false">C6+C7+C8+C9</f>
        <v>99578144421</v>
      </c>
      <c r="D10" s="68" t="n">
        <f aca="false">D6+D7+D8+D9</f>
        <v>134187678929</v>
      </c>
      <c r="E10" s="68" t="n">
        <f aca="false">E6+E7+E8+E9</f>
        <v>152142248784</v>
      </c>
      <c r="F10" s="68" t="n">
        <f aca="false">F6+F7+F8+F9</f>
        <v>144873268389</v>
      </c>
    </row>
    <row r="11" customFormat="false" ht="15" hidden="false" customHeight="false" outlineLevel="0" collapsed="false">
      <c r="A11" s="56" t="s">
        <v>1017</v>
      </c>
      <c r="B11" s="13" t="s">
        <v>1018</v>
      </c>
      <c r="C11" s="69" t="n">
        <f aca="false">IFERROR(C6/C10,0)</f>
        <v>0.0254571061023447</v>
      </c>
      <c r="D11" s="69" t="n">
        <f aca="false">IFERROR(D6/D10,0)</f>
        <v>0.0885607704213128</v>
      </c>
      <c r="E11" s="69" t="n">
        <f aca="false">IFERROR(E6/E10,0)</f>
        <v>0.303233444449072</v>
      </c>
      <c r="F11" s="69" t="n">
        <f aca="false">IFERROR(F6/F10,0)</f>
        <v>0.211221458508376</v>
      </c>
    </row>
    <row r="12" customFormat="false" ht="15" hidden="false" customHeight="false" outlineLevel="0" collapsed="false">
      <c r="A12" s="56" t="s">
        <v>1019</v>
      </c>
      <c r="B12" s="13" t="s">
        <v>1020</v>
      </c>
      <c r="C12" s="74" t="n">
        <f aca="false">N(C60)</f>
        <v>3755552276</v>
      </c>
      <c r="D12" s="74" t="n">
        <f aca="false">N(D60)</f>
        <v>4387072246</v>
      </c>
      <c r="E12" s="74" t="n">
        <f aca="false">N(E60)</f>
        <v>4973386980</v>
      </c>
      <c r="F12" s="74" t="n">
        <f aca="false">N(F60)</f>
        <v>9923656145</v>
      </c>
      <c r="G12" s="15" t="s">
        <v>1021</v>
      </c>
    </row>
    <row r="13" customFormat="false" ht="15" hidden="false" customHeight="false" outlineLevel="0" collapsed="false">
      <c r="A13" s="56" t="s">
        <v>1022</v>
      </c>
      <c r="B13" s="13" t="s">
        <v>1023</v>
      </c>
      <c r="C13" s="74" t="n">
        <f aca="false">N(C80)</f>
        <v>3022617102</v>
      </c>
      <c r="D13" s="74" t="n">
        <f aca="false">N(D80)</f>
        <v>3367608857</v>
      </c>
      <c r="E13" s="74" t="n">
        <f aca="false">N(E80)</f>
        <v>4075347826</v>
      </c>
      <c r="F13" s="74" t="n">
        <f aca="false">N(F80)</f>
        <v>2073385940</v>
      </c>
      <c r="G13" s="15" t="s">
        <v>1024</v>
      </c>
    </row>
    <row r="14" customFormat="false" ht="15" hidden="false" customHeight="false" outlineLevel="0" collapsed="false">
      <c r="A14" s="65" t="s">
        <v>1025</v>
      </c>
      <c r="B14" s="66" t="s">
        <v>1026</v>
      </c>
      <c r="C14" s="68" t="n">
        <f aca="false">C12+C13</f>
        <v>6778169378</v>
      </c>
      <c r="D14" s="68" t="n">
        <f aca="false">D12+D13</f>
        <v>7754681103</v>
      </c>
      <c r="E14" s="68" t="n">
        <f aca="false">E12+E13</f>
        <v>9048734806</v>
      </c>
      <c r="F14" s="68" t="n">
        <f aca="false">F12+F13</f>
        <v>11997042085</v>
      </c>
    </row>
    <row r="15" customFormat="false" ht="15" hidden="false" customHeight="false" outlineLevel="0" collapsed="false">
      <c r="A15" s="56" t="s">
        <v>1027</v>
      </c>
      <c r="B15" s="13" t="s">
        <v>1028</v>
      </c>
      <c r="C15" s="74" t="n">
        <f aca="false">-C39</f>
        <v>-0</v>
      </c>
      <c r="D15" s="74" t="n">
        <f aca="false">-D39</f>
        <v>-0</v>
      </c>
      <c r="E15" s="74" t="n">
        <f aca="false">-E39</f>
        <v>9080234808</v>
      </c>
      <c r="F15" s="74" t="n">
        <f aca="false">-F39</f>
        <v>11997042085</v>
      </c>
    </row>
    <row r="16" customFormat="false" ht="15" hidden="false" customHeight="false" outlineLevel="0" collapsed="false">
      <c r="A16" s="56" t="s">
        <v>1029</v>
      </c>
      <c r="B16" s="13" t="s">
        <v>1030</v>
      </c>
      <c r="C16" s="74" t="n">
        <f aca="false">N(C61)</f>
        <v>0</v>
      </c>
      <c r="D16" s="74" t="n">
        <f aca="false">N(D61)</f>
        <v>0</v>
      </c>
      <c r="E16" s="74" t="n">
        <f aca="false">N(E61)</f>
        <v>707291669</v>
      </c>
      <c r="F16" s="74" t="n">
        <f aca="false">N(F61)</f>
        <v>606250000</v>
      </c>
      <c r="G16" s="15" t="s">
        <v>1021</v>
      </c>
    </row>
    <row r="17" customFormat="false" ht="15" hidden="false" customHeight="false" outlineLevel="0" collapsed="false">
      <c r="A17" s="56" t="s">
        <v>1031</v>
      </c>
      <c r="B17" s="13" t="s">
        <v>1032</v>
      </c>
      <c r="C17" s="74" t="n">
        <f aca="false">0</f>
        <v>0</v>
      </c>
      <c r="D17" s="74" t="n">
        <f aca="false">0</f>
        <v>0</v>
      </c>
      <c r="E17" s="74" t="n">
        <f aca="false">0</f>
        <v>0</v>
      </c>
      <c r="F17" s="74" t="n">
        <f aca="false">0</f>
        <v>0</v>
      </c>
      <c r="G17" s="15" t="s">
        <v>1033</v>
      </c>
    </row>
    <row r="18" customFormat="false" ht="15" hidden="false" customHeight="false" outlineLevel="0" collapsed="false">
      <c r="A18" s="56" t="s">
        <v>1034</v>
      </c>
      <c r="B18" s="13" t="s">
        <v>1035</v>
      </c>
      <c r="C18" s="74" t="n">
        <f aca="false">0</f>
        <v>0</v>
      </c>
      <c r="D18" s="74" t="n">
        <f aca="false">0</f>
        <v>0</v>
      </c>
      <c r="E18" s="74" t="n">
        <f aca="false">0</f>
        <v>0</v>
      </c>
      <c r="F18" s="74" t="n">
        <f aca="false">0</f>
        <v>0</v>
      </c>
      <c r="G18" s="15" t="s">
        <v>1033</v>
      </c>
    </row>
    <row r="19" customFormat="false" ht="15" hidden="false" customHeight="false" outlineLevel="0" collapsed="false">
      <c r="A19" s="65" t="s">
        <v>1036</v>
      </c>
      <c r="B19" s="66" t="s">
        <v>1037</v>
      </c>
      <c r="C19" s="68" t="n">
        <f aca="false">C17+C18</f>
        <v>0</v>
      </c>
      <c r="D19" s="68" t="n">
        <f aca="false">D17+D18</f>
        <v>0</v>
      </c>
      <c r="E19" s="68" t="n">
        <f aca="false">E17+E18</f>
        <v>0</v>
      </c>
      <c r="F19" s="68" t="n">
        <f aca="false">F17+F18</f>
        <v>0</v>
      </c>
      <c r="G19" s="15" t="s">
        <v>1033</v>
      </c>
    </row>
    <row r="20" customFormat="false" ht="15" hidden="false" customHeight="false" outlineLevel="0" collapsed="false">
      <c r="A20" s="65" t="s">
        <v>1038</v>
      </c>
      <c r="B20" s="66" t="s">
        <v>1039</v>
      </c>
      <c r="C20" s="68" t="n">
        <f aca="false">C14+C16+C19</f>
        <v>6778169378</v>
      </c>
      <c r="D20" s="68" t="n">
        <f aca="false">D14+D16+D19</f>
        <v>7754681103</v>
      </c>
      <c r="E20" s="68" t="n">
        <f aca="false">E14+E16+E19</f>
        <v>9756026475</v>
      </c>
      <c r="F20" s="68" t="n">
        <f aca="false">F14+F16+F19</f>
        <v>12603292085</v>
      </c>
    </row>
    <row r="21" customFormat="false" ht="15" hidden="false" customHeight="false" outlineLevel="0" collapsed="false">
      <c r="A21" s="56" t="s">
        <v>1040</v>
      </c>
      <c r="B21" s="13" t="s">
        <v>1041</v>
      </c>
      <c r="C21" s="74" t="n">
        <f aca="false">C31</f>
        <v>0</v>
      </c>
      <c r="D21" s="74" t="n">
        <f aca="false">D31</f>
        <v>0</v>
      </c>
      <c r="E21" s="74" t="n">
        <f aca="false">E31</f>
        <v>24447662378</v>
      </c>
      <c r="F21" s="74" t="n">
        <f aca="false">F31</f>
        <v>3910827865</v>
      </c>
    </row>
    <row r="22" customFormat="false" ht="15" hidden="false" customHeight="false" outlineLevel="0" collapsed="false">
      <c r="A22" s="56" t="s">
        <v>1042</v>
      </c>
      <c r="B22" s="13" t="s">
        <v>1043</v>
      </c>
      <c r="C22" s="99" t="n">
        <f aca="false">C86</f>
        <v>554690000</v>
      </c>
      <c r="D22" s="99" t="n">
        <f aca="false">D86</f>
        <v>554690000</v>
      </c>
      <c r="E22" s="99" t="n">
        <f aca="false">E86</f>
        <v>800250192</v>
      </c>
      <c r="F22" s="99" t="n">
        <f aca="false">F86</f>
        <v>2364143916</v>
      </c>
      <c r="G22" s="15" t="s">
        <v>1044</v>
      </c>
    </row>
    <row r="27" customFormat="false" ht="15" hidden="false" customHeight="false" outlineLevel="0" collapsed="false">
      <c r="A27" s="16"/>
      <c r="B27" s="17" t="s">
        <v>1045</v>
      </c>
      <c r="C27" s="16"/>
      <c r="D27" s="16"/>
      <c r="E27" s="16"/>
      <c r="F27" s="16"/>
      <c r="G27" s="16"/>
    </row>
    <row r="28" customFormat="false" ht="15" hidden="false" customHeight="false" outlineLevel="0" collapsed="false">
      <c r="B28" s="4" t="s">
        <v>1046</v>
      </c>
    </row>
    <row r="29" customFormat="false" ht="15" hidden="false" customHeight="false" outlineLevel="0" collapsed="false">
      <c r="A29" s="56" t="s">
        <v>1047</v>
      </c>
      <c r="B29" s="13" t="s">
        <v>1048</v>
      </c>
      <c r="C29" s="63"/>
      <c r="D29" s="63"/>
      <c r="E29" s="63" t="n">
        <v>168037297279</v>
      </c>
      <c r="F29" s="63" t="n">
        <v>192052959656</v>
      </c>
      <c r="G29" s="15" t="s">
        <v>1049</v>
      </c>
    </row>
    <row r="30" customFormat="false" ht="15" hidden="false" customHeight="false" outlineLevel="0" collapsed="false">
      <c r="A30" s="56" t="s">
        <v>1050</v>
      </c>
      <c r="B30" s="13" t="s">
        <v>1051</v>
      </c>
      <c r="C30" s="63"/>
      <c r="D30" s="63"/>
      <c r="E30" s="63" t="n">
        <v>0</v>
      </c>
      <c r="F30" s="63" t="n">
        <v>0</v>
      </c>
    </row>
    <row r="31" customFormat="false" ht="15" hidden="false" customHeight="false" outlineLevel="0" collapsed="false">
      <c r="A31" s="56" t="s">
        <v>1052</v>
      </c>
      <c r="B31" s="13" t="s">
        <v>1053</v>
      </c>
      <c r="C31" s="63"/>
      <c r="D31" s="63"/>
      <c r="E31" s="63" t="n">
        <v>24447662378</v>
      </c>
      <c r="F31" s="63" t="n">
        <v>3910827865</v>
      </c>
    </row>
    <row r="32" customFormat="false" ht="15" hidden="false" customHeight="false" outlineLevel="0" collapsed="false">
      <c r="A32" s="56" t="s">
        <v>1054</v>
      </c>
      <c r="B32" s="13" t="s">
        <v>1055</v>
      </c>
      <c r="C32" s="63"/>
      <c r="D32" s="63"/>
      <c r="E32" s="63" t="n">
        <v>-432000000</v>
      </c>
      <c r="F32" s="63" t="n">
        <v>-1182040600</v>
      </c>
    </row>
    <row r="33" customFormat="false" ht="15" hidden="false" customHeight="false" outlineLevel="0" collapsed="false">
      <c r="A33" s="56" t="s">
        <v>1056</v>
      </c>
      <c r="B33" s="13" t="s">
        <v>1057</v>
      </c>
      <c r="C33" s="63"/>
      <c r="D33" s="63"/>
      <c r="E33" s="63" t="n">
        <v>0</v>
      </c>
      <c r="F33" s="63" t="n">
        <v>6537547527</v>
      </c>
    </row>
    <row r="34" customFormat="false" ht="15" hidden="false" customHeight="false" outlineLevel="0" collapsed="false">
      <c r="A34" s="56" t="s">
        <v>1058</v>
      </c>
      <c r="B34" s="13" t="s">
        <v>1059</v>
      </c>
      <c r="C34" s="63"/>
      <c r="D34" s="63"/>
      <c r="E34" s="63" t="n">
        <v>192052959657</v>
      </c>
      <c r="F34" s="63" t="n">
        <v>201319294448</v>
      </c>
    </row>
    <row r="35" customFormat="false" ht="15" hidden="false" customHeight="false" outlineLevel="0" collapsed="false">
      <c r="A35" s="65" t="s">
        <v>1060</v>
      </c>
      <c r="B35" s="66" t="s">
        <v>1061</v>
      </c>
      <c r="C35" s="68" t="n">
        <f aca="false">C29+N(C30)+C31+C32+C33</f>
        <v>0</v>
      </c>
      <c r="D35" s="68" t="n">
        <f aca="false">D29+N(D30)+D31+D32+D33</f>
        <v>0</v>
      </c>
      <c r="E35" s="68" t="n">
        <f aca="false">E29+N(E30)+E31+E32+E33</f>
        <v>192052959657</v>
      </c>
      <c r="F35" s="68" t="n">
        <f aca="false">F29+N(F30)+F31+F32+F33</f>
        <v>201319294448</v>
      </c>
    </row>
    <row r="36" customFormat="false" ht="15" hidden="false" customHeight="false" outlineLevel="0" collapsed="false">
      <c r="B36" s="4" t="s">
        <v>1062</v>
      </c>
    </row>
    <row r="37" customFormat="false" ht="15" hidden="false" customHeight="false" outlineLevel="0" collapsed="false">
      <c r="A37" s="56" t="s">
        <v>1063</v>
      </c>
      <c r="B37" s="13" t="s">
        <v>1048</v>
      </c>
      <c r="C37" s="63"/>
      <c r="D37" s="63"/>
      <c r="E37" s="63" t="n">
        <v>-50618558085</v>
      </c>
      <c r="F37" s="63" t="n">
        <v>-59667292892</v>
      </c>
      <c r="G37" s="15" t="s">
        <v>1064</v>
      </c>
    </row>
    <row r="38" customFormat="false" ht="15" hidden="false" customHeight="false" outlineLevel="0" collapsed="false">
      <c r="A38" s="56" t="s">
        <v>1065</v>
      </c>
      <c r="B38" s="13" t="s">
        <v>1051</v>
      </c>
      <c r="C38" s="63"/>
      <c r="D38" s="63"/>
      <c r="E38" s="63" t="n">
        <v>0</v>
      </c>
      <c r="F38" s="63" t="n">
        <v>0</v>
      </c>
    </row>
    <row r="39" customFormat="false" ht="15" hidden="false" customHeight="false" outlineLevel="0" collapsed="false">
      <c r="A39" s="56" t="s">
        <v>1066</v>
      </c>
      <c r="B39" s="13" t="s">
        <v>1053</v>
      </c>
      <c r="C39" s="63"/>
      <c r="D39" s="63"/>
      <c r="E39" s="63" t="n">
        <v>-9080234808</v>
      </c>
      <c r="F39" s="63" t="n">
        <v>-11997042085</v>
      </c>
    </row>
    <row r="40" customFormat="false" ht="15" hidden="false" customHeight="false" outlineLevel="0" collapsed="false">
      <c r="A40" s="56" t="s">
        <v>1067</v>
      </c>
      <c r="B40" s="13" t="s">
        <v>1055</v>
      </c>
      <c r="C40" s="63"/>
      <c r="D40" s="63"/>
      <c r="E40" s="63" t="n">
        <v>31500000</v>
      </c>
      <c r="F40" s="63" t="n">
        <v>1148516683</v>
      </c>
    </row>
    <row r="41" customFormat="false" ht="15" hidden="false" customHeight="false" outlineLevel="0" collapsed="false">
      <c r="A41" s="56" t="s">
        <v>1068</v>
      </c>
      <c r="B41" s="13" t="s">
        <v>1057</v>
      </c>
      <c r="C41" s="63"/>
      <c r="D41" s="63"/>
      <c r="E41" s="63" t="n">
        <v>0</v>
      </c>
      <c r="F41" s="63" t="n">
        <v>-2882403127</v>
      </c>
    </row>
    <row r="42" customFormat="false" ht="15" hidden="false" customHeight="false" outlineLevel="0" collapsed="false">
      <c r="A42" s="56" t="s">
        <v>1069</v>
      </c>
      <c r="B42" s="13" t="s">
        <v>1059</v>
      </c>
      <c r="C42" s="63"/>
      <c r="D42" s="63"/>
      <c r="E42" s="63" t="n">
        <v>-59667292893</v>
      </c>
      <c r="F42" s="63" t="n">
        <v>-73398221421</v>
      </c>
    </row>
    <row r="43" customFormat="false" ht="15" hidden="false" customHeight="false" outlineLevel="0" collapsed="false">
      <c r="A43" s="65" t="s">
        <v>1070</v>
      </c>
      <c r="B43" s="66" t="s">
        <v>1061</v>
      </c>
      <c r="C43" s="68" t="n">
        <f aca="false">C37+N(C38)+C39+C40+C41</f>
        <v>0</v>
      </c>
      <c r="D43" s="68" t="n">
        <f aca="false">D37+N(D38)+D39+D40+D41</f>
        <v>0</v>
      </c>
      <c r="E43" s="68" t="n">
        <f aca="false">E37+N(E38)+E39+E40+E41</f>
        <v>-59667292893</v>
      </c>
      <c r="F43" s="68" t="n">
        <f aca="false">F37+N(F38)+F39+F40+F41</f>
        <v>-73398221421</v>
      </c>
    </row>
    <row r="44" customFormat="false" ht="15" hidden="false" customHeight="false" outlineLevel="0" collapsed="false">
      <c r="A44" s="65" t="s">
        <v>1071</v>
      </c>
      <c r="B44" s="66" t="s">
        <v>1072</v>
      </c>
      <c r="C44" s="68" t="n">
        <f aca="false">C34+C42</f>
        <v>0</v>
      </c>
      <c r="D44" s="68" t="n">
        <f aca="false">D34+D42</f>
        <v>0</v>
      </c>
      <c r="E44" s="68" t="n">
        <f aca="false">E34+E42</f>
        <v>132385666764</v>
      </c>
      <c r="F44" s="68" t="n">
        <f aca="false">F34+F42</f>
        <v>127921073027</v>
      </c>
    </row>
    <row r="46" customFormat="false" ht="15" hidden="false" customHeight="false" outlineLevel="0" collapsed="false">
      <c r="A46" s="16"/>
      <c r="B46" s="17" t="s">
        <v>1073</v>
      </c>
      <c r="C46" s="16"/>
      <c r="D46" s="16"/>
      <c r="E46" s="16"/>
      <c r="F46" s="16"/>
      <c r="G46" s="16"/>
    </row>
    <row r="47" customFormat="false" ht="15" hidden="false" customHeight="false" outlineLevel="0" collapsed="false">
      <c r="B47" s="4" t="s">
        <v>1074</v>
      </c>
    </row>
    <row r="48" customFormat="false" ht="15" hidden="false" customHeight="false" outlineLevel="0" collapsed="false">
      <c r="A48" s="56" t="s">
        <v>1075</v>
      </c>
      <c r="B48" s="13" t="s">
        <v>1076</v>
      </c>
      <c r="C48" s="63" t="n">
        <v>53534000426</v>
      </c>
      <c r="D48" s="63" t="n">
        <v>79579352582</v>
      </c>
      <c r="E48" s="63" t="n">
        <v>85919977894</v>
      </c>
      <c r="F48" s="63" t="n">
        <v>74120487810</v>
      </c>
      <c r="G48" s="15" t="s">
        <v>1077</v>
      </c>
    </row>
    <row r="49" customFormat="false" ht="15" hidden="false" customHeight="false" outlineLevel="0" collapsed="false">
      <c r="A49" s="56" t="s">
        <v>1078</v>
      </c>
      <c r="B49" s="13" t="s">
        <v>1079</v>
      </c>
      <c r="C49" s="63" t="n">
        <v>43332660354</v>
      </c>
      <c r="D49" s="63" t="n">
        <v>42651501335</v>
      </c>
      <c r="E49" s="63" t="n">
        <v>19931209046</v>
      </c>
      <c r="F49" s="63" t="n">
        <v>39969278831</v>
      </c>
      <c r="G49" s="15" t="s">
        <v>1077</v>
      </c>
    </row>
    <row r="50" customFormat="false" ht="15" hidden="false" customHeight="false" outlineLevel="0" collapsed="false">
      <c r="A50" s="56" t="s">
        <v>1080</v>
      </c>
      <c r="B50" s="13" t="s">
        <v>1081</v>
      </c>
      <c r="C50" s="63"/>
      <c r="D50" s="63"/>
      <c r="E50" s="63" t="n">
        <v>46134618145</v>
      </c>
      <c r="F50" s="63" t="n">
        <v>30600343048</v>
      </c>
      <c r="G50" s="15" t="s">
        <v>1082</v>
      </c>
    </row>
    <row r="51" customFormat="false" ht="15" hidden="false" customHeight="false" outlineLevel="0" collapsed="false">
      <c r="A51" s="56" t="s">
        <v>1083</v>
      </c>
      <c r="B51" s="13" t="s">
        <v>1084</v>
      </c>
      <c r="C51" s="63" t="n">
        <v>176512253</v>
      </c>
      <c r="D51" s="63" t="n">
        <v>73060785</v>
      </c>
      <c r="E51" s="63" t="n">
        <v>156443699</v>
      </c>
      <c r="F51" s="63" t="n">
        <v>183158701</v>
      </c>
      <c r="G51" s="15" t="s">
        <v>1077</v>
      </c>
    </row>
    <row r="52" customFormat="false" ht="15" hidden="false" customHeight="false" outlineLevel="0" collapsed="false">
      <c r="A52" s="56" t="s">
        <v>1085</v>
      </c>
      <c r="B52" s="13" t="s">
        <v>1086</v>
      </c>
      <c r="C52" s="63" t="n">
        <v>99578144421</v>
      </c>
      <c r="D52" s="63" t="n">
        <v>134187678929</v>
      </c>
      <c r="E52" s="63" t="n">
        <v>152142248784</v>
      </c>
      <c r="F52" s="63" t="n">
        <v>144873268389</v>
      </c>
      <c r="G52" s="15" t="s">
        <v>1077</v>
      </c>
    </row>
    <row r="53" customFormat="false" ht="15" hidden="false" customHeight="false" outlineLevel="0" collapsed="false">
      <c r="A53" s="56" t="s">
        <v>1087</v>
      </c>
      <c r="B53" s="13" t="s">
        <v>1088</v>
      </c>
      <c r="C53" s="63" t="n">
        <v>1277775973</v>
      </c>
      <c r="D53" s="63" t="n">
        <v>8040524868</v>
      </c>
      <c r="E53" s="63"/>
      <c r="F53" s="63"/>
      <c r="G53" s="15" t="s">
        <v>1089</v>
      </c>
    </row>
    <row r="54" customFormat="false" ht="15" hidden="false" customHeight="false" outlineLevel="0" collapsed="false">
      <c r="A54" s="56" t="s">
        <v>1090</v>
      </c>
      <c r="B54" s="13" t="s">
        <v>1091</v>
      </c>
      <c r="C54" s="63" t="n">
        <v>1112931345</v>
      </c>
      <c r="D54" s="63" t="n">
        <v>3114336730</v>
      </c>
      <c r="E54" s="63"/>
      <c r="F54" s="63"/>
      <c r="G54" s="15" t="s">
        <v>1089</v>
      </c>
    </row>
    <row r="55" customFormat="false" ht="15" hidden="false" customHeight="false" outlineLevel="0" collapsed="false">
      <c r="A55" s="56" t="s">
        <v>1092</v>
      </c>
      <c r="B55" s="13" t="s">
        <v>1093</v>
      </c>
      <c r="C55" s="63" t="n">
        <v>144264070</v>
      </c>
      <c r="D55" s="63" t="n">
        <v>728902629</v>
      </c>
      <c r="E55" s="63"/>
      <c r="F55" s="63"/>
      <c r="G55" s="15" t="s">
        <v>1089</v>
      </c>
    </row>
    <row r="56" customFormat="false" ht="15" hidden="false" customHeight="false" outlineLevel="0" collapsed="false">
      <c r="A56" s="65" t="s">
        <v>1094</v>
      </c>
      <c r="B56" s="66" t="s">
        <v>1095</v>
      </c>
      <c r="C56" s="68" t="n">
        <f aca="false">N(C48)+N(C49)+N(C50)+N(C51)+N(C53)+N(C54)+N(C55)</f>
        <v>99578144421</v>
      </c>
      <c r="D56" s="68" t="n">
        <f aca="false">N(D48)+N(D49)+N(D50)+N(D51)+N(D53)+N(D54)+N(D55)</f>
        <v>134187678929</v>
      </c>
      <c r="E56" s="68" t="n">
        <f aca="false">N(E48)+N(E49)+N(E50)+N(E51)+N(E53)+N(E54)+N(E55)</f>
        <v>152142248784</v>
      </c>
      <c r="F56" s="68" t="n">
        <f aca="false">N(F48)+N(F49)+N(F50)+N(F51)+N(F53)+N(F54)+N(F55)</f>
        <v>144873268390</v>
      </c>
    </row>
    <row r="57" customFormat="false" ht="15" hidden="false" customHeight="false" outlineLevel="0" collapsed="false">
      <c r="B57" s="4" t="s">
        <v>1096</v>
      </c>
    </row>
    <row r="58" customFormat="false" ht="15" hidden="false" customHeight="false" outlineLevel="0" collapsed="false">
      <c r="A58" s="56" t="s">
        <v>1097</v>
      </c>
      <c r="B58" s="13" t="s">
        <v>1098</v>
      </c>
      <c r="C58" s="63" t="n">
        <v>19746085035</v>
      </c>
      <c r="D58" s="63" t="n">
        <v>29012609659</v>
      </c>
      <c r="E58" s="63" t="n">
        <v>38575259386</v>
      </c>
      <c r="F58" s="63" t="n">
        <v>64636564388</v>
      </c>
      <c r="G58" s="15" t="s">
        <v>1077</v>
      </c>
    </row>
    <row r="59" customFormat="false" ht="15" hidden="false" customHeight="false" outlineLevel="0" collapsed="false">
      <c r="A59" s="56" t="s">
        <v>1099</v>
      </c>
      <c r="B59" s="13" t="s">
        <v>1100</v>
      </c>
      <c r="C59" s="63" t="n">
        <v>26066288746</v>
      </c>
      <c r="D59" s="63" t="n">
        <v>33030769915</v>
      </c>
      <c r="E59" s="63" t="n">
        <v>41214713009</v>
      </c>
      <c r="F59" s="63" t="n">
        <v>23306223421</v>
      </c>
      <c r="G59" s="15" t="s">
        <v>1077</v>
      </c>
    </row>
    <row r="60" customFormat="false" ht="15" hidden="false" customHeight="false" outlineLevel="0" collapsed="false">
      <c r="A60" s="56" t="s">
        <v>1101</v>
      </c>
      <c r="B60" s="13" t="s">
        <v>1102</v>
      </c>
      <c r="C60" s="63" t="n">
        <v>3755552276</v>
      </c>
      <c r="D60" s="63" t="n">
        <v>4387072246</v>
      </c>
      <c r="E60" s="63" t="n">
        <v>4973386980</v>
      </c>
      <c r="F60" s="63" t="n">
        <v>9923656145</v>
      </c>
      <c r="G60" s="15" t="s">
        <v>1077</v>
      </c>
    </row>
    <row r="61" customFormat="false" ht="15" hidden="false" customHeight="false" outlineLevel="0" collapsed="false">
      <c r="A61" s="56" t="s">
        <v>1103</v>
      </c>
      <c r="B61" s="13" t="s">
        <v>1104</v>
      </c>
      <c r="C61" s="63" t="n">
        <v>0</v>
      </c>
      <c r="D61" s="63" t="n">
        <v>0</v>
      </c>
      <c r="E61" s="63" t="n">
        <v>707291669</v>
      </c>
      <c r="F61" s="63" t="n">
        <v>606250000</v>
      </c>
      <c r="G61" s="15" t="s">
        <v>1077</v>
      </c>
    </row>
    <row r="62" customFormat="false" ht="15" hidden="false" customHeight="false" outlineLevel="0" collapsed="false">
      <c r="A62" s="56" t="s">
        <v>1105</v>
      </c>
      <c r="B62" s="13" t="s">
        <v>1106</v>
      </c>
      <c r="C62" s="63"/>
      <c r="D62" s="63"/>
      <c r="E62" s="63" t="n">
        <v>11812827466</v>
      </c>
      <c r="F62" s="63" t="n">
        <v>2398588758</v>
      </c>
      <c r="G62" s="15" t="s">
        <v>1082</v>
      </c>
    </row>
    <row r="63" customFormat="false" ht="15" hidden="false" customHeight="false" outlineLevel="0" collapsed="false">
      <c r="A63" s="56" t="s">
        <v>1107</v>
      </c>
      <c r="B63" s="13" t="s">
        <v>1108</v>
      </c>
      <c r="C63" s="63" t="n">
        <v>1883539295</v>
      </c>
      <c r="D63" s="63" t="n">
        <v>2281300964</v>
      </c>
      <c r="E63" s="63" t="n">
        <v>1618402664</v>
      </c>
      <c r="F63" s="63" t="n">
        <v>2680847994</v>
      </c>
      <c r="G63" s="15" t="s">
        <v>1077</v>
      </c>
    </row>
    <row r="64" customFormat="false" ht="15" hidden="false" customHeight="false" outlineLevel="0" collapsed="false">
      <c r="A64" s="56" t="s">
        <v>1109</v>
      </c>
      <c r="B64" s="13" t="s">
        <v>1110</v>
      </c>
      <c r="C64" s="63" t="n">
        <v>230063054</v>
      </c>
      <c r="D64" s="63" t="n">
        <v>626171992</v>
      </c>
      <c r="E64" s="63" t="n">
        <v>917366831</v>
      </c>
      <c r="F64" s="63" t="n">
        <v>1089875422</v>
      </c>
      <c r="G64" s="15" t="s">
        <v>1077</v>
      </c>
    </row>
    <row r="65" customFormat="false" ht="15" hidden="false" customHeight="false" outlineLevel="0" collapsed="false">
      <c r="A65" s="56" t="s">
        <v>1111</v>
      </c>
      <c r="B65" s="13" t="s">
        <v>1081</v>
      </c>
      <c r="C65" s="63"/>
      <c r="D65" s="63"/>
      <c r="E65" s="63" t="n">
        <v>3187994515</v>
      </c>
      <c r="F65" s="63" t="n">
        <v>1672912728</v>
      </c>
      <c r="G65" s="15" t="s">
        <v>1082</v>
      </c>
    </row>
    <row r="66" customFormat="false" ht="15" hidden="false" customHeight="false" outlineLevel="0" collapsed="false">
      <c r="A66" s="56" t="s">
        <v>1112</v>
      </c>
      <c r="B66" s="13" t="s">
        <v>1113</v>
      </c>
      <c r="C66" s="63" t="n">
        <v>979911350</v>
      </c>
      <c r="D66" s="63" t="n">
        <v>1090431600</v>
      </c>
      <c r="E66" s="63" t="n">
        <v>505050750</v>
      </c>
      <c r="F66" s="63" t="n">
        <v>1641932300</v>
      </c>
      <c r="G66" s="15" t="s">
        <v>1077</v>
      </c>
    </row>
    <row r="67" customFormat="false" ht="15" hidden="false" customHeight="false" outlineLevel="0" collapsed="false">
      <c r="A67" s="56" t="s">
        <v>1114</v>
      </c>
      <c r="B67" s="13" t="s">
        <v>1115</v>
      </c>
      <c r="C67" s="63" t="n">
        <v>354241470</v>
      </c>
      <c r="D67" s="63" t="n">
        <v>458820820</v>
      </c>
      <c r="E67" s="63" t="n">
        <v>686478195</v>
      </c>
      <c r="F67" s="63" t="n">
        <v>1407238790</v>
      </c>
      <c r="G67" s="15" t="s">
        <v>1077</v>
      </c>
    </row>
    <row r="68" customFormat="false" ht="15" hidden="false" customHeight="false" outlineLevel="0" collapsed="false">
      <c r="A68" s="56" t="s">
        <v>1116</v>
      </c>
      <c r="B68" s="13" t="s">
        <v>1117</v>
      </c>
      <c r="C68" s="63" t="n">
        <v>555306373</v>
      </c>
      <c r="D68" s="63" t="n">
        <v>1023304167</v>
      </c>
      <c r="E68" s="63" t="n">
        <v>381321330</v>
      </c>
      <c r="F68" s="63" t="n">
        <v>1031777229</v>
      </c>
      <c r="G68" s="15" t="s">
        <v>1077</v>
      </c>
    </row>
    <row r="69" customFormat="false" ht="15" hidden="false" customHeight="false" outlineLevel="0" collapsed="false">
      <c r="A69" s="56" t="s">
        <v>1118</v>
      </c>
      <c r="B69" s="13" t="s">
        <v>1119</v>
      </c>
      <c r="C69" s="63" t="n">
        <v>2232988784</v>
      </c>
      <c r="D69" s="63" t="n">
        <v>2611123706</v>
      </c>
      <c r="E69" s="63" t="n">
        <v>226383655</v>
      </c>
      <c r="F69" s="63" t="n">
        <v>336596794</v>
      </c>
      <c r="G69" s="15" t="s">
        <v>1077</v>
      </c>
    </row>
    <row r="70" customFormat="false" ht="15" hidden="false" customHeight="false" outlineLevel="0" collapsed="false">
      <c r="A70" s="56" t="s">
        <v>1120</v>
      </c>
      <c r="B70" s="13" t="s">
        <v>1086</v>
      </c>
      <c r="C70" s="63" t="n">
        <v>67593755280</v>
      </c>
      <c r="D70" s="63" t="n">
        <v>89574415546</v>
      </c>
      <c r="E70" s="63" t="n">
        <v>104806476450</v>
      </c>
      <c r="F70" s="63" t="n">
        <v>110732463969</v>
      </c>
      <c r="G70" s="15" t="s">
        <v>1077</v>
      </c>
    </row>
    <row r="71" customFormat="false" ht="15" hidden="false" customHeight="false" outlineLevel="0" collapsed="false">
      <c r="A71" s="56" t="s">
        <v>1121</v>
      </c>
      <c r="B71" s="13" t="s">
        <v>1122</v>
      </c>
      <c r="C71" s="63" t="n">
        <v>11789778897</v>
      </c>
      <c r="D71" s="63" t="n">
        <v>15052810477</v>
      </c>
      <c r="E71" s="63"/>
      <c r="F71" s="63"/>
      <c r="G71" s="15" t="s">
        <v>1089</v>
      </c>
    </row>
    <row r="72" customFormat="false" ht="15" hidden="false" customHeight="false" outlineLevel="0" collapsed="false">
      <c r="A72" s="65" t="s">
        <v>1123</v>
      </c>
      <c r="B72" s="66" t="s">
        <v>1095</v>
      </c>
      <c r="C72" s="68" t="n">
        <f aca="false">N(C58)+N(C59)+N(C60)+N(C61)+N(C62)+N(C63)+N(C64)+N(C65)+N(C66)+N(C67)+N(C68)+N(C69)+N(C71)</f>
        <v>67593755280</v>
      </c>
      <c r="D72" s="68" t="n">
        <f aca="false">N(D58)+N(D59)+N(D60)+N(D61)+N(D62)+N(D63)+N(D64)+N(D65)+N(D66)+N(D67)+N(D68)+N(D69)+N(D71)</f>
        <v>89574415546</v>
      </c>
      <c r="E72" s="68" t="n">
        <f aca="false">N(E58)+N(E59)+N(E60)+N(E61)+N(E62)+N(E63)+N(E64)+N(E65)+N(E66)+N(E67)+N(E68)+N(E69)+N(E71)</f>
        <v>104806476450</v>
      </c>
      <c r="F72" s="68" t="n">
        <f aca="false">N(F58)+N(F59)+N(F60)+N(F61)+N(F62)+N(F63)+N(F64)+N(F65)+N(F66)+N(F67)+N(F68)+N(F69)+N(F71)</f>
        <v>110732463969</v>
      </c>
    </row>
    <row r="73" customFormat="false" ht="15" hidden="false" customHeight="false" outlineLevel="0" collapsed="false">
      <c r="B73" s="4" t="s">
        <v>1124</v>
      </c>
    </row>
    <row r="74" customFormat="false" ht="15" hidden="false" customHeight="false" outlineLevel="0" collapsed="false">
      <c r="A74" s="56" t="s">
        <v>1125</v>
      </c>
      <c r="B74" s="13" t="s">
        <v>1126</v>
      </c>
      <c r="C74" s="63" t="n">
        <v>692431321</v>
      </c>
      <c r="D74" s="63" t="n">
        <v>2861277353</v>
      </c>
      <c r="E74" s="63" t="n">
        <v>3319996186</v>
      </c>
      <c r="F74" s="63" t="n">
        <v>1925473993</v>
      </c>
      <c r="G74" s="15" t="s">
        <v>1127</v>
      </c>
    </row>
    <row r="75" customFormat="false" ht="15" hidden="false" customHeight="false" outlineLevel="0" collapsed="false">
      <c r="A75" s="56" t="s">
        <v>1128</v>
      </c>
      <c r="B75" s="13" t="s">
        <v>1129</v>
      </c>
      <c r="C75" s="63" t="n">
        <v>282465032</v>
      </c>
      <c r="D75" s="63" t="n">
        <v>322528578</v>
      </c>
      <c r="E75" s="63" t="n">
        <v>741963107</v>
      </c>
      <c r="F75" s="63" t="n">
        <v>857811457</v>
      </c>
      <c r="G75" s="15" t="s">
        <v>1127</v>
      </c>
    </row>
    <row r="76" customFormat="false" ht="15" hidden="false" customHeight="false" outlineLevel="0" collapsed="false">
      <c r="A76" s="56" t="s">
        <v>1130</v>
      </c>
      <c r="B76" s="13" t="s">
        <v>1086</v>
      </c>
      <c r="C76" s="63" t="n">
        <v>974896353</v>
      </c>
      <c r="D76" s="63" t="n">
        <v>3183805931</v>
      </c>
      <c r="E76" s="63" t="n">
        <v>4061959293</v>
      </c>
      <c r="F76" s="63" t="n">
        <v>2783285450</v>
      </c>
      <c r="G76" s="15" t="s">
        <v>1127</v>
      </c>
    </row>
    <row r="77" customFormat="false" ht="15" hidden="false" customHeight="false" outlineLevel="0" collapsed="false">
      <c r="A77" s="65" t="s">
        <v>1131</v>
      </c>
      <c r="B77" s="66" t="s">
        <v>1095</v>
      </c>
      <c r="C77" s="68" t="n">
        <f aca="false">N(C74)+N(C75)</f>
        <v>974896353</v>
      </c>
      <c r="D77" s="68" t="n">
        <f aca="false">N(D74)+N(D75)</f>
        <v>3183805931</v>
      </c>
      <c r="E77" s="68" t="n">
        <f aca="false">N(E74)+N(E75)</f>
        <v>4061959293</v>
      </c>
      <c r="F77" s="68" t="n">
        <f aca="false">N(F74)+N(F75)</f>
        <v>2783285450</v>
      </c>
    </row>
    <row r="78" customFormat="false" ht="15" hidden="false" customHeight="false" outlineLevel="0" collapsed="false">
      <c r="B78" s="4" t="s">
        <v>1132</v>
      </c>
    </row>
    <row r="79" customFormat="false" ht="15" hidden="false" customHeight="false" outlineLevel="0" collapsed="false">
      <c r="A79" s="56" t="s">
        <v>1133</v>
      </c>
      <c r="B79" s="13" t="s">
        <v>1129</v>
      </c>
      <c r="C79" s="63" t="n">
        <v>11114790783</v>
      </c>
      <c r="D79" s="63" t="n">
        <v>13015396797</v>
      </c>
      <c r="E79" s="63" t="n">
        <v>14709205914</v>
      </c>
      <c r="F79" s="63" t="n">
        <v>14581994830</v>
      </c>
      <c r="G79" s="15" t="s">
        <v>1127</v>
      </c>
    </row>
    <row r="80" customFormat="false" ht="15" hidden="false" customHeight="false" outlineLevel="0" collapsed="false">
      <c r="A80" s="56" t="s">
        <v>1134</v>
      </c>
      <c r="B80" s="13" t="s">
        <v>1102</v>
      </c>
      <c r="C80" s="63" t="n">
        <v>3022617102</v>
      </c>
      <c r="D80" s="63" t="n">
        <v>3367608857</v>
      </c>
      <c r="E80" s="63" t="n">
        <v>4075347826</v>
      </c>
      <c r="F80" s="63" t="n">
        <v>2073385940</v>
      </c>
      <c r="G80" s="15" t="s">
        <v>1127</v>
      </c>
    </row>
    <row r="81" customFormat="false" ht="15" hidden="false" customHeight="false" outlineLevel="0" collapsed="false">
      <c r="A81" s="56" t="s">
        <v>1135</v>
      </c>
      <c r="B81" s="13" t="s">
        <v>1119</v>
      </c>
      <c r="C81" s="63" t="n">
        <v>9726087537</v>
      </c>
      <c r="D81" s="63" t="n">
        <v>15372057135</v>
      </c>
      <c r="E81" s="63" t="n">
        <v>13178104336</v>
      </c>
      <c r="F81" s="63" t="n">
        <v>11251498142</v>
      </c>
      <c r="G81" s="15" t="s">
        <v>1127</v>
      </c>
    </row>
    <row r="82" customFormat="false" ht="15" hidden="false" customHeight="false" outlineLevel="0" collapsed="false">
      <c r="A82" s="56" t="s">
        <v>1136</v>
      </c>
      <c r="B82" s="13" t="s">
        <v>1086</v>
      </c>
      <c r="C82" s="63" t="n">
        <v>23863495422</v>
      </c>
      <c r="D82" s="63" t="n">
        <v>31755062789</v>
      </c>
      <c r="E82" s="63" t="n">
        <v>31962658076</v>
      </c>
      <c r="F82" s="63" t="n">
        <v>27906878912</v>
      </c>
      <c r="G82" s="15" t="s">
        <v>1127</v>
      </c>
    </row>
    <row r="83" customFormat="false" ht="15" hidden="false" customHeight="false" outlineLevel="0" collapsed="false">
      <c r="A83" s="65" t="s">
        <v>1137</v>
      </c>
      <c r="B83" s="66" t="s">
        <v>1095</v>
      </c>
      <c r="C83" s="68" t="n">
        <f aca="false">N(C79)+N(C80)+N(C81)</f>
        <v>23863495422</v>
      </c>
      <c r="D83" s="68" t="n">
        <f aca="false">N(D79)+N(D80)+N(D81)</f>
        <v>31755062789</v>
      </c>
      <c r="E83" s="68" t="n">
        <f aca="false">N(E79)+N(E80)+N(E81)</f>
        <v>31962658076</v>
      </c>
      <c r="F83" s="68" t="n">
        <f aca="false">N(F79)+N(F80)+N(F81)</f>
        <v>27906878912</v>
      </c>
    </row>
    <row r="84" customFormat="false" ht="15" hidden="false" customHeight="false" outlineLevel="0" collapsed="false">
      <c r="B84" s="4" t="s">
        <v>1138</v>
      </c>
    </row>
    <row r="85" customFormat="false" ht="15" hidden="false" customHeight="false" outlineLevel="0" collapsed="false">
      <c r="A85" s="56" t="s">
        <v>1139</v>
      </c>
      <c r="B85" s="13" t="s">
        <v>1140</v>
      </c>
      <c r="C85" s="100" t="n">
        <v>4888165764</v>
      </c>
      <c r="D85" s="100" t="n">
        <v>3539716397</v>
      </c>
      <c r="E85" s="100" t="n">
        <v>2837231824</v>
      </c>
      <c r="F85" s="100" t="n">
        <v>6021648113</v>
      </c>
      <c r="G85" s="15" t="s">
        <v>1141</v>
      </c>
    </row>
    <row r="86" customFormat="false" ht="15" hidden="false" customHeight="false" outlineLevel="0" collapsed="false">
      <c r="A86" s="56" t="s">
        <v>1142</v>
      </c>
      <c r="B86" s="13" t="s">
        <v>1143</v>
      </c>
      <c r="C86" s="100" t="n">
        <v>554690000</v>
      </c>
      <c r="D86" s="100" t="n">
        <v>554690000</v>
      </c>
      <c r="E86" s="100" t="n">
        <v>800250192</v>
      </c>
      <c r="F86" s="100" t="n">
        <v>2364143916</v>
      </c>
      <c r="G86" s="15" t="s">
        <v>1141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7" min="3" style="0" width="16"/>
    <col collapsed="false" customWidth="true" hidden="false" outlineLevel="0" max="8" min="8" style="0" width="60"/>
  </cols>
  <sheetData>
    <row r="1" customFormat="false" ht="17.35" hidden="false" customHeight="false" outlineLevel="0" collapsed="false">
      <c r="A1" s="14" t="s">
        <v>1144</v>
      </c>
    </row>
    <row r="2" customFormat="false" ht="15" hidden="false" customHeight="false" outlineLevel="0" collapsed="false">
      <c r="A2" s="15" t="s">
        <v>1145</v>
      </c>
    </row>
    <row r="4" customFormat="false" ht="23.85" hidden="false" customHeight="false" outlineLevel="0" collapsed="false">
      <c r="A4" s="25" t="s">
        <v>328</v>
      </c>
      <c r="B4" s="25" t="s">
        <v>329</v>
      </c>
      <c r="C4" s="25" t="s">
        <v>130</v>
      </c>
      <c r="D4" s="25" t="s">
        <v>131</v>
      </c>
      <c r="E4" s="25" t="s">
        <v>132</v>
      </c>
      <c r="F4" s="25" t="s">
        <v>133</v>
      </c>
      <c r="G4" s="25" t="s">
        <v>1146</v>
      </c>
      <c r="H4" s="25" t="s">
        <v>1147</v>
      </c>
    </row>
    <row r="5" customFormat="false" ht="15" hidden="false" customHeight="false" outlineLevel="0" collapsed="false">
      <c r="A5" s="16"/>
      <c r="B5" s="17" t="s">
        <v>1148</v>
      </c>
      <c r="C5" s="16"/>
      <c r="D5" s="16"/>
      <c r="E5" s="16"/>
      <c r="F5" s="16"/>
      <c r="G5" s="16"/>
      <c r="H5" s="16"/>
    </row>
    <row r="6" customFormat="false" ht="15" hidden="false" customHeight="false" outlineLevel="0" collapsed="false">
      <c r="A6" s="56" t="s">
        <v>1149</v>
      </c>
      <c r="B6" s="13" t="s">
        <v>134</v>
      </c>
      <c r="C6" s="61"/>
      <c r="D6" s="48" t="n">
        <f aca="false">IFERROR(IS!D6/IS!C6-1,0)</f>
        <v>0.347561552881289</v>
      </c>
      <c r="E6" s="48" t="n">
        <f aca="false">IFERROR(IS!E6/IS!D6-1,0)</f>
        <v>0.133801925767715</v>
      </c>
      <c r="F6" s="48" t="n">
        <f aca="false">IFERROR(IS!F6/IS!E6-1,0)</f>
        <v>-0.0477775269729314</v>
      </c>
      <c r="G6" s="85" t="n">
        <f aca="false">AVERAGE(C6:F6)</f>
        <v>0.144528650558691</v>
      </c>
      <c r="H6" s="15"/>
    </row>
    <row r="7" customFormat="false" ht="15" hidden="false" customHeight="false" outlineLevel="0" collapsed="false">
      <c r="A7" s="56" t="s">
        <v>1150</v>
      </c>
      <c r="B7" s="13" t="s">
        <v>333</v>
      </c>
      <c r="C7" s="61"/>
      <c r="D7" s="48" t="n">
        <f aca="false">IFERROR(Schedules!D6/Schedules!C6-1,0)</f>
        <v>3.68792834635339</v>
      </c>
      <c r="E7" s="48" t="n">
        <f aca="false">IFERROR(Schedules!E6/Schedules!D6-1,0)</f>
        <v>2.88215528882522</v>
      </c>
      <c r="F7" s="48" t="n">
        <f aca="false">IFERROR(Schedules!F6/Schedules!E6-1,0)</f>
        <v>-0.336716238729367</v>
      </c>
      <c r="G7" s="85" t="n">
        <f aca="false">AVERAGE(C7:F7)</f>
        <v>2.07778913214975</v>
      </c>
      <c r="H7" s="15"/>
    </row>
    <row r="8" customFormat="false" ht="15" hidden="false" customHeight="false" outlineLevel="0" collapsed="false">
      <c r="A8" s="56" t="s">
        <v>1151</v>
      </c>
      <c r="B8" s="13" t="s">
        <v>335</v>
      </c>
      <c r="C8" s="61"/>
      <c r="D8" s="48" t="n">
        <f aca="false">IFERROR(Schedules!D7/Schedules!C7-1,0)</f>
        <v>0.486519818222859</v>
      </c>
      <c r="E8" s="48" t="n">
        <f aca="false">IFERROR(Schedules!E7/Schedules!D7-1,0)</f>
        <v>0.0796767642142666</v>
      </c>
      <c r="F8" s="48" t="n">
        <f aca="false">IFERROR(Schedules!F7/Schedules!E7-1,0)</f>
        <v>-0.137331158284946</v>
      </c>
      <c r="G8" s="85" t="n">
        <f aca="false">AVERAGE(C8:F8)</f>
        <v>0.14295514138406</v>
      </c>
      <c r="H8" s="15"/>
    </row>
    <row r="9" customFormat="false" ht="15" hidden="false" customHeight="false" outlineLevel="0" collapsed="false">
      <c r="A9" s="56" t="s">
        <v>1152</v>
      </c>
      <c r="B9" s="13" t="s">
        <v>337</v>
      </c>
      <c r="C9" s="61"/>
      <c r="D9" s="48" t="n">
        <f aca="false">IFERROR(Schedules!D8/Schedules!C8-1,0)</f>
        <v>-0.0157192984099146</v>
      </c>
      <c r="E9" s="48" t="n">
        <f aca="false">IFERROR(Schedules!E8/Schedules!D8-1,0)</f>
        <v>-0.532696190704913</v>
      </c>
      <c r="F9" s="48" t="n">
        <f aca="false">IFERROR(Schedules!F8/Schedules!E8-1,0)</f>
        <v>1.00536147800936</v>
      </c>
      <c r="G9" s="85" t="n">
        <f aca="false">AVERAGE(C9:F9)</f>
        <v>0.152315329631509</v>
      </c>
      <c r="H9" s="15"/>
    </row>
    <row r="10" customFormat="false" ht="15" hidden="false" customHeight="false" outlineLevel="0" collapsed="false">
      <c r="A10" s="56" t="s">
        <v>1153</v>
      </c>
      <c r="B10" s="13" t="s">
        <v>106</v>
      </c>
      <c r="C10" s="61"/>
      <c r="D10" s="48" t="n">
        <f aca="false">IFERROR((IS!D14+Schedules!D20)/(IS!C14+Schedules!C20)-1,0)</f>
        <v>0.155363408030138</v>
      </c>
      <c r="E10" s="48" t="n">
        <f aca="false">IFERROR((IS!E14+Schedules!E20)/(IS!D14+Schedules!D20)-1,0)</f>
        <v>0.221472086736091</v>
      </c>
      <c r="F10" s="48" t="n">
        <f aca="false">IFERROR((IS!F14+Schedules!F20)/(IS!E14+Schedules!E20)-1,0)</f>
        <v>-0.282367483471933</v>
      </c>
      <c r="G10" s="85" t="n">
        <f aca="false">AVERAGE(C10:F10)</f>
        <v>0.0314893370980988</v>
      </c>
      <c r="H10" s="15"/>
    </row>
    <row r="11" customFormat="false" ht="15" hidden="false" customHeight="false" outlineLevel="0" collapsed="false">
      <c r="A11" s="56" t="s">
        <v>1154</v>
      </c>
      <c r="B11" s="13" t="s">
        <v>138</v>
      </c>
      <c r="C11" s="61"/>
      <c r="D11" s="48" t="n">
        <f aca="false">IFERROR(IS!D20/IS!C20-1,0)</f>
        <v>-0.275859991682557</v>
      </c>
      <c r="E11" s="48" t="n">
        <f aca="false">IFERROR(IS!E20/IS!D20-1,0)</f>
        <v>-0.198420733535393</v>
      </c>
      <c r="F11" s="48" t="n">
        <f aca="false">IFERROR(IS!F20/IS!E20-1,0)</f>
        <v>1.1223568988517</v>
      </c>
      <c r="G11" s="85" t="n">
        <f aca="false">AVERAGE(C11:F11)</f>
        <v>0.216025391211251</v>
      </c>
      <c r="H11" s="15"/>
    </row>
    <row r="12" customFormat="false" ht="15" hidden="false" customHeight="false" outlineLevel="0" collapsed="false">
      <c r="A12" s="56" t="s">
        <v>1155</v>
      </c>
      <c r="B12" s="13" t="s">
        <v>139</v>
      </c>
      <c r="C12" s="61"/>
      <c r="D12" s="48" t="n">
        <f aca="false">IFERROR(IS!D29/IS!C29-1,0)</f>
        <v>-0.275859991682557</v>
      </c>
      <c r="E12" s="48" t="n">
        <f aca="false">IFERROR(IS!E29/IS!D29-1,0)</f>
        <v>-0.198457868996334</v>
      </c>
      <c r="F12" s="48" t="n">
        <f aca="false">IFERROR(IS!F29/IS!E29-1,0)</f>
        <v>1.12236732369318</v>
      </c>
      <c r="G12" s="85" t="n">
        <f aca="false">AVERAGE(C12:F12)</f>
        <v>0.21601648767143</v>
      </c>
      <c r="H12" s="15"/>
    </row>
    <row r="13" customFormat="false" ht="15" hidden="false" customHeight="false" outlineLevel="0" collapsed="false">
      <c r="A13" s="16"/>
      <c r="B13" s="17" t="s">
        <v>1156</v>
      </c>
      <c r="C13" s="16"/>
      <c r="D13" s="16"/>
      <c r="E13" s="16"/>
      <c r="F13" s="16"/>
      <c r="G13" s="16"/>
      <c r="H13" s="16"/>
    </row>
    <row r="14" customFormat="false" ht="15" hidden="false" customHeight="false" outlineLevel="0" collapsed="false">
      <c r="A14" s="56" t="s">
        <v>1157</v>
      </c>
      <c r="B14" s="13" t="s">
        <v>1158</v>
      </c>
      <c r="C14" s="48" t="n">
        <f aca="false">IFERROR(IS!C8/IS!C6,0)</f>
        <v>0.321198886833794</v>
      </c>
      <c r="D14" s="48" t="n">
        <f aca="false">IFERROR(IS!D8/IS!D6,0)</f>
        <v>0.332469148725684</v>
      </c>
      <c r="E14" s="48" t="n">
        <f aca="false">IFERROR(IS!E8/IS!E6,0)</f>
        <v>0.31112838618025</v>
      </c>
      <c r="F14" s="48" t="n">
        <f aca="false">IFERROR(IS!F8/IS!F6,0)</f>
        <v>0.235659792863431</v>
      </c>
      <c r="G14" s="85" t="n">
        <f aca="false">AVERAGE(C14:F14)</f>
        <v>0.30011405365079</v>
      </c>
      <c r="H14" s="15"/>
    </row>
    <row r="15" customFormat="false" ht="15" hidden="false" customHeight="false" outlineLevel="0" collapsed="false">
      <c r="A15" s="56" t="s">
        <v>1159</v>
      </c>
      <c r="B15" s="13" t="s">
        <v>1160</v>
      </c>
      <c r="C15" s="48" t="n">
        <f aca="false">IFERROR(IS!C14/IS!C6,0)</f>
        <v>0.0840785923224569</v>
      </c>
      <c r="D15" s="48" t="n">
        <f aca="false">IFERROR(IS!D14/IS!D6,0)</f>
        <v>0.0726573492649699</v>
      </c>
      <c r="E15" s="48" t="n">
        <f aca="false">IFERROR(IS!E14/IS!E6,0)</f>
        <v>0.0764094934110278</v>
      </c>
      <c r="F15" s="48" t="n">
        <f aca="false">IFERROR(IS!F14/IS!F6,0)</f>
        <v>0.0189165901168285</v>
      </c>
      <c r="G15" s="85" t="n">
        <f aca="false">AVERAGE(C15:F15)</f>
        <v>0.0630155062788208</v>
      </c>
      <c r="H15" s="15"/>
    </row>
    <row r="16" customFormat="false" ht="15" hidden="false" customHeight="false" outlineLevel="0" collapsed="false">
      <c r="A16" s="56" t="s">
        <v>1161</v>
      </c>
      <c r="B16" s="13" t="s">
        <v>1162</v>
      </c>
      <c r="C16" s="52" t="n">
        <f aca="false">(IS!C14+Schedules!C20)</f>
        <v>15150559587</v>
      </c>
      <c r="D16" s="52" t="n">
        <f aca="false">(IS!D14+Schedules!D20)</f>
        <v>17504402158</v>
      </c>
      <c r="E16" s="52" t="n">
        <f aca="false">(IS!E14+Schedules!E20)</f>
        <v>21381138631</v>
      </c>
      <c r="F16" s="52" t="n">
        <f aca="false">(IS!F14+Schedules!F20)</f>
        <v>15343800322</v>
      </c>
      <c r="G16" s="84" t="n">
        <f aca="false">AVERAGE(C16:F16)</f>
        <v>17344975174.5</v>
      </c>
      <c r="H16" s="15" t="s">
        <v>1163</v>
      </c>
    </row>
    <row r="17" customFormat="false" ht="15" hidden="false" customHeight="false" outlineLevel="0" collapsed="false">
      <c r="A17" s="56" t="s">
        <v>1164</v>
      </c>
      <c r="B17" s="13" t="s">
        <v>177</v>
      </c>
      <c r="C17" s="48" t="n">
        <f aca="false">IFERROR((IS!C14+Schedules!C20)/IS!C6,0)</f>
        <v>0.152147438326888</v>
      </c>
      <c r="D17" s="48" t="n">
        <f aca="false">IFERROR((IS!D14+Schedules!D20)/IS!D6,0)</f>
        <v>0.130447163984867</v>
      </c>
      <c r="E17" s="48" t="n">
        <f aca="false">IFERROR((IS!E14+Schedules!E20)/IS!E6,0)</f>
        <v>0.140533867494987</v>
      </c>
      <c r="F17" s="48" t="n">
        <f aca="false">IFERROR((IS!F14+Schedules!F20)/IS!F6,0)</f>
        <v>0.105911880725989</v>
      </c>
      <c r="G17" s="85" t="n">
        <f aca="false">AVERAGE(C17:F17)</f>
        <v>0.132260087633183</v>
      </c>
      <c r="H17" s="15"/>
    </row>
    <row r="18" customFormat="false" ht="15" hidden="false" customHeight="false" outlineLevel="0" collapsed="false">
      <c r="A18" s="56" t="s">
        <v>1165</v>
      </c>
      <c r="B18" s="13" t="s">
        <v>387</v>
      </c>
      <c r="C18" s="48" t="n">
        <f aca="false">IFERROR(IS!C20/IS!C6,0)</f>
        <v>0.0490887412335546</v>
      </c>
      <c r="D18" s="48" t="n">
        <f aca="false">IFERROR(IS!D20/IS!D6,0)</f>
        <v>0.0263788480824152</v>
      </c>
      <c r="E18" s="48" t="n">
        <f aca="false">IFERROR(IS!E20/IS!E6,0)</f>
        <v>0.0186494106382526</v>
      </c>
      <c r="F18" s="48" t="n">
        <f aca="false">IFERROR(IS!F20/IS!F6,0)</f>
        <v>0.0415666574238566</v>
      </c>
      <c r="G18" s="85" t="n">
        <f aca="false">AVERAGE(C18:F18)</f>
        <v>0.0339209143445198</v>
      </c>
      <c r="H18" s="15"/>
    </row>
    <row r="19" customFormat="false" ht="15" hidden="false" customHeight="false" outlineLevel="0" collapsed="false">
      <c r="A19" s="56" t="s">
        <v>1166</v>
      </c>
      <c r="B19" s="13" t="s">
        <v>1167</v>
      </c>
      <c r="C19" s="48" t="n">
        <f aca="false">IFERROR(IS!C29/IS!C6,0)</f>
        <v>0.0490887412335546</v>
      </c>
      <c r="D19" s="48" t="n">
        <f aca="false">IFERROR(IS!D29/IS!D6,0)</f>
        <v>0.0263788480824152</v>
      </c>
      <c r="E19" s="48" t="n">
        <f aca="false">IFERROR(IS!E29/IS!E6,0)</f>
        <v>0.0186485466507603</v>
      </c>
      <c r="F19" s="48" t="n">
        <f aca="false">IFERROR(IS!F29/IS!F6,0)</f>
        <v>0.0415649358916321</v>
      </c>
      <c r="G19" s="85" t="n">
        <f aca="false">AVERAGE(C19:F19)</f>
        <v>0.0339202679645906</v>
      </c>
      <c r="H19" s="15"/>
    </row>
    <row r="20" customFormat="false" ht="15" hidden="false" customHeight="false" outlineLevel="0" collapsed="false">
      <c r="A20" s="56" t="s">
        <v>1168</v>
      </c>
      <c r="B20" s="13" t="s">
        <v>1169</v>
      </c>
      <c r="C20" s="61"/>
      <c r="D20" s="48" t="n">
        <f aca="false">IFERROR(IS!D29/((BS!D59+BS!C59)/2),0)</f>
        <v>0.0392822248959968</v>
      </c>
      <c r="E20" s="48" t="n">
        <f aca="false">IFERROR(IS!E29/((BS!E59+BS!D59)/2),0)</f>
        <v>0.0219193800713985</v>
      </c>
      <c r="F20" s="48" t="n">
        <f aca="false">IFERROR(IS!F29/((BS!F59+BS!E59)/2),0)</f>
        <v>0.035818840873923</v>
      </c>
      <c r="G20" s="85" t="n">
        <f aca="false">AVERAGE(C20:F20)</f>
        <v>0.0323401486137728</v>
      </c>
      <c r="H20" s="15"/>
    </row>
    <row r="21" customFormat="false" ht="15" hidden="false" customHeight="false" outlineLevel="0" collapsed="false">
      <c r="A21" s="56" t="s">
        <v>1170</v>
      </c>
      <c r="B21" s="13" t="s">
        <v>1171</v>
      </c>
      <c r="C21" s="61"/>
      <c r="D21" s="48" t="n">
        <f aca="false">IFERROR(IS!D20/((BS!D27+BS!C27)/2),0)</f>
        <v>0.0153679120287421</v>
      </c>
      <c r="E21" s="48" t="n">
        <f aca="false">IFERROR(IS!E20/((BS!E27+BS!D27)/2),0)</f>
        <v>0.0099771880048847</v>
      </c>
      <c r="F21" s="48" t="n">
        <f aca="false">IFERROR(IS!F20/((BS!F27+BS!E27)/2),0)</f>
        <v>0.0201295857043936</v>
      </c>
      <c r="G21" s="85" t="n">
        <f aca="false">AVERAGE(C21:F21)</f>
        <v>0.0151582285793401</v>
      </c>
      <c r="H21" s="15"/>
    </row>
    <row r="22" customFormat="false" ht="15" hidden="false" customHeight="false" outlineLevel="0" collapsed="false">
      <c r="A22" s="56" t="s">
        <v>1172</v>
      </c>
      <c r="B22" s="13" t="s">
        <v>147</v>
      </c>
      <c r="C22" s="48" t="n">
        <f aca="false">IFERROR(-IS!C18/IS!C17,0)</f>
        <v>0.258012508806481</v>
      </c>
      <c r="D22" s="48" t="n">
        <f aca="false">IFERROR(-IS!D18/IS!D17,0)</f>
        <v>0.76735138585865</v>
      </c>
      <c r="E22" s="48" t="n">
        <f aca="false">IFERROR(-IS!E18/IS!E17,0)</f>
        <v>6.91166519635588</v>
      </c>
      <c r="F22" s="48" t="n">
        <f aca="false">IFERROR(-IS!F18/IS!F17,0)</f>
        <v>-0.058527226712422</v>
      </c>
      <c r="G22" s="85" t="n">
        <f aca="false">AVERAGE(C22:F22)</f>
        <v>1.96962546607715</v>
      </c>
      <c r="H22" s="15"/>
    </row>
    <row r="23" customFormat="false" ht="15" hidden="false" customHeight="false" outlineLevel="0" collapsed="false">
      <c r="A23" s="56" t="s">
        <v>1173</v>
      </c>
      <c r="B23" s="13" t="s">
        <v>1174</v>
      </c>
      <c r="C23" s="48" t="n">
        <f aca="false">IFERROR(IS!C30/IS!C20,0)</f>
        <v>0</v>
      </c>
      <c r="D23" s="48" t="n">
        <f aca="false">IFERROR(IS!D30/IS!D20,0)</f>
        <v>0</v>
      </c>
      <c r="E23" s="48" t="n">
        <f aca="false">IFERROR(IS!E30/IS!E20,0)</f>
        <v>4.63278711086636E-005</v>
      </c>
      <c r="F23" s="48" t="n">
        <f aca="false">IFERROR(IS!F30/IS!F20,0)</f>
        <v>4.14161814105811E-005</v>
      </c>
      <c r="G23" s="85" t="n">
        <f aca="false">AVERAGE(C23:F23)</f>
        <v>2.19360131298112E-005</v>
      </c>
      <c r="H23" s="15"/>
    </row>
    <row r="24" customFormat="false" ht="15" hidden="false" customHeight="false" outlineLevel="0" collapsed="false">
      <c r="A24" s="56" t="s">
        <v>1175</v>
      </c>
      <c r="B24" s="13" t="s">
        <v>1176</v>
      </c>
      <c r="C24" s="48" t="n">
        <f aca="false">IFERROR(IS!C13/IS!C6,0)</f>
        <v>0.0123158836723751</v>
      </c>
      <c r="D24" s="48" t="n">
        <f aca="false">IFERROR(IS!D13/IS!D6,0)</f>
        <v>0.000561351031638724</v>
      </c>
      <c r="E24" s="48" t="n">
        <f aca="false">IFERROR(IS!E13/IS!E6,0)</f>
        <v>0.00206357664297267</v>
      </c>
      <c r="F24" s="48" t="n">
        <f aca="false">IFERROR(IS!F13/IS!F6,0)</f>
        <v>-0.00490174501408515</v>
      </c>
      <c r="G24" s="85" t="n">
        <f aca="false">AVERAGE(C24:F24)</f>
        <v>0.00250976658322533</v>
      </c>
      <c r="H24" s="15" t="s">
        <v>1177</v>
      </c>
    </row>
    <row r="25" customFormat="false" ht="15" hidden="false" customHeight="false" outlineLevel="0" collapsed="false">
      <c r="A25" s="16"/>
      <c r="B25" s="17" t="s">
        <v>1178</v>
      </c>
      <c r="C25" s="16"/>
      <c r="D25" s="16"/>
      <c r="E25" s="16"/>
      <c r="F25" s="16"/>
      <c r="G25" s="16"/>
      <c r="H25" s="16"/>
    </row>
    <row r="26" customFormat="false" ht="15" hidden="false" customHeight="false" outlineLevel="0" collapsed="false">
      <c r="A26" s="56" t="s">
        <v>1179</v>
      </c>
      <c r="B26" s="13" t="s">
        <v>1180</v>
      </c>
      <c r="C26" s="48" t="n">
        <f aca="false">Schedules!C11</f>
        <v>0.0254571061023447</v>
      </c>
      <c r="D26" s="48" t="n">
        <f aca="false">Schedules!D11</f>
        <v>0.0885607704213128</v>
      </c>
      <c r="E26" s="48" t="n">
        <f aca="false">Schedules!E11</f>
        <v>0.303233444449072</v>
      </c>
      <c r="F26" s="48" t="n">
        <f aca="false">Schedules!F11</f>
        <v>0.211221458508376</v>
      </c>
      <c r="G26" s="85" t="n">
        <f aca="false">AVERAGE(C26:F26)</f>
        <v>0.157118194870276</v>
      </c>
      <c r="H26" s="15"/>
    </row>
    <row r="27" customFormat="false" ht="15" hidden="false" customHeight="false" outlineLevel="0" collapsed="false">
      <c r="A27" s="16"/>
      <c r="B27" s="17" t="s">
        <v>1181</v>
      </c>
      <c r="C27" s="16"/>
      <c r="D27" s="16"/>
      <c r="E27" s="16"/>
      <c r="F27" s="16"/>
      <c r="G27" s="16"/>
      <c r="H27" s="16"/>
    </row>
    <row r="28" customFormat="false" ht="15" hidden="false" customHeight="false" outlineLevel="0" collapsed="false">
      <c r="A28" s="56" t="s">
        <v>1182</v>
      </c>
      <c r="B28" s="13" t="s">
        <v>1183</v>
      </c>
      <c r="C28" s="46" t="n">
        <f aca="false">IFERROR((BS!C8+BS!C9)/IS!C6*365,0)</f>
        <v>44.4195701598873</v>
      </c>
      <c r="D28" s="46" t="n">
        <f aca="false">IFERROR((BS!D8+BS!D9)/IS!D6*365,0)</f>
        <v>45.6528040257806</v>
      </c>
      <c r="E28" s="46" t="n">
        <f aca="false">IFERROR((BS!E8+BS!E9)/IS!E6*365,0)</f>
        <v>60.1587557526463</v>
      </c>
      <c r="F28" s="46" t="n">
        <f aca="false">IFERROR((BS!F8+BS!F9)/IS!F6*365,0)</f>
        <v>47.548060426709</v>
      </c>
      <c r="G28" s="93" t="n">
        <f aca="false">AVERAGE(C28:F28)</f>
        <v>49.4447975912558</v>
      </c>
      <c r="H28" s="15"/>
    </row>
    <row r="29" customFormat="false" ht="15" hidden="false" customHeight="false" outlineLevel="0" collapsed="false">
      <c r="A29" s="56" t="s">
        <v>1184</v>
      </c>
      <c r="B29" s="13" t="s">
        <v>1185</v>
      </c>
      <c r="C29" s="46" t="n">
        <f aca="false">IFERROR(BS!C12/-IS!C7*365,0)</f>
        <v>12.2301949052919</v>
      </c>
      <c r="D29" s="46" t="n">
        <f aca="false">IFERROR(BS!D12/-IS!D7*365,0)</f>
        <v>16.4461229004445</v>
      </c>
      <c r="E29" s="46" t="n">
        <f aca="false">IFERROR(BS!E12/-IS!E7*365,0)</f>
        <v>14.4027432243668</v>
      </c>
      <c r="F29" s="46" t="n">
        <f aca="false">IFERROR(BS!F12/-IS!F7*365,0)</f>
        <v>4.40456532915714</v>
      </c>
      <c r="G29" s="93" t="n">
        <f aca="false">AVERAGE(C29:F29)</f>
        <v>11.8709065898151</v>
      </c>
      <c r="H29" s="15"/>
    </row>
    <row r="30" customFormat="false" ht="15" hidden="false" customHeight="false" outlineLevel="0" collapsed="false">
      <c r="A30" s="56" t="s">
        <v>1186</v>
      </c>
      <c r="B30" s="13" t="s">
        <v>1187</v>
      </c>
      <c r="C30" s="46" t="n">
        <f aca="false">IFERROR((BS!C30+BS!C31)/-IS!C7*365,0)</f>
        <v>11.1199801963422</v>
      </c>
      <c r="D30" s="46" t="n">
        <f aca="false">IFERROR((BS!D30+BS!D31)/-IS!D7*365,0)</f>
        <v>19.4473534933691</v>
      </c>
      <c r="E30" s="46" t="n">
        <f aca="false">IFERROR((BS!E30+BS!E31)/-IS!E7*365,0)</f>
        <v>19.7417582536236</v>
      </c>
      <c r="F30" s="46" t="n">
        <f aca="false">IFERROR((BS!F30+BS!F31)/-IS!F7*365,0)</f>
        <v>21.6835332151752</v>
      </c>
      <c r="G30" s="93" t="n">
        <f aca="false">AVERAGE(C30:F30)</f>
        <v>17.9981562896275</v>
      </c>
      <c r="H30" s="15"/>
    </row>
    <row r="31" customFormat="false" ht="15" hidden="false" customHeight="false" outlineLevel="0" collapsed="false">
      <c r="A31" s="16"/>
      <c r="B31" s="17" t="s">
        <v>1188</v>
      </c>
      <c r="C31" s="16"/>
      <c r="D31" s="16"/>
      <c r="E31" s="16"/>
      <c r="F31" s="16"/>
      <c r="G31" s="16"/>
      <c r="H31" s="16"/>
    </row>
    <row r="32" customFormat="false" ht="15" hidden="false" customHeight="false" outlineLevel="0" collapsed="false">
      <c r="A32" s="56" t="s">
        <v>1189</v>
      </c>
      <c r="B32" s="13" t="s">
        <v>1190</v>
      </c>
      <c r="C32" s="50" t="n">
        <f aca="false">IFERROR(BS!C16/BS!C42,0)</f>
        <v>2.4783916066914</v>
      </c>
      <c r="D32" s="50" t="n">
        <f aca="false">IFERROR(BS!D16/BS!D42,0)</f>
        <v>0.666206857442857</v>
      </c>
      <c r="E32" s="50" t="n">
        <f aca="false">IFERROR(BS!E16/BS!E42,0)</f>
        <v>0.885056944794247</v>
      </c>
      <c r="F32" s="50" t="n">
        <f aca="false">IFERROR(BS!F16/BS!F42,0)</f>
        <v>1.19546002952115</v>
      </c>
      <c r="G32" s="94" t="n">
        <f aca="false">AVERAGE(C32:F32)</f>
        <v>1.30627885961241</v>
      </c>
      <c r="H32" s="15"/>
    </row>
    <row r="33" customFormat="false" ht="15" hidden="false" customHeight="false" outlineLevel="0" collapsed="false">
      <c r="A33" s="56" t="s">
        <v>1191</v>
      </c>
      <c r="B33" s="13" t="s">
        <v>1192</v>
      </c>
      <c r="C33" s="52" t="n">
        <f aca="false">(BS!C29+BS!C38+BS!C43+BS!C39+BS!C44+BS!C40+BS!C45+BS!C49+BS!C50)</f>
        <v>93671342320</v>
      </c>
      <c r="D33" s="52" t="n">
        <f aca="false">(BS!D29+BS!D38+BS!D43+BS!D39+BS!D44+BS!D40+BS!D45+BS!D49+BS!D50)</f>
        <v>145115583789</v>
      </c>
      <c r="E33" s="52" t="n">
        <f aca="false">(BS!E29+BS!E38+BS!E43+BS!E39+BS!E44+BS!E40+BS!E45+BS!E49+BS!E50)</f>
        <v>111845439271</v>
      </c>
      <c r="F33" s="52" t="n">
        <f aca="false">(BS!F29+BS!F38+BS!F43+BS!F39+BS!F44+BS!F40+BS!F45+BS!F49+BS!F50)</f>
        <v>89971932007</v>
      </c>
      <c r="G33" s="84" t="n">
        <f aca="false">AVERAGE(C33:F33)</f>
        <v>110151074346.75</v>
      </c>
      <c r="H33" s="15" t="s">
        <v>1193</v>
      </c>
    </row>
    <row r="34" customFormat="false" ht="15" hidden="false" customHeight="false" outlineLevel="0" collapsed="false">
      <c r="A34" s="56" t="s">
        <v>1194</v>
      </c>
      <c r="B34" s="13" t="s">
        <v>1195</v>
      </c>
      <c r="C34" s="52" t="n">
        <f aca="false">(BS!C41+BS!C46)</f>
        <v>0</v>
      </c>
      <c r="D34" s="52" t="n">
        <f aca="false">(BS!D41+BS!D46)</f>
        <v>0</v>
      </c>
      <c r="E34" s="52" t="n">
        <f aca="false">(BS!E41+BS!E46)</f>
        <v>2328487150</v>
      </c>
      <c r="F34" s="52" t="n">
        <f aca="false">(BS!F41+BS!F46)</f>
        <v>1329650108</v>
      </c>
      <c r="G34" s="84" t="n">
        <f aca="false">AVERAGE(C34:F34)</f>
        <v>914534314.5</v>
      </c>
      <c r="H34" s="15"/>
    </row>
    <row r="35" customFormat="false" ht="15" hidden="false" customHeight="false" outlineLevel="0" collapsed="false">
      <c r="A35" s="56" t="s">
        <v>1196</v>
      </c>
      <c r="B35" s="13" t="s">
        <v>1197</v>
      </c>
      <c r="C35" s="52" t="n">
        <f aca="false">(BS!C6+BS!C7)</f>
        <v>29547207476</v>
      </c>
      <c r="D35" s="52" t="n">
        <f aca="false">(BS!D6+BS!D7)</f>
        <v>2463973775</v>
      </c>
      <c r="E35" s="52" t="n">
        <f aca="false">(BS!E6+BS!E7)</f>
        <v>2663388349</v>
      </c>
      <c r="F35" s="52" t="n">
        <f aca="false">(BS!F6+BS!F7)</f>
        <v>4036506961</v>
      </c>
      <c r="G35" s="84" t="n">
        <f aca="false">AVERAGE(C35:F35)</f>
        <v>9677769140.25</v>
      </c>
      <c r="H35" s="15"/>
    </row>
    <row r="36" customFormat="false" ht="15" hidden="false" customHeight="false" outlineLevel="0" collapsed="false">
      <c r="A36" s="56" t="s">
        <v>1198</v>
      </c>
      <c r="B36" s="13" t="s">
        <v>1199</v>
      </c>
      <c r="C36" s="52" t="n">
        <f aca="false">(BS!C29+BS!C38+BS!C43+BS!C39+BS!C44+BS!C40+BS!C45+BS!C49+BS!C50)+(BS!C41+BS!C46)-BS!C6</f>
        <v>64124134844</v>
      </c>
      <c r="D36" s="52" t="n">
        <f aca="false">(BS!D29+BS!D38+BS!D43+BS!D39+BS!D44+BS!D40+BS!D45+BS!D49+BS!D50)+(BS!D41+BS!D46)-BS!D6</f>
        <v>142651610014</v>
      </c>
      <c r="E36" s="52" t="n">
        <f aca="false">(BS!E29+BS!E38+BS!E43+BS!E39+BS!E44+BS!E40+BS!E45+BS!E49+BS!E50)+(BS!E41+BS!E46)-BS!E6</f>
        <v>111510538072</v>
      </c>
      <c r="F36" s="52" t="n">
        <f aca="false">(BS!F29+BS!F38+BS!F43+BS!F39+BS!F44+BS!F40+BS!F45+BS!F49+BS!F50)+(BS!F41+BS!F46)-BS!F6</f>
        <v>87265075154</v>
      </c>
      <c r="G36" s="84" t="n">
        <f aca="false">AVERAGE(C36:F36)</f>
        <v>101387839521</v>
      </c>
      <c r="H36" s="15" t="s">
        <v>1200</v>
      </c>
    </row>
    <row r="37" customFormat="false" ht="15" hidden="false" customHeight="false" outlineLevel="0" collapsed="false">
      <c r="A37" s="56" t="s">
        <v>1201</v>
      </c>
      <c r="B37" s="13" t="s">
        <v>601</v>
      </c>
      <c r="C37" s="50" t="n">
        <f aca="false">IFERROR((BS!C29+BS!C38+BS!C43+BS!C39+BS!C44+BS!C40+BS!C45+BS!C49+BS!C50)/BS!C61,0)</f>
        <v>1.83429241125045</v>
      </c>
      <c r="D37" s="50" t="n">
        <f aca="false">IFERROR((BS!D29+BS!D38+BS!D43+BS!D39+BS!D44+BS!D40+BS!D45+BS!D49+BS!D50)/BS!D61,0)</f>
        <v>1.12359431535837</v>
      </c>
      <c r="E37" s="50" t="n">
        <f aca="false">IFERROR((BS!E29+BS!E38+BS!E43+BS!E39+BS!E44+BS!E40+BS!E45+BS!E49+BS!E50)/BS!E61,0)</f>
        <v>0.862144182330559</v>
      </c>
      <c r="F37" s="50" t="n">
        <f aca="false">IFERROR((BS!F29+BS!F38+BS!F43+BS!F39+BS!F44+BS!F40+BS!F45+BS!F49+BS!F50)/BS!F61,0)</f>
        <v>0.435686788582589</v>
      </c>
      <c r="G37" s="94" t="n">
        <f aca="false">AVERAGE(C37:F37)</f>
        <v>1.06392942438049</v>
      </c>
      <c r="H37" s="15"/>
    </row>
    <row r="38" customFormat="false" ht="15" hidden="false" customHeight="false" outlineLevel="0" collapsed="false">
      <c r="A38" s="56" t="s">
        <v>1202</v>
      </c>
      <c r="B38" s="13" t="s">
        <v>180</v>
      </c>
      <c r="C38" s="50" t="n">
        <f aca="false">IFERROR(((BS!C29+BS!C38+BS!C43+BS!C39+BS!C44+BS!C40+BS!C45+BS!C49+BS!C50)+(BS!C41+BS!C46)-BS!C6)/(IS!C14+Schedules!C20),0)</f>
        <v>4.23245982934003</v>
      </c>
      <c r="D38" s="50" t="n">
        <f aca="false">IFERROR(((BS!D29+BS!D38+BS!D43+BS!D39+BS!D44+BS!D40+BS!D45+BS!D49+BS!D50)+(BS!D41+BS!D46)-BS!D6)/(IS!D14+Schedules!D20),0)</f>
        <v>8.14947055754225</v>
      </c>
      <c r="E38" s="50" t="n">
        <f aca="false">IFERROR(((BS!E29+BS!E38+BS!E43+BS!E39+BS!E44+BS!E40+BS!E45+BS!E49+BS!E50)+(BS!E41+BS!E46)-BS!E6)/(IS!E14+Schedules!E20),0)</f>
        <v>5.21536948973913</v>
      </c>
      <c r="F38" s="50" t="n">
        <f aca="false">IFERROR(((BS!F29+BS!F38+BS!F43+BS!F39+BS!F44+BS!F40+BS!F45+BS!F49+BS!F50)+(BS!F41+BS!F46)-BS!F6)/(IS!F14+Schedules!F20),0)</f>
        <v>5.68731822121531</v>
      </c>
      <c r="G38" s="94" t="n">
        <f aca="false">AVERAGE(C38:F38)</f>
        <v>5.82115452445918</v>
      </c>
      <c r="H38" s="15"/>
    </row>
    <row r="39" customFormat="false" ht="15" hidden="false" customHeight="false" outlineLevel="0" collapsed="false">
      <c r="A39" s="56" t="s">
        <v>1203</v>
      </c>
      <c r="B39" s="13" t="s">
        <v>1204</v>
      </c>
      <c r="C39" s="50" t="n">
        <f aca="false">IFERROR((IS!C14+Schedules!C20)/-IS!C15,0)</f>
        <v>4.15813398871038</v>
      </c>
      <c r="D39" s="50" t="n">
        <f aca="false">IFERROR((IS!D14+Schedules!D20)/-IS!D15,0)</f>
        <v>2.31356535037683</v>
      </c>
      <c r="E39" s="50" t="n">
        <f aca="false">IFERROR((IS!E14+Schedules!E20)/-IS!E15,0)</f>
        <v>1.85028196895486</v>
      </c>
      <c r="F39" s="50" t="n">
        <f aca="false">IFERROR((IS!F14+Schedules!F20)/-IS!F15,0)</f>
        <v>1.49810414488987</v>
      </c>
      <c r="G39" s="94" t="n">
        <f aca="false">AVERAGE(C39:F39)</f>
        <v>2.45502136323299</v>
      </c>
      <c r="H39" s="15"/>
    </row>
    <row r="40" customFormat="false" ht="15" hidden="false" customHeight="false" outlineLevel="0" collapsed="false">
      <c r="A40" s="16"/>
      <c r="B40" s="17" t="s">
        <v>1205</v>
      </c>
      <c r="C40" s="16"/>
      <c r="D40" s="16"/>
      <c r="E40" s="16"/>
      <c r="F40" s="16"/>
      <c r="G40" s="16"/>
      <c r="H40" s="16"/>
    </row>
    <row r="41" customFormat="false" ht="15" hidden="false" customHeight="false" outlineLevel="0" collapsed="false">
      <c r="A41" s="56" t="s">
        <v>1206</v>
      </c>
      <c r="B41" s="13" t="s">
        <v>1207</v>
      </c>
      <c r="C41" s="52" t="n">
        <f aca="false">-(CF!C16+CF!C17)</f>
        <v>16981553674</v>
      </c>
      <c r="D41" s="52" t="n">
        <f aca="false">-(CF!D16+CF!D17)</f>
        <v>36146492177</v>
      </c>
      <c r="E41" s="52" t="n">
        <f aca="false">-(CF!E16+CF!E17)</f>
        <v>24447662378</v>
      </c>
      <c r="F41" s="52" t="n">
        <f aca="false">-(CF!F16+CF!F17)</f>
        <v>27390827865</v>
      </c>
      <c r="G41" s="84" t="n">
        <f aca="false">AVERAGE(C41:F41)</f>
        <v>26241634023.5</v>
      </c>
      <c r="H41" s="15"/>
    </row>
    <row r="42" customFormat="false" ht="15" hidden="false" customHeight="false" outlineLevel="0" collapsed="false">
      <c r="A42" s="56" t="s">
        <v>1208</v>
      </c>
      <c r="B42" s="13" t="s">
        <v>1209</v>
      </c>
      <c r="C42" s="48" t="n">
        <f aca="false">IFERROR(-(CF!C16+CF!C17)/IS!C6,0)</f>
        <v>0.170534947931996</v>
      </c>
      <c r="D42" s="48" t="n">
        <f aca="false">IFERROR(-(CF!D16+CF!D17)/IS!D6,0)</f>
        <v>0.269372661227157</v>
      </c>
      <c r="E42" s="48" t="n">
        <f aca="false">IFERROR(-(CF!E16+CF!E17)/IS!E6,0)</f>
        <v>0.16068950323397</v>
      </c>
      <c r="F42" s="48" t="n">
        <f aca="false">IFERROR(-(CF!F16+CF!F17)/IS!F6,0)</f>
        <v>0.189067508240739</v>
      </c>
      <c r="G42" s="85" t="n">
        <f aca="false">AVERAGE(C42:F42)</f>
        <v>0.197416155158465</v>
      </c>
      <c r="H42" s="15"/>
    </row>
    <row r="43" customFormat="false" ht="15" hidden="false" customHeight="false" outlineLevel="0" collapsed="false">
      <c r="A43" s="56" t="s">
        <v>1210</v>
      </c>
      <c r="B43" s="13" t="s">
        <v>1211</v>
      </c>
      <c r="C43" s="48" t="n">
        <f aca="false">IFERROR(-CF!C40/IS!C6,0)</f>
        <v>0.00164221156108944</v>
      </c>
      <c r="D43" s="48" t="n">
        <f aca="false">IFERROR(-CF!D40/IS!D6,0)</f>
        <v>-0</v>
      </c>
      <c r="E43" s="48" t="n">
        <f aca="false">IFERROR(-CF!E40/IS!E6,0)</f>
        <v>0.0033234513952654</v>
      </c>
      <c r="F43" s="48" t="n">
        <f aca="false">IFERROR(-CF!F40/IS!F6,0)</f>
        <v>0.00689455724376989</v>
      </c>
      <c r="G43" s="85" t="n">
        <f aca="false">AVERAGE(C43:F43)</f>
        <v>0.00296505505003118</v>
      </c>
      <c r="H43" s="15"/>
    </row>
    <row r="44" customFormat="false" ht="15" hidden="false" customHeight="false" outlineLevel="0" collapsed="false">
      <c r="A44" s="56" t="s">
        <v>1212</v>
      </c>
      <c r="B44" s="13" t="s">
        <v>1213</v>
      </c>
      <c r="C44" s="52" t="n">
        <f aca="false">CF!C14--(CF!C16+CF!C17)+CF!C40</f>
        <v>-9410981971</v>
      </c>
      <c r="D44" s="52" t="n">
        <f aca="false">CF!D14--(CF!D16+CF!D17)+CF!D40</f>
        <v>-16410786736</v>
      </c>
      <c r="E44" s="52" t="n">
        <f aca="false">CF!E14--(CF!E16+CF!E17)+CF!E40</f>
        <v>-21955612199</v>
      </c>
      <c r="F44" s="52" t="n">
        <f aca="false">CF!F14--(CF!F16+CF!F17)+CF!F40</f>
        <v>-22821713537</v>
      </c>
      <c r="G44" s="84" t="n">
        <f aca="false">AVERAGE(C44:F44)</f>
        <v>-17649773610.75</v>
      </c>
      <c r="H44" s="15"/>
    </row>
    <row r="45" customFormat="false" ht="15" hidden="false" customHeight="false" outlineLevel="0" collapsed="false">
      <c r="A45" s="56" t="s">
        <v>1214</v>
      </c>
      <c r="B45" s="13" t="s">
        <v>1215</v>
      </c>
      <c r="C45" s="50" t="n">
        <f aca="false">IFERROR(CF!C14/IS!C20,0)</f>
        <v>1.58220904453763</v>
      </c>
      <c r="D45" s="50" t="n">
        <f aca="false">IFERROR(CF!D14/IS!D20,0)</f>
        <v>5.57550470928307</v>
      </c>
      <c r="E45" s="50" t="n">
        <f aca="false">IFERROR(CF!E14/IS!E20,0)</f>
        <v>1.05650466985515</v>
      </c>
      <c r="F45" s="50" t="n">
        <f aca="false">IFERROR(CF!F14/IS!F20,0)</f>
        <v>0.924617424039766</v>
      </c>
      <c r="G45" s="94" t="n">
        <f aca="false">AVERAGE(C45:F45)</f>
        <v>2.2847089619289</v>
      </c>
      <c r="H45" s="15"/>
    </row>
    <row r="46" customFormat="false" ht="15" hidden="false" customHeight="false" outlineLevel="0" collapsed="false">
      <c r="A46" s="16"/>
      <c r="B46" s="17" t="s">
        <v>1216</v>
      </c>
      <c r="C46" s="16"/>
      <c r="D46" s="16"/>
      <c r="E46" s="16"/>
      <c r="F46" s="16"/>
      <c r="G46" s="16"/>
      <c r="H46" s="16"/>
    </row>
    <row r="47" customFormat="false" ht="15" hidden="false" customHeight="false" outlineLevel="0" collapsed="false">
      <c r="A47" s="56" t="s">
        <v>1217</v>
      </c>
      <c r="B47" s="13" t="s">
        <v>1218</v>
      </c>
      <c r="C47" s="72" t="n">
        <f aca="false">IFERROR(IS!C29/2550078941,0)</f>
        <v>1.91686840960427</v>
      </c>
      <c r="D47" s="72" t="n">
        <f aca="false">IFERROR(IS!D29/2550078941,0)</f>
        <v>1.38808110607428</v>
      </c>
      <c r="E47" s="72" t="n">
        <f aca="false">IFERROR(IS!E29/2550078941,0)</f>
        <v>1.1126054877687</v>
      </c>
      <c r="F47" s="72" t="n">
        <f aca="false">IFERROR(IS!F29/2550078941,0)</f>
        <v>2.36135753140201</v>
      </c>
      <c r="G47" s="101" t="n">
        <f aca="false">AVERAGE(C47:F47)</f>
        <v>1.69472813371231</v>
      </c>
      <c r="H47" s="15" t="s">
        <v>1219</v>
      </c>
    </row>
    <row r="48" customFormat="false" ht="15" hidden="false" customHeight="false" outlineLevel="0" collapsed="false">
      <c r="A48" s="56" t="s">
        <v>1220</v>
      </c>
      <c r="B48" s="13" t="s">
        <v>1221</v>
      </c>
      <c r="C48" s="72" t="n">
        <f aca="false">IFERROR(IS!C29/Schedules!C22,0)</f>
        <v>8.81242813823938</v>
      </c>
      <c r="D48" s="72" t="n">
        <f aca="false">IFERROR(IS!D29/Schedules!D22,0)</f>
        <v>6.38143178532153</v>
      </c>
      <c r="E48" s="72" t="n">
        <f aca="false">IFERROR(IS!E29/Schedules!E22,0)</f>
        <v>3.54543098191472</v>
      </c>
      <c r="F48" s="72" t="n">
        <f aca="false">IFERROR(IS!F29/Schedules!F22,0)</f>
        <v>2.54707341302144</v>
      </c>
      <c r="G48" s="101" t="n">
        <f aca="false">AVERAGE(C48:F48)</f>
        <v>5.32159107962427</v>
      </c>
      <c r="H48" s="15"/>
    </row>
    <row r="49" customFormat="false" ht="15" hidden="false" customHeight="false" outlineLevel="0" collapsed="false">
      <c r="A49" s="56" t="s">
        <v>1222</v>
      </c>
      <c r="B49" s="13" t="s">
        <v>1223</v>
      </c>
      <c r="C49" s="72" t="n">
        <f aca="false">IS!C33</f>
        <v>8.81</v>
      </c>
      <c r="D49" s="72" t="n">
        <f aca="false">IS!D33</f>
        <v>6.38</v>
      </c>
      <c r="E49" s="72" t="n">
        <f aca="false">IS!E33</f>
        <v>4</v>
      </c>
      <c r="F49" s="72" t="n">
        <f aca="false">IS!F33</f>
        <v>3</v>
      </c>
      <c r="G49" s="101" t="n">
        <f aca="false">AVERAGE(C49:F49)</f>
        <v>5.5475</v>
      </c>
      <c r="H49" s="15" t="s">
        <v>1224</v>
      </c>
    </row>
    <row r="50" customFormat="false" ht="15" hidden="false" customHeight="false" outlineLevel="0" collapsed="false">
      <c r="A50" s="56" t="s">
        <v>1225</v>
      </c>
      <c r="B50" s="13" t="s">
        <v>1226</v>
      </c>
      <c r="C50" s="72" t="n">
        <f aca="false">IFERROR(BS!C59/2550078941,0)</f>
        <v>20.0255544665509</v>
      </c>
      <c r="D50" s="72" t="n">
        <f aca="false">IFERROR(BS!D59/2550078941,0)</f>
        <v>50.6466699173451</v>
      </c>
      <c r="E50" s="72" t="n">
        <f aca="false">IFERROR(BS!E59/2550078941,0)</f>
        <v>50.8713004034019</v>
      </c>
      <c r="F50" s="72" t="n">
        <f aca="false">IFERROR(BS!F59/2550078941,0)</f>
        <v>80.9787245437278</v>
      </c>
      <c r="G50" s="101" t="n">
        <f aca="false">AVERAGE(C50:F50)</f>
        <v>50.6305623327564</v>
      </c>
      <c r="H50" s="15"/>
    </row>
    <row r="51" customFormat="false" ht="15" hidden="false" customHeight="false" outlineLevel="0" collapsed="false">
      <c r="A51" s="56" t="s">
        <v>1227</v>
      </c>
      <c r="B51" s="13" t="s">
        <v>1228</v>
      </c>
      <c r="C51" s="52" t="n">
        <f aca="false">-CF!C41</f>
        <v>-0</v>
      </c>
      <c r="D51" s="52" t="n">
        <f aca="false">-CF!D41</f>
        <v>-0</v>
      </c>
      <c r="E51" s="52" t="n">
        <f aca="false">-CF!E41</f>
        <v>-0</v>
      </c>
      <c r="F51" s="52" t="n">
        <f aca="false">-CF!F41</f>
        <v>-0</v>
      </c>
      <c r="H51" s="15" t="s">
        <v>1229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1230</v>
      </c>
    </row>
    <row r="2" customFormat="false" ht="15" hidden="false" customHeight="false" outlineLevel="0" collapsed="false">
      <c r="A2" s="15" t="s">
        <v>1231</v>
      </c>
    </row>
    <row r="3" customFormat="false" ht="15" hidden="false" customHeight="false" outlineLevel="0" collapsed="false">
      <c r="B3" s="4" t="s">
        <v>39</v>
      </c>
      <c r="C3" s="4" t="str">
        <f aca="false">IF(COUNTIF(K7:K231,"✖*")=0,"SEMUA 225 CEK SESUAI EKSPEKTASI","ADA "&amp;COUNTIF(K7:K231,"✖*")&amp;" CEK TIDAK SESUAI EKSPEKTASI")</f>
        <v>SEMUA 225 CEK SESUAI EKSPEKTASI</v>
      </c>
    </row>
    <row r="4" customFormat="false" ht="15" hidden="false" customHeight="false" outlineLevel="0" collapsed="false">
      <c r="C4" s="13" t="str">
        <f aca="false">"OK: "&amp;COUNTIF(I7:I231,"OK")&amp;" | ❌ (diharapkan, dijelaskan di Temuan): "&amp;COUNTIF(I7:I231,"❌")&amp;" | N/A/INFO: "&amp;(COUNTIF(I7:I231,"N/A")+COUNTIF(I7:I231,"INFO"))</f>
        <v>OK: 207 | ❌ (diharapkan, dijelaskan di Temuan): 11 | N/A/INFO: 7</v>
      </c>
    </row>
    <row r="6" customFormat="false" ht="23.85" hidden="false" customHeight="false" outlineLevel="0" collapsed="false">
      <c r="A6" s="25" t="s">
        <v>1232</v>
      </c>
      <c r="B6" s="25" t="s">
        <v>1233</v>
      </c>
      <c r="C6" s="25" t="s">
        <v>1234</v>
      </c>
      <c r="D6" s="25" t="s">
        <v>1235</v>
      </c>
      <c r="E6" s="25" t="s">
        <v>1236</v>
      </c>
      <c r="F6" s="25" t="s">
        <v>1237</v>
      </c>
      <c r="G6" s="25" t="s">
        <v>1238</v>
      </c>
      <c r="H6" s="25" t="s">
        <v>1239</v>
      </c>
      <c r="I6" s="25" t="s">
        <v>1240</v>
      </c>
      <c r="J6" s="25" t="s">
        <v>1241</v>
      </c>
      <c r="K6" s="25" t="s">
        <v>1242</v>
      </c>
      <c r="L6" s="25" t="s">
        <v>1243</v>
      </c>
    </row>
    <row r="7" customFormat="false" ht="15" hidden="false" customHeight="false" outlineLevel="0" collapsed="false">
      <c r="A7" s="13" t="n">
        <v>1</v>
      </c>
      <c r="B7" s="13" t="s">
        <v>1244</v>
      </c>
      <c r="C7" s="13" t="s">
        <v>1245</v>
      </c>
      <c r="D7" s="13" t="n">
        <v>2022</v>
      </c>
      <c r="E7" s="52" t="n">
        <f aca="false">IS!C8</f>
        <v>31984389141</v>
      </c>
      <c r="F7" s="52" t="n">
        <f aca="false">IS!C36</f>
        <v>31984389141</v>
      </c>
      <c r="G7" s="102" t="n">
        <f aca="false">IF(COUNT(E7:F7)=2,E7-F7,"")</f>
        <v>0</v>
      </c>
      <c r="H7" s="103" t="n">
        <v>1</v>
      </c>
      <c r="I7" s="4" t="str">
        <f aca="false">IF(COUNT(E7:F7)&lt;2,"N/A",IF(ABS(G7)&lt;=H7,"OK","❌"))</f>
        <v>OK</v>
      </c>
      <c r="J7" s="103" t="s">
        <v>1246</v>
      </c>
      <c r="K7" s="4" t="str">
        <f aca="false">IF(I7=J7,"✔ sesuai","✖ TIDAK sesuai")</f>
        <v>✔ sesuai</v>
      </c>
      <c r="L7" s="104"/>
    </row>
    <row r="8" customFormat="false" ht="15" hidden="false" customHeight="false" outlineLevel="0" collapsed="false">
      <c r="A8" s="13" t="n">
        <v>2</v>
      </c>
      <c r="B8" s="13" t="s">
        <v>1244</v>
      </c>
      <c r="C8" s="13" t="s">
        <v>1247</v>
      </c>
      <c r="D8" s="13" t="n">
        <v>2022</v>
      </c>
      <c r="E8" s="52" t="n">
        <f aca="false">IS!C17</f>
        <v>4728794397</v>
      </c>
      <c r="F8" s="52" t="n">
        <f aca="false">IS!C38</f>
        <v>4728794397</v>
      </c>
      <c r="G8" s="102" t="n">
        <f aca="false">IF(COUNT(E8:F8)=2,E8-F8,"")</f>
        <v>0</v>
      </c>
      <c r="H8" s="103" t="n">
        <v>1</v>
      </c>
      <c r="I8" s="4" t="str">
        <f aca="false">IF(COUNT(E8:F8)&lt;2,"N/A",IF(ABS(G8)&lt;=H8,"OK","❌"))</f>
        <v>OK</v>
      </c>
      <c r="J8" s="103" t="s">
        <v>1246</v>
      </c>
      <c r="K8" s="4" t="str">
        <f aca="false">IF(I8=J8,"✔ sesuai","✖ TIDAK sesuai")</f>
        <v>✔ sesuai</v>
      </c>
      <c r="L8" s="104"/>
    </row>
    <row r="9" customFormat="false" ht="15" hidden="false" customHeight="false" outlineLevel="0" collapsed="false">
      <c r="A9" s="13" t="n">
        <v>3</v>
      </c>
      <c r="B9" s="13" t="s">
        <v>1244</v>
      </c>
      <c r="C9" s="13" t="s">
        <v>1248</v>
      </c>
      <c r="D9" s="13" t="n">
        <v>2022</v>
      </c>
      <c r="E9" s="52" t="n">
        <f aca="false">IS!C20</f>
        <v>4888165764</v>
      </c>
      <c r="F9" s="52" t="n">
        <f aca="false">IS!C39</f>
        <v>4888165764</v>
      </c>
      <c r="G9" s="102" t="n">
        <f aca="false">IF(COUNT(E9:F9)=2,E9-F9,"")</f>
        <v>0</v>
      </c>
      <c r="H9" s="103" t="n">
        <v>1</v>
      </c>
      <c r="I9" s="4" t="str">
        <f aca="false">IF(COUNT(E9:F9)&lt;2,"N/A",IF(ABS(G9)&lt;=H9,"OK","❌"))</f>
        <v>OK</v>
      </c>
      <c r="J9" s="103" t="s">
        <v>1246</v>
      </c>
      <c r="K9" s="4" t="str">
        <f aca="false">IF(I9=J9,"✔ sesuai","✖ TIDAK sesuai")</f>
        <v>✔ sesuai</v>
      </c>
      <c r="L9" s="104"/>
    </row>
    <row r="10" customFormat="false" ht="15" hidden="false" customHeight="false" outlineLevel="0" collapsed="false">
      <c r="A10" s="13" t="n">
        <v>4</v>
      </c>
      <c r="B10" s="13" t="s">
        <v>1244</v>
      </c>
      <c r="C10" s="13" t="s">
        <v>1249</v>
      </c>
      <c r="D10" s="13" t="n">
        <v>2022</v>
      </c>
      <c r="E10" s="52" t="n">
        <f aca="false">IS!C26</f>
        <v>-284437806</v>
      </c>
      <c r="F10" s="52" t="n">
        <f aca="false">IS!C40</f>
        <v>-284437806</v>
      </c>
      <c r="G10" s="102" t="n">
        <f aca="false">IF(COUNT(E10:F10)=2,E10-F10,"")</f>
        <v>0</v>
      </c>
      <c r="H10" s="103" t="n">
        <v>1</v>
      </c>
      <c r="I10" s="4" t="str">
        <f aca="false">IF(COUNT(E10:F10)&lt;2,"N/A",IF(ABS(G10)&lt;=H10,"OK","❌"))</f>
        <v>OK</v>
      </c>
      <c r="J10" s="103" t="s">
        <v>1246</v>
      </c>
      <c r="K10" s="4" t="str">
        <f aca="false">IF(I10=J10,"✔ sesuai","✖ TIDAK sesuai")</f>
        <v>✔ sesuai</v>
      </c>
      <c r="L10" s="104"/>
    </row>
    <row r="11" customFormat="false" ht="15" hidden="false" customHeight="false" outlineLevel="0" collapsed="false">
      <c r="A11" s="13" t="n">
        <v>5</v>
      </c>
      <c r="B11" s="13" t="s">
        <v>1244</v>
      </c>
      <c r="C11" s="13" t="s">
        <v>1250</v>
      </c>
      <c r="D11" s="13" t="n">
        <v>2022</v>
      </c>
      <c r="E11" s="52" t="n">
        <f aca="false">IS!C27</f>
        <v>4603727958</v>
      </c>
      <c r="F11" s="52" t="n">
        <f aca="false">IS!C41</f>
        <v>4603727958</v>
      </c>
      <c r="G11" s="102" t="n">
        <f aca="false">IF(COUNT(E11:F11)=2,E11-F11,"")</f>
        <v>0</v>
      </c>
      <c r="H11" s="103" t="n">
        <v>1</v>
      </c>
      <c r="I11" s="4" t="str">
        <f aca="false">IF(COUNT(E11:F11)&lt;2,"N/A",IF(ABS(G11)&lt;=H11,"OK","❌"))</f>
        <v>OK</v>
      </c>
      <c r="J11" s="103" t="s">
        <v>1246</v>
      </c>
      <c r="K11" s="4" t="str">
        <f aca="false">IF(I11=J11,"✔ sesuai","✖ TIDAK sesuai")</f>
        <v>✔ sesuai</v>
      </c>
      <c r="L11" s="104"/>
    </row>
    <row r="12" customFormat="false" ht="15" hidden="false" customHeight="false" outlineLevel="0" collapsed="false">
      <c r="A12" s="13" t="n">
        <v>6</v>
      </c>
      <c r="B12" s="13" t="s">
        <v>1244</v>
      </c>
      <c r="C12" s="13" t="s">
        <v>1251</v>
      </c>
      <c r="D12" s="13" t="n">
        <v>2022</v>
      </c>
      <c r="E12" s="52" t="n">
        <f aca="false">BS!C16</f>
        <v>45616358950</v>
      </c>
      <c r="F12" s="52" t="n">
        <f aca="false">BS!C67</f>
        <v>45616358950</v>
      </c>
      <c r="G12" s="102" t="n">
        <f aca="false">IF(COUNT(E12:F12)=2,E12-F12,"")</f>
        <v>0</v>
      </c>
      <c r="H12" s="103" t="n">
        <v>1</v>
      </c>
      <c r="I12" s="4" t="str">
        <f aca="false">IF(COUNT(E12:F12)&lt;2,"N/A",IF(ABS(G12)&lt;=H12,"OK","❌"))</f>
        <v>OK</v>
      </c>
      <c r="J12" s="103" t="s">
        <v>1246</v>
      </c>
      <c r="K12" s="4" t="str">
        <f aca="false">IF(I12=J12,"✔ sesuai","✖ TIDAK sesuai")</f>
        <v>✔ sesuai</v>
      </c>
      <c r="L12" s="104"/>
    </row>
    <row r="13" customFormat="false" ht="15" hidden="false" customHeight="false" outlineLevel="0" collapsed="false">
      <c r="A13" s="13" t="n">
        <v>7</v>
      </c>
      <c r="B13" s="13" t="s">
        <v>1244</v>
      </c>
      <c r="C13" s="13" t="s">
        <v>1252</v>
      </c>
      <c r="D13" s="13" t="n">
        <v>2022</v>
      </c>
      <c r="E13" s="52" t="n">
        <f aca="false">BS!C26</f>
        <v>114377030301</v>
      </c>
      <c r="F13" s="52" t="n">
        <f aca="false">BS!C68</f>
        <v>114377030301</v>
      </c>
      <c r="G13" s="102" t="n">
        <f aca="false">IF(COUNT(E13:F13)=2,E13-F13,"")</f>
        <v>0</v>
      </c>
      <c r="H13" s="103" t="n">
        <v>1</v>
      </c>
      <c r="I13" s="4" t="str">
        <f aca="false">IF(COUNT(E13:F13)&lt;2,"N/A",IF(ABS(G13)&lt;=H13,"OK","❌"))</f>
        <v>OK</v>
      </c>
      <c r="J13" s="103" t="s">
        <v>1246</v>
      </c>
      <c r="K13" s="4" t="str">
        <f aca="false">IF(I13=J13,"✔ sesuai","✖ TIDAK sesuai")</f>
        <v>✔ sesuai</v>
      </c>
      <c r="L13" s="104"/>
    </row>
    <row r="14" customFormat="false" ht="15" hidden="false" customHeight="false" outlineLevel="0" collapsed="false">
      <c r="A14" s="13" t="n">
        <v>8</v>
      </c>
      <c r="B14" s="13" t="s">
        <v>1244</v>
      </c>
      <c r="C14" s="13" t="s">
        <v>1253</v>
      </c>
      <c r="D14" s="13" t="n">
        <v>2022</v>
      </c>
      <c r="E14" s="52" t="n">
        <f aca="false">BS!C27</f>
        <v>159993389251</v>
      </c>
      <c r="F14" s="52" t="n">
        <f aca="false">BS!C69</f>
        <v>159993389251</v>
      </c>
      <c r="G14" s="102" t="n">
        <f aca="false">IF(COUNT(E14:F14)=2,E14-F14,"")</f>
        <v>0</v>
      </c>
      <c r="H14" s="103" t="n">
        <v>1</v>
      </c>
      <c r="I14" s="4" t="str">
        <f aca="false">IF(COUNT(E14:F14)&lt;2,"N/A",IF(ABS(G14)&lt;=H14,"OK","❌"))</f>
        <v>OK</v>
      </c>
      <c r="J14" s="103" t="s">
        <v>1246</v>
      </c>
      <c r="K14" s="4" t="str">
        <f aca="false">IF(I14=J14,"✔ sesuai","✖ TIDAK sesuai")</f>
        <v>✔ sesuai</v>
      </c>
      <c r="L14" s="104"/>
    </row>
    <row r="15" customFormat="false" ht="15" hidden="false" customHeight="false" outlineLevel="0" collapsed="false">
      <c r="A15" s="13" t="n">
        <v>9</v>
      </c>
      <c r="B15" s="13" t="s">
        <v>1244</v>
      </c>
      <c r="C15" s="13" t="s">
        <v>1254</v>
      </c>
      <c r="D15" s="13" t="n">
        <v>2022</v>
      </c>
      <c r="E15" s="52" t="n">
        <f aca="false">BS!C42</f>
        <v>18405630017</v>
      </c>
      <c r="F15" s="52" t="n">
        <f aca="false">BS!C70</f>
        <v>18405630017</v>
      </c>
      <c r="G15" s="102" t="n">
        <f aca="false">IF(COUNT(E15:F15)=2,E15-F15,"")</f>
        <v>0</v>
      </c>
      <c r="H15" s="103" t="n">
        <v>1</v>
      </c>
      <c r="I15" s="4" t="str">
        <f aca="false">IF(COUNT(E15:F15)&lt;2,"N/A",IF(ABS(G15)&lt;=H15,"OK","❌"))</f>
        <v>OK</v>
      </c>
      <c r="J15" s="103" t="s">
        <v>1246</v>
      </c>
      <c r="K15" s="4" t="str">
        <f aca="false">IF(I15=J15,"✔ sesuai","✖ TIDAK sesuai")</f>
        <v>✔ sesuai</v>
      </c>
      <c r="L15" s="104"/>
    </row>
    <row r="16" customFormat="false" ht="15" hidden="false" customHeight="false" outlineLevel="0" collapsed="false">
      <c r="A16" s="13" t="n">
        <v>10</v>
      </c>
      <c r="B16" s="13" t="s">
        <v>1244</v>
      </c>
      <c r="C16" s="13" t="s">
        <v>1255</v>
      </c>
      <c r="D16" s="13" t="n">
        <v>2022</v>
      </c>
      <c r="E16" s="52" t="n">
        <f aca="false">BS!C51</f>
        <v>90521014507</v>
      </c>
      <c r="F16" s="52" t="n">
        <f aca="false">BS!C71</f>
        <v>90521014507</v>
      </c>
      <c r="G16" s="102" t="n">
        <f aca="false">IF(COUNT(E16:F16)=2,E16-F16,"")</f>
        <v>0</v>
      </c>
      <c r="H16" s="103" t="n">
        <v>1</v>
      </c>
      <c r="I16" s="4" t="str">
        <f aca="false">IF(COUNT(E16:F16)&lt;2,"N/A",IF(ABS(G16)&lt;=H16,"OK","❌"))</f>
        <v>OK</v>
      </c>
      <c r="J16" s="103" t="s">
        <v>1246</v>
      </c>
      <c r="K16" s="4" t="str">
        <f aca="false">IF(I16=J16,"✔ sesuai","✖ TIDAK sesuai")</f>
        <v>✔ sesuai</v>
      </c>
      <c r="L16" s="104"/>
    </row>
    <row r="17" customFormat="false" ht="15" hidden="false" customHeight="false" outlineLevel="0" collapsed="false">
      <c r="A17" s="13" t="n">
        <v>11</v>
      </c>
      <c r="B17" s="13" t="s">
        <v>1244</v>
      </c>
      <c r="C17" s="13" t="s">
        <v>1256</v>
      </c>
      <c r="D17" s="13" t="n">
        <v>2022</v>
      </c>
      <c r="E17" s="52" t="n">
        <f aca="false">BS!C52</f>
        <v>108926644524</v>
      </c>
      <c r="F17" s="52" t="n">
        <f aca="false">BS!C72</f>
        <v>108926644524</v>
      </c>
      <c r="G17" s="102" t="n">
        <f aca="false">IF(COUNT(E17:F17)=2,E17-F17,"")</f>
        <v>0</v>
      </c>
      <c r="H17" s="103" t="n">
        <v>1</v>
      </c>
      <c r="I17" s="4" t="str">
        <f aca="false">IF(COUNT(E17:F17)&lt;2,"N/A",IF(ABS(G17)&lt;=H17,"OK","❌"))</f>
        <v>OK</v>
      </c>
      <c r="J17" s="103" t="s">
        <v>1246</v>
      </c>
      <c r="K17" s="4" t="str">
        <f aca="false">IF(I17=J17,"✔ sesuai","✖ TIDAK sesuai")</f>
        <v>✔ sesuai</v>
      </c>
      <c r="L17" s="104"/>
    </row>
    <row r="18" customFormat="false" ht="15" hidden="false" customHeight="false" outlineLevel="0" collapsed="false">
      <c r="A18" s="13" t="n">
        <v>12</v>
      </c>
      <c r="B18" s="13" t="s">
        <v>1244</v>
      </c>
      <c r="C18" s="13" t="s">
        <v>1257</v>
      </c>
      <c r="D18" s="13" t="n">
        <v>2022</v>
      </c>
      <c r="E18" s="52" t="n">
        <f aca="false">BS!C59</f>
        <v>51066744727</v>
      </c>
      <c r="F18" s="52" t="n">
        <f aca="false">BS!C73</f>
        <v>51066744727</v>
      </c>
      <c r="G18" s="102" t="n">
        <f aca="false">IF(COUNT(E18:F18)=2,E18-F18,"")</f>
        <v>0</v>
      </c>
      <c r="H18" s="103" t="n">
        <v>1</v>
      </c>
      <c r="I18" s="4" t="str">
        <f aca="false">IF(COUNT(E18:F18)&lt;2,"N/A",IF(ABS(G18)&lt;=H18,"OK","❌"))</f>
        <v>OK</v>
      </c>
      <c r="J18" s="103" t="s">
        <v>1246</v>
      </c>
      <c r="K18" s="4" t="str">
        <f aca="false">IF(I18=J18,"✔ sesuai","✖ TIDAK sesuai")</f>
        <v>✔ sesuai</v>
      </c>
      <c r="L18" s="104"/>
    </row>
    <row r="19" customFormat="false" ht="15" hidden="false" customHeight="false" outlineLevel="0" collapsed="false">
      <c r="A19" s="13" t="n">
        <v>13</v>
      </c>
      <c r="B19" s="13" t="s">
        <v>1244</v>
      </c>
      <c r="C19" s="13" t="s">
        <v>1258</v>
      </c>
      <c r="D19" s="13" t="n">
        <v>2022</v>
      </c>
      <c r="E19" s="52" t="n">
        <f aca="false">BS!C61</f>
        <v>51066744727</v>
      </c>
      <c r="F19" s="52" t="n">
        <f aca="false">BS!C74</f>
        <v>51066744727</v>
      </c>
      <c r="G19" s="102" t="n">
        <f aca="false">IF(COUNT(E19:F19)=2,E19-F19,"")</f>
        <v>0</v>
      </c>
      <c r="H19" s="103" t="n">
        <v>1</v>
      </c>
      <c r="I19" s="4" t="str">
        <f aca="false">IF(COUNT(E19:F19)&lt;2,"N/A",IF(ABS(G19)&lt;=H19,"OK","❌"))</f>
        <v>OK</v>
      </c>
      <c r="J19" s="103" t="s">
        <v>1246</v>
      </c>
      <c r="K19" s="4" t="str">
        <f aca="false">IF(I19=J19,"✔ sesuai","✖ TIDAK sesuai")</f>
        <v>✔ sesuai</v>
      </c>
      <c r="L19" s="104"/>
    </row>
    <row r="20" customFormat="false" ht="15" hidden="false" customHeight="false" outlineLevel="0" collapsed="false">
      <c r="A20" s="13" t="n">
        <v>14</v>
      </c>
      <c r="B20" s="13" t="s">
        <v>1244</v>
      </c>
      <c r="C20" s="13" t="s">
        <v>1259</v>
      </c>
      <c r="D20" s="13" t="n">
        <v>2022</v>
      </c>
      <c r="E20" s="52" t="n">
        <f aca="false">BS!C62</f>
        <v>159993389251</v>
      </c>
      <c r="F20" s="52" t="n">
        <f aca="false">BS!C75</f>
        <v>159993389251</v>
      </c>
      <c r="G20" s="102" t="n">
        <f aca="false">IF(COUNT(E20:F20)=2,E20-F20,"")</f>
        <v>0</v>
      </c>
      <c r="H20" s="103" t="n">
        <v>1</v>
      </c>
      <c r="I20" s="4" t="str">
        <f aca="false">IF(COUNT(E20:F20)&lt;2,"N/A",IF(ABS(G20)&lt;=H20,"OK","❌"))</f>
        <v>OK</v>
      </c>
      <c r="J20" s="103" t="s">
        <v>1246</v>
      </c>
      <c r="K20" s="4" t="str">
        <f aca="false">IF(I20=J20,"✔ sesuai","✖ TIDAK sesuai")</f>
        <v>✔ sesuai</v>
      </c>
      <c r="L20" s="104"/>
    </row>
    <row r="21" customFormat="false" ht="15" hidden="false" customHeight="false" outlineLevel="0" collapsed="false">
      <c r="A21" s="13" t="n">
        <v>15</v>
      </c>
      <c r="B21" s="13" t="s">
        <v>1244</v>
      </c>
      <c r="C21" s="13" t="s">
        <v>1260</v>
      </c>
      <c r="D21" s="13" t="n">
        <v>2022</v>
      </c>
      <c r="E21" s="52" t="n">
        <f aca="false">CF!C14</f>
        <v>7734100083</v>
      </c>
      <c r="F21" s="52" t="n">
        <f aca="false">CF!C48</f>
        <v>7734100083</v>
      </c>
      <c r="G21" s="102" t="n">
        <f aca="false">IF(COUNT(E21:F21)=2,E21-F21,"")</f>
        <v>0</v>
      </c>
      <c r="H21" s="103" t="n">
        <v>1</v>
      </c>
      <c r="I21" s="4" t="str">
        <f aca="false">IF(COUNT(E21:F21)&lt;2,"N/A",IF(ABS(G21)&lt;=H21,"OK","❌"))</f>
        <v>OK</v>
      </c>
      <c r="J21" s="103" t="s">
        <v>1246</v>
      </c>
      <c r="K21" s="4" t="str">
        <f aca="false">IF(I21=J21,"✔ sesuai","✖ TIDAK sesuai")</f>
        <v>✔ sesuai</v>
      </c>
      <c r="L21" s="104"/>
    </row>
    <row r="22" customFormat="false" ht="15" hidden="false" customHeight="false" outlineLevel="0" collapsed="false">
      <c r="A22" s="13" t="n">
        <v>16</v>
      </c>
      <c r="B22" s="13" t="s">
        <v>1244</v>
      </c>
      <c r="C22" s="13" t="s">
        <v>1261</v>
      </c>
      <c r="D22" s="13" t="n">
        <v>2022</v>
      </c>
      <c r="E22" s="52" t="n">
        <f aca="false">CF!C24</f>
        <v>-16981553674</v>
      </c>
      <c r="F22" s="52" t="n">
        <f aca="false">CF!C49</f>
        <v>-16981553674</v>
      </c>
      <c r="G22" s="102" t="n">
        <f aca="false">IF(COUNT(E22:F22)=2,E22-F22,"")</f>
        <v>0</v>
      </c>
      <c r="H22" s="103" t="n">
        <v>1</v>
      </c>
      <c r="I22" s="4" t="str">
        <f aca="false">IF(COUNT(E22:F22)&lt;2,"N/A",IF(ABS(G22)&lt;=H22,"OK","❌"))</f>
        <v>OK</v>
      </c>
      <c r="J22" s="103" t="s">
        <v>1246</v>
      </c>
      <c r="K22" s="4" t="str">
        <f aca="false">IF(I22=J22,"✔ sesuai","✖ TIDAK sesuai")</f>
        <v>✔ sesuai</v>
      </c>
      <c r="L22" s="104"/>
    </row>
    <row r="23" customFormat="false" ht="15" hidden="false" customHeight="false" outlineLevel="0" collapsed="false">
      <c r="A23" s="13" t="n">
        <v>17</v>
      </c>
      <c r="B23" s="13" t="s">
        <v>1244</v>
      </c>
      <c r="C23" s="13" t="s">
        <v>1262</v>
      </c>
      <c r="D23" s="13" t="n">
        <v>2022</v>
      </c>
      <c r="E23" s="52" t="n">
        <f aca="false">CF!C43</f>
        <v>-11058092740</v>
      </c>
      <c r="F23" s="52" t="n">
        <f aca="false">CF!C50</f>
        <v>-11058092740</v>
      </c>
      <c r="G23" s="102" t="n">
        <f aca="false">IF(COUNT(E23:F23)=2,E23-F23,"")</f>
        <v>0</v>
      </c>
      <c r="H23" s="103" t="n">
        <v>1</v>
      </c>
      <c r="I23" s="4" t="str">
        <f aca="false">IF(COUNT(E23:F23)&lt;2,"N/A",IF(ABS(G23)&lt;=H23,"OK","❌"))</f>
        <v>OK</v>
      </c>
      <c r="J23" s="103" t="s">
        <v>1246</v>
      </c>
      <c r="K23" s="4" t="str">
        <f aca="false">IF(I23=J23,"✔ sesuai","✖ TIDAK sesuai")</f>
        <v>✔ sesuai</v>
      </c>
      <c r="L23" s="104"/>
    </row>
    <row r="24" customFormat="false" ht="15" hidden="false" customHeight="false" outlineLevel="0" collapsed="false">
      <c r="A24" s="13" t="n">
        <v>18</v>
      </c>
      <c r="B24" s="13" t="s">
        <v>1244</v>
      </c>
      <c r="C24" s="13" t="s">
        <v>1263</v>
      </c>
      <c r="D24" s="13" t="n">
        <v>2022</v>
      </c>
      <c r="E24" s="52" t="n">
        <f aca="false">CF!C44</f>
        <v>-20305546331</v>
      </c>
      <c r="F24" s="52" t="n">
        <f aca="false">CF!C51</f>
        <v>-20305546331</v>
      </c>
      <c r="G24" s="102" t="n">
        <f aca="false">IF(COUNT(E24:F24)=2,E24-F24,"")</f>
        <v>0</v>
      </c>
      <c r="H24" s="103" t="n">
        <v>1</v>
      </c>
      <c r="I24" s="4" t="str">
        <f aca="false">IF(COUNT(E24:F24)&lt;2,"N/A",IF(ABS(G24)&lt;=H24,"OK","❌"))</f>
        <v>OK</v>
      </c>
      <c r="J24" s="103" t="s">
        <v>1246</v>
      </c>
      <c r="K24" s="4" t="str">
        <f aca="false">IF(I24=J24,"✔ sesuai","✖ TIDAK sesuai")</f>
        <v>✔ sesuai</v>
      </c>
      <c r="L24" s="104"/>
    </row>
    <row r="25" customFormat="false" ht="15" hidden="false" customHeight="false" outlineLevel="0" collapsed="false">
      <c r="A25" s="13" t="n">
        <v>19</v>
      </c>
      <c r="B25" s="13" t="s">
        <v>1244</v>
      </c>
      <c r="C25" s="13" t="s">
        <v>1264</v>
      </c>
      <c r="D25" s="13" t="n">
        <v>2022</v>
      </c>
      <c r="E25" s="52" t="n">
        <f aca="false">CF!C46</f>
        <v>39297310909</v>
      </c>
      <c r="F25" s="52" t="n">
        <f aca="false">CF!C52</f>
        <v>39297310909</v>
      </c>
      <c r="G25" s="102" t="n">
        <f aca="false">IF(COUNT(E25:F25)=2,E25-F25,"")</f>
        <v>0</v>
      </c>
      <c r="H25" s="103" t="n">
        <v>1</v>
      </c>
      <c r="I25" s="4" t="str">
        <f aca="false">IF(COUNT(E25:F25)&lt;2,"N/A",IF(ABS(G25)&lt;=H25,"OK","❌"))</f>
        <v>OK</v>
      </c>
      <c r="J25" s="103" t="s">
        <v>1246</v>
      </c>
      <c r="K25" s="4" t="str">
        <f aca="false">IF(I25=J25,"✔ sesuai","✖ TIDAK sesuai")</f>
        <v>✔ sesuai</v>
      </c>
      <c r="L25" s="104"/>
    </row>
    <row r="26" customFormat="false" ht="15" hidden="false" customHeight="false" outlineLevel="0" collapsed="false">
      <c r="A26" s="13" t="n">
        <v>20</v>
      </c>
      <c r="B26" s="13" t="s">
        <v>1265</v>
      </c>
      <c r="C26" s="13" t="s">
        <v>1266</v>
      </c>
      <c r="D26" s="13" t="n">
        <v>2022</v>
      </c>
      <c r="E26" s="52" t="n">
        <f aca="false">BS!C27</f>
        <v>159993389251</v>
      </c>
      <c r="F26" s="52" t="n">
        <f aca="false">BS!C62</f>
        <v>159993389251</v>
      </c>
      <c r="G26" s="102" t="n">
        <f aca="false">IF(COUNT(E26:F26)=2,E26-F26,"")</f>
        <v>0</v>
      </c>
      <c r="H26" s="103" t="n">
        <v>1</v>
      </c>
      <c r="I26" s="4" t="str">
        <f aca="false">IF(COUNT(E26:F26)&lt;2,"N/A",IF(ABS(G26)&lt;=H26,"OK","❌"))</f>
        <v>OK</v>
      </c>
      <c r="J26" s="103" t="s">
        <v>1246</v>
      </c>
      <c r="K26" s="4" t="str">
        <f aca="false">IF(I26=J26,"✔ sesuai","✖ TIDAK sesuai")</f>
        <v>✔ sesuai</v>
      </c>
      <c r="L26" s="104"/>
    </row>
    <row r="27" customFormat="false" ht="15" hidden="false" customHeight="false" outlineLevel="0" collapsed="false">
      <c r="A27" s="13" t="n">
        <v>21</v>
      </c>
      <c r="B27" s="13" t="s">
        <v>1265</v>
      </c>
      <c r="C27" s="13" t="s">
        <v>1267</v>
      </c>
      <c r="D27" s="13" t="n">
        <v>2022</v>
      </c>
      <c r="E27" s="52" t="n">
        <f aca="false">IS!C20</f>
        <v>4888165764</v>
      </c>
      <c r="F27" s="52" t="n">
        <f aca="false">IS!C29+IS!C30</f>
        <v>4888165764</v>
      </c>
      <c r="G27" s="102" t="n">
        <f aca="false">IF(COUNT(E27:F27)=2,E27-F27,"")</f>
        <v>0</v>
      </c>
      <c r="H27" s="103" t="n">
        <v>1</v>
      </c>
      <c r="I27" s="4" t="str">
        <f aca="false">IF(COUNT(E27:F27)&lt;2,"N/A",IF(ABS(G27)&lt;=H27,"OK","❌"))</f>
        <v>OK</v>
      </c>
      <c r="J27" s="103" t="s">
        <v>1246</v>
      </c>
      <c r="K27" s="4" t="str">
        <f aca="false">IF(I27=J27,"✔ sesuai","✖ TIDAK sesuai")</f>
        <v>✔ sesuai</v>
      </c>
      <c r="L27" s="104"/>
    </row>
    <row r="28" customFormat="false" ht="15" hidden="false" customHeight="false" outlineLevel="0" collapsed="false">
      <c r="A28" s="13" t="n">
        <v>22</v>
      </c>
      <c r="B28" s="13" t="s">
        <v>1265</v>
      </c>
      <c r="C28" s="13" t="s">
        <v>1268</v>
      </c>
      <c r="D28" s="13" t="n">
        <v>2022</v>
      </c>
      <c r="E28" s="52" t="n">
        <f aca="false">IS!C27</f>
        <v>4603727958</v>
      </c>
      <c r="F28" s="52" t="n">
        <f aca="false">IS!C31+IS!C32</f>
        <v>4603727958</v>
      </c>
      <c r="G28" s="102" t="n">
        <f aca="false">IF(COUNT(E28:F28)=2,E28-F28,"")</f>
        <v>0</v>
      </c>
      <c r="H28" s="103" t="n">
        <v>1</v>
      </c>
      <c r="I28" s="4" t="str">
        <f aca="false">IF(COUNT(E28:F28)&lt;2,"N/A",IF(ABS(G28)&lt;=H28,"OK","❌"))</f>
        <v>OK</v>
      </c>
      <c r="J28" s="103" t="s">
        <v>1246</v>
      </c>
      <c r="K28" s="4" t="str">
        <f aca="false">IF(I28=J28,"✔ sesuai","✖ TIDAK sesuai")</f>
        <v>✔ sesuai</v>
      </c>
      <c r="L28" s="104"/>
    </row>
    <row r="29" customFormat="false" ht="15" hidden="false" customHeight="false" outlineLevel="0" collapsed="false">
      <c r="A29" s="13" t="n">
        <v>23</v>
      </c>
      <c r="B29" s="13" t="s">
        <v>1265</v>
      </c>
      <c r="C29" s="13" t="s">
        <v>1269</v>
      </c>
      <c r="D29" s="13" t="n">
        <v>2022</v>
      </c>
      <c r="E29" s="52" t="n">
        <f aca="false">CF!C46</f>
        <v>39297310909</v>
      </c>
      <c r="F29" s="52" t="n">
        <f aca="false">BS!C6</f>
        <v>29547207476</v>
      </c>
      <c r="G29" s="102" t="n">
        <f aca="false">IF(COUNT(E29:F29)=2,E29-F29,"")</f>
        <v>9750103433</v>
      </c>
      <c r="H29" s="103" t="n">
        <v>1</v>
      </c>
      <c r="I29" s="4" t="str">
        <f aca="false">IF(COUNT(E29:F29)&lt;2,"N/A",IF(ABS(G29)&lt;=H29,"OK","❌"))</f>
        <v>❌</v>
      </c>
      <c r="J29" s="103" t="s">
        <v>1270</v>
      </c>
      <c r="K29" s="4" t="str">
        <f aca="false">IF(I29=J29,"✔ sesuai","✖ TIDAK sesuai")</f>
        <v>✔ sesuai</v>
      </c>
      <c r="L29" s="104" t="s">
        <v>1271</v>
      </c>
    </row>
    <row r="30" customFormat="false" ht="15" hidden="false" customHeight="false" outlineLevel="0" collapsed="false">
      <c r="A30" s="13" t="n">
        <v>24</v>
      </c>
      <c r="B30" s="13" t="s">
        <v>1265</v>
      </c>
      <c r="C30" s="13" t="s">
        <v>1272</v>
      </c>
      <c r="D30" s="13" t="n">
        <v>2022</v>
      </c>
      <c r="E30" s="63" t="n">
        <v>0</v>
      </c>
      <c r="F30" s="52" t="n">
        <f aca="false">CF!C41</f>
        <v>0</v>
      </c>
      <c r="G30" s="102" t="n">
        <f aca="false">IF(COUNT(E30:F30)=2,E30-F30,"")</f>
        <v>0</v>
      </c>
      <c r="H30" s="103" t="n">
        <v>1</v>
      </c>
      <c r="I30" s="4" t="str">
        <f aca="false">IF(COUNT(E30:F30)&lt;2,"N/A",IF(ABS(G30)&lt;=H30,"OK","❌"))</f>
        <v>OK</v>
      </c>
      <c r="J30" s="103" t="s">
        <v>1246</v>
      </c>
      <c r="K30" s="4" t="str">
        <f aca="false">IF(I30=J30,"✔ sesuai","✖ TIDAK sesuai")</f>
        <v>✔ sesuai</v>
      </c>
      <c r="L30" s="104" t="s">
        <v>1273</v>
      </c>
    </row>
    <row r="31" customFormat="false" ht="15" hidden="false" customHeight="false" outlineLevel="0" collapsed="false">
      <c r="A31" s="13" t="n">
        <v>25</v>
      </c>
      <c r="B31" s="13" t="s">
        <v>1274</v>
      </c>
      <c r="C31" s="13" t="s">
        <v>1275</v>
      </c>
      <c r="D31" s="13" t="n">
        <v>2022</v>
      </c>
      <c r="E31" s="52" t="n">
        <f aca="false">Schedules!C10</f>
        <v>99578144421</v>
      </c>
      <c r="F31" s="52" t="n">
        <f aca="false">IS!C6</f>
        <v>99578144421</v>
      </c>
      <c r="G31" s="102" t="n">
        <f aca="false">IF(COUNT(E31:F31)=2,E31-F31,"")</f>
        <v>0</v>
      </c>
      <c r="H31" s="103" t="n">
        <v>1</v>
      </c>
      <c r="I31" s="4" t="str">
        <f aca="false">IF(COUNT(E31:F31)&lt;2,"N/A",IF(ABS(G31)&lt;=H31,"OK","❌"))</f>
        <v>OK</v>
      </c>
      <c r="J31" s="103" t="s">
        <v>1246</v>
      </c>
      <c r="K31" s="4" t="str">
        <f aca="false">IF(I31=J31,"✔ sesuai","✖ TIDAK sesuai")</f>
        <v>✔ sesuai</v>
      </c>
      <c r="L31" s="104"/>
    </row>
    <row r="32" customFormat="false" ht="15" hidden="false" customHeight="false" outlineLevel="0" collapsed="false">
      <c r="A32" s="13" t="n">
        <v>26</v>
      </c>
      <c r="B32" s="13" t="s">
        <v>1274</v>
      </c>
      <c r="C32" s="13" t="s">
        <v>1276</v>
      </c>
      <c r="D32" s="13" t="n">
        <v>2022</v>
      </c>
      <c r="E32" s="52" t="n">
        <f aca="false">Schedules!C52</f>
        <v>99578144421</v>
      </c>
      <c r="F32" s="52" t="n">
        <f aca="false">IS!C6</f>
        <v>99578144421</v>
      </c>
      <c r="G32" s="102" t="n">
        <f aca="false">IF(COUNT(E32:F32)=2,E32-F32,"")</f>
        <v>0</v>
      </c>
      <c r="H32" s="103" t="n">
        <v>1</v>
      </c>
      <c r="I32" s="4" t="str">
        <f aca="false">IF(COUNT(E32:F32)&lt;2,"N/A",IF(ABS(G32)&lt;=H32,"OK","❌"))</f>
        <v>OK</v>
      </c>
      <c r="J32" s="103" t="s">
        <v>1246</v>
      </c>
      <c r="K32" s="4" t="str">
        <f aca="false">IF(I32=J32,"✔ sesuai","✖ TIDAK sesuai")</f>
        <v>✔ sesuai</v>
      </c>
      <c r="L32" s="104"/>
    </row>
    <row r="33" customFormat="false" ht="15" hidden="false" customHeight="false" outlineLevel="0" collapsed="false">
      <c r="A33" s="13" t="n">
        <v>27</v>
      </c>
      <c r="B33" s="13" t="s">
        <v>1274</v>
      </c>
      <c r="C33" s="13" t="s">
        <v>1277</v>
      </c>
      <c r="D33" s="13" t="n">
        <v>2022</v>
      </c>
      <c r="E33" s="52" t="n">
        <f aca="false">Schedules!C70</f>
        <v>67593755280</v>
      </c>
      <c r="F33" s="52" t="n">
        <f aca="false">-IS!C7</f>
        <v>67593755280</v>
      </c>
      <c r="G33" s="102" t="n">
        <f aca="false">IF(COUNT(E33:F33)=2,E33-F33,"")</f>
        <v>0</v>
      </c>
      <c r="H33" s="103" t="n">
        <v>1</v>
      </c>
      <c r="I33" s="4" t="str">
        <f aca="false">IF(COUNT(E33:F33)&lt;2,"N/A",IF(ABS(G33)&lt;=H33,"OK","❌"))</f>
        <v>OK</v>
      </c>
      <c r="J33" s="103" t="s">
        <v>1246</v>
      </c>
      <c r="K33" s="4" t="str">
        <f aca="false">IF(I33=J33,"✔ sesuai","✖ TIDAK sesuai")</f>
        <v>✔ sesuai</v>
      </c>
      <c r="L33" s="104"/>
    </row>
    <row r="34" customFormat="false" ht="15" hidden="false" customHeight="false" outlineLevel="0" collapsed="false">
      <c r="A34" s="13" t="n">
        <v>28</v>
      </c>
      <c r="B34" s="13" t="s">
        <v>1274</v>
      </c>
      <c r="C34" s="13" t="s">
        <v>1278</v>
      </c>
      <c r="D34" s="13" t="n">
        <v>2022</v>
      </c>
      <c r="E34" s="52" t="n">
        <f aca="false">Schedules!C76</f>
        <v>974896353</v>
      </c>
      <c r="F34" s="52" t="n">
        <f aca="false">-IS!C9</f>
        <v>974896353</v>
      </c>
      <c r="G34" s="102" t="n">
        <f aca="false">IF(COUNT(E34:F34)=2,E34-F34,"")</f>
        <v>0</v>
      </c>
      <c r="H34" s="103" t="n">
        <v>1</v>
      </c>
      <c r="I34" s="4" t="str">
        <f aca="false">IF(COUNT(E34:F34)&lt;2,"N/A",IF(ABS(G34)&lt;=H34,"OK","❌"))</f>
        <v>OK</v>
      </c>
      <c r="J34" s="103" t="s">
        <v>1246</v>
      </c>
      <c r="K34" s="4" t="str">
        <f aca="false">IF(I34=J34,"✔ sesuai","✖ TIDAK sesuai")</f>
        <v>✔ sesuai</v>
      </c>
      <c r="L34" s="104"/>
    </row>
    <row r="35" customFormat="false" ht="15" hidden="false" customHeight="false" outlineLevel="0" collapsed="false">
      <c r="A35" s="13" t="n">
        <v>29</v>
      </c>
      <c r="B35" s="13" t="s">
        <v>1274</v>
      </c>
      <c r="C35" s="13" t="s">
        <v>1279</v>
      </c>
      <c r="D35" s="13" t="n">
        <v>2022</v>
      </c>
      <c r="E35" s="52" t="n">
        <f aca="false">Schedules!C82</f>
        <v>23863495422</v>
      </c>
      <c r="F35" s="52" t="n">
        <f aca="false">-IS!C10</f>
        <v>23863495422</v>
      </c>
      <c r="G35" s="102" t="n">
        <f aca="false">IF(COUNT(E35:F35)=2,E35-F35,"")</f>
        <v>0</v>
      </c>
      <c r="H35" s="103" t="n">
        <v>1</v>
      </c>
      <c r="I35" s="4" t="str">
        <f aca="false">IF(COUNT(E35:F35)&lt;2,"N/A",IF(ABS(G35)&lt;=H35,"OK","❌"))</f>
        <v>OK</v>
      </c>
      <c r="J35" s="103" t="s">
        <v>1246</v>
      </c>
      <c r="K35" s="4" t="str">
        <f aca="false">IF(I35=J35,"✔ sesuai","✖ TIDAK sesuai")</f>
        <v>✔ sesuai</v>
      </c>
      <c r="L35" s="104"/>
    </row>
    <row r="36" customFormat="false" ht="15" hidden="false" customHeight="false" outlineLevel="0" collapsed="false">
      <c r="A36" s="13" t="n">
        <v>30</v>
      </c>
      <c r="B36" s="13" t="s">
        <v>1280</v>
      </c>
      <c r="C36" s="13" t="s">
        <v>1281</v>
      </c>
      <c r="D36" s="13" t="n">
        <v>2022</v>
      </c>
      <c r="E36" s="52" t="n">
        <f aca="false">Schedules!C14</f>
        <v>6778169378</v>
      </c>
      <c r="F36" s="52" t="n">
        <f aca="false">Schedules!C15</f>
        <v>-0</v>
      </c>
      <c r="G36" s="102" t="n">
        <f aca="false">IF(COUNT(E36:F36)=2,E36-F36,"")</f>
        <v>6778169378</v>
      </c>
      <c r="H36" s="103" t="n">
        <v>1</v>
      </c>
      <c r="I36" s="4" t="str">
        <f aca="false">IF(COUNT(E36:F36)&lt;2,"N/A",IF(ABS(G36)&lt;=H36,"OK","N/A"))</f>
        <v>N/A</v>
      </c>
      <c r="J36" s="103" t="s">
        <v>1282</v>
      </c>
      <c r="K36" s="4" t="str">
        <f aca="false">IF(I36=J36,"✔ sesuai","✖ TIDAK sesuai")</f>
        <v>✔ sesuai</v>
      </c>
      <c r="L36" s="104"/>
    </row>
    <row r="37" customFormat="false" ht="15" hidden="false" customHeight="false" outlineLevel="0" collapsed="false">
      <c r="A37" s="13" t="n">
        <v>31</v>
      </c>
      <c r="B37" s="13" t="s">
        <v>1280</v>
      </c>
      <c r="C37" s="13" t="s">
        <v>1283</v>
      </c>
      <c r="D37" s="13" t="n">
        <v>2022</v>
      </c>
      <c r="E37" s="52" t="n">
        <f aca="false">Schedules!C56</f>
        <v>99578144421</v>
      </c>
      <c r="F37" s="52" t="n">
        <f aca="false">Schedules!C52</f>
        <v>99578144421</v>
      </c>
      <c r="G37" s="102" t="n">
        <f aca="false">IF(COUNT(E37:F37)=2,E37-F37,"")</f>
        <v>0</v>
      </c>
      <c r="H37" s="103" t="n">
        <v>1</v>
      </c>
      <c r="I37" s="4" t="str">
        <f aca="false">IF(COUNT(E37:F37)&lt;2,"N/A",IF(ABS(G37)&lt;=H37,"OK","❌"))</f>
        <v>OK</v>
      </c>
      <c r="J37" s="103" t="s">
        <v>1246</v>
      </c>
      <c r="K37" s="4" t="str">
        <f aca="false">IF(I37=J37,"✔ sesuai","✖ TIDAK sesuai")</f>
        <v>✔ sesuai</v>
      </c>
      <c r="L37" s="104"/>
    </row>
    <row r="38" customFormat="false" ht="15" hidden="false" customHeight="false" outlineLevel="0" collapsed="false">
      <c r="A38" s="13" t="n">
        <v>32</v>
      </c>
      <c r="B38" s="13" t="s">
        <v>1280</v>
      </c>
      <c r="C38" s="13" t="s">
        <v>1284</v>
      </c>
      <c r="D38" s="13" t="n">
        <v>2022</v>
      </c>
      <c r="E38" s="52" t="n">
        <f aca="false">Schedules!C72</f>
        <v>67593755280</v>
      </c>
      <c r="F38" s="52" t="n">
        <f aca="false">Schedules!C70</f>
        <v>67593755280</v>
      </c>
      <c r="G38" s="102" t="n">
        <f aca="false">IF(COUNT(E38:F38)=2,E38-F38,"")</f>
        <v>0</v>
      </c>
      <c r="H38" s="103" t="n">
        <v>1</v>
      </c>
      <c r="I38" s="4" t="str">
        <f aca="false">IF(COUNT(E38:F38)&lt;2,"N/A",IF(ABS(G38)&lt;=H38,"OK","❌"))</f>
        <v>OK</v>
      </c>
      <c r="J38" s="103" t="s">
        <v>1246</v>
      </c>
      <c r="K38" s="4" t="str">
        <f aca="false">IF(I38=J38,"✔ sesuai","✖ TIDAK sesuai")</f>
        <v>✔ sesuai</v>
      </c>
      <c r="L38" s="104"/>
    </row>
    <row r="39" customFormat="false" ht="15" hidden="false" customHeight="false" outlineLevel="0" collapsed="false">
      <c r="A39" s="13" t="n">
        <v>33</v>
      </c>
      <c r="B39" s="13" t="s">
        <v>1280</v>
      </c>
      <c r="C39" s="13" t="s">
        <v>1285</v>
      </c>
      <c r="D39" s="13" t="n">
        <v>2022</v>
      </c>
      <c r="E39" s="52" t="n">
        <f aca="false">Schedules!C77</f>
        <v>974896353</v>
      </c>
      <c r="F39" s="52" t="n">
        <f aca="false">Schedules!C76</f>
        <v>974896353</v>
      </c>
      <c r="G39" s="102" t="n">
        <f aca="false">IF(COUNT(E39:F39)=2,E39-F39,"")</f>
        <v>0</v>
      </c>
      <c r="H39" s="103" t="n">
        <v>1</v>
      </c>
      <c r="I39" s="4" t="str">
        <f aca="false">IF(COUNT(E39:F39)&lt;2,"N/A",IF(ABS(G39)&lt;=H39,"OK","❌"))</f>
        <v>OK</v>
      </c>
      <c r="J39" s="103" t="s">
        <v>1246</v>
      </c>
      <c r="K39" s="4" t="str">
        <f aca="false">IF(I39=J39,"✔ sesuai","✖ TIDAK sesuai")</f>
        <v>✔ sesuai</v>
      </c>
      <c r="L39" s="104"/>
    </row>
    <row r="40" customFormat="false" ht="15" hidden="false" customHeight="false" outlineLevel="0" collapsed="false">
      <c r="A40" s="13" t="n">
        <v>34</v>
      </c>
      <c r="B40" s="13" t="s">
        <v>1280</v>
      </c>
      <c r="C40" s="13" t="s">
        <v>1285</v>
      </c>
      <c r="D40" s="13" t="n">
        <v>2022</v>
      </c>
      <c r="E40" s="52" t="n">
        <f aca="false">Schedules!C83</f>
        <v>23863495422</v>
      </c>
      <c r="F40" s="52" t="n">
        <f aca="false">Schedules!C82</f>
        <v>23863495422</v>
      </c>
      <c r="G40" s="102" t="n">
        <f aca="false">IF(COUNT(E40:F40)=2,E40-F40,"")</f>
        <v>0</v>
      </c>
      <c r="H40" s="103" t="n">
        <v>1</v>
      </c>
      <c r="I40" s="4" t="str">
        <f aca="false">IF(COUNT(E40:F40)&lt;2,"N/A",IF(ABS(G40)&lt;=H40,"OK","❌"))</f>
        <v>OK</v>
      </c>
      <c r="J40" s="103" t="s">
        <v>1246</v>
      </c>
      <c r="K40" s="4" t="str">
        <f aca="false">IF(I40=J40,"✔ sesuai","✖ TIDAK sesuai")</f>
        <v>✔ sesuai</v>
      </c>
      <c r="L40" s="104"/>
    </row>
    <row r="41" customFormat="false" ht="15" hidden="false" customHeight="false" outlineLevel="0" collapsed="false">
      <c r="A41" s="13" t="n">
        <v>35</v>
      </c>
      <c r="B41" s="13" t="s">
        <v>1286</v>
      </c>
      <c r="C41" s="13" t="s">
        <v>1287</v>
      </c>
      <c r="D41" s="13" t="n">
        <v>2022</v>
      </c>
      <c r="E41" s="52" t="n">
        <f aca="false">IS!C33</f>
        <v>8.81</v>
      </c>
      <c r="F41" s="52" t="n">
        <f aca="false">ROUND(IS!C29/Schedules!C22,2)</f>
        <v>8.81</v>
      </c>
      <c r="G41" s="102" t="n">
        <f aca="false">IF(COUNT(E41:F41)=2,E41-F41,"")</f>
        <v>0</v>
      </c>
      <c r="H41" s="103" t="n">
        <v>1</v>
      </c>
      <c r="I41" s="4" t="str">
        <f aca="false">IF(COUNT(E41:F41)&lt;2,"N/A",IF(ABS(G41)&lt;=H41,"OK","❌"))</f>
        <v>OK</v>
      </c>
      <c r="J41" s="103" t="s">
        <v>1246</v>
      </c>
      <c r="K41" s="4" t="str">
        <f aca="false">IF(I41=J41,"✔ sesuai","✖ TIDAK sesuai")</f>
        <v>✔ sesuai</v>
      </c>
      <c r="L41" s="104"/>
    </row>
    <row r="42" customFormat="false" ht="15" hidden="false" customHeight="false" outlineLevel="0" collapsed="false">
      <c r="A42" s="13" t="n">
        <v>36</v>
      </c>
      <c r="B42" s="13" t="s">
        <v>1244</v>
      </c>
      <c r="C42" s="13" t="s">
        <v>1245</v>
      </c>
      <c r="D42" s="13" t="n">
        <v>2023</v>
      </c>
      <c r="E42" s="52" t="n">
        <f aca="false">IS!D8</f>
        <v>44613263383</v>
      </c>
      <c r="F42" s="52" t="n">
        <f aca="false">IS!D36</f>
        <v>44613263383</v>
      </c>
      <c r="G42" s="102" t="n">
        <f aca="false">IF(COUNT(E42:F42)=2,E42-F42,"")</f>
        <v>0</v>
      </c>
      <c r="H42" s="103" t="n">
        <v>1</v>
      </c>
      <c r="I42" s="4" t="str">
        <f aca="false">IF(COUNT(E42:F42)&lt;2,"N/A",IF(ABS(G42)&lt;=H42,"OK","❌"))</f>
        <v>OK</v>
      </c>
      <c r="J42" s="103" t="s">
        <v>1246</v>
      </c>
      <c r="K42" s="4" t="str">
        <f aca="false">IF(I42=J42,"✔ sesuai","✖ TIDAK sesuai")</f>
        <v>✔ sesuai</v>
      </c>
      <c r="L42" s="104"/>
    </row>
    <row r="43" customFormat="false" ht="15" hidden="false" customHeight="false" outlineLevel="0" collapsed="false">
      <c r="A43" s="13" t="n">
        <v>37</v>
      </c>
      <c r="B43" s="13" t="s">
        <v>1244</v>
      </c>
      <c r="C43" s="13" t="s">
        <v>1247</v>
      </c>
      <c r="D43" s="13" t="n">
        <v>2023</v>
      </c>
      <c r="E43" s="52" t="n">
        <f aca="false">IS!D17</f>
        <v>2183735441</v>
      </c>
      <c r="F43" s="52" t="n">
        <f aca="false">IS!D38</f>
        <v>2183735441</v>
      </c>
      <c r="G43" s="102" t="n">
        <f aca="false">IF(COUNT(E43:F43)=2,E43-F43,"")</f>
        <v>0</v>
      </c>
      <c r="H43" s="103" t="n">
        <v>1</v>
      </c>
      <c r="I43" s="4" t="str">
        <f aca="false">IF(COUNT(E43:F43)&lt;2,"N/A",IF(ABS(G43)&lt;=H43,"OK","❌"))</f>
        <v>OK</v>
      </c>
      <c r="J43" s="103" t="s">
        <v>1246</v>
      </c>
      <c r="K43" s="4" t="str">
        <f aca="false">IF(I43=J43,"✔ sesuai","✖ TIDAK sesuai")</f>
        <v>✔ sesuai</v>
      </c>
      <c r="L43" s="104"/>
    </row>
    <row r="44" customFormat="false" ht="15" hidden="false" customHeight="false" outlineLevel="0" collapsed="false">
      <c r="A44" s="13" t="n">
        <v>38</v>
      </c>
      <c r="B44" s="13" t="s">
        <v>1244</v>
      </c>
      <c r="C44" s="13" t="s">
        <v>1248</v>
      </c>
      <c r="D44" s="13" t="n">
        <v>2023</v>
      </c>
      <c r="E44" s="52" t="n">
        <f aca="false">IS!D20</f>
        <v>3539716397</v>
      </c>
      <c r="F44" s="52" t="n">
        <f aca="false">IS!D39</f>
        <v>3539716397</v>
      </c>
      <c r="G44" s="102" t="n">
        <f aca="false">IF(COUNT(E44:F44)=2,E44-F44,"")</f>
        <v>0</v>
      </c>
      <c r="H44" s="103" t="n">
        <v>1</v>
      </c>
      <c r="I44" s="4" t="str">
        <f aca="false">IF(COUNT(E44:F44)&lt;2,"N/A",IF(ABS(G44)&lt;=H44,"OK","❌"))</f>
        <v>OK</v>
      </c>
      <c r="J44" s="103" t="s">
        <v>1246</v>
      </c>
      <c r="K44" s="4" t="str">
        <f aca="false">IF(I44=J44,"✔ sesuai","✖ TIDAK sesuai")</f>
        <v>✔ sesuai</v>
      </c>
      <c r="L44" s="104"/>
    </row>
    <row r="45" customFormat="false" ht="15" hidden="false" customHeight="false" outlineLevel="0" collapsed="false">
      <c r="A45" s="13" t="n">
        <v>39</v>
      </c>
      <c r="B45" s="13" t="s">
        <v>1244</v>
      </c>
      <c r="C45" s="13" t="s">
        <v>1249</v>
      </c>
      <c r="D45" s="13" t="n">
        <v>2023</v>
      </c>
      <c r="E45" s="52" t="n">
        <f aca="false">IS!D26</f>
        <v>27051661547</v>
      </c>
      <c r="F45" s="52" t="n">
        <f aca="false">IS!D40</f>
        <v>27051661547</v>
      </c>
      <c r="G45" s="102" t="n">
        <f aca="false">IF(COUNT(E45:F45)=2,E45-F45,"")</f>
        <v>0</v>
      </c>
      <c r="H45" s="103" t="n">
        <v>1</v>
      </c>
      <c r="I45" s="4" t="str">
        <f aca="false">IF(COUNT(E45:F45)&lt;2,"N/A",IF(ABS(G45)&lt;=H45,"OK","❌"))</f>
        <v>OK</v>
      </c>
      <c r="J45" s="103" t="s">
        <v>1246</v>
      </c>
      <c r="K45" s="4" t="str">
        <f aca="false">IF(I45=J45,"✔ sesuai","✖ TIDAK sesuai")</f>
        <v>✔ sesuai</v>
      </c>
      <c r="L45" s="104"/>
    </row>
    <row r="46" customFormat="false" ht="15" hidden="false" customHeight="false" outlineLevel="0" collapsed="false">
      <c r="A46" s="13" t="n">
        <v>40</v>
      </c>
      <c r="B46" s="13" t="s">
        <v>1244</v>
      </c>
      <c r="C46" s="13" t="s">
        <v>1250</v>
      </c>
      <c r="D46" s="13" t="n">
        <v>2023</v>
      </c>
      <c r="E46" s="52" t="n">
        <f aca="false">IS!D27</f>
        <v>30591377944</v>
      </c>
      <c r="F46" s="52" t="n">
        <f aca="false">IS!D41</f>
        <v>30591377944</v>
      </c>
      <c r="G46" s="102" t="n">
        <f aca="false">IF(COUNT(E46:F46)=2,E46-F46,"")</f>
        <v>0</v>
      </c>
      <c r="H46" s="103" t="n">
        <v>1</v>
      </c>
      <c r="I46" s="4" t="str">
        <f aca="false">IF(COUNT(E46:F46)&lt;2,"N/A",IF(ABS(G46)&lt;=H46,"OK","❌"))</f>
        <v>OK</v>
      </c>
      <c r="J46" s="103" t="s">
        <v>1246</v>
      </c>
      <c r="K46" s="4" t="str">
        <f aca="false">IF(I46=J46,"✔ sesuai","✖ TIDAK sesuai")</f>
        <v>✔ sesuai</v>
      </c>
      <c r="L46" s="104"/>
    </row>
    <row r="47" customFormat="false" ht="15" hidden="false" customHeight="false" outlineLevel="0" collapsed="false">
      <c r="A47" s="13" t="n">
        <v>41</v>
      </c>
      <c r="B47" s="13" t="s">
        <v>1244</v>
      </c>
      <c r="C47" s="13" t="s">
        <v>1251</v>
      </c>
      <c r="D47" s="13" t="n">
        <v>2023</v>
      </c>
      <c r="E47" s="52" t="n">
        <f aca="false">BS!D16</f>
        <v>27900026054</v>
      </c>
      <c r="F47" s="52" t="n">
        <f aca="false">BS!D67</f>
        <v>27900026054</v>
      </c>
      <c r="G47" s="102" t="n">
        <f aca="false">IF(COUNT(E47:F47)=2,E47-F47,"")</f>
        <v>0</v>
      </c>
      <c r="H47" s="103" t="n">
        <v>1</v>
      </c>
      <c r="I47" s="4" t="str">
        <f aca="false">IF(COUNT(E47:F47)&lt;2,"N/A",IF(ABS(G47)&lt;=H47,"OK","❌"))</f>
        <v>OK</v>
      </c>
      <c r="J47" s="103" t="s">
        <v>1246</v>
      </c>
      <c r="K47" s="4" t="str">
        <f aca="false">IF(I47=J47,"✔ sesuai","✖ TIDAK sesuai")</f>
        <v>✔ sesuai</v>
      </c>
      <c r="L47" s="104"/>
    </row>
    <row r="48" customFormat="false" ht="15" hidden="false" customHeight="false" outlineLevel="0" collapsed="false">
      <c r="A48" s="13" t="n">
        <v>42</v>
      </c>
      <c r="B48" s="13" t="s">
        <v>1244</v>
      </c>
      <c r="C48" s="13" t="s">
        <v>1252</v>
      </c>
      <c r="D48" s="13" t="n">
        <v>2023</v>
      </c>
      <c r="E48" s="52" t="n">
        <f aca="false">BS!D26</f>
        <v>272769866783</v>
      </c>
      <c r="F48" s="52" t="n">
        <f aca="false">BS!D68</f>
        <v>272769866783</v>
      </c>
      <c r="G48" s="102" t="n">
        <f aca="false">IF(COUNT(E48:F48)=2,E48-F48,"")</f>
        <v>0</v>
      </c>
      <c r="H48" s="103" t="n">
        <v>1</v>
      </c>
      <c r="I48" s="4" t="str">
        <f aca="false">IF(COUNT(E48:F48)&lt;2,"N/A",IF(ABS(G48)&lt;=H48,"OK","❌"))</f>
        <v>OK</v>
      </c>
      <c r="J48" s="103" t="s">
        <v>1246</v>
      </c>
      <c r="K48" s="4" t="str">
        <f aca="false">IF(I48=J48,"✔ sesuai","✖ TIDAK sesuai")</f>
        <v>✔ sesuai</v>
      </c>
      <c r="L48" s="104"/>
    </row>
    <row r="49" customFormat="false" ht="15" hidden="false" customHeight="false" outlineLevel="0" collapsed="false">
      <c r="A49" s="13" t="n">
        <v>43</v>
      </c>
      <c r="B49" s="13" t="s">
        <v>1244</v>
      </c>
      <c r="C49" s="13" t="s">
        <v>1253</v>
      </c>
      <c r="D49" s="13" t="n">
        <v>2023</v>
      </c>
      <c r="E49" s="52" t="n">
        <f aca="false">BS!D27</f>
        <v>300669892837</v>
      </c>
      <c r="F49" s="52" t="n">
        <f aca="false">BS!D69</f>
        <v>300669892837</v>
      </c>
      <c r="G49" s="102" t="n">
        <f aca="false">IF(COUNT(E49:F49)=2,E49-F49,"")</f>
        <v>0</v>
      </c>
      <c r="H49" s="103" t="n">
        <v>1</v>
      </c>
      <c r="I49" s="4" t="str">
        <f aca="false">IF(COUNT(E49:F49)&lt;2,"N/A",IF(ABS(G49)&lt;=H49,"OK","❌"))</f>
        <v>OK</v>
      </c>
      <c r="J49" s="103" t="s">
        <v>1246</v>
      </c>
      <c r="K49" s="4" t="str">
        <f aca="false">IF(I49=J49,"✔ sesuai","✖ TIDAK sesuai")</f>
        <v>✔ sesuai</v>
      </c>
      <c r="L49" s="104"/>
    </row>
    <row r="50" customFormat="false" ht="15" hidden="false" customHeight="false" outlineLevel="0" collapsed="false">
      <c r="A50" s="13" t="n">
        <v>44</v>
      </c>
      <c r="B50" s="13" t="s">
        <v>1244</v>
      </c>
      <c r="C50" s="13" t="s">
        <v>1254</v>
      </c>
      <c r="D50" s="13" t="n">
        <v>2023</v>
      </c>
      <c r="E50" s="52" t="n">
        <f aca="false">BS!D42</f>
        <v>41878923554</v>
      </c>
      <c r="F50" s="52" t="n">
        <f aca="false">BS!D70</f>
        <v>41878923554</v>
      </c>
      <c r="G50" s="102" t="n">
        <f aca="false">IF(COUNT(E50:F50)=2,E50-F50,"")</f>
        <v>0</v>
      </c>
      <c r="H50" s="103" t="n">
        <v>1</v>
      </c>
      <c r="I50" s="4" t="str">
        <f aca="false">IF(COUNT(E50:F50)&lt;2,"N/A",IF(ABS(G50)&lt;=H50,"OK","❌"))</f>
        <v>OK</v>
      </c>
      <c r="J50" s="103" t="s">
        <v>1246</v>
      </c>
      <c r="K50" s="4" t="str">
        <f aca="false">IF(I50=J50,"✔ sesuai","✖ TIDAK sesuai")</f>
        <v>✔ sesuai</v>
      </c>
      <c r="L50" s="104"/>
    </row>
    <row r="51" customFormat="false" ht="15" hidden="false" customHeight="false" outlineLevel="0" collapsed="false">
      <c r="A51" s="13" t="n">
        <v>45</v>
      </c>
      <c r="B51" s="13" t="s">
        <v>1244</v>
      </c>
      <c r="C51" s="13" t="s">
        <v>1255</v>
      </c>
      <c r="D51" s="13" t="n">
        <v>2023</v>
      </c>
      <c r="E51" s="52" t="n">
        <f aca="false">BS!D51</f>
        <v>129637962895</v>
      </c>
      <c r="F51" s="52" t="n">
        <f aca="false">BS!D71</f>
        <v>129637962895</v>
      </c>
      <c r="G51" s="102" t="n">
        <f aca="false">IF(COUNT(E51:F51)=2,E51-F51,"")</f>
        <v>0</v>
      </c>
      <c r="H51" s="103" t="n">
        <v>1</v>
      </c>
      <c r="I51" s="4" t="str">
        <f aca="false">IF(COUNT(E51:F51)&lt;2,"N/A",IF(ABS(G51)&lt;=H51,"OK","❌"))</f>
        <v>OK</v>
      </c>
      <c r="J51" s="103" t="s">
        <v>1246</v>
      </c>
      <c r="K51" s="4" t="str">
        <f aca="false">IF(I51=J51,"✔ sesuai","✖ TIDAK sesuai")</f>
        <v>✔ sesuai</v>
      </c>
      <c r="L51" s="104"/>
    </row>
    <row r="52" customFormat="false" ht="15" hidden="false" customHeight="false" outlineLevel="0" collapsed="false">
      <c r="A52" s="13" t="n">
        <v>46</v>
      </c>
      <c r="B52" s="13" t="s">
        <v>1244</v>
      </c>
      <c r="C52" s="13" t="s">
        <v>1256</v>
      </c>
      <c r="D52" s="13" t="n">
        <v>2023</v>
      </c>
      <c r="E52" s="52" t="n">
        <f aca="false">BS!D52</f>
        <v>171516886449</v>
      </c>
      <c r="F52" s="52" t="n">
        <f aca="false">BS!D72</f>
        <v>171516886449</v>
      </c>
      <c r="G52" s="102" t="n">
        <f aca="false">IF(COUNT(E52:F52)=2,E52-F52,"")</f>
        <v>0</v>
      </c>
      <c r="H52" s="103" t="n">
        <v>1</v>
      </c>
      <c r="I52" s="4" t="str">
        <f aca="false">IF(COUNT(E52:F52)&lt;2,"N/A",IF(ABS(G52)&lt;=H52,"OK","❌"))</f>
        <v>OK</v>
      </c>
      <c r="J52" s="103" t="s">
        <v>1246</v>
      </c>
      <c r="K52" s="4" t="str">
        <f aca="false">IF(I52=J52,"✔ sesuai","✖ TIDAK sesuai")</f>
        <v>✔ sesuai</v>
      </c>
      <c r="L52" s="104"/>
    </row>
    <row r="53" customFormat="false" ht="15" hidden="false" customHeight="false" outlineLevel="0" collapsed="false">
      <c r="A53" s="13" t="n">
        <v>47</v>
      </c>
      <c r="B53" s="13" t="s">
        <v>1244</v>
      </c>
      <c r="C53" s="13" t="s">
        <v>1257</v>
      </c>
      <c r="D53" s="13" t="n">
        <v>2023</v>
      </c>
      <c r="E53" s="52" t="n">
        <f aca="false">BS!D59</f>
        <v>129153006388</v>
      </c>
      <c r="F53" s="52" t="n">
        <f aca="false">BS!D73</f>
        <v>129153006388</v>
      </c>
      <c r="G53" s="102" t="n">
        <f aca="false">IF(COUNT(E53:F53)=2,E53-F53,"")</f>
        <v>0</v>
      </c>
      <c r="H53" s="103" t="n">
        <v>1</v>
      </c>
      <c r="I53" s="4" t="str">
        <f aca="false">IF(COUNT(E53:F53)&lt;2,"N/A",IF(ABS(G53)&lt;=H53,"OK","❌"))</f>
        <v>OK</v>
      </c>
      <c r="J53" s="103" t="s">
        <v>1246</v>
      </c>
      <c r="K53" s="4" t="str">
        <f aca="false">IF(I53=J53,"✔ sesuai","✖ TIDAK sesuai")</f>
        <v>✔ sesuai</v>
      </c>
      <c r="L53" s="104"/>
    </row>
    <row r="54" customFormat="false" ht="15" hidden="false" customHeight="false" outlineLevel="0" collapsed="false">
      <c r="A54" s="13" t="n">
        <v>48</v>
      </c>
      <c r="B54" s="13" t="s">
        <v>1244</v>
      </c>
      <c r="C54" s="13" t="s">
        <v>1258</v>
      </c>
      <c r="D54" s="13" t="n">
        <v>2023</v>
      </c>
      <c r="E54" s="52" t="n">
        <f aca="false">BS!D61</f>
        <v>129153006388</v>
      </c>
      <c r="F54" s="52" t="n">
        <f aca="false">BS!D74</f>
        <v>129153006388</v>
      </c>
      <c r="G54" s="102" t="n">
        <f aca="false">IF(COUNT(E54:F54)=2,E54-F54,"")</f>
        <v>0</v>
      </c>
      <c r="H54" s="103" t="n">
        <v>1</v>
      </c>
      <c r="I54" s="4" t="str">
        <f aca="false">IF(COUNT(E54:F54)&lt;2,"N/A",IF(ABS(G54)&lt;=H54,"OK","❌"))</f>
        <v>OK</v>
      </c>
      <c r="J54" s="103" t="s">
        <v>1246</v>
      </c>
      <c r="K54" s="4" t="str">
        <f aca="false">IF(I54=J54,"✔ sesuai","✖ TIDAK sesuai")</f>
        <v>✔ sesuai</v>
      </c>
      <c r="L54" s="104"/>
    </row>
    <row r="55" customFormat="false" ht="15" hidden="false" customHeight="false" outlineLevel="0" collapsed="false">
      <c r="A55" s="13" t="n">
        <v>49</v>
      </c>
      <c r="B55" s="13" t="s">
        <v>1244</v>
      </c>
      <c r="C55" s="13" t="s">
        <v>1259</v>
      </c>
      <c r="D55" s="13" t="n">
        <v>2023</v>
      </c>
      <c r="E55" s="52" t="n">
        <f aca="false">BS!D62</f>
        <v>300669892837</v>
      </c>
      <c r="F55" s="52" t="n">
        <f aca="false">BS!D75</f>
        <v>300669892837</v>
      </c>
      <c r="G55" s="102" t="n">
        <f aca="false">IF(COUNT(E55:F55)=2,E55-F55,"")</f>
        <v>0</v>
      </c>
      <c r="H55" s="103" t="n">
        <v>1</v>
      </c>
      <c r="I55" s="4" t="str">
        <f aca="false">IF(COUNT(E55:F55)&lt;2,"N/A",IF(ABS(G55)&lt;=H55,"OK","❌"))</f>
        <v>OK</v>
      </c>
      <c r="J55" s="103" t="s">
        <v>1246</v>
      </c>
      <c r="K55" s="4" t="str">
        <f aca="false">IF(I55=J55,"✔ sesuai","✖ TIDAK sesuai")</f>
        <v>✔ sesuai</v>
      </c>
      <c r="L55" s="104"/>
    </row>
    <row r="56" customFormat="false" ht="15" hidden="false" customHeight="false" outlineLevel="0" collapsed="false">
      <c r="A56" s="13" t="n">
        <v>50</v>
      </c>
      <c r="B56" s="13" t="s">
        <v>1244</v>
      </c>
      <c r="C56" s="13" t="s">
        <v>1260</v>
      </c>
      <c r="D56" s="13" t="n">
        <v>2023</v>
      </c>
      <c r="E56" s="52" t="n">
        <f aca="false">CF!D14</f>
        <v>19735705441</v>
      </c>
      <c r="F56" s="52" t="n">
        <f aca="false">CF!D48</f>
        <v>19735705441</v>
      </c>
      <c r="G56" s="102" t="n">
        <f aca="false">IF(COUNT(E56:F56)=2,E56-F56,"")</f>
        <v>0</v>
      </c>
      <c r="H56" s="103" t="n">
        <v>1</v>
      </c>
      <c r="I56" s="4" t="str">
        <f aca="false">IF(COUNT(E56:F56)&lt;2,"N/A",IF(ABS(G56)&lt;=H56,"OK","❌"))</f>
        <v>OK</v>
      </c>
      <c r="J56" s="103" t="s">
        <v>1246</v>
      </c>
      <c r="K56" s="4" t="str">
        <f aca="false">IF(I56=J56,"✔ sesuai","✖ TIDAK sesuai")</f>
        <v>✔ sesuai</v>
      </c>
      <c r="L56" s="104"/>
    </row>
    <row r="57" customFormat="false" ht="15" hidden="false" customHeight="false" outlineLevel="0" collapsed="false">
      <c r="A57" s="13" t="n">
        <v>51</v>
      </c>
      <c r="B57" s="13" t="s">
        <v>1244</v>
      </c>
      <c r="C57" s="13" t="s">
        <v>1261</v>
      </c>
      <c r="D57" s="13" t="n">
        <v>2023</v>
      </c>
      <c r="E57" s="52" t="n">
        <f aca="false">CF!D24</f>
        <v>-36146492177</v>
      </c>
      <c r="F57" s="52" t="n">
        <f aca="false">CF!D49</f>
        <v>-36146492177</v>
      </c>
      <c r="G57" s="102" t="n">
        <f aca="false">IF(COUNT(E57:F57)=2,E57-F57,"")</f>
        <v>0</v>
      </c>
      <c r="H57" s="103" t="n">
        <v>1</v>
      </c>
      <c r="I57" s="4" t="str">
        <f aca="false">IF(COUNT(E57:F57)&lt;2,"N/A",IF(ABS(G57)&lt;=H57,"OK","❌"))</f>
        <v>OK</v>
      </c>
      <c r="J57" s="103" t="s">
        <v>1246</v>
      </c>
      <c r="K57" s="4" t="str">
        <f aca="false">IF(I57=J57,"✔ sesuai","✖ TIDAK sesuai")</f>
        <v>✔ sesuai</v>
      </c>
      <c r="L57" s="104"/>
    </row>
    <row r="58" customFormat="false" ht="15" hidden="false" customHeight="false" outlineLevel="0" collapsed="false">
      <c r="A58" s="13" t="n">
        <v>52</v>
      </c>
      <c r="B58" s="13" t="s">
        <v>1244</v>
      </c>
      <c r="C58" s="13" t="s">
        <v>1262</v>
      </c>
      <c r="D58" s="13" t="n">
        <v>2023</v>
      </c>
      <c r="E58" s="52" t="n">
        <f aca="false">CF!D43</f>
        <v>-13672626965</v>
      </c>
      <c r="F58" s="52" t="n">
        <f aca="false">CF!D50</f>
        <v>-13672626965</v>
      </c>
      <c r="G58" s="102" t="n">
        <f aca="false">IF(COUNT(E58:F58)=2,E58-F58,"")</f>
        <v>0</v>
      </c>
      <c r="H58" s="103" t="n">
        <v>1</v>
      </c>
      <c r="I58" s="4" t="str">
        <f aca="false">IF(COUNT(E58:F58)&lt;2,"N/A",IF(ABS(G58)&lt;=H58,"OK","❌"))</f>
        <v>OK</v>
      </c>
      <c r="J58" s="103" t="s">
        <v>1246</v>
      </c>
      <c r="K58" s="4" t="str">
        <f aca="false">IF(I58=J58,"✔ sesuai","✖ TIDAK sesuai")</f>
        <v>✔ sesuai</v>
      </c>
      <c r="L58" s="104"/>
    </row>
    <row r="59" customFormat="false" ht="15" hidden="false" customHeight="false" outlineLevel="0" collapsed="false">
      <c r="A59" s="13" t="n">
        <v>53</v>
      </c>
      <c r="B59" s="13" t="s">
        <v>1244</v>
      </c>
      <c r="C59" s="13" t="s">
        <v>1263</v>
      </c>
      <c r="D59" s="13" t="n">
        <v>2023</v>
      </c>
      <c r="E59" s="52" t="n">
        <f aca="false">CF!D44</f>
        <v>-30083413701</v>
      </c>
      <c r="F59" s="52" t="n">
        <f aca="false">CF!D51</f>
        <v>-30083413701</v>
      </c>
      <c r="G59" s="102" t="n">
        <f aca="false">IF(COUNT(E59:F59)=2,E59-F59,"")</f>
        <v>0</v>
      </c>
      <c r="H59" s="103" t="n">
        <v>1</v>
      </c>
      <c r="I59" s="4" t="str">
        <f aca="false">IF(COUNT(E59:F59)&lt;2,"N/A",IF(ABS(G59)&lt;=H59,"OK","❌"))</f>
        <v>OK</v>
      </c>
      <c r="J59" s="103" t="s">
        <v>1246</v>
      </c>
      <c r="K59" s="4" t="str">
        <f aca="false">IF(I59=J59,"✔ sesuai","✖ TIDAK sesuai")</f>
        <v>✔ sesuai</v>
      </c>
      <c r="L59" s="104"/>
    </row>
    <row r="60" customFormat="false" ht="15" hidden="false" customHeight="false" outlineLevel="0" collapsed="false">
      <c r="A60" s="13" t="n">
        <v>54</v>
      </c>
      <c r="B60" s="13" t="s">
        <v>1244</v>
      </c>
      <c r="C60" s="13" t="s">
        <v>1264</v>
      </c>
      <c r="D60" s="13" t="n">
        <v>2023</v>
      </c>
      <c r="E60" s="52" t="n">
        <f aca="false">CF!D46</f>
        <v>-536206225</v>
      </c>
      <c r="F60" s="52" t="n">
        <f aca="false">CF!D52</f>
        <v>-536206225</v>
      </c>
      <c r="G60" s="102" t="n">
        <f aca="false">IF(COUNT(E60:F60)=2,E60-F60,"")</f>
        <v>0</v>
      </c>
      <c r="H60" s="103" t="n">
        <v>1</v>
      </c>
      <c r="I60" s="4" t="str">
        <f aca="false">IF(COUNT(E60:F60)&lt;2,"N/A",IF(ABS(G60)&lt;=H60,"OK","❌"))</f>
        <v>OK</v>
      </c>
      <c r="J60" s="103" t="s">
        <v>1246</v>
      </c>
      <c r="K60" s="4" t="str">
        <f aca="false">IF(I60=J60,"✔ sesuai","✖ TIDAK sesuai")</f>
        <v>✔ sesuai</v>
      </c>
      <c r="L60" s="104"/>
    </row>
    <row r="61" customFormat="false" ht="15" hidden="false" customHeight="false" outlineLevel="0" collapsed="false">
      <c r="A61" s="13" t="n">
        <v>55</v>
      </c>
      <c r="B61" s="13" t="s">
        <v>1265</v>
      </c>
      <c r="C61" s="13" t="s">
        <v>1266</v>
      </c>
      <c r="D61" s="13" t="n">
        <v>2023</v>
      </c>
      <c r="E61" s="52" t="n">
        <f aca="false">BS!D27</f>
        <v>300669892837</v>
      </c>
      <c r="F61" s="52" t="n">
        <f aca="false">BS!D62</f>
        <v>300669892837</v>
      </c>
      <c r="G61" s="102" t="n">
        <f aca="false">IF(COUNT(E61:F61)=2,E61-F61,"")</f>
        <v>0</v>
      </c>
      <c r="H61" s="103" t="n">
        <v>1</v>
      </c>
      <c r="I61" s="4" t="str">
        <f aca="false">IF(COUNT(E61:F61)&lt;2,"N/A",IF(ABS(G61)&lt;=H61,"OK","❌"))</f>
        <v>OK</v>
      </c>
      <c r="J61" s="103" t="s">
        <v>1246</v>
      </c>
      <c r="K61" s="4" t="str">
        <f aca="false">IF(I61=J61,"✔ sesuai","✖ TIDAK sesuai")</f>
        <v>✔ sesuai</v>
      </c>
      <c r="L61" s="104"/>
    </row>
    <row r="62" customFormat="false" ht="15" hidden="false" customHeight="false" outlineLevel="0" collapsed="false">
      <c r="A62" s="13" t="n">
        <v>56</v>
      </c>
      <c r="B62" s="13" t="s">
        <v>1265</v>
      </c>
      <c r="C62" s="13" t="s">
        <v>1267</v>
      </c>
      <c r="D62" s="13" t="n">
        <v>2023</v>
      </c>
      <c r="E62" s="52" t="n">
        <f aca="false">IS!D20</f>
        <v>3539716397</v>
      </c>
      <c r="F62" s="52" t="n">
        <f aca="false">IS!D29+IS!D30</f>
        <v>3539716397</v>
      </c>
      <c r="G62" s="102" t="n">
        <f aca="false">IF(COUNT(E62:F62)=2,E62-F62,"")</f>
        <v>0</v>
      </c>
      <c r="H62" s="103" t="n">
        <v>1</v>
      </c>
      <c r="I62" s="4" t="str">
        <f aca="false">IF(COUNT(E62:F62)&lt;2,"N/A",IF(ABS(G62)&lt;=H62,"OK","❌"))</f>
        <v>OK</v>
      </c>
      <c r="J62" s="103" t="s">
        <v>1246</v>
      </c>
      <c r="K62" s="4" t="str">
        <f aca="false">IF(I62=J62,"✔ sesuai","✖ TIDAK sesuai")</f>
        <v>✔ sesuai</v>
      </c>
      <c r="L62" s="104"/>
    </row>
    <row r="63" customFormat="false" ht="15" hidden="false" customHeight="false" outlineLevel="0" collapsed="false">
      <c r="A63" s="13" t="n">
        <v>57</v>
      </c>
      <c r="B63" s="13" t="s">
        <v>1265</v>
      </c>
      <c r="C63" s="13" t="s">
        <v>1268</v>
      </c>
      <c r="D63" s="13" t="n">
        <v>2023</v>
      </c>
      <c r="E63" s="52" t="n">
        <f aca="false">IS!D27</f>
        <v>30591377944</v>
      </c>
      <c r="F63" s="52" t="n">
        <f aca="false">IS!D31+IS!D32</f>
        <v>30591377944</v>
      </c>
      <c r="G63" s="102" t="n">
        <f aca="false">IF(COUNT(E63:F63)=2,E63-F63,"")</f>
        <v>0</v>
      </c>
      <c r="H63" s="103" t="n">
        <v>1</v>
      </c>
      <c r="I63" s="4" t="str">
        <f aca="false">IF(COUNT(E63:F63)&lt;2,"N/A",IF(ABS(G63)&lt;=H63,"OK","❌"))</f>
        <v>OK</v>
      </c>
      <c r="J63" s="103" t="s">
        <v>1246</v>
      </c>
      <c r="K63" s="4" t="str">
        <f aca="false">IF(I63=J63,"✔ sesuai","✖ TIDAK sesuai")</f>
        <v>✔ sesuai</v>
      </c>
      <c r="L63" s="104"/>
    </row>
    <row r="64" customFormat="false" ht="15" hidden="false" customHeight="false" outlineLevel="0" collapsed="false">
      <c r="A64" s="13" t="n">
        <v>58</v>
      </c>
      <c r="B64" s="13" t="s">
        <v>1265</v>
      </c>
      <c r="C64" s="13" t="s">
        <v>1269</v>
      </c>
      <c r="D64" s="13" t="n">
        <v>2023</v>
      </c>
      <c r="E64" s="52" t="n">
        <f aca="false">CF!D46</f>
        <v>-536206225</v>
      </c>
      <c r="F64" s="52" t="n">
        <f aca="false">BS!D6</f>
        <v>2463973775</v>
      </c>
      <c r="G64" s="102" t="n">
        <f aca="false">IF(COUNT(E64:F64)=2,E64-F64,"")</f>
        <v>-3000180000</v>
      </c>
      <c r="H64" s="103" t="n">
        <v>1</v>
      </c>
      <c r="I64" s="4" t="str">
        <f aca="false">IF(COUNT(E64:F64)&lt;2,"N/A",IF(ABS(G64)&lt;=H64,"OK","❌"))</f>
        <v>❌</v>
      </c>
      <c r="J64" s="103" t="s">
        <v>1270</v>
      </c>
      <c r="K64" s="4" t="str">
        <f aca="false">IF(I64=J64,"✔ sesuai","✖ TIDAK sesuai")</f>
        <v>✔ sesuai</v>
      </c>
      <c r="L64" s="104" t="s">
        <v>1288</v>
      </c>
    </row>
    <row r="65" customFormat="false" ht="15" hidden="false" customHeight="false" outlineLevel="0" collapsed="false">
      <c r="A65" s="13" t="n">
        <v>59</v>
      </c>
      <c r="B65" s="13" t="s">
        <v>1265</v>
      </c>
      <c r="C65" s="13" t="s">
        <v>1272</v>
      </c>
      <c r="D65" s="13" t="n">
        <v>2023</v>
      </c>
      <c r="E65" s="63" t="n">
        <v>0</v>
      </c>
      <c r="F65" s="52" t="n">
        <f aca="false">CF!D41</f>
        <v>0</v>
      </c>
      <c r="G65" s="102" t="n">
        <f aca="false">IF(COUNT(E65:F65)=2,E65-F65,"")</f>
        <v>0</v>
      </c>
      <c r="H65" s="103" t="n">
        <v>1</v>
      </c>
      <c r="I65" s="4" t="str">
        <f aca="false">IF(COUNT(E65:F65)&lt;2,"N/A",IF(ABS(G65)&lt;=H65,"OK","❌"))</f>
        <v>OK</v>
      </c>
      <c r="J65" s="103" t="s">
        <v>1246</v>
      </c>
      <c r="K65" s="4" t="str">
        <f aca="false">IF(I65=J65,"✔ sesuai","✖ TIDAK sesuai")</f>
        <v>✔ sesuai</v>
      </c>
      <c r="L65" s="104" t="s">
        <v>1289</v>
      </c>
    </row>
    <row r="66" customFormat="false" ht="15" hidden="false" customHeight="false" outlineLevel="0" collapsed="false">
      <c r="A66" s="13" t="n">
        <v>60</v>
      </c>
      <c r="B66" s="13" t="s">
        <v>1290</v>
      </c>
      <c r="C66" s="13" t="s">
        <v>1291</v>
      </c>
      <c r="D66" s="13" t="n">
        <v>2023</v>
      </c>
      <c r="E66" s="52" t="n">
        <f aca="false">CF!D45</f>
        <v>29547207476</v>
      </c>
      <c r="F66" s="52" t="n">
        <f aca="false">BS!C6</f>
        <v>29547207476</v>
      </c>
      <c r="G66" s="102" t="n">
        <f aca="false">IF(COUNT(E66:F66)=2,E66-F66,"")</f>
        <v>0</v>
      </c>
      <c r="H66" s="103" t="n">
        <v>1</v>
      </c>
      <c r="I66" s="4" t="str">
        <f aca="false">IF(COUNT(E66:F66)&lt;2,"N/A",IF(ABS(G66)&lt;=H66,"OK","❌"))</f>
        <v>OK</v>
      </c>
      <c r="J66" s="103" t="s">
        <v>1246</v>
      </c>
      <c r="K66" s="4" t="str">
        <f aca="false">IF(I66=J66,"✔ sesuai","✖ TIDAK sesuai")</f>
        <v>✔ sesuai</v>
      </c>
      <c r="L66" s="104"/>
    </row>
    <row r="67" customFormat="false" ht="15" hidden="false" customHeight="false" outlineLevel="0" collapsed="false">
      <c r="A67" s="13" t="n">
        <v>61</v>
      </c>
      <c r="B67" s="13" t="s">
        <v>1290</v>
      </c>
      <c r="C67" s="13" t="s">
        <v>1292</v>
      </c>
      <c r="D67" s="13" t="n">
        <v>2023</v>
      </c>
      <c r="E67" s="52" t="n">
        <f aca="false">BS!C58+3539716397+CF!D41+0</f>
        <v>23080884249</v>
      </c>
      <c r="F67" s="52" t="n">
        <f aca="false">BS!D58</f>
        <v>23080884249</v>
      </c>
      <c r="G67" s="102" t="n">
        <f aca="false">IF(COUNT(E67:F67)=2,E67-F67,"")</f>
        <v>0</v>
      </c>
      <c r="H67" s="103" t="n">
        <v>1</v>
      </c>
      <c r="I67" s="4" t="str">
        <f aca="false">IF(COUNT(E67:F67)&lt;2,"N/A",IF(ABS(G67)&lt;=H67,"OK","❌"))</f>
        <v>OK</v>
      </c>
      <c r="J67" s="103" t="s">
        <v>1246</v>
      </c>
      <c r="K67" s="4" t="str">
        <f aca="false">IF(I67=J67,"✔ sesuai","✖ TIDAK sesuai")</f>
        <v>✔ sesuai</v>
      </c>
      <c r="L67" s="104" t="s">
        <v>1293</v>
      </c>
    </row>
    <row r="68" customFormat="false" ht="15" hidden="false" customHeight="false" outlineLevel="0" collapsed="false">
      <c r="A68" s="13" t="n">
        <v>62</v>
      </c>
      <c r="B68" s="13" t="s">
        <v>1274</v>
      </c>
      <c r="C68" s="13" t="s">
        <v>1275</v>
      </c>
      <c r="D68" s="13" t="n">
        <v>2023</v>
      </c>
      <c r="E68" s="52" t="n">
        <f aca="false">Schedules!D10</f>
        <v>134187678929</v>
      </c>
      <c r="F68" s="52" t="n">
        <f aca="false">IS!D6</f>
        <v>134187678929</v>
      </c>
      <c r="G68" s="102" t="n">
        <f aca="false">IF(COUNT(E68:F68)=2,E68-F68,"")</f>
        <v>0</v>
      </c>
      <c r="H68" s="103" t="n">
        <v>1</v>
      </c>
      <c r="I68" s="4" t="str">
        <f aca="false">IF(COUNT(E68:F68)&lt;2,"N/A",IF(ABS(G68)&lt;=H68,"OK","❌"))</f>
        <v>OK</v>
      </c>
      <c r="J68" s="103" t="s">
        <v>1246</v>
      </c>
      <c r="K68" s="4" t="str">
        <f aca="false">IF(I68=J68,"✔ sesuai","✖ TIDAK sesuai")</f>
        <v>✔ sesuai</v>
      </c>
      <c r="L68" s="104"/>
    </row>
    <row r="69" customFormat="false" ht="15" hidden="false" customHeight="false" outlineLevel="0" collapsed="false">
      <c r="A69" s="13" t="n">
        <v>63</v>
      </c>
      <c r="B69" s="13" t="s">
        <v>1274</v>
      </c>
      <c r="C69" s="13" t="s">
        <v>1276</v>
      </c>
      <c r="D69" s="13" t="n">
        <v>2023</v>
      </c>
      <c r="E69" s="52" t="n">
        <f aca="false">Schedules!D52</f>
        <v>134187678929</v>
      </c>
      <c r="F69" s="52" t="n">
        <f aca="false">IS!D6</f>
        <v>134187678929</v>
      </c>
      <c r="G69" s="102" t="n">
        <f aca="false">IF(COUNT(E69:F69)=2,E69-F69,"")</f>
        <v>0</v>
      </c>
      <c r="H69" s="103" t="n">
        <v>1</v>
      </c>
      <c r="I69" s="4" t="str">
        <f aca="false">IF(COUNT(E69:F69)&lt;2,"N/A",IF(ABS(G69)&lt;=H69,"OK","❌"))</f>
        <v>OK</v>
      </c>
      <c r="J69" s="103" t="s">
        <v>1246</v>
      </c>
      <c r="K69" s="4" t="str">
        <f aca="false">IF(I69=J69,"✔ sesuai","✖ TIDAK sesuai")</f>
        <v>✔ sesuai</v>
      </c>
      <c r="L69" s="104"/>
    </row>
    <row r="70" customFormat="false" ht="15" hidden="false" customHeight="false" outlineLevel="0" collapsed="false">
      <c r="A70" s="13" t="n">
        <v>64</v>
      </c>
      <c r="B70" s="13" t="s">
        <v>1274</v>
      </c>
      <c r="C70" s="13" t="s">
        <v>1277</v>
      </c>
      <c r="D70" s="13" t="n">
        <v>2023</v>
      </c>
      <c r="E70" s="52" t="n">
        <f aca="false">Schedules!D70</f>
        <v>89574415546</v>
      </c>
      <c r="F70" s="52" t="n">
        <f aca="false">-IS!D7</f>
        <v>89574415546</v>
      </c>
      <c r="G70" s="102" t="n">
        <f aca="false">IF(COUNT(E70:F70)=2,E70-F70,"")</f>
        <v>0</v>
      </c>
      <c r="H70" s="103" t="n">
        <v>1</v>
      </c>
      <c r="I70" s="4" t="str">
        <f aca="false">IF(COUNT(E70:F70)&lt;2,"N/A",IF(ABS(G70)&lt;=H70,"OK","❌"))</f>
        <v>OK</v>
      </c>
      <c r="J70" s="103" t="s">
        <v>1246</v>
      </c>
      <c r="K70" s="4" t="str">
        <f aca="false">IF(I70=J70,"✔ sesuai","✖ TIDAK sesuai")</f>
        <v>✔ sesuai</v>
      </c>
      <c r="L70" s="104"/>
    </row>
    <row r="71" customFormat="false" ht="15" hidden="false" customHeight="false" outlineLevel="0" collapsed="false">
      <c r="A71" s="13" t="n">
        <v>65</v>
      </c>
      <c r="B71" s="13" t="s">
        <v>1274</v>
      </c>
      <c r="C71" s="13" t="s">
        <v>1278</v>
      </c>
      <c r="D71" s="13" t="n">
        <v>2023</v>
      </c>
      <c r="E71" s="52" t="n">
        <f aca="false">Schedules!D76</f>
        <v>3183805931</v>
      </c>
      <c r="F71" s="52" t="n">
        <f aca="false">-IS!D9</f>
        <v>3183805931</v>
      </c>
      <c r="G71" s="102" t="n">
        <f aca="false">IF(COUNT(E71:F71)=2,E71-F71,"")</f>
        <v>0</v>
      </c>
      <c r="H71" s="103" t="n">
        <v>1</v>
      </c>
      <c r="I71" s="4" t="str">
        <f aca="false">IF(COUNT(E71:F71)&lt;2,"N/A",IF(ABS(G71)&lt;=H71,"OK","❌"))</f>
        <v>OK</v>
      </c>
      <c r="J71" s="103" t="s">
        <v>1246</v>
      </c>
      <c r="K71" s="4" t="str">
        <f aca="false">IF(I71=J71,"✔ sesuai","✖ TIDAK sesuai")</f>
        <v>✔ sesuai</v>
      </c>
      <c r="L71" s="104"/>
    </row>
    <row r="72" customFormat="false" ht="15" hidden="false" customHeight="false" outlineLevel="0" collapsed="false">
      <c r="A72" s="13" t="n">
        <v>66</v>
      </c>
      <c r="B72" s="13" t="s">
        <v>1274</v>
      </c>
      <c r="C72" s="13" t="s">
        <v>1279</v>
      </c>
      <c r="D72" s="13" t="n">
        <v>2023</v>
      </c>
      <c r="E72" s="52" t="n">
        <f aca="false">Schedules!D82</f>
        <v>31755062789</v>
      </c>
      <c r="F72" s="52" t="n">
        <f aca="false">-IS!D10</f>
        <v>31755062789</v>
      </c>
      <c r="G72" s="102" t="n">
        <f aca="false">IF(COUNT(E72:F72)=2,E72-F72,"")</f>
        <v>0</v>
      </c>
      <c r="H72" s="103" t="n">
        <v>1</v>
      </c>
      <c r="I72" s="4" t="str">
        <f aca="false">IF(COUNT(E72:F72)&lt;2,"N/A",IF(ABS(G72)&lt;=H72,"OK","❌"))</f>
        <v>OK</v>
      </c>
      <c r="J72" s="103" t="s">
        <v>1246</v>
      </c>
      <c r="K72" s="4" t="str">
        <f aca="false">IF(I72=J72,"✔ sesuai","✖ TIDAK sesuai")</f>
        <v>✔ sesuai</v>
      </c>
      <c r="L72" s="104"/>
    </row>
    <row r="73" customFormat="false" ht="15" hidden="false" customHeight="false" outlineLevel="0" collapsed="false">
      <c r="A73" s="13" t="n">
        <v>67</v>
      </c>
      <c r="B73" s="13" t="s">
        <v>1280</v>
      </c>
      <c r="C73" s="13" t="s">
        <v>1281</v>
      </c>
      <c r="D73" s="13" t="n">
        <v>2023</v>
      </c>
      <c r="E73" s="52" t="n">
        <f aca="false">Schedules!D14</f>
        <v>7754681103</v>
      </c>
      <c r="F73" s="52" t="n">
        <f aca="false">Schedules!D15</f>
        <v>-0</v>
      </c>
      <c r="G73" s="102" t="n">
        <f aca="false">IF(COUNT(E73:F73)=2,E73-F73,"")</f>
        <v>7754681103</v>
      </c>
      <c r="H73" s="103" t="n">
        <v>1</v>
      </c>
      <c r="I73" s="4" t="str">
        <f aca="false">IF(COUNT(E73:F73)&lt;2,"N/A",IF(ABS(G73)&lt;=H73,"OK","N/A"))</f>
        <v>N/A</v>
      </c>
      <c r="J73" s="103" t="s">
        <v>1282</v>
      </c>
      <c r="K73" s="4" t="str">
        <f aca="false">IF(I73=J73,"✔ sesuai","✖ TIDAK sesuai")</f>
        <v>✔ sesuai</v>
      </c>
      <c r="L73" s="104"/>
    </row>
    <row r="74" customFormat="false" ht="15" hidden="false" customHeight="false" outlineLevel="0" collapsed="false">
      <c r="A74" s="13" t="n">
        <v>68</v>
      </c>
      <c r="B74" s="13" t="s">
        <v>1280</v>
      </c>
      <c r="C74" s="13" t="s">
        <v>1283</v>
      </c>
      <c r="D74" s="13" t="n">
        <v>2023</v>
      </c>
      <c r="E74" s="52" t="n">
        <f aca="false">Schedules!D56</f>
        <v>134187678929</v>
      </c>
      <c r="F74" s="52" t="n">
        <f aca="false">Schedules!D52</f>
        <v>134187678929</v>
      </c>
      <c r="G74" s="102" t="n">
        <f aca="false">IF(COUNT(E74:F74)=2,E74-F74,"")</f>
        <v>0</v>
      </c>
      <c r="H74" s="103" t="n">
        <v>1</v>
      </c>
      <c r="I74" s="4" t="str">
        <f aca="false">IF(COUNT(E74:F74)&lt;2,"N/A",IF(ABS(G74)&lt;=H74,"OK","❌"))</f>
        <v>OK</v>
      </c>
      <c r="J74" s="103" t="s">
        <v>1246</v>
      </c>
      <c r="K74" s="4" t="str">
        <f aca="false">IF(I74=J74,"✔ sesuai","✖ TIDAK sesuai")</f>
        <v>✔ sesuai</v>
      </c>
      <c r="L74" s="104"/>
    </row>
    <row r="75" customFormat="false" ht="15" hidden="false" customHeight="false" outlineLevel="0" collapsed="false">
      <c r="A75" s="13" t="n">
        <v>69</v>
      </c>
      <c r="B75" s="13" t="s">
        <v>1280</v>
      </c>
      <c r="C75" s="13" t="s">
        <v>1284</v>
      </c>
      <c r="D75" s="13" t="n">
        <v>2023</v>
      </c>
      <c r="E75" s="52" t="n">
        <f aca="false">Schedules!D72</f>
        <v>89574415546</v>
      </c>
      <c r="F75" s="52" t="n">
        <f aca="false">Schedules!D70</f>
        <v>89574415546</v>
      </c>
      <c r="G75" s="102" t="n">
        <f aca="false">IF(COUNT(E75:F75)=2,E75-F75,"")</f>
        <v>0</v>
      </c>
      <c r="H75" s="103" t="n">
        <v>1</v>
      </c>
      <c r="I75" s="4" t="str">
        <f aca="false">IF(COUNT(E75:F75)&lt;2,"N/A",IF(ABS(G75)&lt;=H75,"OK","❌"))</f>
        <v>OK</v>
      </c>
      <c r="J75" s="103" t="s">
        <v>1246</v>
      </c>
      <c r="K75" s="4" t="str">
        <f aca="false">IF(I75=J75,"✔ sesuai","✖ TIDAK sesuai")</f>
        <v>✔ sesuai</v>
      </c>
      <c r="L75" s="104"/>
    </row>
    <row r="76" customFormat="false" ht="15" hidden="false" customHeight="false" outlineLevel="0" collapsed="false">
      <c r="A76" s="13" t="n">
        <v>70</v>
      </c>
      <c r="B76" s="13" t="s">
        <v>1280</v>
      </c>
      <c r="C76" s="13" t="s">
        <v>1285</v>
      </c>
      <c r="D76" s="13" t="n">
        <v>2023</v>
      </c>
      <c r="E76" s="52" t="n">
        <f aca="false">Schedules!D77</f>
        <v>3183805931</v>
      </c>
      <c r="F76" s="52" t="n">
        <f aca="false">Schedules!D76</f>
        <v>3183805931</v>
      </c>
      <c r="G76" s="102" t="n">
        <f aca="false">IF(COUNT(E76:F76)=2,E76-F76,"")</f>
        <v>0</v>
      </c>
      <c r="H76" s="103" t="n">
        <v>1</v>
      </c>
      <c r="I76" s="4" t="str">
        <f aca="false">IF(COUNT(E76:F76)&lt;2,"N/A",IF(ABS(G76)&lt;=H76,"OK","❌"))</f>
        <v>OK</v>
      </c>
      <c r="J76" s="103" t="s">
        <v>1246</v>
      </c>
      <c r="K76" s="4" t="str">
        <f aca="false">IF(I76=J76,"✔ sesuai","✖ TIDAK sesuai")</f>
        <v>✔ sesuai</v>
      </c>
      <c r="L76" s="104"/>
    </row>
    <row r="77" customFormat="false" ht="15" hidden="false" customHeight="false" outlineLevel="0" collapsed="false">
      <c r="A77" s="13" t="n">
        <v>71</v>
      </c>
      <c r="B77" s="13" t="s">
        <v>1280</v>
      </c>
      <c r="C77" s="13" t="s">
        <v>1285</v>
      </c>
      <c r="D77" s="13" t="n">
        <v>2023</v>
      </c>
      <c r="E77" s="52" t="n">
        <f aca="false">Schedules!D83</f>
        <v>31755062789</v>
      </c>
      <c r="F77" s="52" t="n">
        <f aca="false">Schedules!D82</f>
        <v>31755062789</v>
      </c>
      <c r="G77" s="102" t="n">
        <f aca="false">IF(COUNT(E77:F77)=2,E77-F77,"")</f>
        <v>0</v>
      </c>
      <c r="H77" s="103" t="n">
        <v>1</v>
      </c>
      <c r="I77" s="4" t="str">
        <f aca="false">IF(COUNT(E77:F77)&lt;2,"N/A",IF(ABS(G77)&lt;=H77,"OK","❌"))</f>
        <v>OK</v>
      </c>
      <c r="J77" s="103" t="s">
        <v>1246</v>
      </c>
      <c r="K77" s="4" t="str">
        <f aca="false">IF(I77=J77,"✔ sesuai","✖ TIDAK sesuai")</f>
        <v>✔ sesuai</v>
      </c>
      <c r="L77" s="104"/>
    </row>
    <row r="78" customFormat="false" ht="15" hidden="false" customHeight="false" outlineLevel="0" collapsed="false">
      <c r="A78" s="13" t="n">
        <v>72</v>
      </c>
      <c r="B78" s="13" t="s">
        <v>1286</v>
      </c>
      <c r="C78" s="13" t="s">
        <v>1287</v>
      </c>
      <c r="D78" s="13" t="n">
        <v>2023</v>
      </c>
      <c r="E78" s="52" t="n">
        <f aca="false">IS!D33</f>
        <v>6.38</v>
      </c>
      <c r="F78" s="52" t="n">
        <f aca="false">ROUND(IS!D29/Schedules!D22,2)</f>
        <v>6.38</v>
      </c>
      <c r="G78" s="102" t="n">
        <f aca="false">IF(COUNT(E78:F78)=2,E78-F78,"")</f>
        <v>0</v>
      </c>
      <c r="H78" s="103" t="n">
        <v>1</v>
      </c>
      <c r="I78" s="4" t="str">
        <f aca="false">IF(COUNT(E78:F78)&lt;2,"N/A",IF(ABS(G78)&lt;=H78,"OK","❌"))</f>
        <v>OK</v>
      </c>
      <c r="J78" s="103" t="s">
        <v>1246</v>
      </c>
      <c r="K78" s="4" t="str">
        <f aca="false">IF(I78=J78,"✔ sesuai","✖ TIDAK sesuai")</f>
        <v>✔ sesuai</v>
      </c>
      <c r="L78" s="104"/>
    </row>
    <row r="79" customFormat="false" ht="15" hidden="false" customHeight="false" outlineLevel="0" collapsed="false">
      <c r="A79" s="13" t="n">
        <v>73</v>
      </c>
      <c r="B79" s="13" t="s">
        <v>1244</v>
      </c>
      <c r="C79" s="13" t="s">
        <v>1245</v>
      </c>
      <c r="D79" s="13" t="n">
        <v>2024</v>
      </c>
      <c r="E79" s="52" t="n">
        <f aca="false">IS!E8</f>
        <v>47335772334</v>
      </c>
      <c r="F79" s="52" t="n">
        <f aca="false">IS!E36</f>
        <v>47335772334</v>
      </c>
      <c r="G79" s="102" t="n">
        <f aca="false">IF(COUNT(E79:F79)=2,E79-F79,"")</f>
        <v>0</v>
      </c>
      <c r="H79" s="103" t="n">
        <v>1</v>
      </c>
      <c r="I79" s="4" t="str">
        <f aca="false">IF(COUNT(E79:F79)&lt;2,"N/A",IF(ABS(G79)&lt;=H79,"OK","❌"))</f>
        <v>OK</v>
      </c>
      <c r="J79" s="103" t="s">
        <v>1246</v>
      </c>
      <c r="K79" s="4" t="str">
        <f aca="false">IF(I79=J79,"✔ sesuai","✖ TIDAK sesuai")</f>
        <v>✔ sesuai</v>
      </c>
      <c r="L79" s="104"/>
    </row>
    <row r="80" customFormat="false" ht="15" hidden="false" customHeight="false" outlineLevel="0" collapsed="false">
      <c r="A80" s="13" t="n">
        <v>74</v>
      </c>
      <c r="B80" s="13" t="s">
        <v>1244</v>
      </c>
      <c r="C80" s="13" t="s">
        <v>1247</v>
      </c>
      <c r="D80" s="13" t="n">
        <v>2024</v>
      </c>
      <c r="E80" s="52" t="n">
        <f aca="false">IS!E17</f>
        <v>69501179</v>
      </c>
      <c r="F80" s="52" t="n">
        <f aca="false">IS!E38</f>
        <v>69501179</v>
      </c>
      <c r="G80" s="102" t="n">
        <f aca="false">IF(COUNT(E80:F80)=2,E80-F80,"")</f>
        <v>0</v>
      </c>
      <c r="H80" s="103" t="n">
        <v>1</v>
      </c>
      <c r="I80" s="4" t="str">
        <f aca="false">IF(COUNT(E80:F80)&lt;2,"N/A",IF(ABS(G80)&lt;=H80,"OK","❌"))</f>
        <v>OK</v>
      </c>
      <c r="J80" s="103" t="s">
        <v>1246</v>
      </c>
      <c r="K80" s="4" t="str">
        <f aca="false">IF(I80=J80,"✔ sesuai","✖ TIDAK sesuai")</f>
        <v>✔ sesuai</v>
      </c>
      <c r="L80" s="104"/>
    </row>
    <row r="81" customFormat="false" ht="15" hidden="false" customHeight="false" outlineLevel="0" collapsed="false">
      <c r="A81" s="13" t="n">
        <v>75</v>
      </c>
      <c r="B81" s="13" t="s">
        <v>1244</v>
      </c>
      <c r="C81" s="13" t="s">
        <v>1248</v>
      </c>
      <c r="D81" s="13" t="n">
        <v>2024</v>
      </c>
      <c r="E81" s="52" t="n">
        <f aca="false">IS!E20</f>
        <v>2837363273</v>
      </c>
      <c r="F81" s="52" t="n">
        <f aca="false">IS!E39</f>
        <v>2837363273</v>
      </c>
      <c r="G81" s="102" t="n">
        <f aca="false">IF(COUNT(E81:F81)=2,E81-F81,"")</f>
        <v>0</v>
      </c>
      <c r="H81" s="103" t="n">
        <v>1</v>
      </c>
      <c r="I81" s="4" t="str">
        <f aca="false">IF(COUNT(E81:F81)&lt;2,"N/A",IF(ABS(G81)&lt;=H81,"OK","❌"))</f>
        <v>OK</v>
      </c>
      <c r="J81" s="103" t="s">
        <v>1246</v>
      </c>
      <c r="K81" s="4" t="str">
        <f aca="false">IF(I81=J81,"✔ sesuai","✖ TIDAK sesuai")</f>
        <v>✔ sesuai</v>
      </c>
      <c r="L81" s="104"/>
    </row>
    <row r="82" customFormat="false" ht="15" hidden="false" customHeight="false" outlineLevel="0" collapsed="false">
      <c r="A82" s="13" t="n">
        <v>76</v>
      </c>
      <c r="B82" s="13" t="s">
        <v>1244</v>
      </c>
      <c r="C82" s="13" t="s">
        <v>1249</v>
      </c>
      <c r="D82" s="13" t="n">
        <v>2024</v>
      </c>
      <c r="E82" s="52" t="n">
        <f aca="false">IS!E26</f>
        <v>292515994</v>
      </c>
      <c r="F82" s="52" t="n">
        <f aca="false">IS!E40</f>
        <v>292515994</v>
      </c>
      <c r="G82" s="102" t="n">
        <f aca="false">IF(COUNT(E82:F82)=2,E82-F82,"")</f>
        <v>0</v>
      </c>
      <c r="H82" s="103" t="n">
        <v>1</v>
      </c>
      <c r="I82" s="4" t="str">
        <f aca="false">IF(COUNT(E82:F82)&lt;2,"N/A",IF(ABS(G82)&lt;=H82,"OK","❌"))</f>
        <v>OK</v>
      </c>
      <c r="J82" s="103" t="s">
        <v>1246</v>
      </c>
      <c r="K82" s="4" t="str">
        <f aca="false">IF(I82=J82,"✔ sesuai","✖ TIDAK sesuai")</f>
        <v>✔ sesuai</v>
      </c>
      <c r="L82" s="104"/>
    </row>
    <row r="83" customFormat="false" ht="15" hidden="false" customHeight="false" outlineLevel="0" collapsed="false">
      <c r="A83" s="13" t="n">
        <v>77</v>
      </c>
      <c r="B83" s="13" t="s">
        <v>1244</v>
      </c>
      <c r="C83" s="13" t="s">
        <v>1250</v>
      </c>
      <c r="D83" s="13" t="n">
        <v>2024</v>
      </c>
      <c r="E83" s="52" t="n">
        <f aca="false">IS!E27</f>
        <v>3129879267</v>
      </c>
      <c r="F83" s="52" t="n">
        <f aca="false">IS!E41</f>
        <v>3129879267</v>
      </c>
      <c r="G83" s="102" t="n">
        <f aca="false">IF(COUNT(E83:F83)=2,E83-F83,"")</f>
        <v>0</v>
      </c>
      <c r="H83" s="103" t="n">
        <v>1</v>
      </c>
      <c r="I83" s="4" t="str">
        <f aca="false">IF(COUNT(E83:F83)&lt;2,"N/A",IF(ABS(G83)&lt;=H83,"OK","❌"))</f>
        <v>OK</v>
      </c>
      <c r="J83" s="103" t="s">
        <v>1246</v>
      </c>
      <c r="K83" s="4" t="str">
        <f aca="false">IF(I83=J83,"✔ sesuai","✖ TIDAK sesuai")</f>
        <v>✔ sesuai</v>
      </c>
      <c r="L83" s="104"/>
    </row>
    <row r="84" customFormat="false" ht="15" hidden="false" customHeight="false" outlineLevel="0" collapsed="false">
      <c r="A84" s="13" t="n">
        <v>78</v>
      </c>
      <c r="B84" s="13" t="s">
        <v>1244</v>
      </c>
      <c r="C84" s="13" t="s">
        <v>1251</v>
      </c>
      <c r="D84" s="13" t="n">
        <v>2024</v>
      </c>
      <c r="E84" s="52" t="n">
        <f aca="false">BS!E16</f>
        <v>35092527104</v>
      </c>
      <c r="F84" s="52" t="n">
        <f aca="false">BS!E67</f>
        <v>35092527104</v>
      </c>
      <c r="G84" s="102" t="n">
        <f aca="false">IF(COUNT(E84:F84)=2,E84-F84,"")</f>
        <v>0</v>
      </c>
      <c r="H84" s="103" t="n">
        <v>1</v>
      </c>
      <c r="I84" s="4" t="str">
        <f aca="false">IF(COUNT(E84:F84)&lt;2,"N/A",IF(ABS(G84)&lt;=H84,"OK","❌"))</f>
        <v>OK</v>
      </c>
      <c r="J84" s="103" t="s">
        <v>1246</v>
      </c>
      <c r="K84" s="4" t="str">
        <f aca="false">IF(I84=J84,"✔ sesuai","✖ TIDAK sesuai")</f>
        <v>✔ sesuai</v>
      </c>
      <c r="L84" s="104"/>
    </row>
    <row r="85" customFormat="false" ht="15" hidden="false" customHeight="false" outlineLevel="0" collapsed="false">
      <c r="A85" s="13" t="n">
        <v>79</v>
      </c>
      <c r="B85" s="13" t="s">
        <v>1244</v>
      </c>
      <c r="C85" s="13" t="s">
        <v>1252</v>
      </c>
      <c r="D85" s="13" t="n">
        <v>2024</v>
      </c>
      <c r="E85" s="52" t="n">
        <f aca="false">BS!E26</f>
        <v>233007712808</v>
      </c>
      <c r="F85" s="52" t="n">
        <f aca="false">BS!E68</f>
        <v>233007712808</v>
      </c>
      <c r="G85" s="102" t="n">
        <f aca="false">IF(COUNT(E85:F85)=2,E85-F85,"")</f>
        <v>0</v>
      </c>
      <c r="H85" s="103" t="n">
        <v>1</v>
      </c>
      <c r="I85" s="4" t="str">
        <f aca="false">IF(COUNT(E85:F85)&lt;2,"N/A",IF(ABS(G85)&lt;=H85,"OK","❌"))</f>
        <v>OK</v>
      </c>
      <c r="J85" s="103" t="s">
        <v>1246</v>
      </c>
      <c r="K85" s="4" t="str">
        <f aca="false">IF(I85=J85,"✔ sesuai","✖ TIDAK sesuai")</f>
        <v>✔ sesuai</v>
      </c>
      <c r="L85" s="104"/>
    </row>
    <row r="86" customFormat="false" ht="15" hidden="false" customHeight="false" outlineLevel="0" collapsed="false">
      <c r="A86" s="13" t="n">
        <v>80</v>
      </c>
      <c r="B86" s="13" t="s">
        <v>1244</v>
      </c>
      <c r="C86" s="13" t="s">
        <v>1253</v>
      </c>
      <c r="D86" s="13" t="n">
        <v>2024</v>
      </c>
      <c r="E86" s="52" t="n">
        <f aca="false">BS!E27</f>
        <v>268100239912</v>
      </c>
      <c r="F86" s="52" t="n">
        <f aca="false">BS!E69</f>
        <v>268100239912</v>
      </c>
      <c r="G86" s="102" t="n">
        <f aca="false">IF(COUNT(E86:F86)=2,E86-F86,"")</f>
        <v>0</v>
      </c>
      <c r="H86" s="103" t="n">
        <v>1</v>
      </c>
      <c r="I86" s="4" t="str">
        <f aca="false">IF(COUNT(E86:F86)&lt;2,"N/A",IF(ABS(G86)&lt;=H86,"OK","❌"))</f>
        <v>OK</v>
      </c>
      <c r="J86" s="103" t="s">
        <v>1246</v>
      </c>
      <c r="K86" s="4" t="str">
        <f aca="false">IF(I86=J86,"✔ sesuai","✖ TIDAK sesuai")</f>
        <v>✔ sesuai</v>
      </c>
      <c r="L86" s="104"/>
    </row>
    <row r="87" customFormat="false" ht="15" hidden="false" customHeight="false" outlineLevel="0" collapsed="false">
      <c r="A87" s="13" t="n">
        <v>81</v>
      </c>
      <c r="B87" s="13" t="s">
        <v>1244</v>
      </c>
      <c r="C87" s="13" t="s">
        <v>1254</v>
      </c>
      <c r="D87" s="13" t="n">
        <v>2024</v>
      </c>
      <c r="E87" s="52" t="n">
        <f aca="false">BS!E42</f>
        <v>39650021742</v>
      </c>
      <c r="F87" s="52" t="n">
        <f aca="false">BS!E70</f>
        <v>39650021742</v>
      </c>
      <c r="G87" s="102" t="n">
        <f aca="false">IF(COUNT(E87:F87)=2,E87-F87,"")</f>
        <v>0</v>
      </c>
      <c r="H87" s="103" t="n">
        <v>1</v>
      </c>
      <c r="I87" s="4" t="str">
        <f aca="false">IF(COUNT(E87:F87)&lt;2,"N/A",IF(ABS(G87)&lt;=H87,"OK","❌"))</f>
        <v>OK</v>
      </c>
      <c r="J87" s="103" t="s">
        <v>1246</v>
      </c>
      <c r="K87" s="4" t="str">
        <f aca="false">IF(I87=J87,"✔ sesuai","✖ TIDAK sesuai")</f>
        <v>✔ sesuai</v>
      </c>
      <c r="L87" s="104"/>
    </row>
    <row r="88" customFormat="false" ht="15" hidden="false" customHeight="false" outlineLevel="0" collapsed="false">
      <c r="A88" s="13" t="n">
        <v>82</v>
      </c>
      <c r="B88" s="13" t="s">
        <v>1244</v>
      </c>
      <c r="C88" s="13" t="s">
        <v>1255</v>
      </c>
      <c r="D88" s="13" t="n">
        <v>2024</v>
      </c>
      <c r="E88" s="52" t="n">
        <f aca="false">BS!E51</f>
        <v>98720827700</v>
      </c>
      <c r="F88" s="52" t="n">
        <f aca="false">BS!E71</f>
        <v>98720827700</v>
      </c>
      <c r="G88" s="102" t="n">
        <f aca="false">IF(COUNT(E88:F88)=2,E88-F88,"")</f>
        <v>0</v>
      </c>
      <c r="H88" s="103" t="n">
        <v>1</v>
      </c>
      <c r="I88" s="4" t="str">
        <f aca="false">IF(COUNT(E88:F88)&lt;2,"N/A",IF(ABS(G88)&lt;=H88,"OK","❌"))</f>
        <v>OK</v>
      </c>
      <c r="J88" s="103" t="s">
        <v>1246</v>
      </c>
      <c r="K88" s="4" t="str">
        <f aca="false">IF(I88=J88,"✔ sesuai","✖ TIDAK sesuai")</f>
        <v>✔ sesuai</v>
      </c>
      <c r="L88" s="104"/>
    </row>
    <row r="89" customFormat="false" ht="15" hidden="false" customHeight="false" outlineLevel="0" collapsed="false">
      <c r="A89" s="13" t="n">
        <v>83</v>
      </c>
      <c r="B89" s="13" t="s">
        <v>1244</v>
      </c>
      <c r="C89" s="13" t="s">
        <v>1256</v>
      </c>
      <c r="D89" s="13" t="n">
        <v>2024</v>
      </c>
      <c r="E89" s="52" t="n">
        <f aca="false">BS!E52</f>
        <v>138370849442</v>
      </c>
      <c r="F89" s="52" t="n">
        <f aca="false">BS!E72</f>
        <v>138370849442</v>
      </c>
      <c r="G89" s="102" t="n">
        <f aca="false">IF(COUNT(E89:F89)=2,E89-F89,"")</f>
        <v>0</v>
      </c>
      <c r="H89" s="103" t="n">
        <v>1</v>
      </c>
      <c r="I89" s="4" t="str">
        <f aca="false">IF(COUNT(E89:F89)&lt;2,"N/A",IF(ABS(G89)&lt;=H89,"OK","❌"))</f>
        <v>OK</v>
      </c>
      <c r="J89" s="103" t="s">
        <v>1246</v>
      </c>
      <c r="K89" s="4" t="str">
        <f aca="false">IF(I89=J89,"✔ sesuai","✖ TIDAK sesuai")</f>
        <v>✔ sesuai</v>
      </c>
      <c r="L89" s="104"/>
    </row>
    <row r="90" customFormat="false" ht="15" hidden="false" customHeight="false" outlineLevel="0" collapsed="false">
      <c r="A90" s="13" t="n">
        <v>84</v>
      </c>
      <c r="B90" s="13" t="s">
        <v>1244</v>
      </c>
      <c r="C90" s="13" t="s">
        <v>1257</v>
      </c>
      <c r="D90" s="13" t="n">
        <v>2024</v>
      </c>
      <c r="E90" s="52" t="n">
        <f aca="false">BS!E59</f>
        <v>129725831860</v>
      </c>
      <c r="F90" s="52" t="n">
        <f aca="false">BS!E73</f>
        <v>129725831860</v>
      </c>
      <c r="G90" s="102" t="n">
        <f aca="false">IF(COUNT(E90:F90)=2,E90-F90,"")</f>
        <v>0</v>
      </c>
      <c r="H90" s="103" t="n">
        <v>1</v>
      </c>
      <c r="I90" s="4" t="str">
        <f aca="false">IF(COUNT(E90:F90)&lt;2,"N/A",IF(ABS(G90)&lt;=H90,"OK","❌"))</f>
        <v>OK</v>
      </c>
      <c r="J90" s="103" t="s">
        <v>1246</v>
      </c>
      <c r="K90" s="4" t="str">
        <f aca="false">IF(I90=J90,"✔ sesuai","✖ TIDAK sesuai")</f>
        <v>✔ sesuai</v>
      </c>
      <c r="L90" s="104"/>
    </row>
    <row r="91" customFormat="false" ht="15" hidden="false" customHeight="false" outlineLevel="0" collapsed="false">
      <c r="A91" s="13" t="n">
        <v>85</v>
      </c>
      <c r="B91" s="13" t="s">
        <v>1244</v>
      </c>
      <c r="C91" s="13" t="s">
        <v>1258</v>
      </c>
      <c r="D91" s="13" t="n">
        <v>2024</v>
      </c>
      <c r="E91" s="52" t="n">
        <f aca="false">BS!E61</f>
        <v>129729390470</v>
      </c>
      <c r="F91" s="52" t="n">
        <f aca="false">BS!E74</f>
        <v>129729390470</v>
      </c>
      <c r="G91" s="102" t="n">
        <f aca="false">IF(COUNT(E91:F91)=2,E91-F91,"")</f>
        <v>0</v>
      </c>
      <c r="H91" s="103" t="n">
        <v>1</v>
      </c>
      <c r="I91" s="4" t="str">
        <f aca="false">IF(COUNT(E91:F91)&lt;2,"N/A",IF(ABS(G91)&lt;=H91,"OK","❌"))</f>
        <v>OK</v>
      </c>
      <c r="J91" s="103" t="s">
        <v>1246</v>
      </c>
      <c r="K91" s="4" t="str">
        <f aca="false">IF(I91=J91,"✔ sesuai","✖ TIDAK sesuai")</f>
        <v>✔ sesuai</v>
      </c>
      <c r="L91" s="104"/>
    </row>
    <row r="92" customFormat="false" ht="15" hidden="false" customHeight="false" outlineLevel="0" collapsed="false">
      <c r="A92" s="13" t="n">
        <v>86</v>
      </c>
      <c r="B92" s="13" t="s">
        <v>1244</v>
      </c>
      <c r="C92" s="13" t="s">
        <v>1259</v>
      </c>
      <c r="D92" s="13" t="n">
        <v>2024</v>
      </c>
      <c r="E92" s="52" t="n">
        <f aca="false">BS!E62</f>
        <v>268100239912</v>
      </c>
      <c r="F92" s="52" t="n">
        <f aca="false">BS!E75</f>
        <v>268100239912</v>
      </c>
      <c r="G92" s="102" t="n">
        <f aca="false">IF(COUNT(E92:F92)=2,E92-F92,"")</f>
        <v>0</v>
      </c>
      <c r="H92" s="103" t="n">
        <v>1</v>
      </c>
      <c r="I92" s="4" t="str">
        <f aca="false">IF(COUNT(E92:F92)&lt;2,"N/A",IF(ABS(G92)&lt;=H92,"OK","❌"))</f>
        <v>OK</v>
      </c>
      <c r="J92" s="103" t="s">
        <v>1246</v>
      </c>
      <c r="K92" s="4" t="str">
        <f aca="false">IF(I92=J92,"✔ sesuai","✖ TIDAK sesuai")</f>
        <v>✔ sesuai</v>
      </c>
      <c r="L92" s="104"/>
    </row>
    <row r="93" customFormat="false" ht="15" hidden="false" customHeight="false" outlineLevel="0" collapsed="false">
      <c r="A93" s="13" t="n">
        <v>87</v>
      </c>
      <c r="B93" s="13" t="s">
        <v>1244</v>
      </c>
      <c r="C93" s="13" t="s">
        <v>1260</v>
      </c>
      <c r="D93" s="13" t="n">
        <v>2024</v>
      </c>
      <c r="E93" s="52" t="n">
        <f aca="false">CF!E14</f>
        <v>2997687548</v>
      </c>
      <c r="F93" s="52" t="n">
        <f aca="false">CF!E48</f>
        <v>2997687548</v>
      </c>
      <c r="G93" s="102" t="n">
        <f aca="false">IF(COUNT(E93:F93)=2,E93-F93,"")</f>
        <v>0</v>
      </c>
      <c r="H93" s="103" t="n">
        <v>1</v>
      </c>
      <c r="I93" s="4" t="str">
        <f aca="false">IF(COUNT(E93:F93)&lt;2,"N/A",IF(ABS(G93)&lt;=H93,"OK","❌"))</f>
        <v>OK</v>
      </c>
      <c r="J93" s="103" t="s">
        <v>1246</v>
      </c>
      <c r="K93" s="4" t="str">
        <f aca="false">IF(I93=J93,"✔ sesuai","✖ TIDAK sesuai")</f>
        <v>✔ sesuai</v>
      </c>
      <c r="L93" s="104"/>
    </row>
    <row r="94" customFormat="false" ht="15" hidden="false" customHeight="false" outlineLevel="0" collapsed="false">
      <c r="A94" s="13" t="n">
        <v>88</v>
      </c>
      <c r="B94" s="13" t="s">
        <v>1244</v>
      </c>
      <c r="C94" s="13" t="s">
        <v>1261</v>
      </c>
      <c r="D94" s="13" t="n">
        <v>2024</v>
      </c>
      <c r="E94" s="52" t="n">
        <f aca="false">CF!E24</f>
        <v>-26160414859</v>
      </c>
      <c r="F94" s="52" t="n">
        <f aca="false">CF!E49</f>
        <v>-26160414859</v>
      </c>
      <c r="G94" s="102" t="n">
        <f aca="false">IF(COUNT(E94:F94)=2,E94-F94,"")</f>
        <v>0</v>
      </c>
      <c r="H94" s="103" t="n">
        <v>1</v>
      </c>
      <c r="I94" s="4" t="str">
        <f aca="false">IF(COUNT(E94:F94)&lt;2,"N/A",IF(ABS(G94)&lt;=H94,"OK","❌"))</f>
        <v>OK</v>
      </c>
      <c r="J94" s="103" t="s">
        <v>1246</v>
      </c>
      <c r="K94" s="4" t="str">
        <f aca="false">IF(I94=J94,"✔ sesuai","✖ TIDAK sesuai")</f>
        <v>✔ sesuai</v>
      </c>
      <c r="L94" s="104"/>
    </row>
    <row r="95" customFormat="false" ht="15" hidden="false" customHeight="false" outlineLevel="0" collapsed="false">
      <c r="A95" s="13" t="n">
        <v>89</v>
      </c>
      <c r="B95" s="13" t="s">
        <v>1244</v>
      </c>
      <c r="C95" s="13" t="s">
        <v>1262</v>
      </c>
      <c r="D95" s="13" t="n">
        <v>2024</v>
      </c>
      <c r="E95" s="52" t="n">
        <f aca="false">CF!E43</f>
        <v>23362141885</v>
      </c>
      <c r="F95" s="52" t="n">
        <f aca="false">CF!E50</f>
        <v>23362141885</v>
      </c>
      <c r="G95" s="102" t="n">
        <f aca="false">IF(COUNT(E95:F95)=2,E95-F95,"")</f>
        <v>0</v>
      </c>
      <c r="H95" s="103" t="n">
        <v>1</v>
      </c>
      <c r="I95" s="4" t="str">
        <f aca="false">IF(COUNT(E95:F95)&lt;2,"N/A",IF(ABS(G95)&lt;=H95,"OK","❌"))</f>
        <v>OK</v>
      </c>
      <c r="J95" s="103" t="s">
        <v>1246</v>
      </c>
      <c r="K95" s="4" t="str">
        <f aca="false">IF(I95=J95,"✔ sesuai","✖ TIDAK sesuai")</f>
        <v>✔ sesuai</v>
      </c>
      <c r="L95" s="104"/>
    </row>
    <row r="96" customFormat="false" ht="15" hidden="false" customHeight="false" outlineLevel="0" collapsed="false">
      <c r="A96" s="13" t="n">
        <v>90</v>
      </c>
      <c r="B96" s="13" t="s">
        <v>1244</v>
      </c>
      <c r="C96" s="13" t="s">
        <v>1263</v>
      </c>
      <c r="D96" s="13" t="n">
        <v>2024</v>
      </c>
      <c r="E96" s="52" t="n">
        <f aca="false">CF!E44</f>
        <v>199414574</v>
      </c>
      <c r="F96" s="52" t="n">
        <f aca="false">CF!E51</f>
        <v>199414574</v>
      </c>
      <c r="G96" s="102" t="n">
        <f aca="false">IF(COUNT(E96:F96)=2,E96-F96,"")</f>
        <v>0</v>
      </c>
      <c r="H96" s="103" t="n">
        <v>1</v>
      </c>
      <c r="I96" s="4" t="str">
        <f aca="false">IF(COUNT(E96:F96)&lt;2,"N/A",IF(ABS(G96)&lt;=H96,"OK","❌"))</f>
        <v>OK</v>
      </c>
      <c r="J96" s="103" t="s">
        <v>1246</v>
      </c>
      <c r="K96" s="4" t="str">
        <f aca="false">IF(I96=J96,"✔ sesuai","✖ TIDAK sesuai")</f>
        <v>✔ sesuai</v>
      </c>
      <c r="L96" s="104"/>
    </row>
    <row r="97" customFormat="false" ht="15" hidden="false" customHeight="false" outlineLevel="0" collapsed="false">
      <c r="A97" s="13" t="n">
        <v>91</v>
      </c>
      <c r="B97" s="13" t="s">
        <v>1244</v>
      </c>
      <c r="C97" s="13" t="s">
        <v>1264</v>
      </c>
      <c r="D97" s="13" t="n">
        <v>2024</v>
      </c>
      <c r="E97" s="52" t="n">
        <f aca="false">CF!E46</f>
        <v>2663388349</v>
      </c>
      <c r="F97" s="52" t="n">
        <f aca="false">CF!E52</f>
        <v>2663388349</v>
      </c>
      <c r="G97" s="102" t="n">
        <f aca="false">IF(COUNT(E97:F97)=2,E97-F97,"")</f>
        <v>0</v>
      </c>
      <c r="H97" s="103" t="n">
        <v>1</v>
      </c>
      <c r="I97" s="4" t="str">
        <f aca="false">IF(COUNT(E97:F97)&lt;2,"N/A",IF(ABS(G97)&lt;=H97,"OK","❌"))</f>
        <v>OK</v>
      </c>
      <c r="J97" s="103" t="s">
        <v>1246</v>
      </c>
      <c r="K97" s="4" t="str">
        <f aca="false">IF(I97=J97,"✔ sesuai","✖ TIDAK sesuai")</f>
        <v>✔ sesuai</v>
      </c>
      <c r="L97" s="104"/>
    </row>
    <row r="98" customFormat="false" ht="15" hidden="false" customHeight="false" outlineLevel="0" collapsed="false">
      <c r="A98" s="13" t="n">
        <v>92</v>
      </c>
      <c r="B98" s="13" t="s">
        <v>1265</v>
      </c>
      <c r="C98" s="13" t="s">
        <v>1266</v>
      </c>
      <c r="D98" s="13" t="n">
        <v>2024</v>
      </c>
      <c r="E98" s="52" t="n">
        <f aca="false">BS!E27</f>
        <v>268100239912</v>
      </c>
      <c r="F98" s="52" t="n">
        <f aca="false">BS!E62</f>
        <v>268100239912</v>
      </c>
      <c r="G98" s="102" t="n">
        <f aca="false">IF(COUNT(E98:F98)=2,E98-F98,"")</f>
        <v>0</v>
      </c>
      <c r="H98" s="103" t="n">
        <v>1</v>
      </c>
      <c r="I98" s="4" t="str">
        <f aca="false">IF(COUNT(E98:F98)&lt;2,"N/A",IF(ABS(G98)&lt;=H98,"OK","❌"))</f>
        <v>OK</v>
      </c>
      <c r="J98" s="103" t="s">
        <v>1246</v>
      </c>
      <c r="K98" s="4" t="str">
        <f aca="false">IF(I98=J98,"✔ sesuai","✖ TIDAK sesuai")</f>
        <v>✔ sesuai</v>
      </c>
      <c r="L98" s="104"/>
    </row>
    <row r="99" customFormat="false" ht="15" hidden="false" customHeight="false" outlineLevel="0" collapsed="false">
      <c r="A99" s="13" t="n">
        <v>93</v>
      </c>
      <c r="B99" s="13" t="s">
        <v>1265</v>
      </c>
      <c r="C99" s="13" t="s">
        <v>1267</v>
      </c>
      <c r="D99" s="13" t="n">
        <v>2024</v>
      </c>
      <c r="E99" s="52" t="n">
        <f aca="false">IS!E20</f>
        <v>2837363273</v>
      </c>
      <c r="F99" s="52" t="n">
        <f aca="false">IS!E29+IS!E30</f>
        <v>2837363273</v>
      </c>
      <c r="G99" s="102" t="n">
        <f aca="false">IF(COUNT(E99:F99)=2,E99-F99,"")</f>
        <v>0</v>
      </c>
      <c r="H99" s="103" t="n">
        <v>1</v>
      </c>
      <c r="I99" s="4" t="str">
        <f aca="false">IF(COUNT(E99:F99)&lt;2,"N/A",IF(ABS(G99)&lt;=H99,"OK","❌"))</f>
        <v>OK</v>
      </c>
      <c r="J99" s="103" t="s">
        <v>1246</v>
      </c>
      <c r="K99" s="4" t="str">
        <f aca="false">IF(I99=J99,"✔ sesuai","✖ TIDAK sesuai")</f>
        <v>✔ sesuai</v>
      </c>
      <c r="L99" s="104"/>
    </row>
    <row r="100" customFormat="false" ht="15" hidden="false" customHeight="false" outlineLevel="0" collapsed="false">
      <c r="A100" s="13" t="n">
        <v>94</v>
      </c>
      <c r="B100" s="13" t="s">
        <v>1265</v>
      </c>
      <c r="C100" s="13" t="s">
        <v>1268</v>
      </c>
      <c r="D100" s="13" t="n">
        <v>2024</v>
      </c>
      <c r="E100" s="52" t="n">
        <f aca="false">IS!E27</f>
        <v>3129879267</v>
      </c>
      <c r="F100" s="52" t="n">
        <f aca="false">IS!E31+IS!E32</f>
        <v>3129865099</v>
      </c>
      <c r="G100" s="102" t="n">
        <f aca="false">IF(COUNT(E100:F100)=2,E100-F100,"")</f>
        <v>14168</v>
      </c>
      <c r="H100" s="103" t="n">
        <v>1</v>
      </c>
      <c r="I100" s="4" t="str">
        <f aca="false">IF(COUNT(E100:F100)&lt;2,"N/A",IF(ABS(G100)&lt;=H100,"OK","❌"))</f>
        <v>❌</v>
      </c>
      <c r="J100" s="103" t="s">
        <v>1270</v>
      </c>
      <c r="K100" s="4" t="str">
        <f aca="false">IF(I100=J100,"✔ sesuai","✖ TIDAK sesuai")</f>
        <v>✔ sesuai</v>
      </c>
      <c r="L100" s="104" t="s">
        <v>1294</v>
      </c>
    </row>
    <row r="101" customFormat="false" ht="15" hidden="false" customHeight="false" outlineLevel="0" collapsed="false">
      <c r="A101" s="13" t="n">
        <v>95</v>
      </c>
      <c r="B101" s="13" t="s">
        <v>1265</v>
      </c>
      <c r="C101" s="13" t="s">
        <v>1269</v>
      </c>
      <c r="D101" s="13" t="n">
        <v>2024</v>
      </c>
      <c r="E101" s="52" t="n">
        <f aca="false">CF!E46</f>
        <v>2663388349</v>
      </c>
      <c r="F101" s="52" t="n">
        <f aca="false">BS!E6</f>
        <v>2663388349</v>
      </c>
      <c r="G101" s="102" t="n">
        <f aca="false">IF(COUNT(E101:F101)=2,E101-F101,"")</f>
        <v>0</v>
      </c>
      <c r="H101" s="103" t="n">
        <v>1</v>
      </c>
      <c r="I101" s="4" t="str">
        <f aca="false">IF(COUNT(E101:F101)&lt;2,"N/A",IF(ABS(G101)&lt;=H101,"OK","❌"))</f>
        <v>OK</v>
      </c>
      <c r="J101" s="103" t="s">
        <v>1246</v>
      </c>
      <c r="K101" s="4" t="str">
        <f aca="false">IF(I101=J101,"✔ sesuai","✖ TIDAK sesuai")</f>
        <v>✔ sesuai</v>
      </c>
      <c r="L101" s="104"/>
    </row>
    <row r="102" customFormat="false" ht="15" hidden="false" customHeight="false" outlineLevel="0" collapsed="false">
      <c r="A102" s="13" t="n">
        <v>96</v>
      </c>
      <c r="B102" s="13" t="s">
        <v>1265</v>
      </c>
      <c r="C102" s="13" t="s">
        <v>1272</v>
      </c>
      <c r="D102" s="13" t="n">
        <v>2024</v>
      </c>
      <c r="E102" s="63" t="n">
        <v>0</v>
      </c>
      <c r="F102" s="52" t="n">
        <f aca="false">CF!E41</f>
        <v>0</v>
      </c>
      <c r="G102" s="102" t="n">
        <f aca="false">IF(COUNT(E102:F102)=2,E102-F102,"")</f>
        <v>0</v>
      </c>
      <c r="H102" s="103" t="n">
        <v>1</v>
      </c>
      <c r="I102" s="4" t="str">
        <f aca="false">IF(COUNT(E102:F102)&lt;2,"N/A",IF(ABS(G102)&lt;=H102,"OK","❌"))</f>
        <v>OK</v>
      </c>
      <c r="J102" s="103" t="s">
        <v>1246</v>
      </c>
      <c r="K102" s="4" t="str">
        <f aca="false">IF(I102=J102,"✔ sesuai","✖ TIDAK sesuai")</f>
        <v>✔ sesuai</v>
      </c>
      <c r="L102" s="104" t="s">
        <v>1295</v>
      </c>
    </row>
    <row r="103" customFormat="false" ht="15" hidden="false" customHeight="false" outlineLevel="0" collapsed="false">
      <c r="A103" s="13" t="n">
        <v>97</v>
      </c>
      <c r="B103" s="13" t="s">
        <v>1290</v>
      </c>
      <c r="C103" s="13" t="s">
        <v>1291</v>
      </c>
      <c r="D103" s="13" t="n">
        <v>2024</v>
      </c>
      <c r="E103" s="52" t="n">
        <f aca="false">CF!E45</f>
        <v>2463973775</v>
      </c>
      <c r="F103" s="52" t="n">
        <f aca="false">BS!D6</f>
        <v>2463973775</v>
      </c>
      <c r="G103" s="102" t="n">
        <f aca="false">IF(COUNT(E103:F103)=2,E103-F103,"")</f>
        <v>0</v>
      </c>
      <c r="H103" s="103" t="n">
        <v>1</v>
      </c>
      <c r="I103" s="4" t="str">
        <f aca="false">IF(COUNT(E103:F103)&lt;2,"N/A",IF(ABS(G103)&lt;=H103,"OK","❌"))</f>
        <v>OK</v>
      </c>
      <c r="J103" s="103" t="s">
        <v>1246</v>
      </c>
      <c r="K103" s="4" t="str">
        <f aca="false">IF(I103=J103,"✔ sesuai","✖ TIDAK sesuai")</f>
        <v>✔ sesuai</v>
      </c>
      <c r="L103" s="104"/>
    </row>
    <row r="104" customFormat="false" ht="15" hidden="false" customHeight="false" outlineLevel="0" collapsed="false">
      <c r="A104" s="13" t="n">
        <v>98</v>
      </c>
      <c r="B104" s="13" t="s">
        <v>1290</v>
      </c>
      <c r="C104" s="13" t="s">
        <v>1292</v>
      </c>
      <c r="D104" s="13" t="n">
        <v>2024</v>
      </c>
      <c r="E104" s="52" t="n">
        <f aca="false">BS!D58+2837363273+CF!E41+0</f>
        <v>25918247522</v>
      </c>
      <c r="F104" s="52" t="n">
        <f aca="false">BS!E58</f>
        <v>25918247522</v>
      </c>
      <c r="G104" s="102" t="n">
        <f aca="false">IF(COUNT(E104:F104)=2,E104-F104,"")</f>
        <v>0</v>
      </c>
      <c r="H104" s="103" t="n">
        <v>1</v>
      </c>
      <c r="I104" s="4" t="str">
        <f aca="false">IF(COUNT(E104:F104)&lt;2,"N/A",IF(ABS(G104)&lt;=H104,"OK","❌"))</f>
        <v>OK</v>
      </c>
      <c r="J104" s="103" t="s">
        <v>1246</v>
      </c>
      <c r="K104" s="4" t="str">
        <f aca="false">IF(I104=J104,"✔ sesuai","✖ TIDAK sesuai")</f>
        <v>✔ sesuai</v>
      </c>
      <c r="L104" s="104" t="s">
        <v>1293</v>
      </c>
    </row>
    <row r="105" customFormat="false" ht="15" hidden="false" customHeight="false" outlineLevel="0" collapsed="false">
      <c r="A105" s="13" t="n">
        <v>99</v>
      </c>
      <c r="B105" s="13" t="s">
        <v>1274</v>
      </c>
      <c r="C105" s="13" t="s">
        <v>1275</v>
      </c>
      <c r="D105" s="13" t="n">
        <v>2024</v>
      </c>
      <c r="E105" s="52" t="n">
        <f aca="false">Schedules!E10</f>
        <v>152142248784</v>
      </c>
      <c r="F105" s="52" t="n">
        <f aca="false">IS!E6</f>
        <v>152142248784</v>
      </c>
      <c r="G105" s="102" t="n">
        <f aca="false">IF(COUNT(E105:F105)=2,E105-F105,"")</f>
        <v>0</v>
      </c>
      <c r="H105" s="103" t="n">
        <v>1</v>
      </c>
      <c r="I105" s="4" t="str">
        <f aca="false">IF(COUNT(E105:F105)&lt;2,"N/A",IF(ABS(G105)&lt;=H105,"OK","❌"))</f>
        <v>OK</v>
      </c>
      <c r="J105" s="103" t="s">
        <v>1246</v>
      </c>
      <c r="K105" s="4" t="str">
        <f aca="false">IF(I105=J105,"✔ sesuai","✖ TIDAK sesuai")</f>
        <v>✔ sesuai</v>
      </c>
      <c r="L105" s="104"/>
    </row>
    <row r="106" customFormat="false" ht="15" hidden="false" customHeight="false" outlineLevel="0" collapsed="false">
      <c r="A106" s="13" t="n">
        <v>100</v>
      </c>
      <c r="B106" s="13" t="s">
        <v>1274</v>
      </c>
      <c r="C106" s="13" t="s">
        <v>1276</v>
      </c>
      <c r="D106" s="13" t="n">
        <v>2024</v>
      </c>
      <c r="E106" s="52" t="n">
        <f aca="false">Schedules!E52</f>
        <v>152142248784</v>
      </c>
      <c r="F106" s="52" t="n">
        <f aca="false">IS!E6</f>
        <v>152142248784</v>
      </c>
      <c r="G106" s="102" t="n">
        <f aca="false">IF(COUNT(E106:F106)=2,E106-F106,"")</f>
        <v>0</v>
      </c>
      <c r="H106" s="103" t="n">
        <v>1</v>
      </c>
      <c r="I106" s="4" t="str">
        <f aca="false">IF(COUNT(E106:F106)&lt;2,"N/A",IF(ABS(G106)&lt;=H106,"OK","❌"))</f>
        <v>OK</v>
      </c>
      <c r="J106" s="103" t="s">
        <v>1246</v>
      </c>
      <c r="K106" s="4" t="str">
        <f aca="false">IF(I106=J106,"✔ sesuai","✖ TIDAK sesuai")</f>
        <v>✔ sesuai</v>
      </c>
      <c r="L106" s="104"/>
    </row>
    <row r="107" customFormat="false" ht="15" hidden="false" customHeight="false" outlineLevel="0" collapsed="false">
      <c r="A107" s="13" t="n">
        <v>101</v>
      </c>
      <c r="B107" s="13" t="s">
        <v>1274</v>
      </c>
      <c r="C107" s="13" t="s">
        <v>1277</v>
      </c>
      <c r="D107" s="13" t="n">
        <v>2024</v>
      </c>
      <c r="E107" s="52" t="n">
        <f aca="false">Schedules!E70</f>
        <v>104806476450</v>
      </c>
      <c r="F107" s="52" t="n">
        <f aca="false">-IS!E7</f>
        <v>104806476450</v>
      </c>
      <c r="G107" s="102" t="n">
        <f aca="false">IF(COUNT(E107:F107)=2,E107-F107,"")</f>
        <v>0</v>
      </c>
      <c r="H107" s="103" t="n">
        <v>1</v>
      </c>
      <c r="I107" s="4" t="str">
        <f aca="false">IF(COUNT(E107:F107)&lt;2,"N/A",IF(ABS(G107)&lt;=H107,"OK","❌"))</f>
        <v>OK</v>
      </c>
      <c r="J107" s="103" t="s">
        <v>1246</v>
      </c>
      <c r="K107" s="4" t="str">
        <f aca="false">IF(I107=J107,"✔ sesuai","✖ TIDAK sesuai")</f>
        <v>✔ sesuai</v>
      </c>
      <c r="L107" s="104"/>
    </row>
    <row r="108" customFormat="false" ht="15" hidden="false" customHeight="false" outlineLevel="0" collapsed="false">
      <c r="A108" s="13" t="n">
        <v>102</v>
      </c>
      <c r="B108" s="13" t="s">
        <v>1274</v>
      </c>
      <c r="C108" s="13" t="s">
        <v>1278</v>
      </c>
      <c r="D108" s="13" t="n">
        <v>2024</v>
      </c>
      <c r="E108" s="52" t="n">
        <f aca="false">Schedules!E76</f>
        <v>4061959293</v>
      </c>
      <c r="F108" s="52" t="n">
        <f aca="false">-IS!E9</f>
        <v>4061959293</v>
      </c>
      <c r="G108" s="102" t="n">
        <f aca="false">IF(COUNT(E108:F108)=2,E108-F108,"")</f>
        <v>0</v>
      </c>
      <c r="H108" s="103" t="n">
        <v>1</v>
      </c>
      <c r="I108" s="4" t="str">
        <f aca="false">IF(COUNT(E108:F108)&lt;2,"N/A",IF(ABS(G108)&lt;=H108,"OK","❌"))</f>
        <v>OK</v>
      </c>
      <c r="J108" s="103" t="s">
        <v>1246</v>
      </c>
      <c r="K108" s="4" t="str">
        <f aca="false">IF(I108=J108,"✔ sesuai","✖ TIDAK sesuai")</f>
        <v>✔ sesuai</v>
      </c>
      <c r="L108" s="104"/>
    </row>
    <row r="109" customFormat="false" ht="15" hidden="false" customHeight="false" outlineLevel="0" collapsed="false">
      <c r="A109" s="13" t="n">
        <v>103</v>
      </c>
      <c r="B109" s="13" t="s">
        <v>1274</v>
      </c>
      <c r="C109" s="13" t="s">
        <v>1279</v>
      </c>
      <c r="D109" s="13" t="n">
        <v>2024</v>
      </c>
      <c r="E109" s="52" t="n">
        <f aca="false">Schedules!E82</f>
        <v>31962658076</v>
      </c>
      <c r="F109" s="52" t="n">
        <f aca="false">-IS!E10</f>
        <v>31962658076</v>
      </c>
      <c r="G109" s="102" t="n">
        <f aca="false">IF(COUNT(E109:F109)=2,E109-F109,"")</f>
        <v>0</v>
      </c>
      <c r="H109" s="103" t="n">
        <v>1</v>
      </c>
      <c r="I109" s="4" t="str">
        <f aca="false">IF(COUNT(E109:F109)&lt;2,"N/A",IF(ABS(G109)&lt;=H109,"OK","❌"))</f>
        <v>OK</v>
      </c>
      <c r="J109" s="103" t="s">
        <v>1246</v>
      </c>
      <c r="K109" s="4" t="str">
        <f aca="false">IF(I109=J109,"✔ sesuai","✖ TIDAK sesuai")</f>
        <v>✔ sesuai</v>
      </c>
      <c r="L109" s="104"/>
    </row>
    <row r="110" customFormat="false" ht="15" hidden="false" customHeight="false" outlineLevel="0" collapsed="false">
      <c r="A110" s="13" t="n">
        <v>104</v>
      </c>
      <c r="B110" s="13" t="s">
        <v>1274</v>
      </c>
      <c r="C110" s="13" t="s">
        <v>1296</v>
      </c>
      <c r="D110" s="13" t="n">
        <v>2024</v>
      </c>
      <c r="E110" s="52" t="n">
        <f aca="false">Schedules!E44</f>
        <v>132385666764</v>
      </c>
      <c r="F110" s="52" t="n">
        <f aca="false">BS!E21</f>
        <v>132385666764</v>
      </c>
      <c r="G110" s="102" t="n">
        <f aca="false">IF(COUNT(E110:F110)=2,E110-F110,"")</f>
        <v>0</v>
      </c>
      <c r="H110" s="103" t="n">
        <v>1</v>
      </c>
      <c r="I110" s="4" t="str">
        <f aca="false">IF(COUNT(E110:F110)&lt;2,"N/A",IF(ABS(G110)&lt;=H110,"OK","❌"))</f>
        <v>OK</v>
      </c>
      <c r="J110" s="103" t="s">
        <v>1246</v>
      </c>
      <c r="K110" s="4" t="str">
        <f aca="false">IF(I110=J110,"✔ sesuai","✖ TIDAK sesuai")</f>
        <v>✔ sesuai</v>
      </c>
      <c r="L110" s="104"/>
    </row>
    <row r="111" customFormat="false" ht="15" hidden="false" customHeight="false" outlineLevel="0" collapsed="false">
      <c r="A111" s="13" t="n">
        <v>105</v>
      </c>
      <c r="B111" s="13" t="s">
        <v>1280</v>
      </c>
      <c r="C111" s="13" t="s">
        <v>1281</v>
      </c>
      <c r="D111" s="13" t="n">
        <v>2024</v>
      </c>
      <c r="E111" s="52" t="n">
        <f aca="false">Schedules!E14</f>
        <v>9048734806</v>
      </c>
      <c r="F111" s="52" t="n">
        <f aca="false">Schedules!E15</f>
        <v>9080234808</v>
      </c>
      <c r="G111" s="102" t="n">
        <f aca="false">IF(COUNT(E111:F111)=2,E111-F111,"")</f>
        <v>-31500002</v>
      </c>
      <c r="H111" s="103" t="n">
        <v>1</v>
      </c>
      <c r="I111" s="4" t="str">
        <f aca="false">IF(COUNT(E111:F111)&lt;2,"N/A",IF(ABS(G111)&lt;=H111,"OK","❌"))</f>
        <v>❌</v>
      </c>
      <c r="J111" s="103" t="s">
        <v>1270</v>
      </c>
      <c r="K111" s="4" t="str">
        <f aca="false">IF(I111=J111,"✔ sesuai","✖ TIDAK sesuai")</f>
        <v>✔ sesuai</v>
      </c>
      <c r="L111" s="104" t="s">
        <v>1297</v>
      </c>
    </row>
    <row r="112" customFormat="false" ht="15" hidden="false" customHeight="false" outlineLevel="0" collapsed="false">
      <c r="A112" s="13" t="n">
        <v>106</v>
      </c>
      <c r="B112" s="13" t="s">
        <v>1280</v>
      </c>
      <c r="C112" s="13" t="s">
        <v>1298</v>
      </c>
      <c r="D112" s="13" t="n">
        <v>2024</v>
      </c>
      <c r="E112" s="52" t="n">
        <f aca="false">Schedules!E35</f>
        <v>192052959657</v>
      </c>
      <c r="F112" s="52" t="n">
        <f aca="false">Schedules!E34</f>
        <v>192052959657</v>
      </c>
      <c r="G112" s="102" t="n">
        <f aca="false">IF(COUNT(E112:F112)=2,E112-F112,"")</f>
        <v>0</v>
      </c>
      <c r="H112" s="103" t="n">
        <v>1</v>
      </c>
      <c r="I112" s="4" t="str">
        <f aca="false">IF(COUNT(E112:F112)&lt;2,"N/A",IF(ABS(G112)&lt;=H112,"OK","❌"))</f>
        <v>OK</v>
      </c>
      <c r="J112" s="103" t="s">
        <v>1246</v>
      </c>
      <c r="K112" s="4" t="str">
        <f aca="false">IF(I112=J112,"✔ sesuai","✖ TIDAK sesuai")</f>
        <v>✔ sesuai</v>
      </c>
      <c r="L112" s="104"/>
    </row>
    <row r="113" customFormat="false" ht="15" hidden="false" customHeight="false" outlineLevel="0" collapsed="false">
      <c r="A113" s="13" t="n">
        <v>107</v>
      </c>
      <c r="B113" s="13" t="s">
        <v>1280</v>
      </c>
      <c r="C113" s="13" t="s">
        <v>1299</v>
      </c>
      <c r="D113" s="13" t="n">
        <v>2024</v>
      </c>
      <c r="E113" s="52" t="n">
        <f aca="false">Schedules!E43</f>
        <v>-59667292893</v>
      </c>
      <c r="F113" s="52" t="n">
        <f aca="false">Schedules!E42</f>
        <v>-59667292893</v>
      </c>
      <c r="G113" s="102" t="n">
        <f aca="false">IF(COUNT(E113:F113)=2,E113-F113,"")</f>
        <v>0</v>
      </c>
      <c r="H113" s="103" t="n">
        <v>1</v>
      </c>
      <c r="I113" s="4" t="str">
        <f aca="false">IF(COUNT(E113:F113)&lt;2,"N/A",IF(ABS(G113)&lt;=H113,"OK","❌"))</f>
        <v>OK</v>
      </c>
      <c r="J113" s="103" t="s">
        <v>1246</v>
      </c>
      <c r="K113" s="4" t="str">
        <f aca="false">IF(I113=J113,"✔ sesuai","✖ TIDAK sesuai")</f>
        <v>✔ sesuai</v>
      </c>
      <c r="L113" s="104"/>
    </row>
    <row r="114" customFormat="false" ht="15" hidden="false" customHeight="false" outlineLevel="0" collapsed="false">
      <c r="A114" s="13" t="n">
        <v>108</v>
      </c>
      <c r="B114" s="13" t="s">
        <v>1280</v>
      </c>
      <c r="C114" s="13" t="s">
        <v>1283</v>
      </c>
      <c r="D114" s="13" t="n">
        <v>2024</v>
      </c>
      <c r="E114" s="52" t="n">
        <f aca="false">Schedules!E56</f>
        <v>152142248784</v>
      </c>
      <c r="F114" s="52" t="n">
        <f aca="false">Schedules!E52</f>
        <v>152142248784</v>
      </c>
      <c r="G114" s="102" t="n">
        <f aca="false">IF(COUNT(E114:F114)=2,E114-F114,"")</f>
        <v>0</v>
      </c>
      <c r="H114" s="103" t="n">
        <v>1</v>
      </c>
      <c r="I114" s="4" t="str">
        <f aca="false">IF(COUNT(E114:F114)&lt;2,"N/A",IF(ABS(G114)&lt;=H114,"OK","❌"))</f>
        <v>OK</v>
      </c>
      <c r="J114" s="103" t="s">
        <v>1246</v>
      </c>
      <c r="K114" s="4" t="str">
        <f aca="false">IF(I114=J114,"✔ sesuai","✖ TIDAK sesuai")</f>
        <v>✔ sesuai</v>
      </c>
      <c r="L114" s="104"/>
    </row>
    <row r="115" customFormat="false" ht="15" hidden="false" customHeight="false" outlineLevel="0" collapsed="false">
      <c r="A115" s="13" t="n">
        <v>109</v>
      </c>
      <c r="B115" s="13" t="s">
        <v>1280</v>
      </c>
      <c r="C115" s="13" t="s">
        <v>1284</v>
      </c>
      <c r="D115" s="13" t="n">
        <v>2024</v>
      </c>
      <c r="E115" s="52" t="n">
        <f aca="false">Schedules!E72</f>
        <v>104806476450</v>
      </c>
      <c r="F115" s="52" t="n">
        <f aca="false">Schedules!E70</f>
        <v>104806476450</v>
      </c>
      <c r="G115" s="102" t="n">
        <f aca="false">IF(COUNT(E115:F115)=2,E115-F115,"")</f>
        <v>0</v>
      </c>
      <c r="H115" s="103" t="n">
        <v>1</v>
      </c>
      <c r="I115" s="4" t="str">
        <f aca="false">IF(COUNT(E115:F115)&lt;2,"N/A",IF(ABS(G115)&lt;=H115,"OK","❌"))</f>
        <v>OK</v>
      </c>
      <c r="J115" s="103" t="s">
        <v>1246</v>
      </c>
      <c r="K115" s="4" t="str">
        <f aca="false">IF(I115=J115,"✔ sesuai","✖ TIDAK sesuai")</f>
        <v>✔ sesuai</v>
      </c>
      <c r="L115" s="104"/>
    </row>
    <row r="116" customFormat="false" ht="15" hidden="false" customHeight="false" outlineLevel="0" collapsed="false">
      <c r="A116" s="13" t="n">
        <v>110</v>
      </c>
      <c r="B116" s="13" t="s">
        <v>1280</v>
      </c>
      <c r="C116" s="13" t="s">
        <v>1285</v>
      </c>
      <c r="D116" s="13" t="n">
        <v>2024</v>
      </c>
      <c r="E116" s="52" t="n">
        <f aca="false">Schedules!E77</f>
        <v>4061959293</v>
      </c>
      <c r="F116" s="52" t="n">
        <f aca="false">Schedules!E76</f>
        <v>4061959293</v>
      </c>
      <c r="G116" s="102" t="n">
        <f aca="false">IF(COUNT(E116:F116)=2,E116-F116,"")</f>
        <v>0</v>
      </c>
      <c r="H116" s="103" t="n">
        <v>1</v>
      </c>
      <c r="I116" s="4" t="str">
        <f aca="false">IF(COUNT(E116:F116)&lt;2,"N/A",IF(ABS(G116)&lt;=H116,"OK","❌"))</f>
        <v>OK</v>
      </c>
      <c r="J116" s="103" t="s">
        <v>1246</v>
      </c>
      <c r="K116" s="4" t="str">
        <f aca="false">IF(I116=J116,"✔ sesuai","✖ TIDAK sesuai")</f>
        <v>✔ sesuai</v>
      </c>
      <c r="L116" s="104"/>
    </row>
    <row r="117" customFormat="false" ht="15" hidden="false" customHeight="false" outlineLevel="0" collapsed="false">
      <c r="A117" s="13" t="n">
        <v>111</v>
      </c>
      <c r="B117" s="13" t="s">
        <v>1280</v>
      </c>
      <c r="C117" s="13" t="s">
        <v>1285</v>
      </c>
      <c r="D117" s="13" t="n">
        <v>2024</v>
      </c>
      <c r="E117" s="52" t="n">
        <f aca="false">Schedules!E83</f>
        <v>31962658076</v>
      </c>
      <c r="F117" s="52" t="n">
        <f aca="false">Schedules!E82</f>
        <v>31962658076</v>
      </c>
      <c r="G117" s="102" t="n">
        <f aca="false">IF(COUNT(E117:F117)=2,E117-F117,"")</f>
        <v>0</v>
      </c>
      <c r="H117" s="103" t="n">
        <v>1</v>
      </c>
      <c r="I117" s="4" t="str">
        <f aca="false">IF(COUNT(E117:F117)&lt;2,"N/A",IF(ABS(G117)&lt;=H117,"OK","❌"))</f>
        <v>OK</v>
      </c>
      <c r="J117" s="103" t="s">
        <v>1246</v>
      </c>
      <c r="K117" s="4" t="str">
        <f aca="false">IF(I117=J117,"✔ sesuai","✖ TIDAK sesuai")</f>
        <v>✔ sesuai</v>
      </c>
      <c r="L117" s="104"/>
    </row>
    <row r="118" customFormat="false" ht="15" hidden="false" customHeight="false" outlineLevel="0" collapsed="false">
      <c r="A118" s="13" t="n">
        <v>112</v>
      </c>
      <c r="B118" s="13" t="s">
        <v>1286</v>
      </c>
      <c r="C118" s="13" t="s">
        <v>1287</v>
      </c>
      <c r="D118" s="13" t="n">
        <v>2024</v>
      </c>
      <c r="E118" s="52" t="n">
        <f aca="false">IS!E33</f>
        <v>4</v>
      </c>
      <c r="F118" s="52" t="n">
        <f aca="false">ROUND(IS!E29/Schedules!E22,2)</f>
        <v>3.55</v>
      </c>
      <c r="G118" s="102" t="n">
        <f aca="false">IF(COUNT(E118:F118)=2,E118-F118,"")</f>
        <v>0.45</v>
      </c>
      <c r="H118" s="103" t="n">
        <v>1</v>
      </c>
      <c r="I118" s="4" t="str">
        <f aca="false">IF(COUNT(E118:F118)&lt;2,"N/A",IF(ABS(G118)&lt;=H118,"OK","❌"))</f>
        <v>OK</v>
      </c>
      <c r="J118" s="103" t="s">
        <v>1246</v>
      </c>
      <c r="K118" s="4" t="str">
        <f aca="false">IF(I118=J118,"✔ sesuai","✖ TIDAK sesuai")</f>
        <v>✔ sesuai</v>
      </c>
      <c r="L118" s="104"/>
    </row>
    <row r="119" customFormat="false" ht="15" hidden="false" customHeight="false" outlineLevel="0" collapsed="false">
      <c r="A119" s="13" t="n">
        <v>113</v>
      </c>
      <c r="B119" s="13" t="s">
        <v>1244</v>
      </c>
      <c r="C119" s="13" t="s">
        <v>1245</v>
      </c>
      <c r="D119" s="13" t="n">
        <v>2025</v>
      </c>
      <c r="E119" s="52" t="n">
        <f aca="false">IS!F8</f>
        <v>34140804420</v>
      </c>
      <c r="F119" s="52" t="n">
        <f aca="false">IS!F36</f>
        <v>34140804420</v>
      </c>
      <c r="G119" s="102" t="n">
        <f aca="false">IF(COUNT(E119:F119)=2,E119-F119,"")</f>
        <v>0</v>
      </c>
      <c r="H119" s="103" t="n">
        <v>1</v>
      </c>
      <c r="I119" s="4" t="str">
        <f aca="false">IF(COUNT(E119:F119)&lt;2,"N/A",IF(ABS(G119)&lt;=H119,"OK","❌"))</f>
        <v>OK</v>
      </c>
      <c r="J119" s="103" t="s">
        <v>1246</v>
      </c>
      <c r="K119" s="4" t="str">
        <f aca="false">IF(I119=J119,"✔ sesuai","✖ TIDAK sesuai")</f>
        <v>✔ sesuai</v>
      </c>
      <c r="L119" s="104"/>
    </row>
    <row r="120" customFormat="false" ht="15" hidden="false" customHeight="false" outlineLevel="0" collapsed="false">
      <c r="A120" s="13" t="n">
        <v>114</v>
      </c>
      <c r="B120" s="13" t="s">
        <v>1244</v>
      </c>
      <c r="C120" s="13" t="s">
        <v>1247</v>
      </c>
      <c r="D120" s="13" t="n">
        <v>2025</v>
      </c>
      <c r="E120" s="52" t="n">
        <f aca="false">IS!F17</f>
        <v>5688939656</v>
      </c>
      <c r="F120" s="52" t="n">
        <f aca="false">IS!F38</f>
        <v>5688939656</v>
      </c>
      <c r="G120" s="102" t="n">
        <f aca="false">IF(COUNT(E120:F120)=2,E120-F120,"")</f>
        <v>0</v>
      </c>
      <c r="H120" s="103" t="n">
        <v>1</v>
      </c>
      <c r="I120" s="4" t="str">
        <f aca="false">IF(COUNT(E120:F120)&lt;2,"N/A",IF(ABS(G120)&lt;=H120,"OK","❌"))</f>
        <v>OK</v>
      </c>
      <c r="J120" s="103" t="s">
        <v>1246</v>
      </c>
      <c r="K120" s="4" t="str">
        <f aca="false">IF(I120=J120,"✔ sesuai","✖ TIDAK sesuai")</f>
        <v>✔ sesuai</v>
      </c>
      <c r="L120" s="104"/>
    </row>
    <row r="121" customFormat="false" ht="15" hidden="false" customHeight="false" outlineLevel="0" collapsed="false">
      <c r="A121" s="13" t="n">
        <v>115</v>
      </c>
      <c r="B121" s="13" t="s">
        <v>1244</v>
      </c>
      <c r="C121" s="13" t="s">
        <v>1248</v>
      </c>
      <c r="D121" s="13" t="n">
        <v>2025</v>
      </c>
      <c r="E121" s="52" t="n">
        <f aca="false">IS!F20</f>
        <v>6021897517</v>
      </c>
      <c r="F121" s="52" t="n">
        <f aca="false">IS!F39</f>
        <v>6021897517</v>
      </c>
      <c r="G121" s="102" t="n">
        <f aca="false">IF(COUNT(E121:F121)=2,E121-F121,"")</f>
        <v>0</v>
      </c>
      <c r="H121" s="103" t="n">
        <v>1</v>
      </c>
      <c r="I121" s="4" t="str">
        <f aca="false">IF(COUNT(E121:F121)&lt;2,"N/A",IF(ABS(G121)&lt;=H121,"OK","❌"))</f>
        <v>OK</v>
      </c>
      <c r="J121" s="103" t="s">
        <v>1246</v>
      </c>
      <c r="K121" s="4" t="str">
        <f aca="false">IF(I121=J121,"✔ sesuai","✖ TIDAK sesuai")</f>
        <v>✔ sesuai</v>
      </c>
      <c r="L121" s="104"/>
    </row>
    <row r="122" customFormat="false" ht="15" hidden="false" customHeight="false" outlineLevel="0" collapsed="false">
      <c r="A122" s="13" t="n">
        <v>116</v>
      </c>
      <c r="B122" s="13" t="s">
        <v>1244</v>
      </c>
      <c r="C122" s="13" t="s">
        <v>1249</v>
      </c>
      <c r="D122" s="13" t="n">
        <v>2025</v>
      </c>
      <c r="E122" s="52" t="n">
        <f aca="false">IS!F26</f>
        <v>782467078</v>
      </c>
      <c r="F122" s="52" t="n">
        <f aca="false">IS!F40</f>
        <v>782467078</v>
      </c>
      <c r="G122" s="102" t="n">
        <f aca="false">IF(COUNT(E122:F122)=2,E122-F122,"")</f>
        <v>0</v>
      </c>
      <c r="H122" s="103" t="n">
        <v>1</v>
      </c>
      <c r="I122" s="4" t="str">
        <f aca="false">IF(COUNT(E122:F122)&lt;2,"N/A",IF(ABS(G122)&lt;=H122,"OK","❌"))</f>
        <v>OK</v>
      </c>
      <c r="J122" s="103" t="s">
        <v>1246</v>
      </c>
      <c r="K122" s="4" t="str">
        <f aca="false">IF(I122=J122,"✔ sesuai","✖ TIDAK sesuai")</f>
        <v>✔ sesuai</v>
      </c>
      <c r="L122" s="104"/>
    </row>
    <row r="123" customFormat="false" ht="15" hidden="false" customHeight="false" outlineLevel="0" collapsed="false">
      <c r="A123" s="13" t="n">
        <v>117</v>
      </c>
      <c r="B123" s="13" t="s">
        <v>1244</v>
      </c>
      <c r="C123" s="13" t="s">
        <v>1250</v>
      </c>
      <c r="D123" s="13" t="n">
        <v>2025</v>
      </c>
      <c r="E123" s="52" t="n">
        <f aca="false">IS!F27</f>
        <v>6804364595</v>
      </c>
      <c r="F123" s="52" t="n">
        <f aca="false">IS!F41</f>
        <v>6804364595</v>
      </c>
      <c r="G123" s="102" t="n">
        <f aca="false">IF(COUNT(E123:F123)=2,E123-F123,"")</f>
        <v>0</v>
      </c>
      <c r="H123" s="103" t="n">
        <v>1</v>
      </c>
      <c r="I123" s="4" t="str">
        <f aca="false">IF(COUNT(E123:F123)&lt;2,"N/A",IF(ABS(G123)&lt;=H123,"OK","❌"))</f>
        <v>OK</v>
      </c>
      <c r="J123" s="103" t="s">
        <v>1246</v>
      </c>
      <c r="K123" s="4" t="str">
        <f aca="false">IF(I123=J123,"✔ sesuai","✖ TIDAK sesuai")</f>
        <v>✔ sesuai</v>
      </c>
      <c r="L123" s="104"/>
    </row>
    <row r="124" customFormat="false" ht="15" hidden="false" customHeight="false" outlineLevel="0" collapsed="false">
      <c r="A124" s="13" t="n">
        <v>118</v>
      </c>
      <c r="B124" s="13" t="s">
        <v>1244</v>
      </c>
      <c r="C124" s="13" t="s">
        <v>1251</v>
      </c>
      <c r="D124" s="13" t="n">
        <v>2025</v>
      </c>
      <c r="E124" s="52" t="n">
        <f aca="false">BS!F16</f>
        <v>39344852624</v>
      </c>
      <c r="F124" s="52" t="n">
        <f aca="false">BS!F67</f>
        <v>39344852624</v>
      </c>
      <c r="G124" s="102" t="n">
        <f aca="false">IF(COUNT(E124:F124)=2,E124-F124,"")</f>
        <v>0</v>
      </c>
      <c r="H124" s="103" t="n">
        <v>1</v>
      </c>
      <c r="I124" s="4" t="str">
        <f aca="false">IF(COUNT(E124:F124)&lt;2,"N/A",IF(ABS(G124)&lt;=H124,"OK","❌"))</f>
        <v>OK</v>
      </c>
      <c r="J124" s="103" t="s">
        <v>1246</v>
      </c>
      <c r="K124" s="4" t="str">
        <f aca="false">IF(I124=J124,"✔ sesuai","✖ TIDAK sesuai")</f>
        <v>✔ sesuai</v>
      </c>
      <c r="L124" s="104"/>
    </row>
    <row r="125" customFormat="false" ht="15" hidden="false" customHeight="false" outlineLevel="0" collapsed="false">
      <c r="A125" s="13" t="n">
        <v>119</v>
      </c>
      <c r="B125" s="13" t="s">
        <v>1244</v>
      </c>
      <c r="C125" s="13" t="s">
        <v>1252</v>
      </c>
      <c r="D125" s="13" t="n">
        <v>2025</v>
      </c>
      <c r="E125" s="52" t="n">
        <f aca="false">BS!F26</f>
        <v>290868017871</v>
      </c>
      <c r="F125" s="52" t="n">
        <f aca="false">BS!F68</f>
        <v>290868017871</v>
      </c>
      <c r="G125" s="102" t="n">
        <f aca="false">IF(COUNT(E125:F125)=2,E125-F125,"")</f>
        <v>0</v>
      </c>
      <c r="H125" s="103" t="n">
        <v>1</v>
      </c>
      <c r="I125" s="4" t="str">
        <f aca="false">IF(COUNT(E125:F125)&lt;2,"N/A",IF(ABS(G125)&lt;=H125,"OK","❌"))</f>
        <v>OK</v>
      </c>
      <c r="J125" s="103" t="s">
        <v>1246</v>
      </c>
      <c r="K125" s="4" t="str">
        <f aca="false">IF(I125=J125,"✔ sesuai","✖ TIDAK sesuai")</f>
        <v>✔ sesuai</v>
      </c>
      <c r="L125" s="104"/>
    </row>
    <row r="126" customFormat="false" ht="15" hidden="false" customHeight="false" outlineLevel="0" collapsed="false">
      <c r="A126" s="13" t="n">
        <v>120</v>
      </c>
      <c r="B126" s="13" t="s">
        <v>1244</v>
      </c>
      <c r="C126" s="13" t="s">
        <v>1253</v>
      </c>
      <c r="D126" s="13" t="n">
        <v>2025</v>
      </c>
      <c r="E126" s="52" t="n">
        <f aca="false">BS!F27</f>
        <v>330212870495</v>
      </c>
      <c r="F126" s="52" t="n">
        <f aca="false">BS!F69</f>
        <v>330212870495</v>
      </c>
      <c r="G126" s="102" t="n">
        <f aca="false">IF(COUNT(E126:F126)=2,E126-F126,"")</f>
        <v>0</v>
      </c>
      <c r="H126" s="103" t="n">
        <v>1</v>
      </c>
      <c r="I126" s="4" t="str">
        <f aca="false">IF(COUNT(E126:F126)&lt;2,"N/A",IF(ABS(G126)&lt;=H126,"OK","❌"))</f>
        <v>OK</v>
      </c>
      <c r="J126" s="103" t="s">
        <v>1246</v>
      </c>
      <c r="K126" s="4" t="str">
        <f aca="false">IF(I126=J126,"✔ sesuai","✖ TIDAK sesuai")</f>
        <v>✔ sesuai</v>
      </c>
      <c r="L126" s="104"/>
    </row>
    <row r="127" customFormat="false" ht="15" hidden="false" customHeight="false" outlineLevel="0" collapsed="false">
      <c r="A127" s="13" t="n">
        <v>121</v>
      </c>
      <c r="B127" s="13" t="s">
        <v>1244</v>
      </c>
      <c r="C127" s="13" t="s">
        <v>1254</v>
      </c>
      <c r="D127" s="13" t="n">
        <v>2025</v>
      </c>
      <c r="E127" s="52" t="n">
        <f aca="false">BS!F42</f>
        <v>32911893039</v>
      </c>
      <c r="F127" s="52" t="n">
        <f aca="false">BS!F70</f>
        <v>32911893039</v>
      </c>
      <c r="G127" s="102" t="n">
        <f aca="false">IF(COUNT(E127:F127)=2,E127-F127,"")</f>
        <v>0</v>
      </c>
      <c r="H127" s="103" t="n">
        <v>1</v>
      </c>
      <c r="I127" s="4" t="str">
        <f aca="false">IF(COUNT(E127:F127)&lt;2,"N/A",IF(ABS(G127)&lt;=H127,"OK","❌"))</f>
        <v>OK</v>
      </c>
      <c r="J127" s="103" t="s">
        <v>1246</v>
      </c>
      <c r="K127" s="4" t="str">
        <f aca="false">IF(I127=J127,"✔ sesuai","✖ TIDAK sesuai")</f>
        <v>✔ sesuai</v>
      </c>
      <c r="L127" s="104"/>
    </row>
    <row r="128" customFormat="false" ht="15" hidden="false" customHeight="false" outlineLevel="0" collapsed="false">
      <c r="A128" s="13" t="n">
        <v>122</v>
      </c>
      <c r="B128" s="13" t="s">
        <v>1244</v>
      </c>
      <c r="C128" s="13" t="s">
        <v>1255</v>
      </c>
      <c r="D128" s="13" t="n">
        <v>2025</v>
      </c>
      <c r="E128" s="52" t="n">
        <f aca="false">BS!F51</f>
        <v>90794986536</v>
      </c>
      <c r="F128" s="52" t="n">
        <f aca="false">BS!F71</f>
        <v>90794986536</v>
      </c>
      <c r="G128" s="102" t="n">
        <f aca="false">IF(COUNT(E128:F128)=2,E128-F128,"")</f>
        <v>0</v>
      </c>
      <c r="H128" s="103" t="n">
        <v>1</v>
      </c>
      <c r="I128" s="4" t="str">
        <f aca="false">IF(COUNT(E128:F128)&lt;2,"N/A",IF(ABS(G128)&lt;=H128,"OK","❌"))</f>
        <v>OK</v>
      </c>
      <c r="J128" s="103" t="s">
        <v>1246</v>
      </c>
      <c r="K128" s="4" t="str">
        <f aca="false">IF(I128=J128,"✔ sesuai","✖ TIDAK sesuai")</f>
        <v>✔ sesuai</v>
      </c>
      <c r="L128" s="104"/>
    </row>
    <row r="129" customFormat="false" ht="15" hidden="false" customHeight="false" outlineLevel="0" collapsed="false">
      <c r="A129" s="13" t="n">
        <v>123</v>
      </c>
      <c r="B129" s="13" t="s">
        <v>1244</v>
      </c>
      <c r="C129" s="13" t="s">
        <v>1256</v>
      </c>
      <c r="D129" s="13" t="n">
        <v>2025</v>
      </c>
      <c r="E129" s="52" t="n">
        <f aca="false">BS!F52</f>
        <v>123706879575</v>
      </c>
      <c r="F129" s="52" t="n">
        <f aca="false">BS!F72</f>
        <v>123706879575</v>
      </c>
      <c r="G129" s="102" t="n">
        <f aca="false">IF(COUNT(E129:F129)=2,E129-F129,"")</f>
        <v>0</v>
      </c>
      <c r="H129" s="103" t="n">
        <v>1</v>
      </c>
      <c r="I129" s="4" t="str">
        <f aca="false">IF(COUNT(E129:F129)&lt;2,"N/A",IF(ABS(G129)&lt;=H129,"OK","❌"))</f>
        <v>OK</v>
      </c>
      <c r="J129" s="103" t="s">
        <v>1246</v>
      </c>
      <c r="K129" s="4" t="str">
        <f aca="false">IF(I129=J129,"✔ sesuai","✖ TIDAK sesuai")</f>
        <v>✔ sesuai</v>
      </c>
      <c r="L129" s="104"/>
    </row>
    <row r="130" customFormat="false" ht="15" hidden="false" customHeight="false" outlineLevel="0" collapsed="false">
      <c r="A130" s="13" t="n">
        <v>124</v>
      </c>
      <c r="B130" s="13" t="s">
        <v>1244</v>
      </c>
      <c r="C130" s="13" t="s">
        <v>1257</v>
      </c>
      <c r="D130" s="13" t="n">
        <v>2025</v>
      </c>
      <c r="E130" s="52" t="n">
        <f aca="false">BS!F59</f>
        <v>206502140128</v>
      </c>
      <c r="F130" s="52" t="n">
        <f aca="false">BS!F73</f>
        <v>206502140128</v>
      </c>
      <c r="G130" s="102" t="n">
        <f aca="false">IF(COUNT(E130:F130)=2,E130-F130,"")</f>
        <v>0</v>
      </c>
      <c r="H130" s="103" t="n">
        <v>1</v>
      </c>
      <c r="I130" s="4" t="str">
        <f aca="false">IF(COUNT(E130:F130)&lt;2,"N/A",IF(ABS(G130)&lt;=H130,"OK","❌"))</f>
        <v>OK</v>
      </c>
      <c r="J130" s="103" t="s">
        <v>1246</v>
      </c>
      <c r="K130" s="4" t="str">
        <f aca="false">IF(I130=J130,"✔ sesuai","✖ TIDAK sesuai")</f>
        <v>✔ sesuai</v>
      </c>
      <c r="L130" s="104"/>
    </row>
    <row r="131" customFormat="false" ht="15" hidden="false" customHeight="false" outlineLevel="0" collapsed="false">
      <c r="A131" s="13" t="n">
        <v>125</v>
      </c>
      <c r="B131" s="13" t="s">
        <v>1244</v>
      </c>
      <c r="C131" s="13" t="s">
        <v>1258</v>
      </c>
      <c r="D131" s="13" t="n">
        <v>2025</v>
      </c>
      <c r="E131" s="52" t="n">
        <f aca="false">BS!F61</f>
        <v>206505990920</v>
      </c>
      <c r="F131" s="52" t="n">
        <f aca="false">BS!F74</f>
        <v>206505990920</v>
      </c>
      <c r="G131" s="102" t="n">
        <f aca="false">IF(COUNT(E131:F131)=2,E131-F131,"")</f>
        <v>0</v>
      </c>
      <c r="H131" s="103" t="n">
        <v>1</v>
      </c>
      <c r="I131" s="4" t="str">
        <f aca="false">IF(COUNT(E131:F131)&lt;2,"N/A",IF(ABS(G131)&lt;=H131,"OK","❌"))</f>
        <v>OK</v>
      </c>
      <c r="J131" s="103" t="s">
        <v>1246</v>
      </c>
      <c r="K131" s="4" t="str">
        <f aca="false">IF(I131=J131,"✔ sesuai","✖ TIDAK sesuai")</f>
        <v>✔ sesuai</v>
      </c>
      <c r="L131" s="104"/>
    </row>
    <row r="132" customFormat="false" ht="15" hidden="false" customHeight="false" outlineLevel="0" collapsed="false">
      <c r="A132" s="13" t="n">
        <v>126</v>
      </c>
      <c r="B132" s="13" t="s">
        <v>1244</v>
      </c>
      <c r="C132" s="13" t="s">
        <v>1259</v>
      </c>
      <c r="D132" s="13" t="n">
        <v>2025</v>
      </c>
      <c r="E132" s="52" t="n">
        <f aca="false">BS!F62</f>
        <v>330212870495</v>
      </c>
      <c r="F132" s="52" t="n">
        <f aca="false">BS!F75</f>
        <v>330212870495</v>
      </c>
      <c r="G132" s="102" t="n">
        <f aca="false">IF(COUNT(E132:F132)=2,E132-F132,"")</f>
        <v>0</v>
      </c>
      <c r="H132" s="103" t="n">
        <v>1</v>
      </c>
      <c r="I132" s="4" t="str">
        <f aca="false">IF(COUNT(E132:F132)&lt;2,"N/A",IF(ABS(G132)&lt;=H132,"OK","❌"))</f>
        <v>OK</v>
      </c>
      <c r="J132" s="103" t="s">
        <v>1246</v>
      </c>
      <c r="K132" s="4" t="str">
        <f aca="false">IF(I132=J132,"✔ sesuai","✖ TIDAK sesuai")</f>
        <v>✔ sesuai</v>
      </c>
      <c r="L132" s="104"/>
    </row>
    <row r="133" customFormat="false" ht="15" hidden="false" customHeight="false" outlineLevel="0" collapsed="false">
      <c r="A133" s="13" t="n">
        <v>127</v>
      </c>
      <c r="B133" s="13" t="s">
        <v>1244</v>
      </c>
      <c r="C133" s="13" t="s">
        <v>1260</v>
      </c>
      <c r="D133" s="13" t="n">
        <v>2025</v>
      </c>
      <c r="E133" s="52" t="n">
        <f aca="false">CF!F14</f>
        <v>5567951370</v>
      </c>
      <c r="F133" s="52" t="n">
        <f aca="false">CF!F48</f>
        <v>5567951370</v>
      </c>
      <c r="G133" s="102" t="n">
        <f aca="false">IF(COUNT(E133:F133)=2,E133-F133,"")</f>
        <v>0</v>
      </c>
      <c r="H133" s="103" t="n">
        <v>1</v>
      </c>
      <c r="I133" s="4" t="str">
        <f aca="false">IF(COUNT(E133:F133)&lt;2,"N/A",IF(ABS(G133)&lt;=H133,"OK","❌"))</f>
        <v>OK</v>
      </c>
      <c r="J133" s="103" t="s">
        <v>1246</v>
      </c>
      <c r="K133" s="4" t="str">
        <f aca="false">IF(I133=J133,"✔ sesuai","✖ TIDAK sesuai")</f>
        <v>✔ sesuai</v>
      </c>
      <c r="L133" s="104"/>
    </row>
    <row r="134" customFormat="false" ht="15" hidden="false" customHeight="false" outlineLevel="0" collapsed="false">
      <c r="A134" s="13" t="n">
        <v>128</v>
      </c>
      <c r="B134" s="13" t="s">
        <v>1244</v>
      </c>
      <c r="C134" s="13" t="s">
        <v>1261</v>
      </c>
      <c r="D134" s="13" t="n">
        <v>2025</v>
      </c>
      <c r="E134" s="52" t="n">
        <f aca="false">CF!F24</f>
        <v>-27390827865</v>
      </c>
      <c r="F134" s="52" t="n">
        <f aca="false">CF!F49</f>
        <v>-27390827865</v>
      </c>
      <c r="G134" s="102" t="n">
        <f aca="false">IF(COUNT(E134:F134)=2,E134-F134,"")</f>
        <v>0</v>
      </c>
      <c r="H134" s="103" t="n">
        <v>1</v>
      </c>
      <c r="I134" s="4" t="str">
        <f aca="false">IF(COUNT(E134:F134)&lt;2,"N/A",IF(ABS(G134)&lt;=H134,"OK","❌"))</f>
        <v>OK</v>
      </c>
      <c r="J134" s="103" t="s">
        <v>1246</v>
      </c>
      <c r="K134" s="4" t="str">
        <f aca="false">IF(I134=J134,"✔ sesuai","✖ TIDAK sesuai")</f>
        <v>✔ sesuai</v>
      </c>
      <c r="L134" s="104"/>
    </row>
    <row r="135" customFormat="false" ht="15" hidden="false" customHeight="false" outlineLevel="0" collapsed="false">
      <c r="A135" s="13" t="n">
        <v>129</v>
      </c>
      <c r="B135" s="13" t="s">
        <v>1244</v>
      </c>
      <c r="C135" s="13" t="s">
        <v>1262</v>
      </c>
      <c r="D135" s="13" t="n">
        <v>2025</v>
      </c>
      <c r="E135" s="52" t="n">
        <f aca="false">CF!F43</f>
        <v>23195995107</v>
      </c>
      <c r="F135" s="52" t="n">
        <f aca="false">CF!F50</f>
        <v>23195995107</v>
      </c>
      <c r="G135" s="102" t="n">
        <f aca="false">IF(COUNT(E135:F135)=2,E135-F135,"")</f>
        <v>0</v>
      </c>
      <c r="H135" s="103" t="n">
        <v>1</v>
      </c>
      <c r="I135" s="4" t="str">
        <f aca="false">IF(COUNT(E135:F135)&lt;2,"N/A",IF(ABS(G135)&lt;=H135,"OK","❌"))</f>
        <v>OK</v>
      </c>
      <c r="J135" s="103" t="s">
        <v>1246</v>
      </c>
      <c r="K135" s="4" t="str">
        <f aca="false">IF(I135=J135,"✔ sesuai","✖ TIDAK sesuai")</f>
        <v>✔ sesuai</v>
      </c>
      <c r="L135" s="104"/>
    </row>
    <row r="136" customFormat="false" ht="15" hidden="false" customHeight="false" outlineLevel="0" collapsed="false">
      <c r="A136" s="13" t="n">
        <v>130</v>
      </c>
      <c r="B136" s="13" t="s">
        <v>1244</v>
      </c>
      <c r="C136" s="13" t="s">
        <v>1263</v>
      </c>
      <c r="D136" s="13" t="n">
        <v>2025</v>
      </c>
      <c r="E136" s="52" t="n">
        <f aca="false">CF!F44</f>
        <v>1373118612</v>
      </c>
      <c r="F136" s="52" t="n">
        <f aca="false">CF!F51</f>
        <v>1373118612</v>
      </c>
      <c r="G136" s="102" t="n">
        <f aca="false">IF(COUNT(E136:F136)=2,E136-F136,"")</f>
        <v>0</v>
      </c>
      <c r="H136" s="103" t="n">
        <v>1</v>
      </c>
      <c r="I136" s="4" t="str">
        <f aca="false">IF(COUNT(E136:F136)&lt;2,"N/A",IF(ABS(G136)&lt;=H136,"OK","❌"))</f>
        <v>OK</v>
      </c>
      <c r="J136" s="103" t="s">
        <v>1246</v>
      </c>
      <c r="K136" s="4" t="str">
        <f aca="false">IF(I136=J136,"✔ sesuai","✖ TIDAK sesuai")</f>
        <v>✔ sesuai</v>
      </c>
      <c r="L136" s="104"/>
    </row>
    <row r="137" customFormat="false" ht="15" hidden="false" customHeight="false" outlineLevel="0" collapsed="false">
      <c r="A137" s="13" t="n">
        <v>131</v>
      </c>
      <c r="B137" s="13" t="s">
        <v>1244</v>
      </c>
      <c r="C137" s="13" t="s">
        <v>1264</v>
      </c>
      <c r="D137" s="13" t="n">
        <v>2025</v>
      </c>
      <c r="E137" s="52" t="n">
        <f aca="false">CF!F46</f>
        <v>4036506961</v>
      </c>
      <c r="F137" s="52" t="n">
        <f aca="false">CF!F52</f>
        <v>4036506961</v>
      </c>
      <c r="G137" s="102" t="n">
        <f aca="false">IF(COUNT(E137:F137)=2,E137-F137,"")</f>
        <v>0</v>
      </c>
      <c r="H137" s="103" t="n">
        <v>1</v>
      </c>
      <c r="I137" s="4" t="str">
        <f aca="false">IF(COUNT(E137:F137)&lt;2,"N/A",IF(ABS(G137)&lt;=H137,"OK","❌"))</f>
        <v>OK</v>
      </c>
      <c r="J137" s="103" t="s">
        <v>1246</v>
      </c>
      <c r="K137" s="4" t="str">
        <f aca="false">IF(I137=J137,"✔ sesuai","✖ TIDAK sesuai")</f>
        <v>✔ sesuai</v>
      </c>
      <c r="L137" s="104"/>
    </row>
    <row r="138" customFormat="false" ht="15" hidden="false" customHeight="false" outlineLevel="0" collapsed="false">
      <c r="A138" s="13" t="n">
        <v>132</v>
      </c>
      <c r="B138" s="13" t="s">
        <v>1265</v>
      </c>
      <c r="C138" s="13" t="s">
        <v>1266</v>
      </c>
      <c r="D138" s="13" t="n">
        <v>2025</v>
      </c>
      <c r="E138" s="52" t="n">
        <f aca="false">BS!F27</f>
        <v>330212870495</v>
      </c>
      <c r="F138" s="52" t="n">
        <f aca="false">BS!F62</f>
        <v>330212870495</v>
      </c>
      <c r="G138" s="102" t="n">
        <f aca="false">IF(COUNT(E138:F138)=2,E138-F138,"")</f>
        <v>0</v>
      </c>
      <c r="H138" s="103" t="n">
        <v>1</v>
      </c>
      <c r="I138" s="4" t="str">
        <f aca="false">IF(COUNT(E138:F138)&lt;2,"N/A",IF(ABS(G138)&lt;=H138,"OK","❌"))</f>
        <v>OK</v>
      </c>
      <c r="J138" s="103" t="s">
        <v>1246</v>
      </c>
      <c r="K138" s="4" t="str">
        <f aca="false">IF(I138=J138,"✔ sesuai","✖ TIDAK sesuai")</f>
        <v>✔ sesuai</v>
      </c>
      <c r="L138" s="104"/>
    </row>
    <row r="139" customFormat="false" ht="15" hidden="false" customHeight="false" outlineLevel="0" collapsed="false">
      <c r="A139" s="13" t="n">
        <v>133</v>
      </c>
      <c r="B139" s="13" t="s">
        <v>1265</v>
      </c>
      <c r="C139" s="13" t="s">
        <v>1267</v>
      </c>
      <c r="D139" s="13" t="n">
        <v>2025</v>
      </c>
      <c r="E139" s="52" t="n">
        <f aca="false">IS!F20</f>
        <v>6021897517</v>
      </c>
      <c r="F139" s="52" t="n">
        <f aca="false">IS!F29+IS!F30</f>
        <v>6021897517</v>
      </c>
      <c r="G139" s="102" t="n">
        <f aca="false">IF(COUNT(E139:F139)=2,E139-F139,"")</f>
        <v>0</v>
      </c>
      <c r="H139" s="103" t="n">
        <v>1</v>
      </c>
      <c r="I139" s="4" t="str">
        <f aca="false">IF(COUNT(E139:F139)&lt;2,"N/A",IF(ABS(G139)&lt;=H139,"OK","❌"))</f>
        <v>OK</v>
      </c>
      <c r="J139" s="103" t="s">
        <v>1246</v>
      </c>
      <c r="K139" s="4" t="str">
        <f aca="false">IF(I139=J139,"✔ sesuai","✖ TIDAK sesuai")</f>
        <v>✔ sesuai</v>
      </c>
      <c r="L139" s="104"/>
    </row>
    <row r="140" customFormat="false" ht="15" hidden="false" customHeight="false" outlineLevel="0" collapsed="false">
      <c r="A140" s="13" t="n">
        <v>134</v>
      </c>
      <c r="B140" s="13" t="s">
        <v>1265</v>
      </c>
      <c r="C140" s="13" t="s">
        <v>1268</v>
      </c>
      <c r="D140" s="13" t="n">
        <v>2025</v>
      </c>
      <c r="E140" s="52" t="n">
        <f aca="false">IS!F27</f>
        <v>6804364595</v>
      </c>
      <c r="F140" s="52" t="n">
        <f aca="false">IS!F31+IS!F32</f>
        <v>6804450151</v>
      </c>
      <c r="G140" s="102" t="n">
        <f aca="false">IF(COUNT(E140:F140)=2,E140-F140,"")</f>
        <v>-85556</v>
      </c>
      <c r="H140" s="103" t="n">
        <v>1</v>
      </c>
      <c r="I140" s="4" t="str">
        <f aca="false">IF(COUNT(E140:F140)&lt;2,"N/A",IF(ABS(G140)&lt;=H140,"OK","❌"))</f>
        <v>❌</v>
      </c>
      <c r="J140" s="103" t="s">
        <v>1270</v>
      </c>
      <c r="K140" s="4" t="str">
        <f aca="false">IF(I140=J140,"✔ sesuai","✖ TIDAK sesuai")</f>
        <v>✔ sesuai</v>
      </c>
      <c r="L140" s="104" t="s">
        <v>1294</v>
      </c>
    </row>
    <row r="141" customFormat="false" ht="15" hidden="false" customHeight="false" outlineLevel="0" collapsed="false">
      <c r="A141" s="13" t="n">
        <v>135</v>
      </c>
      <c r="B141" s="13" t="s">
        <v>1265</v>
      </c>
      <c r="C141" s="13" t="s">
        <v>1269</v>
      </c>
      <c r="D141" s="13" t="n">
        <v>2025</v>
      </c>
      <c r="E141" s="52" t="n">
        <f aca="false">CF!F46</f>
        <v>4036506961</v>
      </c>
      <c r="F141" s="52" t="n">
        <f aca="false">BS!F6</f>
        <v>4036506961</v>
      </c>
      <c r="G141" s="102" t="n">
        <f aca="false">IF(COUNT(E141:F141)=2,E141-F141,"")</f>
        <v>0</v>
      </c>
      <c r="H141" s="103" t="n">
        <v>1</v>
      </c>
      <c r="I141" s="4" t="str">
        <f aca="false">IF(COUNT(E141:F141)&lt;2,"N/A",IF(ABS(G141)&lt;=H141,"OK","❌"))</f>
        <v>OK</v>
      </c>
      <c r="J141" s="103" t="s">
        <v>1246</v>
      </c>
      <c r="K141" s="4" t="str">
        <f aca="false">IF(I141=J141,"✔ sesuai","✖ TIDAK sesuai")</f>
        <v>✔ sesuai</v>
      </c>
      <c r="L141" s="104"/>
    </row>
    <row r="142" customFormat="false" ht="15" hidden="false" customHeight="false" outlineLevel="0" collapsed="false">
      <c r="A142" s="13" t="n">
        <v>136</v>
      </c>
      <c r="B142" s="13" t="s">
        <v>1265</v>
      </c>
      <c r="C142" s="13" t="s">
        <v>1272</v>
      </c>
      <c r="D142" s="13" t="n">
        <v>2025</v>
      </c>
      <c r="E142" s="63" t="n">
        <v>0</v>
      </c>
      <c r="F142" s="52" t="n">
        <f aca="false">CF!F41</f>
        <v>0</v>
      </c>
      <c r="G142" s="102" t="n">
        <f aca="false">IF(COUNT(E142:F142)=2,E142-F142,"")</f>
        <v>0</v>
      </c>
      <c r="H142" s="103" t="n">
        <v>1</v>
      </c>
      <c r="I142" s="4" t="str">
        <f aca="false">IF(COUNT(E142:F142)&lt;2,"N/A",IF(ABS(G142)&lt;=H142,"OK","❌"))</f>
        <v>OK</v>
      </c>
      <c r="J142" s="103" t="s">
        <v>1246</v>
      </c>
      <c r="K142" s="4" t="str">
        <f aca="false">IF(I142=J142,"✔ sesuai","✖ TIDAK sesuai")</f>
        <v>✔ sesuai</v>
      </c>
      <c r="L142" s="104" t="s">
        <v>1300</v>
      </c>
    </row>
    <row r="143" customFormat="false" ht="15" hidden="false" customHeight="false" outlineLevel="0" collapsed="false">
      <c r="A143" s="13" t="n">
        <v>137</v>
      </c>
      <c r="B143" s="13" t="s">
        <v>1290</v>
      </c>
      <c r="C143" s="13" t="s">
        <v>1291</v>
      </c>
      <c r="D143" s="13" t="n">
        <v>2025</v>
      </c>
      <c r="E143" s="52" t="n">
        <f aca="false">CF!F45</f>
        <v>2663388349</v>
      </c>
      <c r="F143" s="52" t="n">
        <f aca="false">BS!E6</f>
        <v>2663388349</v>
      </c>
      <c r="G143" s="102" t="n">
        <f aca="false">IF(COUNT(E143:F143)=2,E143-F143,"")</f>
        <v>0</v>
      </c>
      <c r="H143" s="103" t="n">
        <v>1</v>
      </c>
      <c r="I143" s="4" t="str">
        <f aca="false">IF(COUNT(E143:F143)&lt;2,"N/A",IF(ABS(G143)&lt;=H143,"OK","❌"))</f>
        <v>OK</v>
      </c>
      <c r="J143" s="103" t="s">
        <v>1246</v>
      </c>
      <c r="K143" s="4" t="str">
        <f aca="false">IF(I143=J143,"✔ sesuai","✖ TIDAK sesuai")</f>
        <v>✔ sesuai</v>
      </c>
      <c r="L143" s="104"/>
    </row>
    <row r="144" customFormat="false" ht="15" hidden="false" customHeight="false" outlineLevel="0" collapsed="false">
      <c r="A144" s="13" t="n">
        <v>138</v>
      </c>
      <c r="B144" s="13" t="s">
        <v>1290</v>
      </c>
      <c r="C144" s="13" t="s">
        <v>1292</v>
      </c>
      <c r="D144" s="13" t="n">
        <v>2025</v>
      </c>
      <c r="E144" s="52" t="n">
        <f aca="false">BS!E58+6021648113+CF!F41+0</f>
        <v>31939895635</v>
      </c>
      <c r="F144" s="52" t="n">
        <f aca="false">BS!F58</f>
        <v>31939895635</v>
      </c>
      <c r="G144" s="102" t="n">
        <f aca="false">IF(COUNT(E144:F144)=2,E144-F144,"")</f>
        <v>0</v>
      </c>
      <c r="H144" s="103" t="n">
        <v>1</v>
      </c>
      <c r="I144" s="4" t="str">
        <f aca="false">IF(COUNT(E144:F144)&lt;2,"N/A",IF(ABS(G144)&lt;=H144,"OK","❌"))</f>
        <v>OK</v>
      </c>
      <c r="J144" s="103" t="s">
        <v>1246</v>
      </c>
      <c r="K144" s="4" t="str">
        <f aca="false">IF(I144=J144,"✔ sesuai","✖ TIDAK sesuai")</f>
        <v>✔ sesuai</v>
      </c>
      <c r="L144" s="104" t="s">
        <v>1293</v>
      </c>
    </row>
    <row r="145" customFormat="false" ht="15" hidden="false" customHeight="false" outlineLevel="0" collapsed="false">
      <c r="A145" s="13" t="n">
        <v>139</v>
      </c>
      <c r="B145" s="13" t="s">
        <v>1290</v>
      </c>
      <c r="C145" s="13" t="s">
        <v>1301</v>
      </c>
      <c r="D145" s="13" t="n">
        <v>2025</v>
      </c>
      <c r="E145" s="52" t="n">
        <f aca="false">Schedules!F29</f>
        <v>192052959656</v>
      </c>
      <c r="F145" s="52" t="n">
        <f aca="false">Schedules!E34</f>
        <v>192052959657</v>
      </c>
      <c r="G145" s="102" t="n">
        <f aca="false">IF(COUNT(E145:F145)=2,E145-F145,"")</f>
        <v>-1</v>
      </c>
      <c r="H145" s="103" t="n">
        <v>1</v>
      </c>
      <c r="I145" s="4" t="str">
        <f aca="false">IF(COUNT(E145:F145)&lt;2,"N/A",IF(ABS(G145)&lt;=H145,"OK","❌"))</f>
        <v>OK</v>
      </c>
      <c r="J145" s="103" t="s">
        <v>1246</v>
      </c>
      <c r="K145" s="4" t="str">
        <f aca="false">IF(I145=J145,"✔ sesuai","✖ TIDAK sesuai")</f>
        <v>✔ sesuai</v>
      </c>
      <c r="L145" s="104"/>
    </row>
    <row r="146" customFormat="false" ht="15" hidden="false" customHeight="false" outlineLevel="0" collapsed="false">
      <c r="A146" s="13" t="n">
        <v>140</v>
      </c>
      <c r="B146" s="13" t="s">
        <v>1290</v>
      </c>
      <c r="C146" s="13" t="s">
        <v>1302</v>
      </c>
      <c r="D146" s="13" t="n">
        <v>2025</v>
      </c>
      <c r="E146" s="52" t="n">
        <f aca="false">Schedules!F37</f>
        <v>-59667292892</v>
      </c>
      <c r="F146" s="52" t="n">
        <f aca="false">Schedules!E42</f>
        <v>-59667292893</v>
      </c>
      <c r="G146" s="102" t="n">
        <f aca="false">IF(COUNT(E146:F146)=2,E146-F146,"")</f>
        <v>1</v>
      </c>
      <c r="H146" s="103" t="n">
        <v>1</v>
      </c>
      <c r="I146" s="4" t="str">
        <f aca="false">IF(COUNT(E146:F146)&lt;2,"N/A",IF(ABS(G146)&lt;=H146,"OK","❌"))</f>
        <v>OK</v>
      </c>
      <c r="J146" s="103" t="s">
        <v>1246</v>
      </c>
      <c r="K146" s="4" t="str">
        <f aca="false">IF(I146=J146,"✔ sesuai","✖ TIDAK sesuai")</f>
        <v>✔ sesuai</v>
      </c>
      <c r="L146" s="104"/>
    </row>
    <row r="147" customFormat="false" ht="15" hidden="false" customHeight="false" outlineLevel="0" collapsed="false">
      <c r="A147" s="13" t="n">
        <v>141</v>
      </c>
      <c r="B147" s="13" t="s">
        <v>1274</v>
      </c>
      <c r="C147" s="13" t="s">
        <v>1275</v>
      </c>
      <c r="D147" s="13" t="n">
        <v>2025</v>
      </c>
      <c r="E147" s="52" t="n">
        <f aca="false">Schedules!F10</f>
        <v>144873268389</v>
      </c>
      <c r="F147" s="52" t="n">
        <f aca="false">IS!F6</f>
        <v>144873268389</v>
      </c>
      <c r="G147" s="102" t="n">
        <f aca="false">IF(COUNT(E147:F147)=2,E147-F147,"")</f>
        <v>0</v>
      </c>
      <c r="H147" s="103" t="n">
        <v>1</v>
      </c>
      <c r="I147" s="4" t="str">
        <f aca="false">IF(COUNT(E147:F147)&lt;2,"N/A",IF(ABS(G147)&lt;=H147,"OK","❌"))</f>
        <v>OK</v>
      </c>
      <c r="J147" s="103" t="s">
        <v>1246</v>
      </c>
      <c r="K147" s="4" t="str">
        <f aca="false">IF(I147=J147,"✔ sesuai","✖ TIDAK sesuai")</f>
        <v>✔ sesuai</v>
      </c>
      <c r="L147" s="104"/>
    </row>
    <row r="148" customFormat="false" ht="15" hidden="false" customHeight="false" outlineLevel="0" collapsed="false">
      <c r="A148" s="13" t="n">
        <v>142</v>
      </c>
      <c r="B148" s="13" t="s">
        <v>1274</v>
      </c>
      <c r="C148" s="13" t="s">
        <v>1276</v>
      </c>
      <c r="D148" s="13" t="n">
        <v>2025</v>
      </c>
      <c r="E148" s="52" t="n">
        <f aca="false">Schedules!F52</f>
        <v>144873268389</v>
      </c>
      <c r="F148" s="52" t="n">
        <f aca="false">IS!F6</f>
        <v>144873268389</v>
      </c>
      <c r="G148" s="102" t="n">
        <f aca="false">IF(COUNT(E148:F148)=2,E148-F148,"")</f>
        <v>0</v>
      </c>
      <c r="H148" s="103" t="n">
        <v>1</v>
      </c>
      <c r="I148" s="4" t="str">
        <f aca="false">IF(COUNT(E148:F148)&lt;2,"N/A",IF(ABS(G148)&lt;=H148,"OK","❌"))</f>
        <v>OK</v>
      </c>
      <c r="J148" s="103" t="s">
        <v>1246</v>
      </c>
      <c r="K148" s="4" t="str">
        <f aca="false">IF(I148=J148,"✔ sesuai","✖ TIDAK sesuai")</f>
        <v>✔ sesuai</v>
      </c>
      <c r="L148" s="104"/>
    </row>
    <row r="149" customFormat="false" ht="15" hidden="false" customHeight="false" outlineLevel="0" collapsed="false">
      <c r="A149" s="13" t="n">
        <v>143</v>
      </c>
      <c r="B149" s="13" t="s">
        <v>1274</v>
      </c>
      <c r="C149" s="13" t="s">
        <v>1277</v>
      </c>
      <c r="D149" s="13" t="n">
        <v>2025</v>
      </c>
      <c r="E149" s="52" t="n">
        <f aca="false">Schedules!F70</f>
        <v>110732463969</v>
      </c>
      <c r="F149" s="52" t="n">
        <f aca="false">-IS!F7</f>
        <v>110732463969</v>
      </c>
      <c r="G149" s="102" t="n">
        <f aca="false">IF(COUNT(E149:F149)=2,E149-F149,"")</f>
        <v>0</v>
      </c>
      <c r="H149" s="103" t="n">
        <v>1</v>
      </c>
      <c r="I149" s="4" t="str">
        <f aca="false">IF(COUNT(E149:F149)&lt;2,"N/A",IF(ABS(G149)&lt;=H149,"OK","❌"))</f>
        <v>OK</v>
      </c>
      <c r="J149" s="103" t="s">
        <v>1246</v>
      </c>
      <c r="K149" s="4" t="str">
        <f aca="false">IF(I149=J149,"✔ sesuai","✖ TIDAK sesuai")</f>
        <v>✔ sesuai</v>
      </c>
      <c r="L149" s="104"/>
    </row>
    <row r="150" customFormat="false" ht="15" hidden="false" customHeight="false" outlineLevel="0" collapsed="false">
      <c r="A150" s="13" t="n">
        <v>144</v>
      </c>
      <c r="B150" s="13" t="s">
        <v>1274</v>
      </c>
      <c r="C150" s="13" t="s">
        <v>1278</v>
      </c>
      <c r="D150" s="13" t="n">
        <v>2025</v>
      </c>
      <c r="E150" s="52" t="n">
        <f aca="false">Schedules!F76</f>
        <v>2783285450</v>
      </c>
      <c r="F150" s="52" t="n">
        <f aca="false">-IS!F9</f>
        <v>2783285450</v>
      </c>
      <c r="G150" s="102" t="n">
        <f aca="false">IF(COUNT(E150:F150)=2,E150-F150,"")</f>
        <v>0</v>
      </c>
      <c r="H150" s="103" t="n">
        <v>1</v>
      </c>
      <c r="I150" s="4" t="str">
        <f aca="false">IF(COUNT(E150:F150)&lt;2,"N/A",IF(ABS(G150)&lt;=H150,"OK","❌"))</f>
        <v>OK</v>
      </c>
      <c r="J150" s="103" t="s">
        <v>1246</v>
      </c>
      <c r="K150" s="4" t="str">
        <f aca="false">IF(I150=J150,"✔ sesuai","✖ TIDAK sesuai")</f>
        <v>✔ sesuai</v>
      </c>
      <c r="L150" s="104"/>
    </row>
    <row r="151" customFormat="false" ht="15" hidden="false" customHeight="false" outlineLevel="0" collapsed="false">
      <c r="A151" s="13" t="n">
        <v>145</v>
      </c>
      <c r="B151" s="13" t="s">
        <v>1274</v>
      </c>
      <c r="C151" s="13" t="s">
        <v>1279</v>
      </c>
      <c r="D151" s="13" t="n">
        <v>2025</v>
      </c>
      <c r="E151" s="52" t="n">
        <f aca="false">Schedules!F82</f>
        <v>27906878912</v>
      </c>
      <c r="F151" s="52" t="n">
        <f aca="false">-IS!F10</f>
        <v>27906878912</v>
      </c>
      <c r="G151" s="102" t="n">
        <f aca="false">IF(COUNT(E151:F151)=2,E151-F151,"")</f>
        <v>0</v>
      </c>
      <c r="H151" s="103" t="n">
        <v>1</v>
      </c>
      <c r="I151" s="4" t="str">
        <f aca="false">IF(COUNT(E151:F151)&lt;2,"N/A",IF(ABS(G151)&lt;=H151,"OK","❌"))</f>
        <v>OK</v>
      </c>
      <c r="J151" s="103" t="s">
        <v>1246</v>
      </c>
      <c r="K151" s="4" t="str">
        <f aca="false">IF(I151=J151,"✔ sesuai","✖ TIDAK sesuai")</f>
        <v>✔ sesuai</v>
      </c>
      <c r="L151" s="104"/>
    </row>
    <row r="152" customFormat="false" ht="15" hidden="false" customHeight="false" outlineLevel="0" collapsed="false">
      <c r="A152" s="13" t="n">
        <v>146</v>
      </c>
      <c r="B152" s="13" t="s">
        <v>1274</v>
      </c>
      <c r="C152" s="13" t="s">
        <v>1296</v>
      </c>
      <c r="D152" s="13" t="n">
        <v>2025</v>
      </c>
      <c r="E152" s="52" t="n">
        <f aca="false">Schedules!F44</f>
        <v>127921073027</v>
      </c>
      <c r="F152" s="52" t="n">
        <f aca="false">BS!F21</f>
        <v>127921073027</v>
      </c>
      <c r="G152" s="102" t="n">
        <f aca="false">IF(COUNT(E152:F152)=2,E152-F152,"")</f>
        <v>0</v>
      </c>
      <c r="H152" s="103" t="n">
        <v>1</v>
      </c>
      <c r="I152" s="4" t="str">
        <f aca="false">IF(COUNT(E152:F152)&lt;2,"N/A",IF(ABS(G152)&lt;=H152,"OK","❌"))</f>
        <v>OK</v>
      </c>
      <c r="J152" s="103" t="s">
        <v>1246</v>
      </c>
      <c r="K152" s="4" t="str">
        <f aca="false">IF(I152=J152,"✔ sesuai","✖ TIDAK sesuai")</f>
        <v>✔ sesuai</v>
      </c>
      <c r="L152" s="104"/>
    </row>
    <row r="153" customFormat="false" ht="15" hidden="false" customHeight="false" outlineLevel="0" collapsed="false">
      <c r="A153" s="13" t="n">
        <v>147</v>
      </c>
      <c r="B153" s="13" t="s">
        <v>1280</v>
      </c>
      <c r="C153" s="13" t="s">
        <v>1281</v>
      </c>
      <c r="D153" s="13" t="n">
        <v>2025</v>
      </c>
      <c r="E153" s="52" t="n">
        <f aca="false">Schedules!F14</f>
        <v>11997042085</v>
      </c>
      <c r="F153" s="52" t="n">
        <f aca="false">Schedules!F15</f>
        <v>11997042085</v>
      </c>
      <c r="G153" s="102" t="n">
        <f aca="false">IF(COUNT(E153:F153)=2,E153-F153,"")</f>
        <v>0</v>
      </c>
      <c r="H153" s="103" t="n">
        <v>1</v>
      </c>
      <c r="I153" s="4" t="str">
        <f aca="false">IF(COUNT(E153:F153)&lt;2,"N/A",IF(ABS(G153)&lt;=H153,"OK","❌"))</f>
        <v>OK</v>
      </c>
      <c r="J153" s="103" t="s">
        <v>1246</v>
      </c>
      <c r="K153" s="4" t="str">
        <f aca="false">IF(I153=J153,"✔ sesuai","✖ TIDAK sesuai")</f>
        <v>✔ sesuai</v>
      </c>
      <c r="L153" s="104"/>
    </row>
    <row r="154" customFormat="false" ht="15" hidden="false" customHeight="false" outlineLevel="0" collapsed="false">
      <c r="A154" s="13" t="n">
        <v>148</v>
      </c>
      <c r="B154" s="13" t="s">
        <v>1280</v>
      </c>
      <c r="C154" s="13" t="s">
        <v>1298</v>
      </c>
      <c r="D154" s="13" t="n">
        <v>2025</v>
      </c>
      <c r="E154" s="52" t="n">
        <f aca="false">Schedules!F35</f>
        <v>201319294448</v>
      </c>
      <c r="F154" s="52" t="n">
        <f aca="false">Schedules!F34</f>
        <v>201319294448</v>
      </c>
      <c r="G154" s="102" t="n">
        <f aca="false">IF(COUNT(E154:F154)=2,E154-F154,"")</f>
        <v>0</v>
      </c>
      <c r="H154" s="103" t="n">
        <v>1</v>
      </c>
      <c r="I154" s="4" t="str">
        <f aca="false">IF(COUNT(E154:F154)&lt;2,"N/A",IF(ABS(G154)&lt;=H154,"OK","❌"))</f>
        <v>OK</v>
      </c>
      <c r="J154" s="103" t="s">
        <v>1246</v>
      </c>
      <c r="K154" s="4" t="str">
        <f aca="false">IF(I154=J154,"✔ sesuai","✖ TIDAK sesuai")</f>
        <v>✔ sesuai</v>
      </c>
      <c r="L154" s="104"/>
    </row>
    <row r="155" customFormat="false" ht="15" hidden="false" customHeight="false" outlineLevel="0" collapsed="false">
      <c r="A155" s="13" t="n">
        <v>149</v>
      </c>
      <c r="B155" s="13" t="s">
        <v>1280</v>
      </c>
      <c r="C155" s="13" t="s">
        <v>1299</v>
      </c>
      <c r="D155" s="13" t="n">
        <v>2025</v>
      </c>
      <c r="E155" s="52" t="n">
        <f aca="false">Schedules!F43</f>
        <v>-73398221421</v>
      </c>
      <c r="F155" s="52" t="n">
        <f aca="false">Schedules!F42</f>
        <v>-73398221421</v>
      </c>
      <c r="G155" s="102" t="n">
        <f aca="false">IF(COUNT(E155:F155)=2,E155-F155,"")</f>
        <v>0</v>
      </c>
      <c r="H155" s="103" t="n">
        <v>1</v>
      </c>
      <c r="I155" s="4" t="str">
        <f aca="false">IF(COUNT(E155:F155)&lt;2,"N/A",IF(ABS(G155)&lt;=H155,"OK","❌"))</f>
        <v>OK</v>
      </c>
      <c r="J155" s="103" t="s">
        <v>1246</v>
      </c>
      <c r="K155" s="4" t="str">
        <f aca="false">IF(I155=J155,"✔ sesuai","✖ TIDAK sesuai")</f>
        <v>✔ sesuai</v>
      </c>
      <c r="L155" s="104"/>
    </row>
    <row r="156" customFormat="false" ht="15" hidden="false" customHeight="false" outlineLevel="0" collapsed="false">
      <c r="A156" s="13" t="n">
        <v>150</v>
      </c>
      <c r="B156" s="13" t="s">
        <v>1280</v>
      </c>
      <c r="C156" s="13" t="s">
        <v>1283</v>
      </c>
      <c r="D156" s="13" t="n">
        <v>2025</v>
      </c>
      <c r="E156" s="52" t="n">
        <f aca="false">Schedules!F56</f>
        <v>144873268390</v>
      </c>
      <c r="F156" s="52" t="n">
        <f aca="false">Schedules!F52</f>
        <v>144873268389</v>
      </c>
      <c r="G156" s="102" t="n">
        <f aca="false">IF(COUNT(E156:F156)=2,E156-F156,"")</f>
        <v>1</v>
      </c>
      <c r="H156" s="103" t="n">
        <v>1</v>
      </c>
      <c r="I156" s="4" t="str">
        <f aca="false">IF(COUNT(E156:F156)&lt;2,"N/A",IF(ABS(G156)&lt;=H156,"OK","❌"))</f>
        <v>OK</v>
      </c>
      <c r="J156" s="103" t="s">
        <v>1246</v>
      </c>
      <c r="K156" s="4" t="str">
        <f aca="false">IF(I156=J156,"✔ sesuai","✖ TIDAK sesuai")</f>
        <v>✔ sesuai</v>
      </c>
      <c r="L156" s="104"/>
    </row>
    <row r="157" customFormat="false" ht="15" hidden="false" customHeight="false" outlineLevel="0" collapsed="false">
      <c r="A157" s="13" t="n">
        <v>151</v>
      </c>
      <c r="B157" s="13" t="s">
        <v>1280</v>
      </c>
      <c r="C157" s="13" t="s">
        <v>1284</v>
      </c>
      <c r="D157" s="13" t="n">
        <v>2025</v>
      </c>
      <c r="E157" s="52" t="n">
        <f aca="false">Schedules!F72</f>
        <v>110732463969</v>
      </c>
      <c r="F157" s="52" t="n">
        <f aca="false">Schedules!F70</f>
        <v>110732463969</v>
      </c>
      <c r="G157" s="102" t="n">
        <f aca="false">IF(COUNT(E157:F157)=2,E157-F157,"")</f>
        <v>0</v>
      </c>
      <c r="H157" s="103" t="n">
        <v>1</v>
      </c>
      <c r="I157" s="4" t="str">
        <f aca="false">IF(COUNT(E157:F157)&lt;2,"N/A",IF(ABS(G157)&lt;=H157,"OK","❌"))</f>
        <v>OK</v>
      </c>
      <c r="J157" s="103" t="s">
        <v>1246</v>
      </c>
      <c r="K157" s="4" t="str">
        <f aca="false">IF(I157=J157,"✔ sesuai","✖ TIDAK sesuai")</f>
        <v>✔ sesuai</v>
      </c>
      <c r="L157" s="104"/>
    </row>
    <row r="158" customFormat="false" ht="15" hidden="false" customHeight="false" outlineLevel="0" collapsed="false">
      <c r="A158" s="13" t="n">
        <v>152</v>
      </c>
      <c r="B158" s="13" t="s">
        <v>1280</v>
      </c>
      <c r="C158" s="13" t="s">
        <v>1285</v>
      </c>
      <c r="D158" s="13" t="n">
        <v>2025</v>
      </c>
      <c r="E158" s="52" t="n">
        <f aca="false">Schedules!F77</f>
        <v>2783285450</v>
      </c>
      <c r="F158" s="52" t="n">
        <f aca="false">Schedules!F76</f>
        <v>2783285450</v>
      </c>
      <c r="G158" s="102" t="n">
        <f aca="false">IF(COUNT(E158:F158)=2,E158-F158,"")</f>
        <v>0</v>
      </c>
      <c r="H158" s="103" t="n">
        <v>1</v>
      </c>
      <c r="I158" s="4" t="str">
        <f aca="false">IF(COUNT(E158:F158)&lt;2,"N/A",IF(ABS(G158)&lt;=H158,"OK","❌"))</f>
        <v>OK</v>
      </c>
      <c r="J158" s="103" t="s">
        <v>1246</v>
      </c>
      <c r="K158" s="4" t="str">
        <f aca="false">IF(I158=J158,"✔ sesuai","✖ TIDAK sesuai")</f>
        <v>✔ sesuai</v>
      </c>
      <c r="L158" s="104"/>
    </row>
    <row r="159" customFormat="false" ht="15" hidden="false" customHeight="false" outlineLevel="0" collapsed="false">
      <c r="A159" s="13" t="n">
        <v>153</v>
      </c>
      <c r="B159" s="13" t="s">
        <v>1280</v>
      </c>
      <c r="C159" s="13" t="s">
        <v>1285</v>
      </c>
      <c r="D159" s="13" t="n">
        <v>2025</v>
      </c>
      <c r="E159" s="52" t="n">
        <f aca="false">Schedules!F83</f>
        <v>27906878912</v>
      </c>
      <c r="F159" s="52" t="n">
        <f aca="false">Schedules!F82</f>
        <v>27906878912</v>
      </c>
      <c r="G159" s="102" t="n">
        <f aca="false">IF(COUNT(E159:F159)=2,E159-F159,"")</f>
        <v>0</v>
      </c>
      <c r="H159" s="103" t="n">
        <v>1</v>
      </c>
      <c r="I159" s="4" t="str">
        <f aca="false">IF(COUNT(E159:F159)&lt;2,"N/A",IF(ABS(G159)&lt;=H159,"OK","❌"))</f>
        <v>OK</v>
      </c>
      <c r="J159" s="103" t="s">
        <v>1246</v>
      </c>
      <c r="K159" s="4" t="str">
        <f aca="false">IF(I159=J159,"✔ sesuai","✖ TIDAK sesuai")</f>
        <v>✔ sesuai</v>
      </c>
      <c r="L159" s="104"/>
    </row>
    <row r="160" customFormat="false" ht="15" hidden="false" customHeight="false" outlineLevel="0" collapsed="false">
      <c r="A160" s="13" t="n">
        <v>154</v>
      </c>
      <c r="B160" s="13" t="s">
        <v>1286</v>
      </c>
      <c r="C160" s="13" t="s">
        <v>1287</v>
      </c>
      <c r="D160" s="13" t="n">
        <v>2025</v>
      </c>
      <c r="E160" s="52" t="n">
        <f aca="false">IS!F33</f>
        <v>3</v>
      </c>
      <c r="F160" s="52" t="n">
        <f aca="false">ROUND(IS!F29/Schedules!F22,2)</f>
        <v>2.55</v>
      </c>
      <c r="G160" s="102" t="n">
        <f aca="false">IF(COUNT(E160:F160)=2,E160-F160,"")</f>
        <v>0.45</v>
      </c>
      <c r="H160" s="103" t="n">
        <v>1</v>
      </c>
      <c r="I160" s="4" t="str">
        <f aca="false">IF(COUNT(E160:F160)&lt;2,"N/A",IF(ABS(G160)&lt;=H160,"OK","❌"))</f>
        <v>OK</v>
      </c>
      <c r="J160" s="103" t="s">
        <v>1246</v>
      </c>
      <c r="K160" s="4" t="str">
        <f aca="false">IF(I160=J160,"✔ sesuai","✖ TIDAK sesuai")</f>
        <v>✔ sesuai</v>
      </c>
      <c r="L160" s="104"/>
    </row>
    <row r="161" customFormat="false" ht="15" hidden="false" customHeight="false" outlineLevel="0" collapsed="false">
      <c r="A161" s="13" t="n">
        <v>155</v>
      </c>
      <c r="B161" s="13" t="s">
        <v>1303</v>
      </c>
      <c r="C161" s="13" t="s">
        <v>1304</v>
      </c>
      <c r="D161" s="13" t="n">
        <v>2022</v>
      </c>
      <c r="E161" s="63" t="n">
        <v>39297310909</v>
      </c>
      <c r="F161" s="63" t="n">
        <v>29547207476</v>
      </c>
      <c r="G161" s="102" t="n">
        <f aca="false">IF(COUNT(E161:F161)=2,E161-F161,"")</f>
        <v>9750103433</v>
      </c>
      <c r="H161" s="103" t="n">
        <v>1</v>
      </c>
      <c r="I161" s="4" t="str">
        <f aca="false">IF(COUNT(E161:F161)&lt;2,"N/A",IF(ABS(G161)&lt;=H161,"OK","❌"))</f>
        <v>❌</v>
      </c>
      <c r="J161" s="103" t="s">
        <v>1270</v>
      </c>
      <c r="K161" s="4" t="str">
        <f aca="false">IF(I161=J161,"✔ sesuai","✖ TIDAK sesuai")</f>
        <v>✔ sesuai</v>
      </c>
      <c r="L161" s="104" t="s">
        <v>1305</v>
      </c>
    </row>
    <row r="162" customFormat="false" ht="15" hidden="false" customHeight="false" outlineLevel="0" collapsed="false">
      <c r="A162" s="13" t="n">
        <v>156</v>
      </c>
      <c r="B162" s="13" t="s">
        <v>1303</v>
      </c>
      <c r="C162" s="13" t="s">
        <v>1306</v>
      </c>
      <c r="D162" s="13" t="n">
        <v>2022</v>
      </c>
      <c r="E162" s="63" t="n">
        <v>8.81</v>
      </c>
      <c r="F162" s="63" t="n">
        <v>8.81</v>
      </c>
      <c r="G162" s="102" t="n">
        <f aca="false">IF(COUNT(E162:F162)=2,E162-F162,"")</f>
        <v>0</v>
      </c>
      <c r="H162" s="103" t="n">
        <v>1</v>
      </c>
      <c r="I162" s="4" t="str">
        <f aca="false">IF(COUNT(E162:F162)&lt;2,"N/A",IF(ABS(G162)&lt;=H162,"OK","❌"))</f>
        <v>OK</v>
      </c>
      <c r="J162" s="103" t="s">
        <v>1246</v>
      </c>
      <c r="K162" s="4" t="str">
        <f aca="false">IF(I162=J162,"✔ sesuai","✖ TIDAK sesuai")</f>
        <v>✔ sesuai</v>
      </c>
      <c r="L162" s="104" t="s">
        <v>1307</v>
      </c>
    </row>
    <row r="163" customFormat="false" ht="15" hidden="false" customHeight="false" outlineLevel="0" collapsed="false">
      <c r="A163" s="13" t="n">
        <v>157</v>
      </c>
      <c r="B163" s="13" t="s">
        <v>1303</v>
      </c>
      <c r="C163" s="13" t="s">
        <v>1308</v>
      </c>
      <c r="D163" s="13" t="n">
        <v>2022</v>
      </c>
      <c r="E163" s="63" t="n">
        <v>0</v>
      </c>
      <c r="F163" s="63" t="n">
        <v>0</v>
      </c>
      <c r="G163" s="102" t="n">
        <f aca="false">IF(COUNT(E163:F163)=2,E163-F163,"")</f>
        <v>0</v>
      </c>
      <c r="H163" s="103" t="n">
        <v>1</v>
      </c>
      <c r="I163" s="4" t="str">
        <f aca="false">IF(COUNT(E163:F163)&lt;2,"N/A",IF(ABS(G163)&lt;=H163,"OK","❌"))</f>
        <v>OK</v>
      </c>
      <c r="J163" s="103" t="s">
        <v>1246</v>
      </c>
      <c r="K163" s="4" t="str">
        <f aca="false">IF(I163=J163,"✔ sesuai","✖ TIDAK sesuai")</f>
        <v>✔ sesuai</v>
      </c>
      <c r="L163" s="104" t="s">
        <v>1309</v>
      </c>
    </row>
    <row r="164" customFormat="false" ht="15" hidden="false" customHeight="false" outlineLevel="0" collapsed="false">
      <c r="A164" s="13" t="n">
        <v>158</v>
      </c>
      <c r="B164" s="13" t="s">
        <v>1303</v>
      </c>
      <c r="C164" s="13" t="s">
        <v>1310</v>
      </c>
      <c r="D164" s="13" t="n">
        <v>2022</v>
      </c>
      <c r="E164" s="63" t="n">
        <v>4603727958</v>
      </c>
      <c r="F164" s="63" t="n">
        <v>4603727958</v>
      </c>
      <c r="G164" s="102" t="n">
        <f aca="false">IF(COUNT(E164:F164)=2,E164-F164,"")</f>
        <v>0</v>
      </c>
      <c r="H164" s="103" t="n">
        <v>1</v>
      </c>
      <c r="I164" s="4" t="str">
        <f aca="false">IF(COUNT(E164:F164)&lt;2,"N/A",IF(ABS(G164)&lt;=H164,"OK","❌"))</f>
        <v>OK</v>
      </c>
      <c r="J164" s="103" t="s">
        <v>1246</v>
      </c>
      <c r="K164" s="4" t="str">
        <f aca="false">IF(I164=J164,"✔ sesuai","✖ TIDAK sesuai")</f>
        <v>✔ sesuai</v>
      </c>
      <c r="L164" s="104"/>
    </row>
    <row r="165" customFormat="false" ht="15" hidden="false" customHeight="false" outlineLevel="0" collapsed="false">
      <c r="A165" s="13" t="n">
        <v>159</v>
      </c>
      <c r="B165" s="13" t="s">
        <v>1303</v>
      </c>
      <c r="C165" s="13" t="s">
        <v>1304</v>
      </c>
      <c r="D165" s="13" t="n">
        <v>2023</v>
      </c>
      <c r="E165" s="63" t="n">
        <v>-536206225</v>
      </c>
      <c r="F165" s="63" t="n">
        <v>2463973775</v>
      </c>
      <c r="G165" s="102" t="n">
        <f aca="false">IF(COUNT(E165:F165)=2,E165-F165,"")</f>
        <v>-3000180000</v>
      </c>
      <c r="H165" s="103" t="n">
        <v>1</v>
      </c>
      <c r="I165" s="4" t="str">
        <f aca="false">IF(COUNT(E165:F165)&lt;2,"N/A",IF(ABS(G165)&lt;=H165,"OK","❌"))</f>
        <v>❌</v>
      </c>
      <c r="J165" s="103" t="s">
        <v>1270</v>
      </c>
      <c r="K165" s="4" t="str">
        <f aca="false">IF(I165=J165,"✔ sesuai","✖ TIDAK sesuai")</f>
        <v>✔ sesuai</v>
      </c>
      <c r="L165" s="104" t="s">
        <v>1311</v>
      </c>
    </row>
    <row r="166" customFormat="false" ht="15" hidden="false" customHeight="false" outlineLevel="0" collapsed="false">
      <c r="A166" s="13" t="n">
        <v>160</v>
      </c>
      <c r="B166" s="13" t="s">
        <v>1303</v>
      </c>
      <c r="C166" s="13" t="s">
        <v>1312</v>
      </c>
      <c r="D166" s="13" t="n">
        <v>2023</v>
      </c>
      <c r="E166" s="63" t="n">
        <v>29547207476</v>
      </c>
      <c r="F166" s="63" t="n">
        <v>29547207476</v>
      </c>
      <c r="G166" s="102" t="n">
        <f aca="false">IF(COUNT(E166:F166)=2,E166-F166,"")</f>
        <v>0</v>
      </c>
      <c r="H166" s="103" t="n">
        <v>1</v>
      </c>
      <c r="I166" s="4" t="str">
        <f aca="false">IF(COUNT(E166:F166)&lt;2,"N/A",IF(ABS(G166)&lt;=H166,"OK","❌"))</f>
        <v>OK</v>
      </c>
      <c r="J166" s="103" t="s">
        <v>1246</v>
      </c>
      <c r="K166" s="4" t="str">
        <f aca="false">IF(I166=J166,"✔ sesuai","✖ TIDAK sesuai")</f>
        <v>✔ sesuai</v>
      </c>
      <c r="L166" s="104"/>
    </row>
    <row r="167" customFormat="false" ht="15" hidden="false" customHeight="false" outlineLevel="0" collapsed="false">
      <c r="A167" s="13" t="n">
        <v>161</v>
      </c>
      <c r="B167" s="13" t="s">
        <v>1303</v>
      </c>
      <c r="C167" s="13" t="s">
        <v>1306</v>
      </c>
      <c r="D167" s="13" t="n">
        <v>2023</v>
      </c>
      <c r="E167" s="63" t="n">
        <v>6.38</v>
      </c>
      <c r="F167" s="63" t="n">
        <v>6.38</v>
      </c>
      <c r="G167" s="102" t="n">
        <f aca="false">IF(COUNT(E167:F167)=2,E167-F167,"")</f>
        <v>0</v>
      </c>
      <c r="H167" s="103" t="n">
        <v>1</v>
      </c>
      <c r="I167" s="4" t="str">
        <f aca="false">IF(COUNT(E167:F167)&lt;2,"N/A",IF(ABS(G167)&lt;=H167,"OK","❌"))</f>
        <v>OK</v>
      </c>
      <c r="J167" s="103" t="s">
        <v>1246</v>
      </c>
      <c r="K167" s="4" t="str">
        <f aca="false">IF(I167=J167,"✔ sesuai","✖ TIDAK sesuai")</f>
        <v>✔ sesuai</v>
      </c>
      <c r="L167" s="104" t="s">
        <v>1307</v>
      </c>
    </row>
    <row r="168" customFormat="false" ht="15" hidden="false" customHeight="false" outlineLevel="0" collapsed="false">
      <c r="A168" s="13" t="n">
        <v>162</v>
      </c>
      <c r="B168" s="13" t="s">
        <v>1303</v>
      </c>
      <c r="C168" s="13" t="s">
        <v>1313</v>
      </c>
      <c r="D168" s="13" t="n">
        <v>2023</v>
      </c>
      <c r="E168" s="63" t="n">
        <v>23080884249</v>
      </c>
      <c r="F168" s="63" t="n">
        <v>23080884249</v>
      </c>
      <c r="G168" s="102" t="n">
        <f aca="false">IF(COUNT(E168:F168)=2,E168-F168,"")</f>
        <v>0</v>
      </c>
      <c r="H168" s="103" t="n">
        <v>1</v>
      </c>
      <c r="I168" s="4" t="str">
        <f aca="false">IF(COUNT(E168:F168)&lt;2,"N/A",IF(ABS(G168)&lt;=H168,"OK","❌"))</f>
        <v>OK</v>
      </c>
      <c r="J168" s="103" t="s">
        <v>1246</v>
      </c>
      <c r="K168" s="4" t="str">
        <f aca="false">IF(I168=J168,"✔ sesuai","✖ TIDAK sesuai")</f>
        <v>✔ sesuai</v>
      </c>
      <c r="L168" s="104" t="s">
        <v>1314</v>
      </c>
    </row>
    <row r="169" customFormat="false" ht="15" hidden="false" customHeight="false" outlineLevel="0" collapsed="false">
      <c r="A169" s="13" t="n">
        <v>163</v>
      </c>
      <c r="B169" s="13" t="s">
        <v>1303</v>
      </c>
      <c r="C169" s="13" t="s">
        <v>1315</v>
      </c>
      <c r="D169" s="13" t="n">
        <v>2023</v>
      </c>
      <c r="E169" s="63" t="n">
        <v>3539716397</v>
      </c>
      <c r="F169" s="63" t="n">
        <v>3539716397</v>
      </c>
      <c r="G169" s="102" t="n">
        <f aca="false">IF(COUNT(E169:F169)=2,E169-F169,"")</f>
        <v>0</v>
      </c>
      <c r="H169" s="103" t="n">
        <v>1</v>
      </c>
      <c r="I169" s="4" t="str">
        <f aca="false">IF(COUNT(E169:F169)&lt;2,"N/A",IF(ABS(G169)&lt;=H169,"OK","❌"))</f>
        <v>OK</v>
      </c>
      <c r="J169" s="103" t="s">
        <v>1246</v>
      </c>
      <c r="K169" s="4" t="str">
        <f aca="false">IF(I169=J169,"✔ sesuai","✖ TIDAK sesuai")</f>
        <v>✔ sesuai</v>
      </c>
      <c r="L169" s="104"/>
    </row>
    <row r="170" customFormat="false" ht="15" hidden="false" customHeight="false" outlineLevel="0" collapsed="false">
      <c r="A170" s="13" t="n">
        <v>164</v>
      </c>
      <c r="B170" s="13" t="s">
        <v>1303</v>
      </c>
      <c r="C170" s="13" t="s">
        <v>1308</v>
      </c>
      <c r="D170" s="13" t="n">
        <v>2023</v>
      </c>
      <c r="E170" s="63" t="n">
        <v>0</v>
      </c>
      <c r="F170" s="63" t="n">
        <v>0</v>
      </c>
      <c r="G170" s="102" t="n">
        <f aca="false">IF(COUNT(E170:F170)=2,E170-F170,"")</f>
        <v>0</v>
      </c>
      <c r="H170" s="103" t="n">
        <v>1</v>
      </c>
      <c r="I170" s="4" t="str">
        <f aca="false">IF(COUNT(E170:F170)&lt;2,"N/A",IF(ABS(G170)&lt;=H170,"OK","❌"))</f>
        <v>OK</v>
      </c>
      <c r="J170" s="103" t="s">
        <v>1246</v>
      </c>
      <c r="K170" s="4" t="str">
        <f aca="false">IF(I170=J170,"✔ sesuai","✖ TIDAK sesuai")</f>
        <v>✔ sesuai</v>
      </c>
      <c r="L170" s="104" t="s">
        <v>1309</v>
      </c>
    </row>
    <row r="171" customFormat="false" ht="15" hidden="false" customHeight="false" outlineLevel="0" collapsed="false">
      <c r="A171" s="13" t="n">
        <v>165</v>
      </c>
      <c r="B171" s="13" t="s">
        <v>1303</v>
      </c>
      <c r="C171" s="13" t="s">
        <v>1310</v>
      </c>
      <c r="D171" s="13" t="n">
        <v>2023</v>
      </c>
      <c r="E171" s="63" t="n">
        <v>30591377944</v>
      </c>
      <c r="F171" s="63" t="n">
        <v>30591377944</v>
      </c>
      <c r="G171" s="102" t="n">
        <f aca="false">IF(COUNT(E171:F171)=2,E171-F171,"")</f>
        <v>0</v>
      </c>
      <c r="H171" s="103" t="n">
        <v>1</v>
      </c>
      <c r="I171" s="4" t="str">
        <f aca="false">IF(COUNT(E171:F171)&lt;2,"N/A",IF(ABS(G171)&lt;=H171,"OK","❌"))</f>
        <v>OK</v>
      </c>
      <c r="J171" s="103" t="s">
        <v>1246</v>
      </c>
      <c r="K171" s="4" t="str">
        <f aca="false">IF(I171=J171,"✔ sesuai","✖ TIDAK sesuai")</f>
        <v>✔ sesuai</v>
      </c>
      <c r="L171" s="104"/>
    </row>
    <row r="172" customFormat="false" ht="15" hidden="false" customHeight="false" outlineLevel="0" collapsed="false">
      <c r="A172" s="13" t="n">
        <v>166</v>
      </c>
      <c r="B172" s="13" t="s">
        <v>1303</v>
      </c>
      <c r="C172" s="13" t="s">
        <v>1304</v>
      </c>
      <c r="D172" s="13" t="n">
        <v>2024</v>
      </c>
      <c r="E172" s="63" t="n">
        <v>2663388349</v>
      </c>
      <c r="F172" s="63" t="n">
        <v>2663388349</v>
      </c>
      <c r="G172" s="102" t="n">
        <f aca="false">IF(COUNT(E172:F172)=2,E172-F172,"")</f>
        <v>0</v>
      </c>
      <c r="H172" s="103" t="n">
        <v>1</v>
      </c>
      <c r="I172" s="4" t="str">
        <f aca="false">IF(COUNT(E172:F172)&lt;2,"N/A",IF(ABS(G172)&lt;=H172,"OK","❌"))</f>
        <v>OK</v>
      </c>
      <c r="J172" s="103" t="s">
        <v>1246</v>
      </c>
      <c r="K172" s="4" t="str">
        <f aca="false">IF(I172=J172,"✔ sesuai","✖ TIDAK sesuai")</f>
        <v>✔ sesuai</v>
      </c>
      <c r="L172" s="104"/>
    </row>
    <row r="173" customFormat="false" ht="15" hidden="false" customHeight="false" outlineLevel="0" collapsed="false">
      <c r="A173" s="13" t="n">
        <v>167</v>
      </c>
      <c r="B173" s="13" t="s">
        <v>1303</v>
      </c>
      <c r="C173" s="13" t="s">
        <v>1312</v>
      </c>
      <c r="D173" s="13" t="n">
        <v>2024</v>
      </c>
      <c r="E173" s="63" t="n">
        <v>2463973775</v>
      </c>
      <c r="F173" s="63" t="n">
        <v>2463973775</v>
      </c>
      <c r="G173" s="102" t="n">
        <f aca="false">IF(COUNT(E173:F173)=2,E173-F173,"")</f>
        <v>0</v>
      </c>
      <c r="H173" s="103" t="n">
        <v>1</v>
      </c>
      <c r="I173" s="4" t="str">
        <f aca="false">IF(COUNT(E173:F173)&lt;2,"N/A",IF(ABS(G173)&lt;=H173,"OK","❌"))</f>
        <v>OK</v>
      </c>
      <c r="J173" s="103" t="s">
        <v>1246</v>
      </c>
      <c r="K173" s="4" t="str">
        <f aca="false">IF(I173=J173,"✔ sesuai","✖ TIDAK sesuai")</f>
        <v>✔ sesuai</v>
      </c>
      <c r="L173" s="104"/>
    </row>
    <row r="174" customFormat="false" ht="15" hidden="false" customHeight="false" outlineLevel="0" collapsed="false">
      <c r="A174" s="13" t="n">
        <v>168</v>
      </c>
      <c r="B174" s="13" t="s">
        <v>1303</v>
      </c>
      <c r="C174" s="13" t="s">
        <v>1306</v>
      </c>
      <c r="D174" s="13" t="n">
        <v>2024</v>
      </c>
      <c r="E174" s="63" t="n">
        <v>3.55</v>
      </c>
      <c r="F174" s="63" t="n">
        <v>4</v>
      </c>
      <c r="G174" s="102" t="n">
        <f aca="false">IF(COUNT(E174:F174)=2,E174-F174,"")</f>
        <v>-0.45</v>
      </c>
      <c r="H174" s="103" t="n">
        <v>1</v>
      </c>
      <c r="I174" s="4" t="str">
        <f aca="false">IF(COUNT(E174:F174)&lt;2,"N/A",IF(ABS(G174)&lt;=H174,"OK","❌"))</f>
        <v>OK</v>
      </c>
      <c r="J174" s="103" t="s">
        <v>1246</v>
      </c>
      <c r="K174" s="4" t="str">
        <f aca="false">IF(I174=J174,"✔ sesuai","✖ TIDAK sesuai")</f>
        <v>✔ sesuai</v>
      </c>
      <c r="L174" s="104" t="s">
        <v>1316</v>
      </c>
    </row>
    <row r="175" customFormat="false" ht="15" hidden="false" customHeight="false" outlineLevel="0" collapsed="false">
      <c r="A175" s="13" t="n">
        <v>169</v>
      </c>
      <c r="B175" s="13" t="s">
        <v>1303</v>
      </c>
      <c r="C175" s="13" t="s">
        <v>1313</v>
      </c>
      <c r="D175" s="13" t="n">
        <v>2024</v>
      </c>
      <c r="E175" s="63" t="n">
        <v>25918247522</v>
      </c>
      <c r="F175" s="63" t="n">
        <v>25918247522</v>
      </c>
      <c r="G175" s="102" t="n">
        <f aca="false">IF(COUNT(E175:F175)=2,E175-F175,"")</f>
        <v>0</v>
      </c>
      <c r="H175" s="103" t="n">
        <v>1</v>
      </c>
      <c r="I175" s="4" t="str">
        <f aca="false">IF(COUNT(E175:F175)&lt;2,"N/A",IF(ABS(G175)&lt;=H175,"OK","❌"))</f>
        <v>OK</v>
      </c>
      <c r="J175" s="103" t="s">
        <v>1246</v>
      </c>
      <c r="K175" s="4" t="str">
        <f aca="false">IF(I175=J175,"✔ sesuai","✖ TIDAK sesuai")</f>
        <v>✔ sesuai</v>
      </c>
      <c r="L175" s="104" t="s">
        <v>1317</v>
      </c>
    </row>
    <row r="176" customFormat="false" ht="15" hidden="false" customHeight="false" outlineLevel="0" collapsed="false">
      <c r="A176" s="13" t="n">
        <v>170</v>
      </c>
      <c r="B176" s="13" t="s">
        <v>1303</v>
      </c>
      <c r="C176" s="13" t="s">
        <v>1315</v>
      </c>
      <c r="D176" s="13" t="n">
        <v>2024</v>
      </c>
      <c r="E176" s="63" t="n">
        <v>2837363273</v>
      </c>
      <c r="F176" s="63" t="n">
        <v>2837231824</v>
      </c>
      <c r="G176" s="102" t="n">
        <f aca="false">IF(COUNT(E176:F176)=2,E176-F176,"")</f>
        <v>131449</v>
      </c>
      <c r="H176" s="103" t="n">
        <v>1</v>
      </c>
      <c r="I176" s="4" t="str">
        <f aca="false">IF(COUNT(E176:F176)&lt;2,"N/A",IF(ABS(G176)&lt;=H176,"OK","❌"))</f>
        <v>❌</v>
      </c>
      <c r="J176" s="103" t="s">
        <v>1270</v>
      </c>
      <c r="K176" s="4" t="str">
        <f aca="false">IF(I176=J176,"✔ sesuai","✖ TIDAK sesuai")</f>
        <v>✔ sesuai</v>
      </c>
      <c r="L176" s="104" t="s">
        <v>1318</v>
      </c>
    </row>
    <row r="177" customFormat="false" ht="15" hidden="false" customHeight="false" outlineLevel="0" collapsed="false">
      <c r="A177" s="13" t="n">
        <v>171</v>
      </c>
      <c r="B177" s="13" t="s">
        <v>1303</v>
      </c>
      <c r="C177" s="13" t="s">
        <v>1308</v>
      </c>
      <c r="D177" s="13" t="n">
        <v>2024</v>
      </c>
      <c r="E177" s="63" t="n">
        <v>0</v>
      </c>
      <c r="F177" s="63" t="n">
        <v>0</v>
      </c>
      <c r="G177" s="102" t="n">
        <f aca="false">IF(COUNT(E177:F177)=2,E177-F177,"")</f>
        <v>0</v>
      </c>
      <c r="H177" s="103" t="n">
        <v>1</v>
      </c>
      <c r="I177" s="4" t="str">
        <f aca="false">IF(COUNT(E177:F177)&lt;2,"N/A",IF(ABS(G177)&lt;=H177,"OK","❌"))</f>
        <v>OK</v>
      </c>
      <c r="J177" s="103" t="s">
        <v>1246</v>
      </c>
      <c r="K177" s="4" t="str">
        <f aca="false">IF(I177=J177,"✔ sesuai","✖ TIDAK sesuai")</f>
        <v>✔ sesuai</v>
      </c>
      <c r="L177" s="104" t="s">
        <v>1309</v>
      </c>
    </row>
    <row r="178" customFormat="false" ht="15" hidden="false" customHeight="false" outlineLevel="0" collapsed="false">
      <c r="A178" s="13" t="n">
        <v>172</v>
      </c>
      <c r="B178" s="13" t="s">
        <v>1303</v>
      </c>
      <c r="C178" s="13" t="s">
        <v>1310</v>
      </c>
      <c r="D178" s="13" t="n">
        <v>2024</v>
      </c>
      <c r="E178" s="63" t="n">
        <v>3129865099</v>
      </c>
      <c r="F178" s="63" t="n">
        <v>3129879267</v>
      </c>
      <c r="G178" s="102" t="n">
        <f aca="false">IF(COUNT(E178:F178)=2,E178-F178,"")</f>
        <v>-14168</v>
      </c>
      <c r="H178" s="103" t="n">
        <v>1</v>
      </c>
      <c r="I178" s="4" t="str">
        <f aca="false">IF(COUNT(E178:F178)&lt;2,"N/A",IF(ABS(G178)&lt;=H178,"OK","❌"))</f>
        <v>❌</v>
      </c>
      <c r="J178" s="103" t="s">
        <v>1270</v>
      </c>
      <c r="K178" s="4" t="str">
        <f aca="false">IF(I178=J178,"✔ sesuai","✖ TIDAK sesuai")</f>
        <v>✔ sesuai</v>
      </c>
      <c r="L178" s="104" t="s">
        <v>1319</v>
      </c>
    </row>
    <row r="179" customFormat="false" ht="15" hidden="false" customHeight="false" outlineLevel="0" collapsed="false">
      <c r="A179" s="13" t="n">
        <v>173</v>
      </c>
      <c r="B179" s="13" t="s">
        <v>1303</v>
      </c>
      <c r="C179" s="13" t="s">
        <v>1304</v>
      </c>
      <c r="D179" s="13" t="n">
        <v>2025</v>
      </c>
      <c r="E179" s="63" t="n">
        <v>4036506961</v>
      </c>
      <c r="F179" s="63" t="n">
        <v>4036506961</v>
      </c>
      <c r="G179" s="102" t="n">
        <f aca="false">IF(COUNT(E179:F179)=2,E179-F179,"")</f>
        <v>0</v>
      </c>
      <c r="H179" s="103" t="n">
        <v>1</v>
      </c>
      <c r="I179" s="4" t="str">
        <f aca="false">IF(COUNT(E179:F179)&lt;2,"N/A",IF(ABS(G179)&lt;=H179,"OK","❌"))</f>
        <v>OK</v>
      </c>
      <c r="J179" s="103" t="s">
        <v>1246</v>
      </c>
      <c r="K179" s="4" t="str">
        <f aca="false">IF(I179=J179,"✔ sesuai","✖ TIDAK sesuai")</f>
        <v>✔ sesuai</v>
      </c>
      <c r="L179" s="104"/>
    </row>
    <row r="180" customFormat="false" ht="15" hidden="false" customHeight="false" outlineLevel="0" collapsed="false">
      <c r="A180" s="13" t="n">
        <v>174</v>
      </c>
      <c r="B180" s="13" t="s">
        <v>1303</v>
      </c>
      <c r="C180" s="13" t="s">
        <v>1312</v>
      </c>
      <c r="D180" s="13" t="n">
        <v>2025</v>
      </c>
      <c r="E180" s="63" t="n">
        <v>2663388349</v>
      </c>
      <c r="F180" s="63" t="n">
        <v>2663388349</v>
      </c>
      <c r="G180" s="102" t="n">
        <f aca="false">IF(COUNT(E180:F180)=2,E180-F180,"")</f>
        <v>0</v>
      </c>
      <c r="H180" s="103" t="n">
        <v>1</v>
      </c>
      <c r="I180" s="4" t="str">
        <f aca="false">IF(COUNT(E180:F180)&lt;2,"N/A",IF(ABS(G180)&lt;=H180,"OK","❌"))</f>
        <v>OK</v>
      </c>
      <c r="J180" s="103" t="s">
        <v>1246</v>
      </c>
      <c r="K180" s="4" t="str">
        <f aca="false">IF(I180=J180,"✔ sesuai","✖ TIDAK sesuai")</f>
        <v>✔ sesuai</v>
      </c>
      <c r="L180" s="104"/>
    </row>
    <row r="181" customFormat="false" ht="15" hidden="false" customHeight="false" outlineLevel="0" collapsed="false">
      <c r="A181" s="13" t="n">
        <v>175</v>
      </c>
      <c r="B181" s="13" t="s">
        <v>1303</v>
      </c>
      <c r="C181" s="13" t="s">
        <v>1306</v>
      </c>
      <c r="D181" s="13" t="n">
        <v>2025</v>
      </c>
      <c r="E181" s="63" t="n">
        <v>2.55</v>
      </c>
      <c r="F181" s="63" t="n">
        <v>3</v>
      </c>
      <c r="G181" s="102" t="n">
        <f aca="false">IF(COUNT(E181:F181)=2,E181-F181,"")</f>
        <v>-0.45</v>
      </c>
      <c r="H181" s="103" t="n">
        <v>1</v>
      </c>
      <c r="I181" s="4" t="str">
        <f aca="false">IF(COUNT(E181:F181)&lt;2,"N/A",IF(ABS(G181)&lt;=H181,"OK","❌"))</f>
        <v>OK</v>
      </c>
      <c r="J181" s="103" t="s">
        <v>1246</v>
      </c>
      <c r="K181" s="4" t="str">
        <f aca="false">IF(I181=J181,"✔ sesuai","✖ TIDAK sesuai")</f>
        <v>✔ sesuai</v>
      </c>
      <c r="L181" s="104" t="s">
        <v>1320</v>
      </c>
    </row>
    <row r="182" customFormat="false" ht="15" hidden="false" customHeight="false" outlineLevel="0" collapsed="false">
      <c r="A182" s="13" t="n">
        <v>176</v>
      </c>
      <c r="B182" s="13" t="s">
        <v>1303</v>
      </c>
      <c r="C182" s="13" t="s">
        <v>1313</v>
      </c>
      <c r="D182" s="13" t="n">
        <v>2025</v>
      </c>
      <c r="E182" s="63" t="n">
        <v>31939895635</v>
      </c>
      <c r="F182" s="63" t="n">
        <v>31939895635</v>
      </c>
      <c r="G182" s="102" t="n">
        <f aca="false">IF(COUNT(E182:F182)=2,E182-F182,"")</f>
        <v>0</v>
      </c>
      <c r="H182" s="103" t="n">
        <v>1</v>
      </c>
      <c r="I182" s="4" t="str">
        <f aca="false">IF(COUNT(E182:F182)&lt;2,"N/A",IF(ABS(G182)&lt;=H182,"OK","❌"))</f>
        <v>OK</v>
      </c>
      <c r="J182" s="103" t="s">
        <v>1246</v>
      </c>
      <c r="K182" s="4" t="str">
        <f aca="false">IF(I182=J182,"✔ sesuai","✖ TIDAK sesuai")</f>
        <v>✔ sesuai</v>
      </c>
      <c r="L182" s="104" t="s">
        <v>1321</v>
      </c>
    </row>
    <row r="183" customFormat="false" ht="15" hidden="false" customHeight="false" outlineLevel="0" collapsed="false">
      <c r="A183" s="13" t="n">
        <v>177</v>
      </c>
      <c r="B183" s="13" t="s">
        <v>1303</v>
      </c>
      <c r="C183" s="13" t="s">
        <v>1315</v>
      </c>
      <c r="D183" s="13" t="n">
        <v>2025</v>
      </c>
      <c r="E183" s="63" t="n">
        <v>6021648113</v>
      </c>
      <c r="F183" s="63" t="n">
        <v>6021648113</v>
      </c>
      <c r="G183" s="102" t="n">
        <f aca="false">IF(COUNT(E183:F183)=2,E183-F183,"")</f>
        <v>0</v>
      </c>
      <c r="H183" s="103" t="n">
        <v>1</v>
      </c>
      <c r="I183" s="4" t="str">
        <f aca="false">IF(COUNT(E183:F183)&lt;2,"N/A",IF(ABS(G183)&lt;=H183,"OK","❌"))</f>
        <v>OK</v>
      </c>
      <c r="J183" s="103" t="s">
        <v>1246</v>
      </c>
      <c r="K183" s="4" t="str">
        <f aca="false">IF(I183=J183,"✔ sesuai","✖ TIDAK sesuai")</f>
        <v>✔ sesuai</v>
      </c>
      <c r="L183" s="104"/>
    </row>
    <row r="184" customFormat="false" ht="15" hidden="false" customHeight="false" outlineLevel="0" collapsed="false">
      <c r="A184" s="13" t="n">
        <v>178</v>
      </c>
      <c r="B184" s="13" t="s">
        <v>1303</v>
      </c>
      <c r="C184" s="13" t="s">
        <v>1308</v>
      </c>
      <c r="D184" s="13" t="n">
        <v>2025</v>
      </c>
      <c r="E184" s="63" t="n">
        <v>0</v>
      </c>
      <c r="F184" s="63" t="n">
        <v>0</v>
      </c>
      <c r="G184" s="102" t="n">
        <f aca="false">IF(COUNT(E184:F184)=2,E184-F184,"")</f>
        <v>0</v>
      </c>
      <c r="H184" s="103" t="n">
        <v>1</v>
      </c>
      <c r="I184" s="4" t="str">
        <f aca="false">IF(COUNT(E184:F184)&lt;2,"N/A",IF(ABS(G184)&lt;=H184,"OK","❌"))</f>
        <v>OK</v>
      </c>
      <c r="J184" s="103" t="s">
        <v>1246</v>
      </c>
      <c r="K184" s="4" t="str">
        <f aca="false">IF(I184=J184,"✔ sesuai","✖ TIDAK sesuai")</f>
        <v>✔ sesuai</v>
      </c>
      <c r="L184" s="104" t="s">
        <v>1309</v>
      </c>
    </row>
    <row r="185" customFormat="false" ht="15" hidden="false" customHeight="false" outlineLevel="0" collapsed="false">
      <c r="A185" s="13" t="n">
        <v>179</v>
      </c>
      <c r="B185" s="13" t="s">
        <v>1303</v>
      </c>
      <c r="C185" s="13" t="s">
        <v>1310</v>
      </c>
      <c r="D185" s="13" t="n">
        <v>2025</v>
      </c>
      <c r="E185" s="63" t="n">
        <v>6804450151</v>
      </c>
      <c r="F185" s="63" t="n">
        <v>6804364595</v>
      </c>
      <c r="G185" s="102" t="n">
        <f aca="false">IF(COUNT(E185:F185)=2,E185-F185,"")</f>
        <v>85556</v>
      </c>
      <c r="H185" s="103" t="n">
        <v>1</v>
      </c>
      <c r="I185" s="4" t="str">
        <f aca="false">IF(COUNT(E185:F185)&lt;2,"N/A",IF(ABS(G185)&lt;=H185,"OK","❌"))</f>
        <v>❌</v>
      </c>
      <c r="J185" s="103" t="s">
        <v>1270</v>
      </c>
      <c r="K185" s="4" t="str">
        <f aca="false">IF(I185=J185,"✔ sesuai","✖ TIDAK sesuai")</f>
        <v>✔ sesuai</v>
      </c>
      <c r="L185" s="104" t="s">
        <v>1322</v>
      </c>
    </row>
    <row r="186" customFormat="false" ht="15" hidden="false" customHeight="false" outlineLevel="0" collapsed="false">
      <c r="A186" s="13" t="n">
        <v>180</v>
      </c>
      <c r="B186" s="13" t="s">
        <v>1323</v>
      </c>
      <c r="C186" s="13" t="s">
        <v>1324</v>
      </c>
      <c r="D186" s="13" t="n">
        <v>2024</v>
      </c>
      <c r="E186" s="63" t="n">
        <v>9048734806</v>
      </c>
      <c r="F186" s="63" t="n">
        <v>9080234808</v>
      </c>
      <c r="G186" s="102" t="n">
        <f aca="false">IF(COUNT(E186:F186)=2,E186-F186,"")</f>
        <v>-31500002</v>
      </c>
      <c r="H186" s="103" t="n">
        <v>1</v>
      </c>
      <c r="I186" s="4" t="str">
        <f aca="false">IF(COUNT(E186:F186)&lt;2,"N/A",IF(ABS(G186)&lt;=H186,"OK","❌"))</f>
        <v>❌</v>
      </c>
      <c r="J186" s="103" t="s">
        <v>1270</v>
      </c>
      <c r="K186" s="4" t="str">
        <f aca="false">IF(I186=J186,"✔ sesuai","✖ TIDAK sesuai")</f>
        <v>✔ sesuai</v>
      </c>
      <c r="L186" s="104" t="s">
        <v>1325</v>
      </c>
    </row>
    <row r="187" customFormat="false" ht="15" hidden="false" customHeight="false" outlineLevel="0" collapsed="false">
      <c r="A187" s="13" t="n">
        <v>181</v>
      </c>
      <c r="B187" s="13" t="s">
        <v>1326</v>
      </c>
      <c r="C187" s="13" t="s">
        <v>1327</v>
      </c>
      <c r="D187" s="13" t="n">
        <v>2022</v>
      </c>
      <c r="E187" s="52" t="n">
        <f aca="false">IS_Proj!C19</f>
        <v>8372390209</v>
      </c>
      <c r="F187" s="52" t="n">
        <f aca="false">IS!C14</f>
        <v>8372390209</v>
      </c>
      <c r="G187" s="102" t="n">
        <f aca="false">IF(COUNT(E187:F187)=2,E187-F187,"")</f>
        <v>0</v>
      </c>
      <c r="H187" s="103" t="n">
        <v>1</v>
      </c>
      <c r="I187" s="4" t="str">
        <f aca="false">IF(COUNT(E187:F187)&lt;2,"N/A",IF(ABS(G187)&lt;=H187,"OK","❌"))</f>
        <v>OK</v>
      </c>
      <c r="J187" s="103" t="s">
        <v>1246</v>
      </c>
      <c r="K187" s="4" t="str">
        <f aca="false">IF(I187=J187,"✔ sesuai","✖ TIDAK sesuai")</f>
        <v>✔ sesuai</v>
      </c>
      <c r="L187" s="104"/>
    </row>
    <row r="188" customFormat="false" ht="15" hidden="false" customHeight="false" outlineLevel="0" collapsed="false">
      <c r="A188" s="13" t="n">
        <v>182</v>
      </c>
      <c r="B188" s="13" t="s">
        <v>1326</v>
      </c>
      <c r="C188" s="13" t="s">
        <v>1328</v>
      </c>
      <c r="D188" s="13" t="n">
        <v>2022</v>
      </c>
      <c r="E188" s="52" t="n">
        <f aca="false">IS_Proj!C22</f>
        <v>4728794397</v>
      </c>
      <c r="F188" s="52" t="n">
        <f aca="false">IS!C17</f>
        <v>4728794397</v>
      </c>
      <c r="G188" s="102" t="n">
        <f aca="false">IF(COUNT(E188:F188)=2,E188-F188,"")</f>
        <v>0</v>
      </c>
      <c r="H188" s="103" t="n">
        <v>1</v>
      </c>
      <c r="I188" s="4" t="str">
        <f aca="false">IF(COUNT(E188:F188)&lt;2,"N/A",IF(ABS(G188)&lt;=H188,"OK","❌"))</f>
        <v>OK</v>
      </c>
      <c r="J188" s="103" t="s">
        <v>1246</v>
      </c>
      <c r="K188" s="4" t="str">
        <f aca="false">IF(I188=J188,"✔ sesuai","✖ TIDAK sesuai")</f>
        <v>✔ sesuai</v>
      </c>
      <c r="L188" s="104"/>
    </row>
    <row r="189" customFormat="false" ht="15" hidden="false" customHeight="false" outlineLevel="0" collapsed="false">
      <c r="A189" s="13" t="n">
        <v>183</v>
      </c>
      <c r="B189" s="13" t="s">
        <v>1326</v>
      </c>
      <c r="C189" s="13" t="s">
        <v>1329</v>
      </c>
      <c r="D189" s="13" t="n">
        <v>2022</v>
      </c>
      <c r="E189" s="52" t="n">
        <f aca="false">IS_Proj!C10</f>
        <v>99578144421</v>
      </c>
      <c r="F189" s="52" t="n">
        <f aca="false">IS_Proj!C6+IS_Proj!C7+IS_Proj!C8+IS_Proj!C9</f>
        <v>99578144421</v>
      </c>
      <c r="G189" s="102" t="n">
        <f aca="false">IF(COUNT(E189:F189)=2,E189-F189,"")</f>
        <v>0</v>
      </c>
      <c r="H189" s="103" t="n">
        <v>1</v>
      </c>
      <c r="I189" s="4" t="str">
        <f aca="false">IF(COUNT(E189:F189)&lt;2,"N/A",IF(ABS(G189)&lt;=H189,"OK","❌"))</f>
        <v>OK</v>
      </c>
      <c r="J189" s="103" t="s">
        <v>1246</v>
      </c>
      <c r="K189" s="4" t="str">
        <f aca="false">IF(I189=J189,"✔ sesuai","✖ TIDAK sesuai")</f>
        <v>✔ sesuai</v>
      </c>
      <c r="L189" s="104"/>
    </row>
    <row r="190" customFormat="false" ht="15" hidden="false" customHeight="false" outlineLevel="0" collapsed="false">
      <c r="A190" s="13" t="n">
        <v>184</v>
      </c>
      <c r="B190" s="13" t="s">
        <v>1326</v>
      </c>
      <c r="C190" s="13" t="s">
        <v>1330</v>
      </c>
      <c r="D190" s="13" t="n">
        <v>2022</v>
      </c>
      <c r="E190" s="52" t="n">
        <f aca="false">BS_Proj!C15</f>
        <v>159993389251</v>
      </c>
      <c r="F190" s="52" t="n">
        <f aca="false">BS_Proj!C28</f>
        <v>159993389251</v>
      </c>
      <c r="G190" s="102" t="n">
        <f aca="false">IF(COUNT(E190:F190)=2,E190-F190,"")</f>
        <v>0</v>
      </c>
      <c r="H190" s="103" t="n">
        <v>1</v>
      </c>
      <c r="I190" s="4" t="str">
        <f aca="false">IF(COUNT(E190:F190)&lt;2,"N/A",IF(ABS(G190)&lt;=H190,"OK","❌"))</f>
        <v>OK</v>
      </c>
      <c r="J190" s="103" t="s">
        <v>1246</v>
      </c>
      <c r="K190" s="4" t="str">
        <f aca="false">IF(I190=J190,"✔ sesuai","✖ TIDAK sesuai")</f>
        <v>✔ sesuai</v>
      </c>
      <c r="L190" s="104"/>
    </row>
    <row r="191" customFormat="false" ht="15" hidden="false" customHeight="false" outlineLevel="0" collapsed="false">
      <c r="A191" s="13" t="n">
        <v>185</v>
      </c>
      <c r="B191" s="13" t="s">
        <v>1326</v>
      </c>
      <c r="C191" s="13" t="s">
        <v>1331</v>
      </c>
      <c r="D191" s="13" t="n">
        <v>2022</v>
      </c>
      <c r="E191" s="52" t="n">
        <f aca="false">BS_Proj!C15</f>
        <v>159993389251</v>
      </c>
      <c r="F191" s="52" t="n">
        <f aca="false">BS!C27</f>
        <v>159993389251</v>
      </c>
      <c r="G191" s="102" t="n">
        <f aca="false">IF(COUNT(E191:F191)=2,E191-F191,"")</f>
        <v>0</v>
      </c>
      <c r="H191" s="103" t="n">
        <v>1</v>
      </c>
      <c r="I191" s="4" t="str">
        <f aca="false">IF(COUNT(E191:F191)&lt;2,"N/A",IF(ABS(G191)&lt;=H191,"OK","❌"))</f>
        <v>OK</v>
      </c>
      <c r="J191" s="103" t="s">
        <v>1246</v>
      </c>
      <c r="K191" s="4" t="str">
        <f aca="false">IF(I191=J191,"✔ sesuai","✖ TIDAK sesuai")</f>
        <v>✔ sesuai</v>
      </c>
      <c r="L191" s="104"/>
    </row>
    <row r="192" customFormat="false" ht="15" hidden="false" customHeight="false" outlineLevel="0" collapsed="false">
      <c r="A192" s="13" t="n">
        <v>186</v>
      </c>
      <c r="B192" s="13" t="s">
        <v>1326</v>
      </c>
      <c r="C192" s="13" t="s">
        <v>1327</v>
      </c>
      <c r="D192" s="13" t="n">
        <v>2023</v>
      </c>
      <c r="E192" s="52" t="n">
        <f aca="false">IS_Proj!D19</f>
        <v>9749721055</v>
      </c>
      <c r="F192" s="52" t="n">
        <f aca="false">IS!D14</f>
        <v>9749721055</v>
      </c>
      <c r="G192" s="102" t="n">
        <f aca="false">IF(COUNT(E192:F192)=2,E192-F192,"")</f>
        <v>0</v>
      </c>
      <c r="H192" s="103" t="n">
        <v>1</v>
      </c>
      <c r="I192" s="4" t="str">
        <f aca="false">IF(COUNT(E192:F192)&lt;2,"N/A",IF(ABS(G192)&lt;=H192,"OK","❌"))</f>
        <v>OK</v>
      </c>
      <c r="J192" s="103" t="s">
        <v>1246</v>
      </c>
      <c r="K192" s="4" t="str">
        <f aca="false">IF(I192=J192,"✔ sesuai","✖ TIDAK sesuai")</f>
        <v>✔ sesuai</v>
      </c>
      <c r="L192" s="104"/>
    </row>
    <row r="193" customFormat="false" ht="15" hidden="false" customHeight="false" outlineLevel="0" collapsed="false">
      <c r="A193" s="13" t="n">
        <v>187</v>
      </c>
      <c r="B193" s="13" t="s">
        <v>1326</v>
      </c>
      <c r="C193" s="13" t="s">
        <v>1328</v>
      </c>
      <c r="D193" s="13" t="n">
        <v>2023</v>
      </c>
      <c r="E193" s="52" t="n">
        <f aca="false">IS_Proj!D22</f>
        <v>2183735441</v>
      </c>
      <c r="F193" s="52" t="n">
        <f aca="false">IS!D17</f>
        <v>2183735441</v>
      </c>
      <c r="G193" s="102" t="n">
        <f aca="false">IF(COUNT(E193:F193)=2,E193-F193,"")</f>
        <v>0</v>
      </c>
      <c r="H193" s="103" t="n">
        <v>1</v>
      </c>
      <c r="I193" s="4" t="str">
        <f aca="false">IF(COUNT(E193:F193)&lt;2,"N/A",IF(ABS(G193)&lt;=H193,"OK","❌"))</f>
        <v>OK</v>
      </c>
      <c r="J193" s="103" t="s">
        <v>1246</v>
      </c>
      <c r="K193" s="4" t="str">
        <f aca="false">IF(I193=J193,"✔ sesuai","✖ TIDAK sesuai")</f>
        <v>✔ sesuai</v>
      </c>
      <c r="L193" s="104"/>
    </row>
    <row r="194" customFormat="false" ht="15" hidden="false" customHeight="false" outlineLevel="0" collapsed="false">
      <c r="A194" s="13" t="n">
        <v>188</v>
      </c>
      <c r="B194" s="13" t="s">
        <v>1326</v>
      </c>
      <c r="C194" s="13" t="s">
        <v>1329</v>
      </c>
      <c r="D194" s="13" t="n">
        <v>2023</v>
      </c>
      <c r="E194" s="52" t="n">
        <f aca="false">IS_Proj!D10</f>
        <v>134187678929</v>
      </c>
      <c r="F194" s="52" t="n">
        <f aca="false">IS_Proj!D6+IS_Proj!D7+IS_Proj!D8+IS_Proj!D9</f>
        <v>134187678929</v>
      </c>
      <c r="G194" s="102" t="n">
        <f aca="false">IF(COUNT(E194:F194)=2,E194-F194,"")</f>
        <v>0</v>
      </c>
      <c r="H194" s="103" t="n">
        <v>1</v>
      </c>
      <c r="I194" s="4" t="str">
        <f aca="false">IF(COUNT(E194:F194)&lt;2,"N/A",IF(ABS(G194)&lt;=H194,"OK","❌"))</f>
        <v>OK</v>
      </c>
      <c r="J194" s="103" t="s">
        <v>1246</v>
      </c>
      <c r="K194" s="4" t="str">
        <f aca="false">IF(I194=J194,"✔ sesuai","✖ TIDAK sesuai")</f>
        <v>✔ sesuai</v>
      </c>
      <c r="L194" s="104"/>
    </row>
    <row r="195" customFormat="false" ht="15" hidden="false" customHeight="false" outlineLevel="0" collapsed="false">
      <c r="A195" s="13" t="n">
        <v>189</v>
      </c>
      <c r="B195" s="13" t="s">
        <v>1326</v>
      </c>
      <c r="C195" s="13" t="s">
        <v>1330</v>
      </c>
      <c r="D195" s="13" t="n">
        <v>2023</v>
      </c>
      <c r="E195" s="52" t="n">
        <f aca="false">BS_Proj!D15</f>
        <v>300669892837</v>
      </c>
      <c r="F195" s="52" t="n">
        <f aca="false">BS_Proj!D28</f>
        <v>300669892837</v>
      </c>
      <c r="G195" s="102" t="n">
        <f aca="false">IF(COUNT(E195:F195)=2,E195-F195,"")</f>
        <v>0</v>
      </c>
      <c r="H195" s="103" t="n">
        <v>1</v>
      </c>
      <c r="I195" s="4" t="str">
        <f aca="false">IF(COUNT(E195:F195)&lt;2,"N/A",IF(ABS(G195)&lt;=H195,"OK","❌"))</f>
        <v>OK</v>
      </c>
      <c r="J195" s="103" t="s">
        <v>1246</v>
      </c>
      <c r="K195" s="4" t="str">
        <f aca="false">IF(I195=J195,"✔ sesuai","✖ TIDAK sesuai")</f>
        <v>✔ sesuai</v>
      </c>
      <c r="L195" s="104"/>
    </row>
    <row r="196" customFormat="false" ht="15" hidden="false" customHeight="false" outlineLevel="0" collapsed="false">
      <c r="A196" s="13" t="n">
        <v>190</v>
      </c>
      <c r="B196" s="13" t="s">
        <v>1326</v>
      </c>
      <c r="C196" s="13" t="s">
        <v>1331</v>
      </c>
      <c r="D196" s="13" t="n">
        <v>2023</v>
      </c>
      <c r="E196" s="52" t="n">
        <f aca="false">BS_Proj!D15</f>
        <v>300669892837</v>
      </c>
      <c r="F196" s="52" t="n">
        <f aca="false">BS!D27</f>
        <v>300669892837</v>
      </c>
      <c r="G196" s="102" t="n">
        <f aca="false">IF(COUNT(E196:F196)=2,E196-F196,"")</f>
        <v>0</v>
      </c>
      <c r="H196" s="103" t="n">
        <v>1</v>
      </c>
      <c r="I196" s="4" t="str">
        <f aca="false">IF(COUNT(E196:F196)&lt;2,"N/A",IF(ABS(G196)&lt;=H196,"OK","❌"))</f>
        <v>OK</v>
      </c>
      <c r="J196" s="103" t="s">
        <v>1246</v>
      </c>
      <c r="K196" s="4" t="str">
        <f aca="false">IF(I196=J196,"✔ sesuai","✖ TIDAK sesuai")</f>
        <v>✔ sesuai</v>
      </c>
      <c r="L196" s="104"/>
    </row>
    <row r="197" customFormat="false" ht="15" hidden="false" customHeight="false" outlineLevel="0" collapsed="false">
      <c r="A197" s="13" t="n">
        <v>191</v>
      </c>
      <c r="B197" s="13" t="s">
        <v>1326</v>
      </c>
      <c r="C197" s="13" t="s">
        <v>1327</v>
      </c>
      <c r="D197" s="13" t="n">
        <v>2024</v>
      </c>
      <c r="E197" s="52" t="n">
        <f aca="false">IS_Proj!E19</f>
        <v>11625112156</v>
      </c>
      <c r="F197" s="52" t="n">
        <f aca="false">IS!E14</f>
        <v>11625112156</v>
      </c>
      <c r="G197" s="102" t="n">
        <f aca="false">IF(COUNT(E197:F197)=2,E197-F197,"")</f>
        <v>0</v>
      </c>
      <c r="H197" s="103" t="n">
        <v>1</v>
      </c>
      <c r="I197" s="4" t="str">
        <f aca="false">IF(COUNT(E197:F197)&lt;2,"N/A",IF(ABS(G197)&lt;=H197,"OK","❌"))</f>
        <v>OK</v>
      </c>
      <c r="J197" s="103" t="s">
        <v>1246</v>
      </c>
      <c r="K197" s="4" t="str">
        <f aca="false">IF(I197=J197,"✔ sesuai","✖ TIDAK sesuai")</f>
        <v>✔ sesuai</v>
      </c>
      <c r="L197" s="104"/>
    </row>
    <row r="198" customFormat="false" ht="15" hidden="false" customHeight="false" outlineLevel="0" collapsed="false">
      <c r="A198" s="13" t="n">
        <v>192</v>
      </c>
      <c r="B198" s="13" t="s">
        <v>1326</v>
      </c>
      <c r="C198" s="13" t="s">
        <v>1328</v>
      </c>
      <c r="D198" s="13" t="n">
        <v>2024</v>
      </c>
      <c r="E198" s="52" t="n">
        <f aca="false">IS_Proj!E22</f>
        <v>69501179</v>
      </c>
      <c r="F198" s="52" t="n">
        <f aca="false">IS!E17</f>
        <v>69501179</v>
      </c>
      <c r="G198" s="102" t="n">
        <f aca="false">IF(COUNT(E198:F198)=2,E198-F198,"")</f>
        <v>0</v>
      </c>
      <c r="H198" s="103" t="n">
        <v>1</v>
      </c>
      <c r="I198" s="4" t="str">
        <f aca="false">IF(COUNT(E198:F198)&lt;2,"N/A",IF(ABS(G198)&lt;=H198,"OK","❌"))</f>
        <v>OK</v>
      </c>
      <c r="J198" s="103" t="s">
        <v>1246</v>
      </c>
      <c r="K198" s="4" t="str">
        <f aca="false">IF(I198=J198,"✔ sesuai","✖ TIDAK sesuai")</f>
        <v>✔ sesuai</v>
      </c>
      <c r="L198" s="104"/>
    </row>
    <row r="199" customFormat="false" ht="15" hidden="false" customHeight="false" outlineLevel="0" collapsed="false">
      <c r="A199" s="13" t="n">
        <v>193</v>
      </c>
      <c r="B199" s="13" t="s">
        <v>1326</v>
      </c>
      <c r="C199" s="13" t="s">
        <v>1329</v>
      </c>
      <c r="D199" s="13" t="n">
        <v>2024</v>
      </c>
      <c r="E199" s="52" t="n">
        <f aca="false">IS_Proj!E10</f>
        <v>152142248784</v>
      </c>
      <c r="F199" s="52" t="n">
        <f aca="false">IS_Proj!E6+IS_Proj!E7+IS_Proj!E8+IS_Proj!E9</f>
        <v>152142248784</v>
      </c>
      <c r="G199" s="102" t="n">
        <f aca="false">IF(COUNT(E199:F199)=2,E199-F199,"")</f>
        <v>0</v>
      </c>
      <c r="H199" s="103" t="n">
        <v>1</v>
      </c>
      <c r="I199" s="4" t="str">
        <f aca="false">IF(COUNT(E199:F199)&lt;2,"N/A",IF(ABS(G199)&lt;=H199,"OK","❌"))</f>
        <v>OK</v>
      </c>
      <c r="J199" s="103" t="s">
        <v>1246</v>
      </c>
      <c r="K199" s="4" t="str">
        <f aca="false">IF(I199=J199,"✔ sesuai","✖ TIDAK sesuai")</f>
        <v>✔ sesuai</v>
      </c>
      <c r="L199" s="104"/>
    </row>
    <row r="200" customFormat="false" ht="15" hidden="false" customHeight="false" outlineLevel="0" collapsed="false">
      <c r="A200" s="13" t="n">
        <v>194</v>
      </c>
      <c r="B200" s="13" t="s">
        <v>1326</v>
      </c>
      <c r="C200" s="13" t="s">
        <v>1330</v>
      </c>
      <c r="D200" s="13" t="n">
        <v>2024</v>
      </c>
      <c r="E200" s="52" t="n">
        <f aca="false">BS_Proj!E15</f>
        <v>268100239912</v>
      </c>
      <c r="F200" s="52" t="n">
        <f aca="false">BS_Proj!E28</f>
        <v>268100239912</v>
      </c>
      <c r="G200" s="102" t="n">
        <f aca="false">IF(COUNT(E200:F200)=2,E200-F200,"")</f>
        <v>0</v>
      </c>
      <c r="H200" s="103" t="n">
        <v>1</v>
      </c>
      <c r="I200" s="4" t="str">
        <f aca="false">IF(COUNT(E200:F200)&lt;2,"N/A",IF(ABS(G200)&lt;=H200,"OK","❌"))</f>
        <v>OK</v>
      </c>
      <c r="J200" s="103" t="s">
        <v>1246</v>
      </c>
      <c r="K200" s="4" t="str">
        <f aca="false">IF(I200=J200,"✔ sesuai","✖ TIDAK sesuai")</f>
        <v>✔ sesuai</v>
      </c>
      <c r="L200" s="104"/>
    </row>
    <row r="201" customFormat="false" ht="15" hidden="false" customHeight="false" outlineLevel="0" collapsed="false">
      <c r="A201" s="13" t="n">
        <v>195</v>
      </c>
      <c r="B201" s="13" t="s">
        <v>1326</v>
      </c>
      <c r="C201" s="13" t="s">
        <v>1331</v>
      </c>
      <c r="D201" s="13" t="n">
        <v>2024</v>
      </c>
      <c r="E201" s="52" t="n">
        <f aca="false">BS_Proj!E15</f>
        <v>268100239912</v>
      </c>
      <c r="F201" s="52" t="n">
        <f aca="false">BS!E27</f>
        <v>268100239912</v>
      </c>
      <c r="G201" s="102" t="n">
        <f aca="false">IF(COUNT(E201:F201)=2,E201-F201,"")</f>
        <v>0</v>
      </c>
      <c r="H201" s="103" t="n">
        <v>1</v>
      </c>
      <c r="I201" s="4" t="str">
        <f aca="false">IF(COUNT(E201:F201)&lt;2,"N/A",IF(ABS(G201)&lt;=H201,"OK","❌"))</f>
        <v>OK</v>
      </c>
      <c r="J201" s="103" t="s">
        <v>1246</v>
      </c>
      <c r="K201" s="4" t="str">
        <f aca="false">IF(I201=J201,"✔ sesuai","✖ TIDAK sesuai")</f>
        <v>✔ sesuai</v>
      </c>
      <c r="L201" s="104"/>
    </row>
    <row r="202" customFormat="false" ht="15" hidden="false" customHeight="false" outlineLevel="0" collapsed="false">
      <c r="A202" s="13" t="n">
        <v>196</v>
      </c>
      <c r="B202" s="13" t="s">
        <v>1326</v>
      </c>
      <c r="C202" s="13" t="s">
        <v>1327</v>
      </c>
      <c r="D202" s="13" t="n">
        <v>2025</v>
      </c>
      <c r="E202" s="52" t="n">
        <f aca="false">IS_Proj!F19</f>
        <v>2740508237</v>
      </c>
      <c r="F202" s="52" t="n">
        <f aca="false">IS!F14</f>
        <v>2740508237</v>
      </c>
      <c r="G202" s="102" t="n">
        <f aca="false">IF(COUNT(E202:F202)=2,E202-F202,"")</f>
        <v>0</v>
      </c>
      <c r="H202" s="103" t="n">
        <v>1</v>
      </c>
      <c r="I202" s="4" t="str">
        <f aca="false">IF(COUNT(E202:F202)&lt;2,"N/A",IF(ABS(G202)&lt;=H202,"OK","❌"))</f>
        <v>OK</v>
      </c>
      <c r="J202" s="103" t="s">
        <v>1246</v>
      </c>
      <c r="K202" s="4" t="str">
        <f aca="false">IF(I202=J202,"✔ sesuai","✖ TIDAK sesuai")</f>
        <v>✔ sesuai</v>
      </c>
      <c r="L202" s="104"/>
    </row>
    <row r="203" customFormat="false" ht="15" hidden="false" customHeight="false" outlineLevel="0" collapsed="false">
      <c r="A203" s="13" t="n">
        <v>197</v>
      </c>
      <c r="B203" s="13" t="s">
        <v>1326</v>
      </c>
      <c r="C203" s="13" t="s">
        <v>1328</v>
      </c>
      <c r="D203" s="13" t="n">
        <v>2025</v>
      </c>
      <c r="E203" s="52" t="n">
        <f aca="false">IS_Proj!F22</f>
        <v>5688939656</v>
      </c>
      <c r="F203" s="52" t="n">
        <f aca="false">IS!F17</f>
        <v>5688939656</v>
      </c>
      <c r="G203" s="102" t="n">
        <f aca="false">IF(COUNT(E203:F203)=2,E203-F203,"")</f>
        <v>0</v>
      </c>
      <c r="H203" s="103" t="n">
        <v>1</v>
      </c>
      <c r="I203" s="4" t="str">
        <f aca="false">IF(COUNT(E203:F203)&lt;2,"N/A",IF(ABS(G203)&lt;=H203,"OK","❌"))</f>
        <v>OK</v>
      </c>
      <c r="J203" s="103" t="s">
        <v>1246</v>
      </c>
      <c r="K203" s="4" t="str">
        <f aca="false">IF(I203=J203,"✔ sesuai","✖ TIDAK sesuai")</f>
        <v>✔ sesuai</v>
      </c>
      <c r="L203" s="104"/>
    </row>
    <row r="204" customFormat="false" ht="15" hidden="false" customHeight="false" outlineLevel="0" collapsed="false">
      <c r="A204" s="13" t="n">
        <v>198</v>
      </c>
      <c r="B204" s="13" t="s">
        <v>1326</v>
      </c>
      <c r="C204" s="13" t="s">
        <v>1329</v>
      </c>
      <c r="D204" s="13" t="n">
        <v>2025</v>
      </c>
      <c r="E204" s="52" t="n">
        <f aca="false">IS_Proj!F10</f>
        <v>144873268389</v>
      </c>
      <c r="F204" s="52" t="n">
        <f aca="false">IS_Proj!F6+IS_Proj!F7+IS_Proj!F8+IS_Proj!F9</f>
        <v>144873268389</v>
      </c>
      <c r="G204" s="102" t="n">
        <f aca="false">IF(COUNT(E204:F204)=2,E204-F204,"")</f>
        <v>0</v>
      </c>
      <c r="H204" s="103" t="n">
        <v>1</v>
      </c>
      <c r="I204" s="4" t="str">
        <f aca="false">IF(COUNT(E204:F204)&lt;2,"N/A",IF(ABS(G204)&lt;=H204,"OK","❌"))</f>
        <v>OK</v>
      </c>
      <c r="J204" s="103" t="s">
        <v>1246</v>
      </c>
      <c r="K204" s="4" t="str">
        <f aca="false">IF(I204=J204,"✔ sesuai","✖ TIDAK sesuai")</f>
        <v>✔ sesuai</v>
      </c>
      <c r="L204" s="104"/>
    </row>
    <row r="205" customFormat="false" ht="15" hidden="false" customHeight="false" outlineLevel="0" collapsed="false">
      <c r="A205" s="13" t="n">
        <v>199</v>
      </c>
      <c r="B205" s="13" t="s">
        <v>1326</v>
      </c>
      <c r="C205" s="13" t="s">
        <v>1330</v>
      </c>
      <c r="D205" s="13" t="n">
        <v>2025</v>
      </c>
      <c r="E205" s="52" t="n">
        <f aca="false">BS_Proj!F15</f>
        <v>330212870495</v>
      </c>
      <c r="F205" s="52" t="n">
        <f aca="false">BS_Proj!F28</f>
        <v>330212870495</v>
      </c>
      <c r="G205" s="102" t="n">
        <f aca="false">IF(COUNT(E205:F205)=2,E205-F205,"")</f>
        <v>0</v>
      </c>
      <c r="H205" s="103" t="n">
        <v>1</v>
      </c>
      <c r="I205" s="4" t="str">
        <f aca="false">IF(COUNT(E205:F205)&lt;2,"N/A",IF(ABS(G205)&lt;=H205,"OK","❌"))</f>
        <v>OK</v>
      </c>
      <c r="J205" s="103" t="s">
        <v>1246</v>
      </c>
      <c r="K205" s="4" t="str">
        <f aca="false">IF(I205=J205,"✔ sesuai","✖ TIDAK sesuai")</f>
        <v>✔ sesuai</v>
      </c>
      <c r="L205" s="104"/>
    </row>
    <row r="206" customFormat="false" ht="15" hidden="false" customHeight="false" outlineLevel="0" collapsed="false">
      <c r="A206" s="13" t="n">
        <v>200</v>
      </c>
      <c r="B206" s="13" t="s">
        <v>1326</v>
      </c>
      <c r="C206" s="13" t="s">
        <v>1331</v>
      </c>
      <c r="D206" s="13" t="n">
        <v>2025</v>
      </c>
      <c r="E206" s="52" t="n">
        <f aca="false">BS_Proj!F15</f>
        <v>330212870495</v>
      </c>
      <c r="F206" s="52" t="n">
        <f aca="false">BS!F27</f>
        <v>330212870495</v>
      </c>
      <c r="G206" s="102" t="n">
        <f aca="false">IF(COUNT(E206:F206)=2,E206-F206,"")</f>
        <v>0</v>
      </c>
      <c r="H206" s="103" t="n">
        <v>1</v>
      </c>
      <c r="I206" s="4" t="str">
        <f aca="false">IF(COUNT(E206:F206)&lt;2,"N/A",IF(ABS(G206)&lt;=H206,"OK","❌"))</f>
        <v>OK</v>
      </c>
      <c r="J206" s="103" t="s">
        <v>1246</v>
      </c>
      <c r="K206" s="4" t="str">
        <f aca="false">IF(I206=J206,"✔ sesuai","✖ TIDAK sesuai")</f>
        <v>✔ sesuai</v>
      </c>
      <c r="L206" s="104"/>
    </row>
    <row r="207" customFormat="false" ht="15" hidden="false" customHeight="false" outlineLevel="0" collapsed="false">
      <c r="A207" s="13" t="n">
        <v>201</v>
      </c>
      <c r="B207" s="13" t="s">
        <v>1332</v>
      </c>
      <c r="C207" s="13" t="s">
        <v>1333</v>
      </c>
      <c r="D207" s="13" t="n">
        <v>2026</v>
      </c>
      <c r="E207" s="52" t="n">
        <f aca="false">BS_Proj!G15</f>
        <v>330265475040.983</v>
      </c>
      <c r="F207" s="52" t="n">
        <f aca="false">BS_Proj!G28</f>
        <v>330265475040.983</v>
      </c>
      <c r="G207" s="102" t="n">
        <f aca="false">IF(COUNT(E207:F207)=2,E207-F207,"")</f>
        <v>0</v>
      </c>
      <c r="H207" s="103" t="n">
        <v>1</v>
      </c>
      <c r="I207" s="4" t="str">
        <f aca="false">IF(COUNT(E207:F207)&lt;2,"N/A",IF(ABS(G207)&lt;=H207,"OK","❌"))</f>
        <v>OK</v>
      </c>
      <c r="J207" s="103" t="s">
        <v>1246</v>
      </c>
      <c r="K207" s="4" t="str">
        <f aca="false">IF(I207=J207,"✔ sesuai","✖ TIDAK sesuai")</f>
        <v>✔ sesuai</v>
      </c>
      <c r="L207" s="104"/>
    </row>
    <row r="208" customFormat="false" ht="15" hidden="false" customHeight="false" outlineLevel="0" collapsed="false">
      <c r="A208" s="13" t="n">
        <v>202</v>
      </c>
      <c r="B208" s="13" t="s">
        <v>1332</v>
      </c>
      <c r="C208" s="13" t="s">
        <v>1334</v>
      </c>
      <c r="D208" s="13" t="n">
        <v>2026</v>
      </c>
      <c r="E208" s="52" t="n">
        <f aca="false">CF_Proj!G24</f>
        <v>-2019569903.23345</v>
      </c>
      <c r="F208" s="52" t="n">
        <f aca="false">BS_Proj!G6</f>
        <v>-2019569903.23345</v>
      </c>
      <c r="G208" s="102" t="n">
        <f aca="false">IF(COUNT(E208:F208)=2,E208-F208,"")</f>
        <v>0</v>
      </c>
      <c r="H208" s="103" t="n">
        <v>1</v>
      </c>
      <c r="I208" s="4" t="str">
        <f aca="false">IF(COUNT(E208:F208)&lt;2,"N/A",IF(ABS(G208)&lt;=H208,"OK","❌"))</f>
        <v>OK</v>
      </c>
      <c r="J208" s="103" t="s">
        <v>1246</v>
      </c>
      <c r="K208" s="4" t="str">
        <f aca="false">IF(I208=J208,"✔ sesuai","✖ TIDAK sesuai")</f>
        <v>✔ sesuai</v>
      </c>
      <c r="L208" s="104"/>
    </row>
    <row r="209" customFormat="false" ht="15" hidden="false" customHeight="false" outlineLevel="0" collapsed="false">
      <c r="A209" s="13" t="n">
        <v>203</v>
      </c>
      <c r="B209" s="13" t="s">
        <v>1332</v>
      </c>
      <c r="C209" s="13" t="s">
        <v>1335</v>
      </c>
      <c r="D209" s="13" t="n">
        <v>2026</v>
      </c>
      <c r="E209" s="52" t="n">
        <f aca="false">BS_Proj!G24</f>
        <v>32254547442.8847</v>
      </c>
      <c r="F209" s="52" t="n">
        <f aca="false">BS_Proj!F24+IS_Proj!G27+CF_Proj!G19</f>
        <v>32254547442.8847</v>
      </c>
      <c r="G209" s="102" t="n">
        <f aca="false">IF(COUNT(E209:F209)=2,E209-F209,"")</f>
        <v>0</v>
      </c>
      <c r="H209" s="103" t="n">
        <v>1</v>
      </c>
      <c r="I209" s="4" t="str">
        <f aca="false">IF(COUNT(E209:F209)&lt;2,"N/A",IF(ABS(G209)&lt;=H209,"OK","❌"))</f>
        <v>OK</v>
      </c>
      <c r="J209" s="103" t="s">
        <v>1246</v>
      </c>
      <c r="K209" s="4" t="str">
        <f aca="false">IF(I209=J209,"✔ sesuai","✖ TIDAK sesuai")</f>
        <v>✔ sesuai</v>
      </c>
      <c r="L209" s="104"/>
    </row>
    <row r="210" customFormat="false" ht="15" hidden="false" customHeight="false" outlineLevel="0" collapsed="false">
      <c r="A210" s="13" t="n">
        <v>204</v>
      </c>
      <c r="B210" s="13" t="s">
        <v>1332</v>
      </c>
      <c r="C210" s="13" t="s">
        <v>1336</v>
      </c>
      <c r="D210" s="13" t="n">
        <v>2026</v>
      </c>
      <c r="E210" s="52" t="n">
        <f aca="false">BS_Proj!G11</f>
        <v>129941955848.362</v>
      </c>
      <c r="F210" s="52" t="n">
        <f aca="false">BS_Proj!F11+Schedules_Proj!G7+Schedules_Proj!G8-Schedules_Proj!G9</f>
        <v>129941955848.362</v>
      </c>
      <c r="G210" s="102" t="n">
        <f aca="false">IF(COUNT(E210:F210)=2,E210-F210,"")</f>
        <v>0</v>
      </c>
      <c r="H210" s="103" t="n">
        <v>1</v>
      </c>
      <c r="I210" s="4" t="str">
        <f aca="false">IF(COUNT(E210:F210)&lt;2,"N/A",IF(ABS(G210)&lt;=H210,"OK","❌"))</f>
        <v>OK</v>
      </c>
      <c r="J210" s="103" t="s">
        <v>1246</v>
      </c>
      <c r="K210" s="4" t="str">
        <f aca="false">IF(I210=J210,"✔ sesuai","✖ TIDAK sesuai")</f>
        <v>✔ sesuai</v>
      </c>
      <c r="L210" s="104"/>
    </row>
    <row r="211" customFormat="false" ht="15" hidden="false" customHeight="false" outlineLevel="0" collapsed="false">
      <c r="A211" s="13" t="n">
        <v>205</v>
      </c>
      <c r="B211" s="13" t="s">
        <v>1332</v>
      </c>
      <c r="C211" s="13" t="s">
        <v>1337</v>
      </c>
      <c r="D211" s="13" t="n">
        <v>2026</v>
      </c>
      <c r="E211" s="72" t="n">
        <f aca="false">IF(BS_Proj!G6&gt;=0,0,1)</f>
        <v>1</v>
      </c>
      <c r="F211" s="86" t="n">
        <f aca="false">0</f>
        <v>0</v>
      </c>
      <c r="G211" s="105" t="n">
        <f aca="false">IF(COUNT(E211:F211)=2,E211-F211,"")</f>
        <v>1</v>
      </c>
      <c r="H211" s="103" t="n">
        <v>0</v>
      </c>
      <c r="I211" s="4" t="str">
        <f aca="false">IF(COUNT(E211:F211)&lt;2,"N/A",IF(ABS(G211)&lt;=H211,"OK","INFO"))</f>
        <v>INFO</v>
      </c>
      <c r="J211" s="103" t="s">
        <v>1338</v>
      </c>
      <c r="K211" s="4" t="str">
        <f aca="false">IF(I211=J211,"✔ sesuai","✖ TIDAK sesuai")</f>
        <v>✔ sesuai</v>
      </c>
      <c r="L211" s="104" t="s">
        <v>1339</v>
      </c>
    </row>
    <row r="212" customFormat="false" ht="15" hidden="false" customHeight="false" outlineLevel="0" collapsed="false">
      <c r="A212" s="13" t="n">
        <v>206</v>
      </c>
      <c r="B212" s="13" t="s">
        <v>1332</v>
      </c>
      <c r="C212" s="13" t="s">
        <v>1333</v>
      </c>
      <c r="D212" s="13" t="n">
        <v>2027</v>
      </c>
      <c r="E212" s="52" t="n">
        <f aca="false">BS_Proj!H15</f>
        <v>332175019247.365</v>
      </c>
      <c r="F212" s="52" t="n">
        <f aca="false">BS_Proj!H28</f>
        <v>332175019247.365</v>
      </c>
      <c r="G212" s="102" t="n">
        <f aca="false">IF(COUNT(E212:F212)=2,E212-F212,"")</f>
        <v>0</v>
      </c>
      <c r="H212" s="103" t="n">
        <v>1</v>
      </c>
      <c r="I212" s="4" t="str">
        <f aca="false">IF(COUNT(E212:F212)&lt;2,"N/A",IF(ABS(G212)&lt;=H212,"OK","❌"))</f>
        <v>OK</v>
      </c>
      <c r="J212" s="103" t="s">
        <v>1246</v>
      </c>
      <c r="K212" s="4" t="str">
        <f aca="false">IF(I212=J212,"✔ sesuai","✖ TIDAK sesuai")</f>
        <v>✔ sesuai</v>
      </c>
      <c r="L212" s="104"/>
    </row>
    <row r="213" customFormat="false" ht="15" hidden="false" customHeight="false" outlineLevel="0" collapsed="false">
      <c r="A213" s="13" t="n">
        <v>207</v>
      </c>
      <c r="B213" s="13" t="s">
        <v>1332</v>
      </c>
      <c r="C213" s="13" t="s">
        <v>1334</v>
      </c>
      <c r="D213" s="13" t="n">
        <v>2027</v>
      </c>
      <c r="E213" s="52" t="n">
        <f aca="false">CF_Proj!H24</f>
        <v>-5044437925.79749</v>
      </c>
      <c r="F213" s="52" t="n">
        <f aca="false">BS_Proj!H6</f>
        <v>-5044437925.79749</v>
      </c>
      <c r="G213" s="102" t="n">
        <f aca="false">IF(COUNT(E213:F213)=2,E213-F213,"")</f>
        <v>0</v>
      </c>
      <c r="H213" s="103" t="n">
        <v>1</v>
      </c>
      <c r="I213" s="4" t="str">
        <f aca="false">IF(COUNT(E213:F213)&lt;2,"N/A",IF(ABS(G213)&lt;=H213,"OK","❌"))</f>
        <v>OK</v>
      </c>
      <c r="J213" s="103" t="s">
        <v>1246</v>
      </c>
      <c r="K213" s="4" t="str">
        <f aca="false">IF(I213=J213,"✔ sesuai","✖ TIDAK sesuai")</f>
        <v>✔ sesuai</v>
      </c>
      <c r="L213" s="104"/>
    </row>
    <row r="214" customFormat="false" ht="15" hidden="false" customHeight="false" outlineLevel="0" collapsed="false">
      <c r="A214" s="13" t="n">
        <v>208</v>
      </c>
      <c r="B214" s="13" t="s">
        <v>1332</v>
      </c>
      <c r="C214" s="13" t="s">
        <v>1335</v>
      </c>
      <c r="D214" s="13" t="n">
        <v>2027</v>
      </c>
      <c r="E214" s="52" t="n">
        <f aca="false">BS_Proj!H24</f>
        <v>33658793279.9787</v>
      </c>
      <c r="F214" s="52" t="n">
        <f aca="false">BS_Proj!G24+IS_Proj!H27+CF_Proj!H19</f>
        <v>33658793279.9787</v>
      </c>
      <c r="G214" s="102" t="n">
        <f aca="false">IF(COUNT(E214:F214)=2,E214-F214,"")</f>
        <v>0</v>
      </c>
      <c r="H214" s="103" t="n">
        <v>1</v>
      </c>
      <c r="I214" s="4" t="str">
        <f aca="false">IF(COUNT(E214:F214)&lt;2,"N/A",IF(ABS(G214)&lt;=H214,"OK","❌"))</f>
        <v>OK</v>
      </c>
      <c r="J214" s="103" t="s">
        <v>1246</v>
      </c>
      <c r="K214" s="4" t="str">
        <f aca="false">IF(I214=J214,"✔ sesuai","✖ TIDAK sesuai")</f>
        <v>✔ sesuai</v>
      </c>
      <c r="L214" s="104"/>
    </row>
    <row r="215" customFormat="false" ht="15" hidden="false" customHeight="false" outlineLevel="0" collapsed="false">
      <c r="A215" s="13" t="n">
        <v>209</v>
      </c>
      <c r="B215" s="13" t="s">
        <v>1332</v>
      </c>
      <c r="C215" s="13" t="s">
        <v>1336</v>
      </c>
      <c r="D215" s="13" t="n">
        <v>2027</v>
      </c>
      <c r="E215" s="52" t="n">
        <f aca="false">BS_Proj!H11</f>
        <v>132932649112.68</v>
      </c>
      <c r="F215" s="52" t="n">
        <f aca="false">BS_Proj!G11+Schedules_Proj!H7+Schedules_Proj!H8-Schedules_Proj!H9</f>
        <v>132932649112.68</v>
      </c>
      <c r="G215" s="102" t="n">
        <f aca="false">IF(COUNT(E215:F215)=2,E215-F215,"")</f>
        <v>0</v>
      </c>
      <c r="H215" s="103" t="n">
        <v>1</v>
      </c>
      <c r="I215" s="4" t="str">
        <f aca="false">IF(COUNT(E215:F215)&lt;2,"N/A",IF(ABS(G215)&lt;=H215,"OK","❌"))</f>
        <v>OK</v>
      </c>
      <c r="J215" s="103" t="s">
        <v>1246</v>
      </c>
      <c r="K215" s="4" t="str">
        <f aca="false">IF(I215=J215,"✔ sesuai","✖ TIDAK sesuai")</f>
        <v>✔ sesuai</v>
      </c>
      <c r="L215" s="104"/>
    </row>
    <row r="216" customFormat="false" ht="15" hidden="false" customHeight="false" outlineLevel="0" collapsed="false">
      <c r="A216" s="13" t="n">
        <v>210</v>
      </c>
      <c r="B216" s="13" t="s">
        <v>1332</v>
      </c>
      <c r="C216" s="13" t="s">
        <v>1337</v>
      </c>
      <c r="D216" s="13" t="n">
        <v>2027</v>
      </c>
      <c r="E216" s="72" t="n">
        <f aca="false">IF(BS_Proj!H6&gt;=0,0,1)</f>
        <v>1</v>
      </c>
      <c r="F216" s="86" t="n">
        <f aca="false">0</f>
        <v>0</v>
      </c>
      <c r="G216" s="105" t="n">
        <f aca="false">IF(COUNT(E216:F216)=2,E216-F216,"")</f>
        <v>1</v>
      </c>
      <c r="H216" s="103" t="n">
        <v>0</v>
      </c>
      <c r="I216" s="4" t="str">
        <f aca="false">IF(COUNT(E216:F216)&lt;2,"N/A",IF(ABS(G216)&lt;=H216,"OK","INFO"))</f>
        <v>INFO</v>
      </c>
      <c r="J216" s="103" t="s">
        <v>1338</v>
      </c>
      <c r="K216" s="4" t="str">
        <f aca="false">IF(I216=J216,"✔ sesuai","✖ TIDAK sesuai")</f>
        <v>✔ sesuai</v>
      </c>
      <c r="L216" s="104" t="s">
        <v>1339</v>
      </c>
    </row>
    <row r="217" customFormat="false" ht="15" hidden="false" customHeight="false" outlineLevel="0" collapsed="false">
      <c r="A217" s="13" t="n">
        <v>211</v>
      </c>
      <c r="B217" s="13" t="s">
        <v>1332</v>
      </c>
      <c r="C217" s="13" t="s">
        <v>1333</v>
      </c>
      <c r="D217" s="13" t="n">
        <v>2028</v>
      </c>
      <c r="E217" s="52" t="n">
        <f aca="false">BS_Proj!I15</f>
        <v>335242108156.323</v>
      </c>
      <c r="F217" s="52" t="n">
        <f aca="false">BS_Proj!I28</f>
        <v>335242108156.323</v>
      </c>
      <c r="G217" s="102" t="n">
        <f aca="false">IF(COUNT(E217:F217)=2,E217-F217,"")</f>
        <v>0</v>
      </c>
      <c r="H217" s="103" t="n">
        <v>1</v>
      </c>
      <c r="I217" s="4" t="str">
        <f aca="false">IF(COUNT(E217:F217)&lt;2,"N/A",IF(ABS(G217)&lt;=H217,"OK","❌"))</f>
        <v>OK</v>
      </c>
      <c r="J217" s="103" t="s">
        <v>1246</v>
      </c>
      <c r="K217" s="4" t="str">
        <f aca="false">IF(I217=J217,"✔ sesuai","✖ TIDAK sesuai")</f>
        <v>✔ sesuai</v>
      </c>
      <c r="L217" s="104"/>
    </row>
    <row r="218" customFormat="false" ht="15" hidden="false" customHeight="false" outlineLevel="0" collapsed="false">
      <c r="A218" s="13" t="n">
        <v>212</v>
      </c>
      <c r="B218" s="13" t="s">
        <v>1332</v>
      </c>
      <c r="C218" s="13" t="s">
        <v>1334</v>
      </c>
      <c r="D218" s="13" t="n">
        <v>2028</v>
      </c>
      <c r="E218" s="52" t="n">
        <f aca="false">CF_Proj!I24</f>
        <v>-8035133083.33038</v>
      </c>
      <c r="F218" s="52" t="n">
        <f aca="false">BS_Proj!I6</f>
        <v>-8035133083.33038</v>
      </c>
      <c r="G218" s="102" t="n">
        <f aca="false">IF(COUNT(E218:F218)=2,E218-F218,"")</f>
        <v>0</v>
      </c>
      <c r="H218" s="103" t="n">
        <v>1</v>
      </c>
      <c r="I218" s="4" t="str">
        <f aca="false">IF(COUNT(E218:F218)&lt;2,"N/A",IF(ABS(G218)&lt;=H218,"OK","❌"))</f>
        <v>OK</v>
      </c>
      <c r="J218" s="103" t="s">
        <v>1246</v>
      </c>
      <c r="K218" s="4" t="str">
        <f aca="false">IF(I218=J218,"✔ sesuai","✖ TIDAK sesuai")</f>
        <v>✔ sesuai</v>
      </c>
      <c r="L218" s="104"/>
    </row>
    <row r="219" customFormat="false" ht="15" hidden="false" customHeight="false" outlineLevel="0" collapsed="false">
      <c r="A219" s="13" t="n">
        <v>213</v>
      </c>
      <c r="B219" s="13" t="s">
        <v>1332</v>
      </c>
      <c r="C219" s="13" t="s">
        <v>1335</v>
      </c>
      <c r="D219" s="13" t="n">
        <v>2028</v>
      </c>
      <c r="E219" s="52" t="n">
        <f aca="false">BS_Proj!I24</f>
        <v>36180159950.106</v>
      </c>
      <c r="F219" s="52" t="n">
        <f aca="false">BS_Proj!H24+IS_Proj!I27+CF_Proj!I19</f>
        <v>36180159950.106</v>
      </c>
      <c r="G219" s="102" t="n">
        <f aca="false">IF(COUNT(E219:F219)=2,E219-F219,"")</f>
        <v>0</v>
      </c>
      <c r="H219" s="103" t="n">
        <v>1</v>
      </c>
      <c r="I219" s="4" t="str">
        <f aca="false">IF(COUNT(E219:F219)&lt;2,"N/A",IF(ABS(G219)&lt;=H219,"OK","❌"))</f>
        <v>OK</v>
      </c>
      <c r="J219" s="103" t="s">
        <v>1246</v>
      </c>
      <c r="K219" s="4" t="str">
        <f aca="false">IF(I219=J219,"✔ sesuai","✖ TIDAK sesuai")</f>
        <v>✔ sesuai</v>
      </c>
      <c r="L219" s="104"/>
    </row>
    <row r="220" customFormat="false" ht="15" hidden="false" customHeight="false" outlineLevel="0" collapsed="false">
      <c r="A220" s="13" t="n">
        <v>214</v>
      </c>
      <c r="B220" s="13" t="s">
        <v>1332</v>
      </c>
      <c r="C220" s="13" t="s">
        <v>1336</v>
      </c>
      <c r="D220" s="13" t="n">
        <v>2028</v>
      </c>
      <c r="E220" s="52" t="n">
        <f aca="false">BS_Proj!I11</f>
        <v>136891216697.372</v>
      </c>
      <c r="F220" s="52" t="n">
        <f aca="false">BS_Proj!H11+Schedules_Proj!I7+Schedules_Proj!I8-Schedules_Proj!I9</f>
        <v>136891216697.372</v>
      </c>
      <c r="G220" s="102" t="n">
        <f aca="false">IF(COUNT(E220:F220)=2,E220-F220,"")</f>
        <v>0</v>
      </c>
      <c r="H220" s="103" t="n">
        <v>1</v>
      </c>
      <c r="I220" s="4" t="str">
        <f aca="false">IF(COUNT(E220:F220)&lt;2,"N/A",IF(ABS(G220)&lt;=H220,"OK","❌"))</f>
        <v>OK</v>
      </c>
      <c r="J220" s="103" t="s">
        <v>1246</v>
      </c>
      <c r="K220" s="4" t="str">
        <f aca="false">IF(I220=J220,"✔ sesuai","✖ TIDAK sesuai")</f>
        <v>✔ sesuai</v>
      </c>
      <c r="L220" s="104"/>
    </row>
    <row r="221" customFormat="false" ht="15" hidden="false" customHeight="false" outlineLevel="0" collapsed="false">
      <c r="A221" s="13" t="n">
        <v>215</v>
      </c>
      <c r="B221" s="13" t="s">
        <v>1332</v>
      </c>
      <c r="C221" s="13" t="s">
        <v>1337</v>
      </c>
      <c r="D221" s="13" t="n">
        <v>2028</v>
      </c>
      <c r="E221" s="72" t="n">
        <f aca="false">IF(BS_Proj!I6&gt;=0,0,1)</f>
        <v>1</v>
      </c>
      <c r="F221" s="86" t="n">
        <f aca="false">0</f>
        <v>0</v>
      </c>
      <c r="G221" s="105" t="n">
        <f aca="false">IF(COUNT(E221:F221)=2,E221-F221,"")</f>
        <v>1</v>
      </c>
      <c r="H221" s="103" t="n">
        <v>0</v>
      </c>
      <c r="I221" s="4" t="str">
        <f aca="false">IF(COUNT(E221:F221)&lt;2,"N/A",IF(ABS(G221)&lt;=H221,"OK","INFO"))</f>
        <v>INFO</v>
      </c>
      <c r="J221" s="103" t="s">
        <v>1338</v>
      </c>
      <c r="K221" s="4" t="str">
        <f aca="false">IF(I221=J221,"✔ sesuai","✖ TIDAK sesuai")</f>
        <v>✔ sesuai</v>
      </c>
      <c r="L221" s="104" t="s">
        <v>1339</v>
      </c>
    </row>
    <row r="222" customFormat="false" ht="15" hidden="false" customHeight="false" outlineLevel="0" collapsed="false">
      <c r="A222" s="13" t="n">
        <v>216</v>
      </c>
      <c r="B222" s="13" t="s">
        <v>1332</v>
      </c>
      <c r="C222" s="13" t="s">
        <v>1333</v>
      </c>
      <c r="D222" s="13" t="n">
        <v>2029</v>
      </c>
      <c r="E222" s="52" t="n">
        <f aca="false">BS_Proj!J15</f>
        <v>339505573272.253</v>
      </c>
      <c r="F222" s="52" t="n">
        <f aca="false">BS_Proj!J28</f>
        <v>339505573272.253</v>
      </c>
      <c r="G222" s="102" t="n">
        <f aca="false">IF(COUNT(E222:F222)=2,E222-F222,"")</f>
        <v>0</v>
      </c>
      <c r="H222" s="103" t="n">
        <v>1</v>
      </c>
      <c r="I222" s="4" t="str">
        <f aca="false">IF(COUNT(E222:F222)&lt;2,"N/A",IF(ABS(G222)&lt;=H222,"OK","❌"))</f>
        <v>OK</v>
      </c>
      <c r="J222" s="103" t="s">
        <v>1246</v>
      </c>
      <c r="K222" s="4" t="str">
        <f aca="false">IF(I222=J222,"✔ sesuai","✖ TIDAK sesuai")</f>
        <v>✔ sesuai</v>
      </c>
      <c r="L222" s="104"/>
    </row>
    <row r="223" customFormat="false" ht="15" hidden="false" customHeight="false" outlineLevel="0" collapsed="false">
      <c r="A223" s="13" t="n">
        <v>217</v>
      </c>
      <c r="B223" s="13" t="s">
        <v>1332</v>
      </c>
      <c r="C223" s="13" t="s">
        <v>1334</v>
      </c>
      <c r="D223" s="13" t="n">
        <v>2029</v>
      </c>
      <c r="E223" s="52" t="n">
        <f aca="false">CF_Proj!J24</f>
        <v>-10970997522.6925</v>
      </c>
      <c r="F223" s="52" t="n">
        <f aca="false">BS_Proj!J6</f>
        <v>-10970997522.6925</v>
      </c>
      <c r="G223" s="102" t="n">
        <f aca="false">IF(COUNT(E223:F223)=2,E223-F223,"")</f>
        <v>0</v>
      </c>
      <c r="H223" s="103" t="n">
        <v>1</v>
      </c>
      <c r="I223" s="4" t="str">
        <f aca="false">IF(COUNT(E223:F223)&lt;2,"N/A",IF(ABS(G223)&lt;=H223,"OK","❌"))</f>
        <v>OK</v>
      </c>
      <c r="J223" s="103" t="s">
        <v>1246</v>
      </c>
      <c r="K223" s="4" t="str">
        <f aca="false">IF(I223=J223,"✔ sesuai","✖ TIDAK sesuai")</f>
        <v>✔ sesuai</v>
      </c>
      <c r="L223" s="104"/>
    </row>
    <row r="224" customFormat="false" ht="15" hidden="false" customHeight="false" outlineLevel="0" collapsed="false">
      <c r="A224" s="13" t="n">
        <v>218</v>
      </c>
      <c r="B224" s="13" t="s">
        <v>1332</v>
      </c>
      <c r="C224" s="13" t="s">
        <v>1335</v>
      </c>
      <c r="D224" s="13" t="n">
        <v>2029</v>
      </c>
      <c r="E224" s="52" t="n">
        <f aca="false">BS_Proj!J24</f>
        <v>39854245048.0981</v>
      </c>
      <c r="F224" s="52" t="n">
        <f aca="false">BS_Proj!I24+IS_Proj!J27+CF_Proj!J19</f>
        <v>39854245048.0981</v>
      </c>
      <c r="G224" s="102" t="n">
        <f aca="false">IF(COUNT(E224:F224)=2,E224-F224,"")</f>
        <v>0</v>
      </c>
      <c r="H224" s="103" t="n">
        <v>1</v>
      </c>
      <c r="I224" s="4" t="str">
        <f aca="false">IF(COUNT(E224:F224)&lt;2,"N/A",IF(ABS(G224)&lt;=H224,"OK","❌"))</f>
        <v>OK</v>
      </c>
      <c r="J224" s="103" t="s">
        <v>1246</v>
      </c>
      <c r="K224" s="4" t="str">
        <f aca="false">IF(I224=J224,"✔ sesuai","✖ TIDAK sesuai")</f>
        <v>✔ sesuai</v>
      </c>
      <c r="L224" s="104"/>
    </row>
    <row r="225" customFormat="false" ht="15" hidden="false" customHeight="false" outlineLevel="0" collapsed="false">
      <c r="A225" s="13" t="n">
        <v>219</v>
      </c>
      <c r="B225" s="13" t="s">
        <v>1332</v>
      </c>
      <c r="C225" s="13" t="s">
        <v>1336</v>
      </c>
      <c r="D225" s="13" t="n">
        <v>2029</v>
      </c>
      <c r="E225" s="52" t="n">
        <f aca="false">BS_Proj!J11</f>
        <v>141823392452.321</v>
      </c>
      <c r="F225" s="52" t="n">
        <f aca="false">BS_Proj!I11+Schedules_Proj!J7+Schedules_Proj!J8-Schedules_Proj!J9</f>
        <v>141823392452.321</v>
      </c>
      <c r="G225" s="102" t="n">
        <f aca="false">IF(COUNT(E225:F225)=2,E225-F225,"")</f>
        <v>0</v>
      </c>
      <c r="H225" s="103" t="n">
        <v>1</v>
      </c>
      <c r="I225" s="4" t="str">
        <f aca="false">IF(COUNT(E225:F225)&lt;2,"N/A",IF(ABS(G225)&lt;=H225,"OK","❌"))</f>
        <v>OK</v>
      </c>
      <c r="J225" s="103" t="s">
        <v>1246</v>
      </c>
      <c r="K225" s="4" t="str">
        <f aca="false">IF(I225=J225,"✔ sesuai","✖ TIDAK sesuai")</f>
        <v>✔ sesuai</v>
      </c>
      <c r="L225" s="104"/>
    </row>
    <row r="226" customFormat="false" ht="15" hidden="false" customHeight="false" outlineLevel="0" collapsed="false">
      <c r="A226" s="13" t="n">
        <v>220</v>
      </c>
      <c r="B226" s="13" t="s">
        <v>1332</v>
      </c>
      <c r="C226" s="13" t="s">
        <v>1337</v>
      </c>
      <c r="D226" s="13" t="n">
        <v>2029</v>
      </c>
      <c r="E226" s="72" t="n">
        <f aca="false">IF(BS_Proj!J6&gt;=0,0,1)</f>
        <v>1</v>
      </c>
      <c r="F226" s="86" t="n">
        <f aca="false">0</f>
        <v>0</v>
      </c>
      <c r="G226" s="105" t="n">
        <f aca="false">IF(COUNT(E226:F226)=2,E226-F226,"")</f>
        <v>1</v>
      </c>
      <c r="H226" s="103" t="n">
        <v>0</v>
      </c>
      <c r="I226" s="4" t="str">
        <f aca="false">IF(COUNT(E226:F226)&lt;2,"N/A",IF(ABS(G226)&lt;=H226,"OK","INFO"))</f>
        <v>INFO</v>
      </c>
      <c r="J226" s="103" t="s">
        <v>1338</v>
      </c>
      <c r="K226" s="4" t="str">
        <f aca="false">IF(I226=J226,"✔ sesuai","✖ TIDAK sesuai")</f>
        <v>✔ sesuai</v>
      </c>
      <c r="L226" s="104" t="s">
        <v>1339</v>
      </c>
    </row>
    <row r="227" customFormat="false" ht="15" hidden="false" customHeight="false" outlineLevel="0" collapsed="false">
      <c r="A227" s="13" t="n">
        <v>221</v>
      </c>
      <c r="B227" s="13" t="s">
        <v>1332</v>
      </c>
      <c r="C227" s="13" t="s">
        <v>1333</v>
      </c>
      <c r="D227" s="13" t="n">
        <v>2030</v>
      </c>
      <c r="E227" s="52" t="n">
        <f aca="false">BS_Proj!K15</f>
        <v>345012643791.766</v>
      </c>
      <c r="F227" s="52" t="n">
        <f aca="false">BS_Proj!K28</f>
        <v>345012643791.766</v>
      </c>
      <c r="G227" s="102" t="n">
        <f aca="false">IF(COUNT(E227:F227)=2,E227-F227,"")</f>
        <v>0</v>
      </c>
      <c r="H227" s="103" t="n">
        <v>1</v>
      </c>
      <c r="I227" s="4" t="str">
        <f aca="false">IF(COUNT(E227:F227)&lt;2,"N/A",IF(ABS(G227)&lt;=H227,"OK","❌"))</f>
        <v>OK</v>
      </c>
      <c r="J227" s="103" t="s">
        <v>1246</v>
      </c>
      <c r="K227" s="4" t="str">
        <f aca="false">IF(I227=J227,"✔ sesuai","✖ TIDAK sesuai")</f>
        <v>✔ sesuai</v>
      </c>
      <c r="L227" s="104"/>
    </row>
    <row r="228" customFormat="false" ht="15" hidden="false" customHeight="false" outlineLevel="0" collapsed="false">
      <c r="A228" s="13" t="n">
        <v>222</v>
      </c>
      <c r="B228" s="13" t="s">
        <v>1332</v>
      </c>
      <c r="C228" s="13" t="s">
        <v>1334</v>
      </c>
      <c r="D228" s="13" t="n">
        <v>2030</v>
      </c>
      <c r="E228" s="52" t="n">
        <f aca="false">CF_Proj!K24</f>
        <v>-13831484486.4487</v>
      </c>
      <c r="F228" s="52" t="n">
        <f aca="false">BS_Proj!K6</f>
        <v>-13831484486.4487</v>
      </c>
      <c r="G228" s="102" t="n">
        <f aca="false">IF(COUNT(E228:F228)=2,E228-F228,"")</f>
        <v>0</v>
      </c>
      <c r="H228" s="103" t="n">
        <v>1</v>
      </c>
      <c r="I228" s="4" t="str">
        <f aca="false">IF(COUNT(E228:F228)&lt;2,"N/A",IF(ABS(G228)&lt;=H228,"OK","❌"))</f>
        <v>OK</v>
      </c>
      <c r="J228" s="103" t="s">
        <v>1246</v>
      </c>
      <c r="K228" s="4" t="str">
        <f aca="false">IF(I228=J228,"✔ sesuai","✖ TIDAK sesuai")</f>
        <v>✔ sesuai</v>
      </c>
      <c r="L228" s="104"/>
    </row>
    <row r="229" customFormat="false" ht="15" hidden="false" customHeight="false" outlineLevel="0" collapsed="false">
      <c r="A229" s="13" t="n">
        <v>223</v>
      </c>
      <c r="B229" s="13" t="s">
        <v>1332</v>
      </c>
      <c r="C229" s="13" t="s">
        <v>1335</v>
      </c>
      <c r="D229" s="13" t="n">
        <v>2030</v>
      </c>
      <c r="E229" s="52" t="n">
        <f aca="false">BS_Proj!K24</f>
        <v>44724785148.2393</v>
      </c>
      <c r="F229" s="52" t="n">
        <f aca="false">BS_Proj!J24+IS_Proj!K27+CF_Proj!K19</f>
        <v>44724785148.2393</v>
      </c>
      <c r="G229" s="102" t="n">
        <f aca="false">IF(COUNT(E229:F229)=2,E229-F229,"")</f>
        <v>0</v>
      </c>
      <c r="H229" s="103" t="n">
        <v>1</v>
      </c>
      <c r="I229" s="4" t="str">
        <f aca="false">IF(COUNT(E229:F229)&lt;2,"N/A",IF(ABS(G229)&lt;=H229,"OK","❌"))</f>
        <v>OK</v>
      </c>
      <c r="J229" s="103" t="s">
        <v>1246</v>
      </c>
      <c r="K229" s="4" t="str">
        <f aca="false">IF(I229=J229,"✔ sesuai","✖ TIDAK sesuai")</f>
        <v>✔ sesuai</v>
      </c>
      <c r="L229" s="104"/>
    </row>
    <row r="230" customFormat="false" ht="15" hidden="false" customHeight="false" outlineLevel="0" collapsed="false">
      <c r="A230" s="13" t="n">
        <v>224</v>
      </c>
      <c r="B230" s="13" t="s">
        <v>1332</v>
      </c>
      <c r="C230" s="13" t="s">
        <v>1336</v>
      </c>
      <c r="D230" s="13" t="n">
        <v>2030</v>
      </c>
      <c r="E230" s="52" t="n">
        <f aca="false">BS_Proj!K11</f>
        <v>147742423831.221</v>
      </c>
      <c r="F230" s="52" t="n">
        <f aca="false">BS_Proj!J11+Schedules_Proj!K7+Schedules_Proj!K8-Schedules_Proj!K9</f>
        <v>147742423831.221</v>
      </c>
      <c r="G230" s="102" t="n">
        <f aca="false">IF(COUNT(E230:F230)=2,E230-F230,"")</f>
        <v>0</v>
      </c>
      <c r="H230" s="103" t="n">
        <v>1</v>
      </c>
      <c r="I230" s="4" t="str">
        <f aca="false">IF(COUNT(E230:F230)&lt;2,"N/A",IF(ABS(G230)&lt;=H230,"OK","❌"))</f>
        <v>OK</v>
      </c>
      <c r="J230" s="103" t="s">
        <v>1246</v>
      </c>
      <c r="K230" s="4" t="str">
        <f aca="false">IF(I230=J230,"✔ sesuai","✖ TIDAK sesuai")</f>
        <v>✔ sesuai</v>
      </c>
      <c r="L230" s="104"/>
    </row>
    <row r="231" customFormat="false" ht="15" hidden="false" customHeight="false" outlineLevel="0" collapsed="false">
      <c r="A231" s="13" t="n">
        <v>225</v>
      </c>
      <c r="B231" s="13" t="s">
        <v>1332</v>
      </c>
      <c r="C231" s="13" t="s">
        <v>1337</v>
      </c>
      <c r="D231" s="13" t="n">
        <v>2030</v>
      </c>
      <c r="E231" s="72" t="n">
        <f aca="false">IF(BS_Proj!K6&gt;=0,0,1)</f>
        <v>1</v>
      </c>
      <c r="F231" s="86" t="n">
        <f aca="false">0</f>
        <v>0</v>
      </c>
      <c r="G231" s="105" t="n">
        <f aca="false">IF(COUNT(E231:F231)=2,E231-F231,"")</f>
        <v>1</v>
      </c>
      <c r="H231" s="103" t="n">
        <v>0</v>
      </c>
      <c r="I231" s="4" t="str">
        <f aca="false">IF(COUNT(E231:F231)&lt;2,"N/A",IF(ABS(G231)&lt;=H231,"OK","INFO"))</f>
        <v>INFO</v>
      </c>
      <c r="J231" s="103" t="s">
        <v>1338</v>
      </c>
      <c r="K231" s="4" t="str">
        <f aca="false">IF(I231=J231,"✔ sesuai","✖ TIDAK sesuai")</f>
        <v>✔ sesuai</v>
      </c>
      <c r="L231" s="104" t="s">
        <v>1339</v>
      </c>
    </row>
  </sheetData>
  <autoFilter ref="A6:L231"/>
  <conditionalFormatting sqref="K7:K231">
    <cfRule type="cellIs" priority="2" operator="equal" aboveAverage="0" equalAverage="0" bottom="0" percent="0" rank="0" text="" dxfId="0">
      <formula>"✖ TIDAK sesuai"</formula>
    </cfRule>
  </conditionalFormatting>
  <conditionalFormatting sqref="I7:I231">
    <cfRule type="cellIs" priority="3" operator="equal" aboveAverage="0" equalAverage="0" bottom="0" percent="0" rank="0" text="" dxfId="10">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1340</v>
      </c>
    </row>
    <row r="2" customFormat="false" ht="15" hidden="false" customHeight="false" outlineLevel="0" collapsed="false">
      <c r="A2" s="15" t="s">
        <v>1341</v>
      </c>
    </row>
    <row r="4" customFormat="false" ht="15" hidden="false" customHeight="false" outlineLevel="0" collapsed="false">
      <c r="A4" s="25" t="s">
        <v>328</v>
      </c>
      <c r="B4" s="25" t="s">
        <v>1342</v>
      </c>
      <c r="C4" s="25" t="s">
        <v>1236</v>
      </c>
      <c r="D4" s="25" t="s">
        <v>1237</v>
      </c>
      <c r="E4" s="25" t="s">
        <v>1238</v>
      </c>
      <c r="F4" s="25" t="s">
        <v>1343</v>
      </c>
      <c r="G4" s="25" t="s">
        <v>1344</v>
      </c>
      <c r="H4" s="25" t="s">
        <v>1345</v>
      </c>
    </row>
    <row r="5" customFormat="false" ht="64.5" hidden="false" customHeight="true" outlineLevel="0" collapsed="false">
      <c r="A5" s="106" t="s">
        <v>1346</v>
      </c>
      <c r="B5" s="10" t="s">
        <v>1347</v>
      </c>
      <c r="C5" s="107" t="n">
        <v>3248230974</v>
      </c>
      <c r="D5" s="107" t="n">
        <v>52384568796</v>
      </c>
      <c r="E5" s="108" t="n">
        <f aca="false">C5-D5</f>
        <v>-49136337822</v>
      </c>
      <c r="F5" s="10" t="s">
        <v>1348</v>
      </c>
      <c r="G5" s="10" t="s">
        <v>1349</v>
      </c>
      <c r="H5" s="10" t="s">
        <v>1350</v>
      </c>
    </row>
    <row r="6" customFormat="false" ht="78" hidden="false" customHeight="true" outlineLevel="0" collapsed="false">
      <c r="A6" s="106" t="s">
        <v>1351</v>
      </c>
      <c r="B6" s="10" t="s">
        <v>1352</v>
      </c>
      <c r="C6" s="107" t="n">
        <v>69371515682</v>
      </c>
      <c r="D6" s="107" t="n">
        <v>123706879575</v>
      </c>
      <c r="E6" s="108" t="n">
        <f aca="false">C6-D6</f>
        <v>-54335363893</v>
      </c>
      <c r="F6" s="10" t="s">
        <v>1353</v>
      </c>
      <c r="G6" s="10" t="s">
        <v>1354</v>
      </c>
      <c r="H6" s="10" t="s">
        <v>1355</v>
      </c>
    </row>
    <row r="7" customFormat="false" ht="64.5" hidden="false" customHeight="true" outlineLevel="0" collapsed="false">
      <c r="A7" s="106" t="s">
        <v>1356</v>
      </c>
      <c r="B7" s="10" t="s">
        <v>1357</v>
      </c>
      <c r="C7" s="107" t="n">
        <v>117045389015</v>
      </c>
      <c r="D7" s="107" t="n">
        <v>13190576716</v>
      </c>
      <c r="E7" s="108" t="n">
        <f aca="false">C7-D7</f>
        <v>103854812299</v>
      </c>
      <c r="F7" s="10" t="s">
        <v>1358</v>
      </c>
      <c r="G7" s="10" t="s">
        <v>1359</v>
      </c>
      <c r="H7" s="10" t="s">
        <v>1360</v>
      </c>
    </row>
    <row r="8" customFormat="false" ht="39" hidden="false" customHeight="true" outlineLevel="0" collapsed="false">
      <c r="A8" s="106" t="s">
        <v>1361</v>
      </c>
      <c r="B8" s="10" t="s">
        <v>1362</v>
      </c>
      <c r="C8" s="107" t="n">
        <v>23480000000</v>
      </c>
      <c r="D8" s="107" t="n">
        <v>3910827865</v>
      </c>
      <c r="E8" s="108" t="n">
        <f aca="false">C8-D8</f>
        <v>19569172135</v>
      </c>
      <c r="F8" s="10" t="s">
        <v>1363</v>
      </c>
      <c r="G8" s="10" t="s">
        <v>1364</v>
      </c>
      <c r="H8" s="10" t="s">
        <v>1365</v>
      </c>
    </row>
    <row r="9" customFormat="false" ht="30" hidden="false" customHeight="true" outlineLevel="0" collapsed="false">
      <c r="A9" s="106" t="s">
        <v>1366</v>
      </c>
      <c r="B9" s="10" t="s">
        <v>1367</v>
      </c>
      <c r="C9" s="107" t="n">
        <v>25288897160</v>
      </c>
      <c r="D9" s="107"/>
      <c r="E9" s="108"/>
      <c r="F9" s="10" t="s">
        <v>1368</v>
      </c>
      <c r="G9" s="10" t="s">
        <v>1369</v>
      </c>
      <c r="H9" s="10" t="s">
        <v>1370</v>
      </c>
    </row>
    <row r="10" customFormat="false" ht="39" hidden="false" customHeight="true" outlineLevel="0" collapsed="false">
      <c r="A10" s="106" t="s">
        <v>1371</v>
      </c>
      <c r="B10" s="10" t="s">
        <v>1372</v>
      </c>
      <c r="C10" s="107" t="n">
        <v>39297310909</v>
      </c>
      <c r="D10" s="107" t="n">
        <v>29547207476</v>
      </c>
      <c r="E10" s="108" t="n">
        <f aca="false">C10-D10</f>
        <v>9750103433</v>
      </c>
      <c r="F10" s="10" t="s">
        <v>1373</v>
      </c>
      <c r="G10" s="10" t="s">
        <v>1374</v>
      </c>
      <c r="H10" s="10" t="s">
        <v>1375</v>
      </c>
    </row>
    <row r="11" customFormat="false" ht="39" hidden="false" customHeight="true" outlineLevel="0" collapsed="false">
      <c r="A11" s="106" t="s">
        <v>1376</v>
      </c>
      <c r="B11" s="10" t="s">
        <v>1377</v>
      </c>
      <c r="C11" s="107" t="n">
        <v>4181857038</v>
      </c>
      <c r="D11" s="107" t="n">
        <v>-10242145297</v>
      </c>
      <c r="E11" s="108" t="n">
        <f aca="false">C11-D11</f>
        <v>14424002335</v>
      </c>
      <c r="F11" s="10" t="s">
        <v>1378</v>
      </c>
      <c r="G11" s="10" t="s">
        <v>1379</v>
      </c>
      <c r="H11" s="10" t="s">
        <v>1380</v>
      </c>
    </row>
    <row r="12" customFormat="false" ht="90.75" hidden="false" customHeight="true" outlineLevel="0" collapsed="false">
      <c r="A12" s="106" t="s">
        <v>1381</v>
      </c>
      <c r="B12" s="10" t="s">
        <v>1382</v>
      </c>
      <c r="C12" s="107"/>
      <c r="D12" s="107"/>
      <c r="E12" s="108"/>
      <c r="F12" s="10" t="s">
        <v>1383</v>
      </c>
      <c r="G12" s="10" t="s">
        <v>1384</v>
      </c>
      <c r="H12" s="10" t="s">
        <v>1385</v>
      </c>
    </row>
    <row r="13" customFormat="false" ht="64.5" hidden="false" customHeight="true" outlineLevel="0" collapsed="false">
      <c r="A13" s="106" t="s">
        <v>1386</v>
      </c>
      <c r="B13" s="10" t="s">
        <v>1387</v>
      </c>
      <c r="C13" s="107" t="n">
        <v>6804364595</v>
      </c>
      <c r="D13" s="107" t="n">
        <v>6804450151</v>
      </c>
      <c r="E13" s="108" t="n">
        <f aca="false">C13-D13</f>
        <v>-85556</v>
      </c>
      <c r="F13" s="10" t="s">
        <v>1388</v>
      </c>
      <c r="G13" s="10" t="s">
        <v>1389</v>
      </c>
      <c r="H13" s="10" t="s">
        <v>1390</v>
      </c>
    </row>
    <row r="14" customFormat="false" ht="129.75" hidden="false" customHeight="true" outlineLevel="0" collapsed="false">
      <c r="A14" s="106" t="s">
        <v>1391</v>
      </c>
      <c r="B14" s="10" t="s">
        <v>1392</v>
      </c>
      <c r="C14" s="107" t="n">
        <v>9048734806</v>
      </c>
      <c r="D14" s="107" t="n">
        <v>9080234808</v>
      </c>
      <c r="E14" s="108" t="n">
        <f aca="false">C14-D14</f>
        <v>-31500002</v>
      </c>
      <c r="F14" s="10" t="s">
        <v>1393</v>
      </c>
      <c r="G14" s="10" t="s">
        <v>1394</v>
      </c>
      <c r="H14" s="10" t="s">
        <v>1395</v>
      </c>
    </row>
    <row r="15" customFormat="false" ht="39" hidden="false" customHeight="true" outlineLevel="0" collapsed="false">
      <c r="A15" s="106" t="s">
        <v>1396</v>
      </c>
      <c r="B15" s="10" t="s">
        <v>1397</v>
      </c>
      <c r="C15" s="107" t="n">
        <v>-480368880</v>
      </c>
      <c r="D15" s="107" t="n">
        <v>69501179</v>
      </c>
      <c r="E15" s="108" t="n">
        <f aca="false">C15-D15</f>
        <v>-549870059</v>
      </c>
      <c r="F15" s="10" t="s">
        <v>1398</v>
      </c>
      <c r="G15" s="10" t="s">
        <v>1399</v>
      </c>
      <c r="H15" s="10" t="s">
        <v>1400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6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1401</v>
      </c>
    </row>
    <row r="2" customFormat="false" ht="15" hidden="false" customHeight="false" outlineLevel="0" collapsed="false">
      <c r="A2" s="15" t="s">
        <v>1402</v>
      </c>
    </row>
    <row r="4" customFormat="false" ht="15" hidden="false" customHeight="false" outlineLevel="0" collapsed="false">
      <c r="A4" s="24" t="s">
        <v>1403</v>
      </c>
      <c r="B4" s="24" t="s">
        <v>1404</v>
      </c>
      <c r="C4" s="24" t="s">
        <v>1405</v>
      </c>
      <c r="D4" s="24" t="s">
        <v>1406</v>
      </c>
      <c r="E4" s="24" t="s">
        <v>1407</v>
      </c>
      <c r="F4" s="24" t="s">
        <v>1408</v>
      </c>
      <c r="G4" s="24" t="s">
        <v>1409</v>
      </c>
      <c r="H4" s="24" t="s">
        <v>1410</v>
      </c>
      <c r="I4" s="24" t="s">
        <v>1411</v>
      </c>
      <c r="J4" s="24" t="s">
        <v>1412</v>
      </c>
      <c r="K4" s="24" t="s">
        <v>1413</v>
      </c>
      <c r="L4" s="24" t="s">
        <v>1414</v>
      </c>
      <c r="M4" s="24" t="s">
        <v>1415</v>
      </c>
    </row>
    <row r="5" customFormat="false" ht="15" hidden="false" customHeight="false" outlineLevel="0" collapsed="false">
      <c r="A5" s="13" t="s">
        <v>608</v>
      </c>
      <c r="B5" s="13" t="s">
        <v>607</v>
      </c>
      <c r="C5" s="13" t="s">
        <v>1416</v>
      </c>
      <c r="D5" s="13" t="s">
        <v>57</v>
      </c>
      <c r="E5" s="13" t="s">
        <v>622</v>
      </c>
      <c r="F5" s="13" t="s">
        <v>623</v>
      </c>
      <c r="G5" s="63" t="n">
        <v>99578144421</v>
      </c>
      <c r="H5" s="13" t="s">
        <v>1417</v>
      </c>
      <c r="I5" s="13"/>
      <c r="J5" s="13" t="s">
        <v>1418</v>
      </c>
      <c r="K5" s="13" t="s">
        <v>1419</v>
      </c>
      <c r="L5" s="13" t="s">
        <v>1420</v>
      </c>
      <c r="M5" s="13"/>
    </row>
    <row r="6" customFormat="false" ht="15" hidden="false" customHeight="false" outlineLevel="0" collapsed="false">
      <c r="A6" s="13" t="s">
        <v>608</v>
      </c>
      <c r="B6" s="13" t="s">
        <v>607</v>
      </c>
      <c r="C6" s="13" t="s">
        <v>1421</v>
      </c>
      <c r="D6" s="13" t="s">
        <v>57</v>
      </c>
      <c r="E6" s="13" t="s">
        <v>622</v>
      </c>
      <c r="F6" s="13" t="s">
        <v>623</v>
      </c>
      <c r="G6" s="63" t="n">
        <v>134187678929</v>
      </c>
      <c r="H6" s="13" t="s">
        <v>1417</v>
      </c>
      <c r="I6" s="13"/>
      <c r="J6" s="13" t="s">
        <v>1418</v>
      </c>
      <c r="K6" s="13" t="s">
        <v>1422</v>
      </c>
      <c r="L6" s="13" t="s">
        <v>1420</v>
      </c>
      <c r="M6" s="13"/>
    </row>
    <row r="7" customFormat="false" ht="15" hidden="false" customHeight="false" outlineLevel="0" collapsed="false">
      <c r="A7" s="13" t="s">
        <v>608</v>
      </c>
      <c r="B7" s="13" t="s">
        <v>607</v>
      </c>
      <c r="C7" s="13" t="s">
        <v>1423</v>
      </c>
      <c r="D7" s="13" t="s">
        <v>57</v>
      </c>
      <c r="E7" s="13" t="s">
        <v>622</v>
      </c>
      <c r="F7" s="13" t="s">
        <v>623</v>
      </c>
      <c r="G7" s="63" t="n">
        <v>152142248784</v>
      </c>
      <c r="H7" s="13" t="s">
        <v>1417</v>
      </c>
      <c r="I7" s="13"/>
      <c r="J7" s="13" t="s">
        <v>1424</v>
      </c>
      <c r="K7" s="13" t="s">
        <v>1425</v>
      </c>
      <c r="L7" s="13" t="s">
        <v>1426</v>
      </c>
      <c r="M7" s="13"/>
    </row>
    <row r="8" customFormat="false" ht="15" hidden="false" customHeight="false" outlineLevel="0" collapsed="false">
      <c r="A8" s="13" t="s">
        <v>608</v>
      </c>
      <c r="B8" s="13" t="s">
        <v>607</v>
      </c>
      <c r="C8" s="13" t="s">
        <v>1427</v>
      </c>
      <c r="D8" s="13" t="s">
        <v>57</v>
      </c>
      <c r="E8" s="13" t="s">
        <v>622</v>
      </c>
      <c r="F8" s="13" t="s">
        <v>623</v>
      </c>
      <c r="G8" s="63" t="n">
        <v>144873268389</v>
      </c>
      <c r="H8" s="13" t="s">
        <v>1417</v>
      </c>
      <c r="I8" s="13"/>
      <c r="J8" s="13" t="s">
        <v>1424</v>
      </c>
      <c r="K8" s="13" t="s">
        <v>619</v>
      </c>
      <c r="L8" s="13" t="s">
        <v>1420</v>
      </c>
      <c r="M8" s="13"/>
    </row>
    <row r="9" customFormat="false" ht="15" hidden="false" customHeight="false" outlineLevel="0" collapsed="false">
      <c r="A9" s="13" t="s">
        <v>608</v>
      </c>
      <c r="B9" s="13" t="s">
        <v>607</v>
      </c>
      <c r="C9" s="13" t="s">
        <v>1416</v>
      </c>
      <c r="D9" s="13" t="s">
        <v>57</v>
      </c>
      <c r="E9" s="13" t="s">
        <v>625</v>
      </c>
      <c r="F9" s="13" t="s">
        <v>626</v>
      </c>
      <c r="G9" s="63" t="n">
        <v>-67593755280</v>
      </c>
      <c r="H9" s="13" t="s">
        <v>1417</v>
      </c>
      <c r="I9" s="13"/>
      <c r="J9" s="13" t="s">
        <v>1418</v>
      </c>
      <c r="K9" s="13" t="s">
        <v>1419</v>
      </c>
      <c r="L9" s="13" t="s">
        <v>1420</v>
      </c>
      <c r="M9" s="13"/>
    </row>
    <row r="10" customFormat="false" ht="15" hidden="false" customHeight="false" outlineLevel="0" collapsed="false">
      <c r="A10" s="13" t="s">
        <v>608</v>
      </c>
      <c r="B10" s="13" t="s">
        <v>607</v>
      </c>
      <c r="C10" s="13" t="s">
        <v>1421</v>
      </c>
      <c r="D10" s="13" t="s">
        <v>57</v>
      </c>
      <c r="E10" s="13" t="s">
        <v>625</v>
      </c>
      <c r="F10" s="13" t="s">
        <v>626</v>
      </c>
      <c r="G10" s="63" t="n">
        <v>-89574415546</v>
      </c>
      <c r="H10" s="13" t="s">
        <v>1417</v>
      </c>
      <c r="I10" s="13"/>
      <c r="J10" s="13" t="s">
        <v>1418</v>
      </c>
      <c r="K10" s="13" t="s">
        <v>1422</v>
      </c>
      <c r="L10" s="13" t="s">
        <v>1420</v>
      </c>
      <c r="M10" s="13"/>
    </row>
    <row r="11" customFormat="false" ht="15" hidden="false" customHeight="false" outlineLevel="0" collapsed="false">
      <c r="A11" s="13" t="s">
        <v>608</v>
      </c>
      <c r="B11" s="13" t="s">
        <v>607</v>
      </c>
      <c r="C11" s="13" t="s">
        <v>1423</v>
      </c>
      <c r="D11" s="13" t="s">
        <v>57</v>
      </c>
      <c r="E11" s="13" t="s">
        <v>625</v>
      </c>
      <c r="F11" s="13" t="s">
        <v>626</v>
      </c>
      <c r="G11" s="63" t="n">
        <v>-104806476450</v>
      </c>
      <c r="H11" s="13" t="s">
        <v>1417</v>
      </c>
      <c r="I11" s="13"/>
      <c r="J11" s="13" t="s">
        <v>1424</v>
      </c>
      <c r="K11" s="13" t="s">
        <v>1425</v>
      </c>
      <c r="L11" s="13" t="s">
        <v>1426</v>
      </c>
      <c r="M11" s="13"/>
    </row>
    <row r="12" customFormat="false" ht="15" hidden="false" customHeight="false" outlineLevel="0" collapsed="false">
      <c r="A12" s="13" t="s">
        <v>608</v>
      </c>
      <c r="B12" s="13" t="s">
        <v>607</v>
      </c>
      <c r="C12" s="13" t="s">
        <v>1427</v>
      </c>
      <c r="D12" s="13" t="s">
        <v>57</v>
      </c>
      <c r="E12" s="13" t="s">
        <v>625</v>
      </c>
      <c r="F12" s="13" t="s">
        <v>626</v>
      </c>
      <c r="G12" s="63" t="n">
        <v>-110732463969</v>
      </c>
      <c r="H12" s="13" t="s">
        <v>1417</v>
      </c>
      <c r="I12" s="13"/>
      <c r="J12" s="13" t="s">
        <v>1424</v>
      </c>
      <c r="K12" s="13" t="s">
        <v>619</v>
      </c>
      <c r="L12" s="13" t="s">
        <v>1420</v>
      </c>
      <c r="M12" s="13"/>
    </row>
    <row r="13" customFormat="false" ht="15" hidden="false" customHeight="false" outlineLevel="0" collapsed="false">
      <c r="A13" s="13" t="s">
        <v>608</v>
      </c>
      <c r="B13" s="13" t="s">
        <v>607</v>
      </c>
      <c r="C13" s="13" t="s">
        <v>1416</v>
      </c>
      <c r="D13" s="13" t="s">
        <v>57</v>
      </c>
      <c r="E13" s="13" t="s">
        <v>628</v>
      </c>
      <c r="F13" s="13" t="s">
        <v>629</v>
      </c>
      <c r="G13" s="63" t="n">
        <v>31984389141</v>
      </c>
      <c r="H13" s="13" t="s">
        <v>1417</v>
      </c>
      <c r="I13" s="13"/>
      <c r="J13" s="13"/>
      <c r="K13" s="13" t="s">
        <v>1419</v>
      </c>
      <c r="L13" s="13" t="s">
        <v>1420</v>
      </c>
      <c r="M13" s="13" t="s">
        <v>1428</v>
      </c>
    </row>
    <row r="14" customFormat="false" ht="15" hidden="false" customHeight="false" outlineLevel="0" collapsed="false">
      <c r="A14" s="13" t="s">
        <v>608</v>
      </c>
      <c r="B14" s="13" t="s">
        <v>607</v>
      </c>
      <c r="C14" s="13" t="s">
        <v>1421</v>
      </c>
      <c r="D14" s="13" t="s">
        <v>57</v>
      </c>
      <c r="E14" s="13" t="s">
        <v>628</v>
      </c>
      <c r="F14" s="13" t="s">
        <v>629</v>
      </c>
      <c r="G14" s="63" t="n">
        <v>44613263383</v>
      </c>
      <c r="H14" s="13" t="s">
        <v>1417</v>
      </c>
      <c r="I14" s="13"/>
      <c r="J14" s="13"/>
      <c r="K14" s="13" t="s">
        <v>1422</v>
      </c>
      <c r="L14" s="13" t="s">
        <v>1420</v>
      </c>
      <c r="M14" s="13" t="s">
        <v>1428</v>
      </c>
    </row>
    <row r="15" customFormat="false" ht="15" hidden="false" customHeight="false" outlineLevel="0" collapsed="false">
      <c r="A15" s="13" t="s">
        <v>608</v>
      </c>
      <c r="B15" s="13" t="s">
        <v>607</v>
      </c>
      <c r="C15" s="13" t="s">
        <v>1423</v>
      </c>
      <c r="D15" s="13" t="s">
        <v>57</v>
      </c>
      <c r="E15" s="13" t="s">
        <v>628</v>
      </c>
      <c r="F15" s="13" t="s">
        <v>629</v>
      </c>
      <c r="G15" s="63" t="n">
        <v>47335772334</v>
      </c>
      <c r="H15" s="13" t="s">
        <v>1417</v>
      </c>
      <c r="I15" s="13"/>
      <c r="J15" s="13"/>
      <c r="K15" s="13" t="s">
        <v>1425</v>
      </c>
      <c r="L15" s="13" t="s">
        <v>1426</v>
      </c>
      <c r="M15" s="13" t="s">
        <v>1428</v>
      </c>
    </row>
    <row r="16" customFormat="false" ht="15" hidden="false" customHeight="false" outlineLevel="0" collapsed="false">
      <c r="A16" s="13" t="s">
        <v>608</v>
      </c>
      <c r="B16" s="13" t="s">
        <v>607</v>
      </c>
      <c r="C16" s="13" t="s">
        <v>1427</v>
      </c>
      <c r="D16" s="13" t="s">
        <v>57</v>
      </c>
      <c r="E16" s="13" t="s">
        <v>628</v>
      </c>
      <c r="F16" s="13" t="s">
        <v>629</v>
      </c>
      <c r="G16" s="63" t="n">
        <v>34140804420</v>
      </c>
      <c r="H16" s="13" t="s">
        <v>1417</v>
      </c>
      <c r="I16" s="13"/>
      <c r="J16" s="13"/>
      <c r="K16" s="13" t="s">
        <v>619</v>
      </c>
      <c r="L16" s="13" t="s">
        <v>1420</v>
      </c>
      <c r="M16" s="13" t="s">
        <v>1428</v>
      </c>
    </row>
    <row r="17" customFormat="false" ht="15" hidden="false" customHeight="false" outlineLevel="0" collapsed="false">
      <c r="A17" s="13" t="s">
        <v>608</v>
      </c>
      <c r="B17" s="13" t="s">
        <v>607</v>
      </c>
      <c r="C17" s="13" t="s">
        <v>1416</v>
      </c>
      <c r="D17" s="13" t="s">
        <v>57</v>
      </c>
      <c r="E17" s="13" t="s">
        <v>630</v>
      </c>
      <c r="F17" s="13" t="s">
        <v>631</v>
      </c>
      <c r="G17" s="63" t="n">
        <v>-974896353</v>
      </c>
      <c r="H17" s="13" t="s">
        <v>1417</v>
      </c>
      <c r="I17" s="13"/>
      <c r="J17" s="13" t="s">
        <v>1429</v>
      </c>
      <c r="K17" s="13" t="s">
        <v>1419</v>
      </c>
      <c r="L17" s="13" t="s">
        <v>1420</v>
      </c>
      <c r="M17" s="13"/>
    </row>
    <row r="18" customFormat="false" ht="15" hidden="false" customHeight="false" outlineLevel="0" collapsed="false">
      <c r="A18" s="13" t="s">
        <v>608</v>
      </c>
      <c r="B18" s="13" t="s">
        <v>607</v>
      </c>
      <c r="C18" s="13" t="s">
        <v>1421</v>
      </c>
      <c r="D18" s="13" t="s">
        <v>57</v>
      </c>
      <c r="E18" s="13" t="s">
        <v>630</v>
      </c>
      <c r="F18" s="13" t="s">
        <v>631</v>
      </c>
      <c r="G18" s="63" t="n">
        <v>-3183805931</v>
      </c>
      <c r="H18" s="13" t="s">
        <v>1417</v>
      </c>
      <c r="I18" s="13"/>
      <c r="J18" s="13" t="s">
        <v>1429</v>
      </c>
      <c r="K18" s="13" t="s">
        <v>1422</v>
      </c>
      <c r="L18" s="13" t="s">
        <v>1420</v>
      </c>
      <c r="M18" s="13"/>
    </row>
    <row r="19" customFormat="false" ht="15" hidden="false" customHeight="false" outlineLevel="0" collapsed="false">
      <c r="A19" s="13" t="s">
        <v>608</v>
      </c>
      <c r="B19" s="13" t="s">
        <v>607</v>
      </c>
      <c r="C19" s="13" t="s">
        <v>1423</v>
      </c>
      <c r="D19" s="13" t="s">
        <v>57</v>
      </c>
      <c r="E19" s="13" t="s">
        <v>630</v>
      </c>
      <c r="F19" s="13" t="s">
        <v>631</v>
      </c>
      <c r="G19" s="63" t="n">
        <v>-4061959293</v>
      </c>
      <c r="H19" s="13" t="s">
        <v>1417</v>
      </c>
      <c r="I19" s="13"/>
      <c r="J19" s="13" t="s">
        <v>1424</v>
      </c>
      <c r="K19" s="13" t="s">
        <v>1425</v>
      </c>
      <c r="L19" s="13" t="s">
        <v>1426</v>
      </c>
      <c r="M19" s="13"/>
    </row>
    <row r="20" customFormat="false" ht="15" hidden="false" customHeight="false" outlineLevel="0" collapsed="false">
      <c r="A20" s="13" t="s">
        <v>608</v>
      </c>
      <c r="B20" s="13" t="s">
        <v>607</v>
      </c>
      <c r="C20" s="13" t="s">
        <v>1427</v>
      </c>
      <c r="D20" s="13" t="s">
        <v>57</v>
      </c>
      <c r="E20" s="13" t="s">
        <v>630</v>
      </c>
      <c r="F20" s="13" t="s">
        <v>631</v>
      </c>
      <c r="G20" s="63" t="n">
        <v>-2783285450</v>
      </c>
      <c r="H20" s="13" t="s">
        <v>1417</v>
      </c>
      <c r="I20" s="13"/>
      <c r="J20" s="13" t="s">
        <v>1424</v>
      </c>
      <c r="K20" s="13" t="s">
        <v>619</v>
      </c>
      <c r="L20" s="13" t="s">
        <v>1420</v>
      </c>
      <c r="M20" s="13"/>
    </row>
    <row r="21" customFormat="false" ht="15" hidden="false" customHeight="false" outlineLevel="0" collapsed="false">
      <c r="A21" s="13" t="s">
        <v>608</v>
      </c>
      <c r="B21" s="13" t="s">
        <v>607</v>
      </c>
      <c r="C21" s="13" t="s">
        <v>1416</v>
      </c>
      <c r="D21" s="13" t="s">
        <v>57</v>
      </c>
      <c r="E21" s="13" t="s">
        <v>633</v>
      </c>
      <c r="F21" s="13" t="s">
        <v>634</v>
      </c>
      <c r="G21" s="63" t="n">
        <v>-23863495422</v>
      </c>
      <c r="H21" s="13" t="s">
        <v>1417</v>
      </c>
      <c r="I21" s="13"/>
      <c r="J21" s="13" t="s">
        <v>1430</v>
      </c>
      <c r="K21" s="13" t="s">
        <v>1419</v>
      </c>
      <c r="L21" s="13" t="s">
        <v>1420</v>
      </c>
      <c r="M21" s="13"/>
    </row>
    <row r="22" customFormat="false" ht="15" hidden="false" customHeight="false" outlineLevel="0" collapsed="false">
      <c r="A22" s="13" t="s">
        <v>608</v>
      </c>
      <c r="B22" s="13" t="s">
        <v>607</v>
      </c>
      <c r="C22" s="13" t="s">
        <v>1421</v>
      </c>
      <c r="D22" s="13" t="s">
        <v>57</v>
      </c>
      <c r="E22" s="13" t="s">
        <v>633</v>
      </c>
      <c r="F22" s="13" t="s">
        <v>634</v>
      </c>
      <c r="G22" s="63" t="n">
        <v>-31755062789</v>
      </c>
      <c r="H22" s="13" t="s">
        <v>1417</v>
      </c>
      <c r="I22" s="13"/>
      <c r="J22" s="13" t="s">
        <v>1430</v>
      </c>
      <c r="K22" s="13" t="s">
        <v>1422</v>
      </c>
      <c r="L22" s="13" t="s">
        <v>1420</v>
      </c>
      <c r="M22" s="13"/>
    </row>
    <row r="23" customFormat="false" ht="15" hidden="false" customHeight="false" outlineLevel="0" collapsed="false">
      <c r="A23" s="13" t="s">
        <v>608</v>
      </c>
      <c r="B23" s="13" t="s">
        <v>607</v>
      </c>
      <c r="C23" s="13" t="s">
        <v>1423</v>
      </c>
      <c r="D23" s="13" t="s">
        <v>57</v>
      </c>
      <c r="E23" s="13" t="s">
        <v>633</v>
      </c>
      <c r="F23" s="13" t="s">
        <v>634</v>
      </c>
      <c r="G23" s="63" t="n">
        <v>-31962658076</v>
      </c>
      <c r="H23" s="13" t="s">
        <v>1417</v>
      </c>
      <c r="I23" s="13"/>
      <c r="J23" s="13" t="s">
        <v>1424</v>
      </c>
      <c r="K23" s="13" t="s">
        <v>1425</v>
      </c>
      <c r="L23" s="13" t="s">
        <v>1426</v>
      </c>
      <c r="M23" s="13"/>
    </row>
    <row r="24" customFormat="false" ht="15" hidden="false" customHeight="false" outlineLevel="0" collapsed="false">
      <c r="A24" s="13" t="s">
        <v>608</v>
      </c>
      <c r="B24" s="13" t="s">
        <v>607</v>
      </c>
      <c r="C24" s="13" t="s">
        <v>1427</v>
      </c>
      <c r="D24" s="13" t="s">
        <v>57</v>
      </c>
      <c r="E24" s="13" t="s">
        <v>633</v>
      </c>
      <c r="F24" s="13" t="s">
        <v>634</v>
      </c>
      <c r="G24" s="63" t="n">
        <v>-27906878912</v>
      </c>
      <c r="H24" s="13" t="s">
        <v>1417</v>
      </c>
      <c r="I24" s="13"/>
      <c r="J24" s="13" t="s">
        <v>1424</v>
      </c>
      <c r="K24" s="13" t="s">
        <v>619</v>
      </c>
      <c r="L24" s="13" t="s">
        <v>1420</v>
      </c>
      <c r="M24" s="13"/>
    </row>
    <row r="25" customFormat="false" ht="15" hidden="false" customHeight="false" outlineLevel="0" collapsed="false">
      <c r="A25" s="13" t="s">
        <v>608</v>
      </c>
      <c r="B25" s="13" t="s">
        <v>607</v>
      </c>
      <c r="C25" s="13" t="s">
        <v>1416</v>
      </c>
      <c r="D25" s="13" t="s">
        <v>57</v>
      </c>
      <c r="E25" s="13" t="s">
        <v>636</v>
      </c>
      <c r="F25" s="13" t="s">
        <v>637</v>
      </c>
      <c r="G25" s="63" t="n">
        <v>-24838391775</v>
      </c>
      <c r="H25" s="13" t="s">
        <v>1417</v>
      </c>
      <c r="I25" s="13"/>
      <c r="J25" s="13"/>
      <c r="K25" s="13" t="s">
        <v>1419</v>
      </c>
      <c r="L25" s="13" t="s">
        <v>1420</v>
      </c>
      <c r="M25" s="13" t="s">
        <v>1428</v>
      </c>
    </row>
    <row r="26" customFormat="false" ht="15" hidden="false" customHeight="false" outlineLevel="0" collapsed="false">
      <c r="A26" s="13" t="s">
        <v>608</v>
      </c>
      <c r="B26" s="13" t="s">
        <v>607</v>
      </c>
      <c r="C26" s="13" t="s">
        <v>1421</v>
      </c>
      <c r="D26" s="13" t="s">
        <v>57</v>
      </c>
      <c r="E26" s="13" t="s">
        <v>636</v>
      </c>
      <c r="F26" s="13" t="s">
        <v>637</v>
      </c>
      <c r="G26" s="63" t="n">
        <v>-34938868720</v>
      </c>
      <c r="H26" s="13" t="s">
        <v>1417</v>
      </c>
      <c r="I26" s="13"/>
      <c r="J26" s="13"/>
      <c r="K26" s="13" t="s">
        <v>1422</v>
      </c>
      <c r="L26" s="13" t="s">
        <v>1420</v>
      </c>
      <c r="M26" s="13" t="s">
        <v>1428</v>
      </c>
    </row>
    <row r="27" customFormat="false" ht="15" hidden="false" customHeight="false" outlineLevel="0" collapsed="false">
      <c r="A27" s="13" t="s">
        <v>608</v>
      </c>
      <c r="B27" s="13" t="s">
        <v>607</v>
      </c>
      <c r="C27" s="13" t="s">
        <v>1423</v>
      </c>
      <c r="D27" s="13" t="s">
        <v>57</v>
      </c>
      <c r="E27" s="13" t="s">
        <v>636</v>
      </c>
      <c r="F27" s="13" t="s">
        <v>637</v>
      </c>
      <c r="G27" s="63" t="n">
        <v>-36024617369</v>
      </c>
      <c r="H27" s="13" t="s">
        <v>1417</v>
      </c>
      <c r="I27" s="13"/>
      <c r="J27" s="13"/>
      <c r="K27" s="13" t="s">
        <v>1425</v>
      </c>
      <c r="L27" s="13" t="s">
        <v>1426</v>
      </c>
      <c r="M27" s="13" t="s">
        <v>1428</v>
      </c>
    </row>
    <row r="28" customFormat="false" ht="15" hidden="false" customHeight="false" outlineLevel="0" collapsed="false">
      <c r="A28" s="13" t="s">
        <v>608</v>
      </c>
      <c r="B28" s="13" t="s">
        <v>607</v>
      </c>
      <c r="C28" s="13" t="s">
        <v>1427</v>
      </c>
      <c r="D28" s="13" t="s">
        <v>57</v>
      </c>
      <c r="E28" s="13" t="s">
        <v>636</v>
      </c>
      <c r="F28" s="13" t="s">
        <v>637</v>
      </c>
      <c r="G28" s="63" t="n">
        <v>-30690164362</v>
      </c>
      <c r="H28" s="13" t="s">
        <v>1417</v>
      </c>
      <c r="I28" s="13"/>
      <c r="J28" s="13"/>
      <c r="K28" s="13" t="s">
        <v>619</v>
      </c>
      <c r="L28" s="13" t="s">
        <v>1420</v>
      </c>
      <c r="M28" s="13" t="s">
        <v>1428</v>
      </c>
    </row>
    <row r="29" customFormat="false" ht="15" hidden="false" customHeight="false" outlineLevel="0" collapsed="false">
      <c r="A29" s="13" t="s">
        <v>608</v>
      </c>
      <c r="B29" s="13" t="s">
        <v>607</v>
      </c>
      <c r="C29" s="13" t="s">
        <v>1416</v>
      </c>
      <c r="D29" s="13" t="s">
        <v>57</v>
      </c>
      <c r="E29" s="13" t="s">
        <v>638</v>
      </c>
      <c r="F29" s="13" t="s">
        <v>639</v>
      </c>
      <c r="G29" s="63" t="n">
        <v>1226392843</v>
      </c>
      <c r="H29" s="13" t="s">
        <v>1417</v>
      </c>
      <c r="I29" s="13"/>
      <c r="J29" s="13" t="s">
        <v>1418</v>
      </c>
      <c r="K29" s="13" t="s">
        <v>1419</v>
      </c>
      <c r="L29" s="13" t="s">
        <v>1420</v>
      </c>
      <c r="M29" s="13"/>
    </row>
    <row r="30" customFormat="false" ht="15" hidden="false" customHeight="false" outlineLevel="0" collapsed="false">
      <c r="A30" s="13" t="s">
        <v>608</v>
      </c>
      <c r="B30" s="13" t="s">
        <v>607</v>
      </c>
      <c r="C30" s="13" t="s">
        <v>1421</v>
      </c>
      <c r="D30" s="13" t="s">
        <v>57</v>
      </c>
      <c r="E30" s="13" t="s">
        <v>638</v>
      </c>
      <c r="F30" s="13" t="s">
        <v>639</v>
      </c>
      <c r="G30" s="63" t="n">
        <v>75326392</v>
      </c>
      <c r="H30" s="13" t="s">
        <v>1417</v>
      </c>
      <c r="I30" s="13"/>
      <c r="J30" s="13" t="s">
        <v>1418</v>
      </c>
      <c r="K30" s="13" t="s">
        <v>1422</v>
      </c>
      <c r="L30" s="13" t="s">
        <v>1420</v>
      </c>
      <c r="M30" s="13"/>
    </row>
    <row r="31" customFormat="false" ht="15" hidden="false" customHeight="false" outlineLevel="0" collapsed="false">
      <c r="A31" s="13" t="s">
        <v>608</v>
      </c>
      <c r="B31" s="13" t="s">
        <v>607</v>
      </c>
      <c r="C31" s="13" t="s">
        <v>1423</v>
      </c>
      <c r="D31" s="13" t="s">
        <v>57</v>
      </c>
      <c r="E31" s="13" t="s">
        <v>638</v>
      </c>
      <c r="F31" s="13" t="s">
        <v>639</v>
      </c>
      <c r="G31" s="63" t="n">
        <v>313957191</v>
      </c>
      <c r="H31" s="13" t="s">
        <v>1417</v>
      </c>
      <c r="I31" s="13"/>
      <c r="J31" s="13" t="s">
        <v>1431</v>
      </c>
      <c r="K31" s="13" t="s">
        <v>1425</v>
      </c>
      <c r="L31" s="13" t="s">
        <v>1426</v>
      </c>
      <c r="M31" s="13"/>
    </row>
    <row r="32" customFormat="false" ht="15" hidden="false" customHeight="false" outlineLevel="0" collapsed="false">
      <c r="A32" s="13" t="s">
        <v>608</v>
      </c>
      <c r="B32" s="13" t="s">
        <v>607</v>
      </c>
      <c r="C32" s="13" t="s">
        <v>1427</v>
      </c>
      <c r="D32" s="13" t="s">
        <v>57</v>
      </c>
      <c r="E32" s="13" t="s">
        <v>638</v>
      </c>
      <c r="F32" s="13" t="s">
        <v>639</v>
      </c>
      <c r="G32" s="63" t="n">
        <v>-710131821</v>
      </c>
      <c r="H32" s="13" t="s">
        <v>1417</v>
      </c>
      <c r="I32" s="13"/>
      <c r="J32" s="13" t="s">
        <v>1431</v>
      </c>
      <c r="K32" s="13" t="s">
        <v>619</v>
      </c>
      <c r="L32" s="13" t="s">
        <v>1420</v>
      </c>
      <c r="M32" s="13"/>
    </row>
    <row r="33" customFormat="false" ht="15" hidden="false" customHeight="false" outlineLevel="0" collapsed="false">
      <c r="A33" s="13" t="s">
        <v>608</v>
      </c>
      <c r="B33" s="13" t="s">
        <v>607</v>
      </c>
      <c r="C33" s="13" t="s">
        <v>1416</v>
      </c>
      <c r="D33" s="13" t="s">
        <v>57</v>
      </c>
      <c r="E33" s="13" t="s">
        <v>641</v>
      </c>
      <c r="F33" s="13" t="s">
        <v>351</v>
      </c>
      <c r="G33" s="63" t="n">
        <v>1226392843</v>
      </c>
      <c r="H33" s="13" t="s">
        <v>1417</v>
      </c>
      <c r="I33" s="13"/>
      <c r="J33" s="13"/>
      <c r="K33" s="13" t="s">
        <v>1419</v>
      </c>
      <c r="L33" s="13" t="s">
        <v>1420</v>
      </c>
      <c r="M33" s="13" t="s">
        <v>1428</v>
      </c>
    </row>
    <row r="34" customFormat="false" ht="15" hidden="false" customHeight="false" outlineLevel="0" collapsed="false">
      <c r="A34" s="13" t="s">
        <v>608</v>
      </c>
      <c r="B34" s="13" t="s">
        <v>607</v>
      </c>
      <c r="C34" s="13" t="s">
        <v>1421</v>
      </c>
      <c r="D34" s="13" t="s">
        <v>57</v>
      </c>
      <c r="E34" s="13" t="s">
        <v>641</v>
      </c>
      <c r="F34" s="13" t="s">
        <v>351</v>
      </c>
      <c r="G34" s="63" t="n">
        <v>75326392</v>
      </c>
      <c r="H34" s="13" t="s">
        <v>1417</v>
      </c>
      <c r="I34" s="13"/>
      <c r="J34" s="13"/>
      <c r="K34" s="13" t="s">
        <v>1422</v>
      </c>
      <c r="L34" s="13" t="s">
        <v>1420</v>
      </c>
      <c r="M34" s="13" t="s">
        <v>1428</v>
      </c>
    </row>
    <row r="35" customFormat="false" ht="15" hidden="false" customHeight="false" outlineLevel="0" collapsed="false">
      <c r="A35" s="13" t="s">
        <v>608</v>
      </c>
      <c r="B35" s="13" t="s">
        <v>607</v>
      </c>
      <c r="C35" s="13" t="s">
        <v>1423</v>
      </c>
      <c r="D35" s="13" t="s">
        <v>57</v>
      </c>
      <c r="E35" s="13" t="s">
        <v>641</v>
      </c>
      <c r="F35" s="13" t="s">
        <v>351</v>
      </c>
      <c r="G35" s="63" t="n">
        <v>313957191</v>
      </c>
      <c r="H35" s="13" t="s">
        <v>1417</v>
      </c>
      <c r="I35" s="13"/>
      <c r="J35" s="13"/>
      <c r="K35" s="13" t="s">
        <v>1425</v>
      </c>
      <c r="L35" s="13" t="s">
        <v>1426</v>
      </c>
      <c r="M35" s="13" t="s">
        <v>1428</v>
      </c>
    </row>
    <row r="36" customFormat="false" ht="15" hidden="false" customHeight="false" outlineLevel="0" collapsed="false">
      <c r="A36" s="13" t="s">
        <v>608</v>
      </c>
      <c r="B36" s="13" t="s">
        <v>607</v>
      </c>
      <c r="C36" s="13" t="s">
        <v>1427</v>
      </c>
      <c r="D36" s="13" t="s">
        <v>57</v>
      </c>
      <c r="E36" s="13" t="s">
        <v>641</v>
      </c>
      <c r="F36" s="13" t="s">
        <v>351</v>
      </c>
      <c r="G36" s="63" t="n">
        <v>-710131821</v>
      </c>
      <c r="H36" s="13" t="s">
        <v>1417</v>
      </c>
      <c r="I36" s="13"/>
      <c r="J36" s="13"/>
      <c r="K36" s="13" t="s">
        <v>619</v>
      </c>
      <c r="L36" s="13" t="s">
        <v>1420</v>
      </c>
      <c r="M36" s="13" t="s">
        <v>1428</v>
      </c>
    </row>
    <row r="37" customFormat="false" ht="15" hidden="false" customHeight="false" outlineLevel="0" collapsed="false">
      <c r="A37" s="13" t="s">
        <v>608</v>
      </c>
      <c r="B37" s="13" t="s">
        <v>607</v>
      </c>
      <c r="C37" s="13" t="s">
        <v>1416</v>
      </c>
      <c r="D37" s="13" t="s">
        <v>57</v>
      </c>
      <c r="E37" s="13" t="s">
        <v>642</v>
      </c>
      <c r="F37" s="13" t="s">
        <v>643</v>
      </c>
      <c r="G37" s="63" t="n">
        <v>8372390209</v>
      </c>
      <c r="H37" s="13" t="s">
        <v>1417</v>
      </c>
      <c r="I37" s="13"/>
      <c r="J37" s="13"/>
      <c r="K37" s="13" t="s">
        <v>1419</v>
      </c>
      <c r="L37" s="13" t="s">
        <v>1420</v>
      </c>
      <c r="M37" s="13" t="s">
        <v>1428</v>
      </c>
    </row>
    <row r="38" customFormat="false" ht="15" hidden="false" customHeight="false" outlineLevel="0" collapsed="false">
      <c r="A38" s="13" t="s">
        <v>608</v>
      </c>
      <c r="B38" s="13" t="s">
        <v>607</v>
      </c>
      <c r="C38" s="13" t="s">
        <v>1421</v>
      </c>
      <c r="D38" s="13" t="s">
        <v>57</v>
      </c>
      <c r="E38" s="13" t="s">
        <v>642</v>
      </c>
      <c r="F38" s="13" t="s">
        <v>643</v>
      </c>
      <c r="G38" s="63" t="n">
        <v>9749721055</v>
      </c>
      <c r="H38" s="13" t="s">
        <v>1417</v>
      </c>
      <c r="I38" s="13"/>
      <c r="J38" s="13"/>
      <c r="K38" s="13" t="s">
        <v>1422</v>
      </c>
      <c r="L38" s="13" t="s">
        <v>1420</v>
      </c>
      <c r="M38" s="13" t="s">
        <v>1428</v>
      </c>
    </row>
    <row r="39" customFormat="false" ht="15" hidden="false" customHeight="false" outlineLevel="0" collapsed="false">
      <c r="A39" s="13" t="s">
        <v>608</v>
      </c>
      <c r="B39" s="13" t="s">
        <v>607</v>
      </c>
      <c r="C39" s="13" t="s">
        <v>1423</v>
      </c>
      <c r="D39" s="13" t="s">
        <v>57</v>
      </c>
      <c r="E39" s="13" t="s">
        <v>642</v>
      </c>
      <c r="F39" s="13" t="s">
        <v>643</v>
      </c>
      <c r="G39" s="63" t="n">
        <v>11625112156</v>
      </c>
      <c r="H39" s="13" t="s">
        <v>1417</v>
      </c>
      <c r="I39" s="13"/>
      <c r="J39" s="13"/>
      <c r="K39" s="13" t="s">
        <v>1425</v>
      </c>
      <c r="L39" s="13" t="s">
        <v>1426</v>
      </c>
      <c r="M39" s="13" t="s">
        <v>1428</v>
      </c>
    </row>
    <row r="40" customFormat="false" ht="15" hidden="false" customHeight="false" outlineLevel="0" collapsed="false">
      <c r="A40" s="13" t="s">
        <v>608</v>
      </c>
      <c r="B40" s="13" t="s">
        <v>607</v>
      </c>
      <c r="C40" s="13" t="s">
        <v>1427</v>
      </c>
      <c r="D40" s="13" t="s">
        <v>57</v>
      </c>
      <c r="E40" s="13" t="s">
        <v>642</v>
      </c>
      <c r="F40" s="13" t="s">
        <v>643</v>
      </c>
      <c r="G40" s="63" t="n">
        <v>2740508237</v>
      </c>
      <c r="H40" s="13" t="s">
        <v>1417</v>
      </c>
      <c r="I40" s="13"/>
      <c r="J40" s="13"/>
      <c r="K40" s="13" t="s">
        <v>619</v>
      </c>
      <c r="L40" s="13" t="s">
        <v>1420</v>
      </c>
      <c r="M40" s="13" t="s">
        <v>1428</v>
      </c>
    </row>
    <row r="41" customFormat="false" ht="15" hidden="false" customHeight="false" outlineLevel="0" collapsed="false">
      <c r="A41" s="13" t="s">
        <v>608</v>
      </c>
      <c r="B41" s="13" t="s">
        <v>607</v>
      </c>
      <c r="C41" s="13" t="s">
        <v>1416</v>
      </c>
      <c r="D41" s="13" t="s">
        <v>57</v>
      </c>
      <c r="E41" s="13" t="s">
        <v>644</v>
      </c>
      <c r="F41" s="13" t="s">
        <v>363</v>
      </c>
      <c r="G41" s="63" t="n">
        <v>-3643595812</v>
      </c>
      <c r="H41" s="13" t="s">
        <v>1417</v>
      </c>
      <c r="I41" s="13"/>
      <c r="J41" s="13" t="s">
        <v>1418</v>
      </c>
      <c r="K41" s="13" t="s">
        <v>1419</v>
      </c>
      <c r="L41" s="13" t="s">
        <v>1420</v>
      </c>
      <c r="M41" s="13"/>
    </row>
    <row r="42" customFormat="false" ht="15" hidden="false" customHeight="false" outlineLevel="0" collapsed="false">
      <c r="A42" s="13" t="s">
        <v>608</v>
      </c>
      <c r="B42" s="13" t="s">
        <v>607</v>
      </c>
      <c r="C42" s="13" t="s">
        <v>1421</v>
      </c>
      <c r="D42" s="13" t="s">
        <v>57</v>
      </c>
      <c r="E42" s="13" t="s">
        <v>644</v>
      </c>
      <c r="F42" s="13" t="s">
        <v>363</v>
      </c>
      <c r="G42" s="63" t="n">
        <v>-7565985614</v>
      </c>
      <c r="H42" s="13" t="s">
        <v>1417</v>
      </c>
      <c r="I42" s="13"/>
      <c r="J42" s="13" t="s">
        <v>1418</v>
      </c>
      <c r="K42" s="13" t="s">
        <v>1422</v>
      </c>
      <c r="L42" s="13" t="s">
        <v>1420</v>
      </c>
      <c r="M42" s="13"/>
    </row>
    <row r="43" customFormat="false" ht="15" hidden="false" customHeight="false" outlineLevel="0" collapsed="false">
      <c r="A43" s="13" t="s">
        <v>608</v>
      </c>
      <c r="B43" s="13" t="s">
        <v>607</v>
      </c>
      <c r="C43" s="13" t="s">
        <v>1423</v>
      </c>
      <c r="D43" s="13" t="s">
        <v>57</v>
      </c>
      <c r="E43" s="13" t="s">
        <v>644</v>
      </c>
      <c r="F43" s="13" t="s">
        <v>363</v>
      </c>
      <c r="G43" s="63" t="n">
        <v>-11555610977</v>
      </c>
      <c r="H43" s="13" t="s">
        <v>1417</v>
      </c>
      <c r="I43" s="13"/>
      <c r="J43" s="13" t="s">
        <v>1424</v>
      </c>
      <c r="K43" s="13" t="s">
        <v>1425</v>
      </c>
      <c r="L43" s="13" t="s">
        <v>1426</v>
      </c>
      <c r="M43" s="13"/>
    </row>
    <row r="44" customFormat="false" ht="15" hidden="false" customHeight="false" outlineLevel="0" collapsed="false">
      <c r="A44" s="13" t="s">
        <v>608</v>
      </c>
      <c r="B44" s="13" t="s">
        <v>607</v>
      </c>
      <c r="C44" s="13" t="s">
        <v>1427</v>
      </c>
      <c r="D44" s="13" t="s">
        <v>57</v>
      </c>
      <c r="E44" s="13" t="s">
        <v>644</v>
      </c>
      <c r="F44" s="13" t="s">
        <v>363</v>
      </c>
      <c r="G44" s="63" t="n">
        <v>-10242145297</v>
      </c>
      <c r="H44" s="13" t="s">
        <v>1417</v>
      </c>
      <c r="I44" s="13"/>
      <c r="J44" s="13" t="s">
        <v>1424</v>
      </c>
      <c r="K44" s="13" t="s">
        <v>619</v>
      </c>
      <c r="L44" s="13" t="s">
        <v>1420</v>
      </c>
      <c r="M44" s="13"/>
    </row>
    <row r="45" customFormat="false" ht="15" hidden="false" customHeight="false" outlineLevel="0" collapsed="false">
      <c r="A45" s="13" t="s">
        <v>608</v>
      </c>
      <c r="B45" s="13" t="s">
        <v>607</v>
      </c>
      <c r="C45" s="13" t="s">
        <v>1416</v>
      </c>
      <c r="D45" s="13" t="s">
        <v>57</v>
      </c>
      <c r="E45" s="13" t="s">
        <v>646</v>
      </c>
      <c r="F45" s="13" t="s">
        <v>360</v>
      </c>
      <c r="G45" s="63" t="n">
        <v>0</v>
      </c>
      <c r="H45" s="13" t="s">
        <v>1417</v>
      </c>
      <c r="I45" s="13"/>
      <c r="J45" s="13" t="s">
        <v>1418</v>
      </c>
      <c r="K45" s="13" t="s">
        <v>1419</v>
      </c>
      <c r="L45" s="13" t="s">
        <v>1420</v>
      </c>
      <c r="M45" s="13"/>
    </row>
    <row r="46" customFormat="false" ht="15" hidden="false" customHeight="false" outlineLevel="0" collapsed="false">
      <c r="A46" s="13" t="s">
        <v>608</v>
      </c>
      <c r="B46" s="13" t="s">
        <v>607</v>
      </c>
      <c r="C46" s="13" t="s">
        <v>1421</v>
      </c>
      <c r="D46" s="13" t="s">
        <v>57</v>
      </c>
      <c r="E46" s="13" t="s">
        <v>646</v>
      </c>
      <c r="F46" s="13" t="s">
        <v>360</v>
      </c>
      <c r="G46" s="63" t="n">
        <v>0</v>
      </c>
      <c r="H46" s="13" t="s">
        <v>1417</v>
      </c>
      <c r="I46" s="13"/>
      <c r="J46" s="13" t="s">
        <v>1418</v>
      </c>
      <c r="K46" s="13" t="s">
        <v>1422</v>
      </c>
      <c r="L46" s="13" t="s">
        <v>1420</v>
      </c>
      <c r="M46" s="13"/>
    </row>
    <row r="47" customFormat="false" ht="15" hidden="false" customHeight="false" outlineLevel="0" collapsed="false">
      <c r="A47" s="13" t="s">
        <v>608</v>
      </c>
      <c r="B47" s="13" t="s">
        <v>607</v>
      </c>
      <c r="C47" s="13" t="s">
        <v>1423</v>
      </c>
      <c r="D47" s="13" t="s">
        <v>57</v>
      </c>
      <c r="E47" s="13" t="s">
        <v>646</v>
      </c>
      <c r="F47" s="13" t="s">
        <v>360</v>
      </c>
      <c r="G47" s="63" t="n">
        <v>0</v>
      </c>
      <c r="H47" s="13" t="s">
        <v>1417</v>
      </c>
      <c r="I47" s="13"/>
      <c r="J47" s="13" t="s">
        <v>1424</v>
      </c>
      <c r="K47" s="13" t="s">
        <v>1425</v>
      </c>
      <c r="L47" s="13" t="s">
        <v>1426</v>
      </c>
      <c r="M47" s="13"/>
    </row>
    <row r="48" customFormat="false" ht="15" hidden="false" customHeight="false" outlineLevel="0" collapsed="false">
      <c r="A48" s="13" t="s">
        <v>608</v>
      </c>
      <c r="B48" s="13" t="s">
        <v>607</v>
      </c>
      <c r="C48" s="13" t="s">
        <v>1427</v>
      </c>
      <c r="D48" s="13" t="s">
        <v>57</v>
      </c>
      <c r="E48" s="13" t="s">
        <v>646</v>
      </c>
      <c r="F48" s="13" t="s">
        <v>360</v>
      </c>
      <c r="G48" s="63" t="n">
        <v>13190576716</v>
      </c>
      <c r="H48" s="13" t="s">
        <v>1417</v>
      </c>
      <c r="I48" s="13"/>
      <c r="J48" s="13" t="s">
        <v>1424</v>
      </c>
      <c r="K48" s="13" t="s">
        <v>619</v>
      </c>
      <c r="L48" s="13" t="s">
        <v>1420</v>
      </c>
      <c r="M48" s="13"/>
    </row>
    <row r="49" customFormat="false" ht="15" hidden="false" customHeight="false" outlineLevel="0" collapsed="false">
      <c r="A49" s="13" t="s">
        <v>608</v>
      </c>
      <c r="B49" s="13" t="s">
        <v>607</v>
      </c>
      <c r="C49" s="13" t="s">
        <v>1416</v>
      </c>
      <c r="D49" s="13" t="s">
        <v>57</v>
      </c>
      <c r="E49" s="13" t="s">
        <v>648</v>
      </c>
      <c r="F49" s="13" t="s">
        <v>366</v>
      </c>
      <c r="G49" s="63" t="n">
        <v>4728794397</v>
      </c>
      <c r="H49" s="13" t="s">
        <v>1417</v>
      </c>
      <c r="I49" s="13"/>
      <c r="J49" s="13"/>
      <c r="K49" s="13" t="s">
        <v>1419</v>
      </c>
      <c r="L49" s="13" t="s">
        <v>1420</v>
      </c>
      <c r="M49" s="13" t="s">
        <v>1428</v>
      </c>
    </row>
    <row r="50" customFormat="false" ht="15" hidden="false" customHeight="false" outlineLevel="0" collapsed="false">
      <c r="A50" s="13" t="s">
        <v>608</v>
      </c>
      <c r="B50" s="13" t="s">
        <v>607</v>
      </c>
      <c r="C50" s="13" t="s">
        <v>1421</v>
      </c>
      <c r="D50" s="13" t="s">
        <v>57</v>
      </c>
      <c r="E50" s="13" t="s">
        <v>648</v>
      </c>
      <c r="F50" s="13" t="s">
        <v>366</v>
      </c>
      <c r="G50" s="63" t="n">
        <v>2183735441</v>
      </c>
      <c r="H50" s="13" t="s">
        <v>1417</v>
      </c>
      <c r="I50" s="13"/>
      <c r="J50" s="13"/>
      <c r="K50" s="13" t="s">
        <v>1422</v>
      </c>
      <c r="L50" s="13" t="s">
        <v>1420</v>
      </c>
      <c r="M50" s="13" t="s">
        <v>1428</v>
      </c>
    </row>
    <row r="51" customFormat="false" ht="15" hidden="false" customHeight="false" outlineLevel="0" collapsed="false">
      <c r="A51" s="13" t="s">
        <v>608</v>
      </c>
      <c r="B51" s="13" t="s">
        <v>607</v>
      </c>
      <c r="C51" s="13" t="s">
        <v>1423</v>
      </c>
      <c r="D51" s="13" t="s">
        <v>57</v>
      </c>
      <c r="E51" s="13" t="s">
        <v>648</v>
      </c>
      <c r="F51" s="13" t="s">
        <v>366</v>
      </c>
      <c r="G51" s="63" t="n">
        <v>69501179</v>
      </c>
      <c r="H51" s="13" t="s">
        <v>1417</v>
      </c>
      <c r="I51" s="13"/>
      <c r="J51" s="13"/>
      <c r="K51" s="13" t="s">
        <v>1425</v>
      </c>
      <c r="L51" s="13" t="s">
        <v>1426</v>
      </c>
      <c r="M51" s="13" t="s">
        <v>1428</v>
      </c>
    </row>
    <row r="52" customFormat="false" ht="15" hidden="false" customHeight="false" outlineLevel="0" collapsed="false">
      <c r="A52" s="13" t="s">
        <v>608</v>
      </c>
      <c r="B52" s="13" t="s">
        <v>607</v>
      </c>
      <c r="C52" s="13" t="s">
        <v>1427</v>
      </c>
      <c r="D52" s="13" t="s">
        <v>57</v>
      </c>
      <c r="E52" s="13" t="s">
        <v>648</v>
      </c>
      <c r="F52" s="13" t="s">
        <v>366</v>
      </c>
      <c r="G52" s="63" t="n">
        <v>5688939656</v>
      </c>
      <c r="H52" s="13" t="s">
        <v>1417</v>
      </c>
      <c r="I52" s="13"/>
      <c r="J52" s="13"/>
      <c r="K52" s="13" t="s">
        <v>619</v>
      </c>
      <c r="L52" s="13" t="s">
        <v>1420</v>
      </c>
      <c r="M52" s="13" t="s">
        <v>1428</v>
      </c>
    </row>
    <row r="53" customFormat="false" ht="15" hidden="false" customHeight="false" outlineLevel="0" collapsed="false">
      <c r="A53" s="13" t="s">
        <v>608</v>
      </c>
      <c r="B53" s="13" t="s">
        <v>607</v>
      </c>
      <c r="C53" s="13" t="s">
        <v>1416</v>
      </c>
      <c r="D53" s="13" t="s">
        <v>57</v>
      </c>
      <c r="E53" s="13" t="s">
        <v>649</v>
      </c>
      <c r="F53" s="13" t="s">
        <v>650</v>
      </c>
      <c r="G53" s="63" t="n">
        <v>-1220088106</v>
      </c>
      <c r="H53" s="13" t="s">
        <v>1417</v>
      </c>
      <c r="I53" s="13"/>
      <c r="J53" s="13" t="s">
        <v>1418</v>
      </c>
      <c r="K53" s="13" t="s">
        <v>1419</v>
      </c>
      <c r="L53" s="13" t="s">
        <v>1420</v>
      </c>
      <c r="M53" s="13"/>
    </row>
    <row r="54" customFormat="false" ht="15" hidden="false" customHeight="false" outlineLevel="0" collapsed="false">
      <c r="A54" s="13" t="s">
        <v>608</v>
      </c>
      <c r="B54" s="13" t="s">
        <v>607</v>
      </c>
      <c r="C54" s="13" t="s">
        <v>1421</v>
      </c>
      <c r="D54" s="13" t="s">
        <v>57</v>
      </c>
      <c r="E54" s="13" t="s">
        <v>649</v>
      </c>
      <c r="F54" s="13" t="s">
        <v>650</v>
      </c>
      <c r="G54" s="63" t="n">
        <v>-1675692417</v>
      </c>
      <c r="H54" s="13" t="s">
        <v>1417</v>
      </c>
      <c r="I54" s="13"/>
      <c r="J54" s="13" t="s">
        <v>1418</v>
      </c>
      <c r="K54" s="13" t="s">
        <v>1422</v>
      </c>
      <c r="L54" s="13" t="s">
        <v>1420</v>
      </c>
      <c r="M54" s="13"/>
    </row>
    <row r="55" customFormat="false" ht="15" hidden="false" customHeight="false" outlineLevel="0" collapsed="false">
      <c r="A55" s="13" t="s">
        <v>608</v>
      </c>
      <c r="B55" s="13" t="s">
        <v>607</v>
      </c>
      <c r="C55" s="13" t="s">
        <v>1423</v>
      </c>
      <c r="D55" s="13" t="s">
        <v>57</v>
      </c>
      <c r="E55" s="13" t="s">
        <v>649</v>
      </c>
      <c r="F55" s="13" t="s">
        <v>650</v>
      </c>
      <c r="G55" s="63" t="n">
        <v>-480368880</v>
      </c>
      <c r="H55" s="13" t="s">
        <v>1417</v>
      </c>
      <c r="I55" s="13"/>
      <c r="J55" s="13" t="s">
        <v>1432</v>
      </c>
      <c r="K55" s="13" t="s">
        <v>1425</v>
      </c>
      <c r="L55" s="13" t="s">
        <v>1426</v>
      </c>
      <c r="M55" s="13"/>
    </row>
    <row r="56" customFormat="false" ht="15" hidden="false" customHeight="false" outlineLevel="0" collapsed="false">
      <c r="A56" s="13" t="s">
        <v>608</v>
      </c>
      <c r="B56" s="13" t="s">
        <v>607</v>
      </c>
      <c r="C56" s="13" t="s">
        <v>1427</v>
      </c>
      <c r="D56" s="13" t="s">
        <v>57</v>
      </c>
      <c r="E56" s="13" t="s">
        <v>649</v>
      </c>
      <c r="F56" s="13" t="s">
        <v>650</v>
      </c>
      <c r="G56" s="63" t="n">
        <v>332957861</v>
      </c>
      <c r="H56" s="13" t="s">
        <v>1417</v>
      </c>
      <c r="I56" s="13"/>
      <c r="J56" s="13" t="s">
        <v>1432</v>
      </c>
      <c r="K56" s="13" t="s">
        <v>619</v>
      </c>
      <c r="L56" s="13" t="s">
        <v>1420</v>
      </c>
      <c r="M56" s="13"/>
    </row>
    <row r="57" customFormat="false" ht="15" hidden="false" customHeight="false" outlineLevel="0" collapsed="false">
      <c r="A57" s="13" t="s">
        <v>608</v>
      </c>
      <c r="B57" s="13" t="s">
        <v>607</v>
      </c>
      <c r="C57" s="13" t="s">
        <v>1416</v>
      </c>
      <c r="D57" s="13" t="s">
        <v>57</v>
      </c>
      <c r="E57" s="13" t="s">
        <v>652</v>
      </c>
      <c r="F57" s="13" t="s">
        <v>653</v>
      </c>
      <c r="G57" s="63" t="n">
        <v>1379459473</v>
      </c>
      <c r="H57" s="13" t="s">
        <v>1417</v>
      </c>
      <c r="I57" s="13"/>
      <c r="J57" s="13" t="s">
        <v>1433</v>
      </c>
      <c r="K57" s="13" t="s">
        <v>1419</v>
      </c>
      <c r="L57" s="13" t="s">
        <v>1420</v>
      </c>
      <c r="M57" s="13"/>
    </row>
    <row r="58" customFormat="false" ht="15" hidden="false" customHeight="false" outlineLevel="0" collapsed="false">
      <c r="A58" s="13" t="s">
        <v>608</v>
      </c>
      <c r="B58" s="13" t="s">
        <v>607</v>
      </c>
      <c r="C58" s="13" t="s">
        <v>1421</v>
      </c>
      <c r="D58" s="13" t="s">
        <v>57</v>
      </c>
      <c r="E58" s="13" t="s">
        <v>652</v>
      </c>
      <c r="F58" s="13" t="s">
        <v>653</v>
      </c>
      <c r="G58" s="63" t="n">
        <v>3031673373</v>
      </c>
      <c r="H58" s="13" t="s">
        <v>1417</v>
      </c>
      <c r="I58" s="13"/>
      <c r="J58" s="13" t="s">
        <v>1433</v>
      </c>
      <c r="K58" s="13" t="s">
        <v>1422</v>
      </c>
      <c r="L58" s="13" t="s">
        <v>1420</v>
      </c>
      <c r="M58" s="13"/>
    </row>
    <row r="59" customFormat="false" ht="15" hidden="false" customHeight="false" outlineLevel="0" collapsed="false">
      <c r="A59" s="13" t="s">
        <v>608</v>
      </c>
      <c r="B59" s="13" t="s">
        <v>607</v>
      </c>
      <c r="C59" s="13" t="s">
        <v>1423</v>
      </c>
      <c r="D59" s="13" t="s">
        <v>57</v>
      </c>
      <c r="E59" s="13" t="s">
        <v>652</v>
      </c>
      <c r="F59" s="13" t="s">
        <v>653</v>
      </c>
      <c r="G59" s="63" t="n">
        <v>3248230974</v>
      </c>
      <c r="H59" s="13" t="s">
        <v>1417</v>
      </c>
      <c r="I59" s="13"/>
      <c r="J59" s="13" t="s">
        <v>1434</v>
      </c>
      <c r="K59" s="13" t="s">
        <v>1425</v>
      </c>
      <c r="L59" s="13" t="s">
        <v>1426</v>
      </c>
      <c r="M59" s="13"/>
    </row>
    <row r="60" customFormat="false" ht="15" hidden="false" customHeight="false" outlineLevel="0" collapsed="false">
      <c r="A60" s="13" t="s">
        <v>608</v>
      </c>
      <c r="B60" s="13" t="s">
        <v>607</v>
      </c>
      <c r="C60" s="13" t="s">
        <v>1427</v>
      </c>
      <c r="D60" s="13" t="s">
        <v>57</v>
      </c>
      <c r="E60" s="13" t="s">
        <v>652</v>
      </c>
      <c r="F60" s="13" t="s">
        <v>653</v>
      </c>
      <c r="G60" s="63" t="n">
        <v>0</v>
      </c>
      <c r="H60" s="13" t="s">
        <v>1417</v>
      </c>
      <c r="I60" s="13"/>
      <c r="J60" s="13" t="s">
        <v>1434</v>
      </c>
      <c r="K60" s="13" t="s">
        <v>619</v>
      </c>
      <c r="L60" s="13" t="s">
        <v>1420</v>
      </c>
      <c r="M60" s="13"/>
    </row>
    <row r="61" customFormat="false" ht="15" hidden="false" customHeight="false" outlineLevel="0" collapsed="false">
      <c r="A61" s="13" t="s">
        <v>608</v>
      </c>
      <c r="B61" s="13" t="s">
        <v>607</v>
      </c>
      <c r="C61" s="13" t="s">
        <v>1416</v>
      </c>
      <c r="D61" s="13" t="s">
        <v>57</v>
      </c>
      <c r="E61" s="13" t="s">
        <v>655</v>
      </c>
      <c r="F61" s="13" t="s">
        <v>138</v>
      </c>
      <c r="G61" s="63" t="n">
        <v>4888165764</v>
      </c>
      <c r="H61" s="13" t="s">
        <v>1417</v>
      </c>
      <c r="I61" s="13"/>
      <c r="J61" s="13"/>
      <c r="K61" s="13" t="s">
        <v>1419</v>
      </c>
      <c r="L61" s="13" t="s">
        <v>1420</v>
      </c>
      <c r="M61" s="13" t="s">
        <v>1428</v>
      </c>
    </row>
    <row r="62" customFormat="false" ht="15" hidden="false" customHeight="false" outlineLevel="0" collapsed="false">
      <c r="A62" s="13" t="s">
        <v>608</v>
      </c>
      <c r="B62" s="13" t="s">
        <v>607</v>
      </c>
      <c r="C62" s="13" t="s">
        <v>1421</v>
      </c>
      <c r="D62" s="13" t="s">
        <v>57</v>
      </c>
      <c r="E62" s="13" t="s">
        <v>655</v>
      </c>
      <c r="F62" s="13" t="s">
        <v>138</v>
      </c>
      <c r="G62" s="63" t="n">
        <v>3539716397</v>
      </c>
      <c r="H62" s="13" t="s">
        <v>1417</v>
      </c>
      <c r="I62" s="13"/>
      <c r="J62" s="13"/>
      <c r="K62" s="13" t="s">
        <v>1422</v>
      </c>
      <c r="L62" s="13" t="s">
        <v>1420</v>
      </c>
      <c r="M62" s="13" t="s">
        <v>1428</v>
      </c>
    </row>
    <row r="63" customFormat="false" ht="15" hidden="false" customHeight="false" outlineLevel="0" collapsed="false">
      <c r="A63" s="13" t="s">
        <v>608</v>
      </c>
      <c r="B63" s="13" t="s">
        <v>607</v>
      </c>
      <c r="C63" s="13" t="s">
        <v>1423</v>
      </c>
      <c r="D63" s="13" t="s">
        <v>57</v>
      </c>
      <c r="E63" s="13" t="s">
        <v>655</v>
      </c>
      <c r="F63" s="13" t="s">
        <v>138</v>
      </c>
      <c r="G63" s="63" t="n">
        <v>2837363273</v>
      </c>
      <c r="H63" s="13" t="s">
        <v>1417</v>
      </c>
      <c r="I63" s="13"/>
      <c r="J63" s="13"/>
      <c r="K63" s="13" t="s">
        <v>1425</v>
      </c>
      <c r="L63" s="13" t="s">
        <v>1426</v>
      </c>
      <c r="M63" s="13" t="s">
        <v>1428</v>
      </c>
    </row>
    <row r="64" customFormat="false" ht="15" hidden="false" customHeight="false" outlineLevel="0" collapsed="false">
      <c r="A64" s="13" t="s">
        <v>608</v>
      </c>
      <c r="B64" s="13" t="s">
        <v>607</v>
      </c>
      <c r="C64" s="13" t="s">
        <v>1427</v>
      </c>
      <c r="D64" s="13" t="s">
        <v>57</v>
      </c>
      <c r="E64" s="13" t="s">
        <v>655</v>
      </c>
      <c r="F64" s="13" t="s">
        <v>138</v>
      </c>
      <c r="G64" s="63" t="n">
        <v>6021897517</v>
      </c>
      <c r="H64" s="13" t="s">
        <v>1417</v>
      </c>
      <c r="I64" s="13"/>
      <c r="J64" s="13"/>
      <c r="K64" s="13" t="s">
        <v>619</v>
      </c>
      <c r="L64" s="13" t="s">
        <v>1420</v>
      </c>
      <c r="M64" s="13" t="s">
        <v>1428</v>
      </c>
    </row>
    <row r="65" customFormat="false" ht="15" hidden="false" customHeight="false" outlineLevel="0" collapsed="false">
      <c r="A65" s="13" t="s">
        <v>608</v>
      </c>
      <c r="B65" s="13" t="s">
        <v>607</v>
      </c>
      <c r="C65" s="13" t="s">
        <v>1416</v>
      </c>
      <c r="D65" s="13" t="s">
        <v>57</v>
      </c>
      <c r="E65" s="13" t="s">
        <v>657</v>
      </c>
      <c r="F65" s="13" t="s">
        <v>658</v>
      </c>
      <c r="G65" s="63" t="n">
        <v>0</v>
      </c>
      <c r="H65" s="13" t="s">
        <v>1417</v>
      </c>
      <c r="I65" s="13"/>
      <c r="J65" s="13" t="s">
        <v>1418</v>
      </c>
      <c r="K65" s="13" t="s">
        <v>1419</v>
      </c>
      <c r="L65" s="13" t="s">
        <v>1420</v>
      </c>
      <c r="M65" s="13"/>
    </row>
    <row r="66" customFormat="false" ht="15" hidden="false" customHeight="false" outlineLevel="0" collapsed="false">
      <c r="A66" s="13" t="s">
        <v>608</v>
      </c>
      <c r="B66" s="13" t="s">
        <v>607</v>
      </c>
      <c r="C66" s="13" t="s">
        <v>1421</v>
      </c>
      <c r="D66" s="13" t="s">
        <v>57</v>
      </c>
      <c r="E66" s="13" t="s">
        <v>657</v>
      </c>
      <c r="F66" s="13" t="s">
        <v>658</v>
      </c>
      <c r="G66" s="63" t="n">
        <v>25288897160</v>
      </c>
      <c r="H66" s="13" t="s">
        <v>1417</v>
      </c>
      <c r="I66" s="13"/>
      <c r="J66" s="13" t="s">
        <v>1418</v>
      </c>
      <c r="K66" s="13" t="s">
        <v>1422</v>
      </c>
      <c r="L66" s="13" t="s">
        <v>1420</v>
      </c>
      <c r="M66" s="13"/>
    </row>
    <row r="67" customFormat="false" ht="15" hidden="false" customHeight="false" outlineLevel="0" collapsed="false">
      <c r="A67" s="13" t="s">
        <v>608</v>
      </c>
      <c r="B67" s="13" t="s">
        <v>607</v>
      </c>
      <c r="C67" s="13" t="s">
        <v>1423</v>
      </c>
      <c r="D67" s="13" t="s">
        <v>57</v>
      </c>
      <c r="E67" s="13" t="s">
        <v>657</v>
      </c>
      <c r="F67" s="13" t="s">
        <v>658</v>
      </c>
      <c r="G67" s="63" t="n">
        <v>0</v>
      </c>
      <c r="H67" s="13" t="s">
        <v>1417</v>
      </c>
      <c r="I67" s="13"/>
      <c r="J67" s="13" t="s">
        <v>1424</v>
      </c>
      <c r="K67" s="13" t="s">
        <v>1425</v>
      </c>
      <c r="L67" s="13" t="s">
        <v>1426</v>
      </c>
      <c r="M67" s="13"/>
    </row>
    <row r="68" customFormat="false" ht="15" hidden="false" customHeight="false" outlineLevel="0" collapsed="false">
      <c r="A68" s="13" t="s">
        <v>608</v>
      </c>
      <c r="B68" s="13" t="s">
        <v>607</v>
      </c>
      <c r="C68" s="13" t="s">
        <v>1427</v>
      </c>
      <c r="D68" s="13" t="s">
        <v>57</v>
      </c>
      <c r="E68" s="13" t="s">
        <v>657</v>
      </c>
      <c r="F68" s="13" t="s">
        <v>658</v>
      </c>
      <c r="G68" s="63" t="n">
        <v>0</v>
      </c>
      <c r="H68" s="13" t="s">
        <v>1417</v>
      </c>
      <c r="I68" s="13"/>
      <c r="J68" s="13" t="s">
        <v>1424</v>
      </c>
      <c r="K68" s="13" t="s">
        <v>619</v>
      </c>
      <c r="L68" s="13" t="s">
        <v>1420</v>
      </c>
      <c r="M68" s="13"/>
    </row>
    <row r="69" customFormat="false" ht="15" hidden="false" customHeight="false" outlineLevel="0" collapsed="false">
      <c r="A69" s="13" t="s">
        <v>608</v>
      </c>
      <c r="B69" s="13" t="s">
        <v>607</v>
      </c>
      <c r="C69" s="13" t="s">
        <v>1416</v>
      </c>
      <c r="D69" s="13" t="s">
        <v>57</v>
      </c>
      <c r="E69" s="13" t="s">
        <v>660</v>
      </c>
      <c r="F69" s="13" t="s">
        <v>661</v>
      </c>
      <c r="G69" s="63" t="n">
        <v>-364663854</v>
      </c>
      <c r="H69" s="13" t="s">
        <v>1417</v>
      </c>
      <c r="I69" s="13"/>
      <c r="J69" s="13" t="s">
        <v>1418</v>
      </c>
      <c r="K69" s="13" t="s">
        <v>1419</v>
      </c>
      <c r="L69" s="13" t="s">
        <v>1420</v>
      </c>
      <c r="M69" s="13"/>
    </row>
    <row r="70" customFormat="false" ht="15" hidden="false" customHeight="false" outlineLevel="0" collapsed="false">
      <c r="A70" s="13" t="s">
        <v>608</v>
      </c>
      <c r="B70" s="13" t="s">
        <v>607</v>
      </c>
      <c r="C70" s="13" t="s">
        <v>1421</v>
      </c>
      <c r="D70" s="13" t="s">
        <v>57</v>
      </c>
      <c r="E70" s="13" t="s">
        <v>660</v>
      </c>
      <c r="F70" s="13" t="s">
        <v>661</v>
      </c>
      <c r="G70" s="63" t="n">
        <v>2259954342</v>
      </c>
      <c r="H70" s="13" t="s">
        <v>1417</v>
      </c>
      <c r="I70" s="13"/>
      <c r="J70" s="13" t="s">
        <v>1435</v>
      </c>
      <c r="K70" s="13" t="s">
        <v>1422</v>
      </c>
      <c r="L70" s="13" t="s">
        <v>1420</v>
      </c>
      <c r="M70" s="13"/>
    </row>
    <row r="71" customFormat="false" ht="15" hidden="false" customHeight="false" outlineLevel="0" collapsed="false">
      <c r="A71" s="13" t="s">
        <v>608</v>
      </c>
      <c r="B71" s="13" t="s">
        <v>607</v>
      </c>
      <c r="C71" s="13" t="s">
        <v>1423</v>
      </c>
      <c r="D71" s="13" t="s">
        <v>57</v>
      </c>
      <c r="E71" s="13" t="s">
        <v>660</v>
      </c>
      <c r="F71" s="13" t="s">
        <v>661</v>
      </c>
      <c r="G71" s="63" t="n">
        <v>209939468</v>
      </c>
      <c r="H71" s="13" t="s">
        <v>1417</v>
      </c>
      <c r="I71" s="13"/>
      <c r="J71" s="13" t="s">
        <v>1424</v>
      </c>
      <c r="K71" s="13" t="s">
        <v>1425</v>
      </c>
      <c r="L71" s="13" t="s">
        <v>1426</v>
      </c>
      <c r="M71" s="13"/>
    </row>
    <row r="72" customFormat="false" ht="15" hidden="false" customHeight="false" outlineLevel="0" collapsed="false">
      <c r="A72" s="13" t="s">
        <v>608</v>
      </c>
      <c r="B72" s="13" t="s">
        <v>607</v>
      </c>
      <c r="C72" s="13" t="s">
        <v>1427</v>
      </c>
      <c r="D72" s="13" t="s">
        <v>57</v>
      </c>
      <c r="E72" s="13" t="s">
        <v>660</v>
      </c>
      <c r="F72" s="13" t="s">
        <v>661</v>
      </c>
      <c r="G72" s="63" t="n">
        <v>1003162921</v>
      </c>
      <c r="H72" s="13" t="s">
        <v>1417</v>
      </c>
      <c r="I72" s="13"/>
      <c r="J72" s="13" t="s">
        <v>1424</v>
      </c>
      <c r="K72" s="13" t="s">
        <v>619</v>
      </c>
      <c r="L72" s="13" t="s">
        <v>1420</v>
      </c>
      <c r="M72" s="13"/>
    </row>
    <row r="73" customFormat="false" ht="15" hidden="false" customHeight="false" outlineLevel="0" collapsed="false">
      <c r="A73" s="13" t="s">
        <v>608</v>
      </c>
      <c r="B73" s="13" t="s">
        <v>607</v>
      </c>
      <c r="C73" s="13" t="s">
        <v>1416</v>
      </c>
      <c r="D73" s="13" t="s">
        <v>57</v>
      </c>
      <c r="E73" s="13" t="s">
        <v>663</v>
      </c>
      <c r="F73" s="13" t="s">
        <v>664</v>
      </c>
      <c r="G73" s="63" t="n">
        <v>80226048</v>
      </c>
      <c r="H73" s="13" t="s">
        <v>1417</v>
      </c>
      <c r="I73" s="13"/>
      <c r="J73" s="13" t="s">
        <v>1418</v>
      </c>
      <c r="K73" s="13" t="s">
        <v>1419</v>
      </c>
      <c r="L73" s="13" t="s">
        <v>1420</v>
      </c>
      <c r="M73" s="13"/>
    </row>
    <row r="74" customFormat="false" ht="15" hidden="false" customHeight="false" outlineLevel="0" collapsed="false">
      <c r="A74" s="13" t="s">
        <v>608</v>
      </c>
      <c r="B74" s="13" t="s">
        <v>607</v>
      </c>
      <c r="C74" s="13" t="s">
        <v>1421</v>
      </c>
      <c r="D74" s="13" t="s">
        <v>57</v>
      </c>
      <c r="E74" s="13" t="s">
        <v>663</v>
      </c>
      <c r="F74" s="13" t="s">
        <v>664</v>
      </c>
      <c r="G74" s="63" t="n">
        <v>-497189955</v>
      </c>
      <c r="H74" s="13" t="s">
        <v>1417</v>
      </c>
      <c r="I74" s="13"/>
      <c r="J74" s="13" t="s">
        <v>1436</v>
      </c>
      <c r="K74" s="13" t="s">
        <v>1422</v>
      </c>
      <c r="L74" s="13" t="s">
        <v>1420</v>
      </c>
      <c r="M74" s="13"/>
    </row>
    <row r="75" customFormat="false" ht="15" hidden="false" customHeight="false" outlineLevel="0" collapsed="false">
      <c r="A75" s="13" t="s">
        <v>608</v>
      </c>
      <c r="B75" s="13" t="s">
        <v>607</v>
      </c>
      <c r="C75" s="13" t="s">
        <v>1423</v>
      </c>
      <c r="D75" s="13" t="s">
        <v>57</v>
      </c>
      <c r="E75" s="13" t="s">
        <v>663</v>
      </c>
      <c r="F75" s="13" t="s">
        <v>664</v>
      </c>
      <c r="G75" s="63" t="n">
        <v>-46186683</v>
      </c>
      <c r="H75" s="13" t="s">
        <v>1417</v>
      </c>
      <c r="I75" s="13"/>
      <c r="J75" s="13" t="s">
        <v>1424</v>
      </c>
      <c r="K75" s="13" t="s">
        <v>1425</v>
      </c>
      <c r="L75" s="13" t="s">
        <v>1426</v>
      </c>
      <c r="M75" s="13"/>
    </row>
    <row r="76" customFormat="false" ht="15" hidden="false" customHeight="false" outlineLevel="0" collapsed="false">
      <c r="A76" s="13" t="s">
        <v>608</v>
      </c>
      <c r="B76" s="13" t="s">
        <v>607</v>
      </c>
      <c r="C76" s="13" t="s">
        <v>1427</v>
      </c>
      <c r="D76" s="13" t="s">
        <v>57</v>
      </c>
      <c r="E76" s="13" t="s">
        <v>663</v>
      </c>
      <c r="F76" s="13" t="s">
        <v>664</v>
      </c>
      <c r="G76" s="63" t="n">
        <v>-220695843</v>
      </c>
      <c r="H76" s="13" t="s">
        <v>1417</v>
      </c>
      <c r="I76" s="13"/>
      <c r="J76" s="13" t="s">
        <v>1424</v>
      </c>
      <c r="K76" s="13" t="s">
        <v>619</v>
      </c>
      <c r="L76" s="13" t="s">
        <v>1420</v>
      </c>
      <c r="M76" s="13"/>
    </row>
    <row r="77" customFormat="false" ht="15" hidden="false" customHeight="false" outlineLevel="0" collapsed="false">
      <c r="A77" s="13" t="s">
        <v>608</v>
      </c>
      <c r="B77" s="13" t="s">
        <v>607</v>
      </c>
      <c r="C77" s="13" t="s">
        <v>1416</v>
      </c>
      <c r="D77" s="13" t="s">
        <v>57</v>
      </c>
      <c r="E77" s="13" t="s">
        <v>666</v>
      </c>
      <c r="F77" s="13" t="s">
        <v>667</v>
      </c>
      <c r="G77" s="63" t="n">
        <v>0</v>
      </c>
      <c r="H77" s="13" t="s">
        <v>1417</v>
      </c>
      <c r="I77" s="13"/>
      <c r="J77" s="13" t="s">
        <v>1418</v>
      </c>
      <c r="K77" s="13" t="s">
        <v>1419</v>
      </c>
      <c r="L77" s="13" t="s">
        <v>1420</v>
      </c>
      <c r="M77" s="13"/>
    </row>
    <row r="78" customFormat="false" ht="15" hidden="false" customHeight="false" outlineLevel="0" collapsed="false">
      <c r="A78" s="13" t="s">
        <v>608</v>
      </c>
      <c r="B78" s="13" t="s">
        <v>607</v>
      </c>
      <c r="C78" s="13" t="s">
        <v>1421</v>
      </c>
      <c r="D78" s="13" t="s">
        <v>57</v>
      </c>
      <c r="E78" s="13" t="s">
        <v>666</v>
      </c>
      <c r="F78" s="13" t="s">
        <v>667</v>
      </c>
      <c r="G78" s="63" t="n">
        <v>0</v>
      </c>
      <c r="H78" s="13" t="s">
        <v>1417</v>
      </c>
      <c r="I78" s="13"/>
      <c r="J78" s="13" t="s">
        <v>1418</v>
      </c>
      <c r="K78" s="13" t="s">
        <v>1422</v>
      </c>
      <c r="L78" s="13" t="s">
        <v>1420</v>
      </c>
      <c r="M78" s="13"/>
    </row>
    <row r="79" customFormat="false" ht="15" hidden="false" customHeight="false" outlineLevel="0" collapsed="false">
      <c r="A79" s="13" t="s">
        <v>608</v>
      </c>
      <c r="B79" s="13" t="s">
        <v>607</v>
      </c>
      <c r="C79" s="13" t="s">
        <v>1423</v>
      </c>
      <c r="D79" s="13" t="s">
        <v>57</v>
      </c>
      <c r="E79" s="13" t="s">
        <v>666</v>
      </c>
      <c r="F79" s="13" t="s">
        <v>667</v>
      </c>
      <c r="G79" s="63" t="n">
        <v>128763209</v>
      </c>
      <c r="H79" s="13" t="s">
        <v>1417</v>
      </c>
      <c r="I79" s="13"/>
      <c r="J79" s="13" t="s">
        <v>1437</v>
      </c>
      <c r="K79" s="13" t="s">
        <v>1425</v>
      </c>
      <c r="L79" s="13" t="s">
        <v>1426</v>
      </c>
      <c r="M79" s="13"/>
    </row>
    <row r="80" customFormat="false" ht="15" hidden="false" customHeight="false" outlineLevel="0" collapsed="false">
      <c r="A80" s="13" t="s">
        <v>608</v>
      </c>
      <c r="B80" s="13" t="s">
        <v>607</v>
      </c>
      <c r="C80" s="13" t="s">
        <v>1427</v>
      </c>
      <c r="D80" s="13" t="s">
        <v>57</v>
      </c>
      <c r="E80" s="13" t="s">
        <v>666</v>
      </c>
      <c r="F80" s="13" t="s">
        <v>667</v>
      </c>
      <c r="G80" s="63" t="n">
        <v>0</v>
      </c>
      <c r="H80" s="13" t="s">
        <v>1417</v>
      </c>
      <c r="I80" s="13"/>
      <c r="J80" s="13" t="s">
        <v>1424</v>
      </c>
      <c r="K80" s="13" t="s">
        <v>619</v>
      </c>
      <c r="L80" s="13" t="s">
        <v>1420</v>
      </c>
      <c r="M80" s="13"/>
    </row>
    <row r="81" customFormat="false" ht="15" hidden="false" customHeight="false" outlineLevel="0" collapsed="false">
      <c r="A81" s="13" t="s">
        <v>608</v>
      </c>
      <c r="B81" s="13" t="s">
        <v>607</v>
      </c>
      <c r="C81" s="13" t="s">
        <v>1416</v>
      </c>
      <c r="D81" s="13" t="s">
        <v>57</v>
      </c>
      <c r="E81" s="13" t="s">
        <v>669</v>
      </c>
      <c r="F81" s="13" t="s">
        <v>670</v>
      </c>
      <c r="G81" s="63" t="n">
        <v>-284437806</v>
      </c>
      <c r="H81" s="13" t="s">
        <v>1417</v>
      </c>
      <c r="I81" s="13"/>
      <c r="J81" s="13"/>
      <c r="K81" s="13" t="s">
        <v>1419</v>
      </c>
      <c r="L81" s="13" t="s">
        <v>1420</v>
      </c>
      <c r="M81" s="13" t="s">
        <v>1428</v>
      </c>
    </row>
    <row r="82" customFormat="false" ht="15" hidden="false" customHeight="false" outlineLevel="0" collapsed="false">
      <c r="A82" s="13" t="s">
        <v>608</v>
      </c>
      <c r="B82" s="13" t="s">
        <v>607</v>
      </c>
      <c r="C82" s="13" t="s">
        <v>1421</v>
      </c>
      <c r="D82" s="13" t="s">
        <v>57</v>
      </c>
      <c r="E82" s="13" t="s">
        <v>669</v>
      </c>
      <c r="F82" s="13" t="s">
        <v>670</v>
      </c>
      <c r="G82" s="63" t="n">
        <v>27051661547</v>
      </c>
      <c r="H82" s="13" t="s">
        <v>1417</v>
      </c>
      <c r="I82" s="13"/>
      <c r="J82" s="13"/>
      <c r="K82" s="13" t="s">
        <v>1422</v>
      </c>
      <c r="L82" s="13" t="s">
        <v>1420</v>
      </c>
      <c r="M82" s="13" t="s">
        <v>1428</v>
      </c>
    </row>
    <row r="83" customFormat="false" ht="15" hidden="false" customHeight="false" outlineLevel="0" collapsed="false">
      <c r="A83" s="13" t="s">
        <v>608</v>
      </c>
      <c r="B83" s="13" t="s">
        <v>607</v>
      </c>
      <c r="C83" s="13" t="s">
        <v>1423</v>
      </c>
      <c r="D83" s="13" t="s">
        <v>57</v>
      </c>
      <c r="E83" s="13" t="s">
        <v>669</v>
      </c>
      <c r="F83" s="13" t="s">
        <v>670</v>
      </c>
      <c r="G83" s="63" t="n">
        <v>292515994</v>
      </c>
      <c r="H83" s="13" t="s">
        <v>1417</v>
      </c>
      <c r="I83" s="13"/>
      <c r="J83" s="13"/>
      <c r="K83" s="13" t="s">
        <v>1425</v>
      </c>
      <c r="L83" s="13" t="s">
        <v>1426</v>
      </c>
      <c r="M83" s="13" t="s">
        <v>1428</v>
      </c>
    </row>
    <row r="84" customFormat="false" ht="15" hidden="false" customHeight="false" outlineLevel="0" collapsed="false">
      <c r="A84" s="13" t="s">
        <v>608</v>
      </c>
      <c r="B84" s="13" t="s">
        <v>607</v>
      </c>
      <c r="C84" s="13" t="s">
        <v>1427</v>
      </c>
      <c r="D84" s="13" t="s">
        <v>57</v>
      </c>
      <c r="E84" s="13" t="s">
        <v>669</v>
      </c>
      <c r="F84" s="13" t="s">
        <v>670</v>
      </c>
      <c r="G84" s="63" t="n">
        <v>782467078</v>
      </c>
      <c r="H84" s="13" t="s">
        <v>1417</v>
      </c>
      <c r="I84" s="13"/>
      <c r="J84" s="13"/>
      <c r="K84" s="13" t="s">
        <v>619</v>
      </c>
      <c r="L84" s="13" t="s">
        <v>1420</v>
      </c>
      <c r="M84" s="13" t="s">
        <v>1428</v>
      </c>
    </row>
    <row r="85" customFormat="false" ht="15" hidden="false" customHeight="false" outlineLevel="0" collapsed="false">
      <c r="A85" s="13" t="s">
        <v>608</v>
      </c>
      <c r="B85" s="13" t="s">
        <v>607</v>
      </c>
      <c r="C85" s="13" t="s">
        <v>1416</v>
      </c>
      <c r="D85" s="13" t="s">
        <v>57</v>
      </c>
      <c r="E85" s="13" t="s">
        <v>671</v>
      </c>
      <c r="F85" s="13" t="s">
        <v>672</v>
      </c>
      <c r="G85" s="63" t="n">
        <v>4603727958</v>
      </c>
      <c r="H85" s="13" t="s">
        <v>1417</v>
      </c>
      <c r="I85" s="13"/>
      <c r="J85" s="13"/>
      <c r="K85" s="13" t="s">
        <v>1419</v>
      </c>
      <c r="L85" s="13" t="s">
        <v>1420</v>
      </c>
      <c r="M85" s="13" t="s">
        <v>1428</v>
      </c>
    </row>
    <row r="86" customFormat="false" ht="15" hidden="false" customHeight="false" outlineLevel="0" collapsed="false">
      <c r="A86" s="13" t="s">
        <v>608</v>
      </c>
      <c r="B86" s="13" t="s">
        <v>607</v>
      </c>
      <c r="C86" s="13" t="s">
        <v>1421</v>
      </c>
      <c r="D86" s="13" t="s">
        <v>57</v>
      </c>
      <c r="E86" s="13" t="s">
        <v>671</v>
      </c>
      <c r="F86" s="13" t="s">
        <v>672</v>
      </c>
      <c r="G86" s="63" t="n">
        <v>30591377944</v>
      </c>
      <c r="H86" s="13" t="s">
        <v>1417</v>
      </c>
      <c r="I86" s="13"/>
      <c r="J86" s="13"/>
      <c r="K86" s="13" t="s">
        <v>1422</v>
      </c>
      <c r="L86" s="13" t="s">
        <v>1420</v>
      </c>
      <c r="M86" s="13" t="s">
        <v>1428</v>
      </c>
    </row>
    <row r="87" customFormat="false" ht="15" hidden="false" customHeight="false" outlineLevel="0" collapsed="false">
      <c r="A87" s="13" t="s">
        <v>608</v>
      </c>
      <c r="B87" s="13" t="s">
        <v>607</v>
      </c>
      <c r="C87" s="13" t="s">
        <v>1423</v>
      </c>
      <c r="D87" s="13" t="s">
        <v>57</v>
      </c>
      <c r="E87" s="13" t="s">
        <v>671</v>
      </c>
      <c r="F87" s="13" t="s">
        <v>672</v>
      </c>
      <c r="G87" s="63" t="n">
        <v>3129879267</v>
      </c>
      <c r="H87" s="13" t="s">
        <v>1417</v>
      </c>
      <c r="I87" s="13"/>
      <c r="J87" s="13"/>
      <c r="K87" s="13" t="s">
        <v>1425</v>
      </c>
      <c r="L87" s="13" t="s">
        <v>1426</v>
      </c>
      <c r="M87" s="13" t="s">
        <v>1428</v>
      </c>
    </row>
    <row r="88" customFormat="false" ht="15" hidden="false" customHeight="false" outlineLevel="0" collapsed="false">
      <c r="A88" s="13" t="s">
        <v>608</v>
      </c>
      <c r="B88" s="13" t="s">
        <v>607</v>
      </c>
      <c r="C88" s="13" t="s">
        <v>1427</v>
      </c>
      <c r="D88" s="13" t="s">
        <v>57</v>
      </c>
      <c r="E88" s="13" t="s">
        <v>671</v>
      </c>
      <c r="F88" s="13" t="s">
        <v>672</v>
      </c>
      <c r="G88" s="63" t="n">
        <v>6804364595</v>
      </c>
      <c r="H88" s="13" t="s">
        <v>1417</v>
      </c>
      <c r="I88" s="13"/>
      <c r="J88" s="13"/>
      <c r="K88" s="13" t="s">
        <v>619</v>
      </c>
      <c r="L88" s="13" t="s">
        <v>1420</v>
      </c>
      <c r="M88" s="13" t="s">
        <v>1428</v>
      </c>
    </row>
    <row r="89" customFormat="false" ht="15" hidden="false" customHeight="false" outlineLevel="0" collapsed="false">
      <c r="A89" s="13" t="s">
        <v>608</v>
      </c>
      <c r="B89" s="13" t="s">
        <v>607</v>
      </c>
      <c r="C89" s="13" t="s">
        <v>1416</v>
      </c>
      <c r="D89" s="13" t="s">
        <v>57</v>
      </c>
      <c r="E89" s="13" t="s">
        <v>674</v>
      </c>
      <c r="F89" s="13" t="s">
        <v>675</v>
      </c>
      <c r="G89" s="63" t="n">
        <v>4888165764</v>
      </c>
      <c r="H89" s="13" t="s">
        <v>1417</v>
      </c>
      <c r="I89" s="13"/>
      <c r="J89" s="13" t="s">
        <v>1418</v>
      </c>
      <c r="K89" s="13" t="s">
        <v>1419</v>
      </c>
      <c r="L89" s="13" t="s">
        <v>1420</v>
      </c>
      <c r="M89" s="13"/>
    </row>
    <row r="90" customFormat="false" ht="15" hidden="false" customHeight="false" outlineLevel="0" collapsed="false">
      <c r="A90" s="13" t="s">
        <v>608</v>
      </c>
      <c r="B90" s="13" t="s">
        <v>607</v>
      </c>
      <c r="C90" s="13" t="s">
        <v>1421</v>
      </c>
      <c r="D90" s="13" t="s">
        <v>57</v>
      </c>
      <c r="E90" s="13" t="s">
        <v>674</v>
      </c>
      <c r="F90" s="13" t="s">
        <v>675</v>
      </c>
      <c r="G90" s="63" t="n">
        <v>3539716397</v>
      </c>
      <c r="H90" s="13" t="s">
        <v>1417</v>
      </c>
      <c r="I90" s="13"/>
      <c r="J90" s="13" t="s">
        <v>1418</v>
      </c>
      <c r="K90" s="13" t="s">
        <v>1422</v>
      </c>
      <c r="L90" s="13" t="s">
        <v>1420</v>
      </c>
      <c r="M90" s="13"/>
    </row>
    <row r="91" customFormat="false" ht="15" hidden="false" customHeight="false" outlineLevel="0" collapsed="false">
      <c r="A91" s="13" t="s">
        <v>608</v>
      </c>
      <c r="B91" s="13" t="s">
        <v>607</v>
      </c>
      <c r="C91" s="13" t="s">
        <v>1423</v>
      </c>
      <c r="D91" s="13" t="s">
        <v>57</v>
      </c>
      <c r="E91" s="13" t="s">
        <v>674</v>
      </c>
      <c r="F91" s="13" t="s">
        <v>675</v>
      </c>
      <c r="G91" s="63" t="n">
        <v>2837231824</v>
      </c>
      <c r="H91" s="13" t="s">
        <v>1417</v>
      </c>
      <c r="I91" s="13"/>
      <c r="J91" s="13" t="s">
        <v>1424</v>
      </c>
      <c r="K91" s="13" t="s">
        <v>1425</v>
      </c>
      <c r="L91" s="13" t="s">
        <v>1426</v>
      </c>
      <c r="M91" s="13"/>
    </row>
    <row r="92" customFormat="false" ht="15" hidden="false" customHeight="false" outlineLevel="0" collapsed="false">
      <c r="A92" s="13" t="s">
        <v>608</v>
      </c>
      <c r="B92" s="13" t="s">
        <v>607</v>
      </c>
      <c r="C92" s="13" t="s">
        <v>1427</v>
      </c>
      <c r="D92" s="13" t="s">
        <v>57</v>
      </c>
      <c r="E92" s="13" t="s">
        <v>674</v>
      </c>
      <c r="F92" s="13" t="s">
        <v>675</v>
      </c>
      <c r="G92" s="63" t="n">
        <v>6021648113</v>
      </c>
      <c r="H92" s="13" t="s">
        <v>1417</v>
      </c>
      <c r="I92" s="13"/>
      <c r="J92" s="13" t="s">
        <v>1424</v>
      </c>
      <c r="K92" s="13" t="s">
        <v>619</v>
      </c>
      <c r="L92" s="13" t="s">
        <v>1420</v>
      </c>
      <c r="M92" s="13"/>
    </row>
    <row r="93" customFormat="false" ht="15" hidden="false" customHeight="false" outlineLevel="0" collapsed="false">
      <c r="A93" s="13" t="s">
        <v>608</v>
      </c>
      <c r="B93" s="13" t="s">
        <v>607</v>
      </c>
      <c r="C93" s="13" t="s">
        <v>1416</v>
      </c>
      <c r="D93" s="13" t="s">
        <v>57</v>
      </c>
      <c r="E93" s="13" t="s">
        <v>677</v>
      </c>
      <c r="F93" s="13" t="s">
        <v>678</v>
      </c>
      <c r="G93" s="63" t="n">
        <v>0</v>
      </c>
      <c r="H93" s="13" t="s">
        <v>1417</v>
      </c>
      <c r="I93" s="13"/>
      <c r="J93" s="13" t="s">
        <v>1418</v>
      </c>
      <c r="K93" s="13" t="s">
        <v>1419</v>
      </c>
      <c r="L93" s="13" t="s">
        <v>1420</v>
      </c>
      <c r="M93" s="13"/>
    </row>
    <row r="94" customFormat="false" ht="15" hidden="false" customHeight="false" outlineLevel="0" collapsed="false">
      <c r="A94" s="13" t="s">
        <v>608</v>
      </c>
      <c r="B94" s="13" t="s">
        <v>607</v>
      </c>
      <c r="C94" s="13" t="s">
        <v>1421</v>
      </c>
      <c r="D94" s="13" t="s">
        <v>57</v>
      </c>
      <c r="E94" s="13" t="s">
        <v>677</v>
      </c>
      <c r="F94" s="13" t="s">
        <v>678</v>
      </c>
      <c r="G94" s="63" t="n">
        <v>0</v>
      </c>
      <c r="H94" s="13" t="s">
        <v>1417</v>
      </c>
      <c r="I94" s="13"/>
      <c r="J94" s="13" t="s">
        <v>1418</v>
      </c>
      <c r="K94" s="13" t="s">
        <v>1422</v>
      </c>
      <c r="L94" s="13" t="s">
        <v>1420</v>
      </c>
      <c r="M94" s="13"/>
    </row>
    <row r="95" customFormat="false" ht="15" hidden="false" customHeight="false" outlineLevel="0" collapsed="false">
      <c r="A95" s="13" t="s">
        <v>608</v>
      </c>
      <c r="B95" s="13" t="s">
        <v>607</v>
      </c>
      <c r="C95" s="13" t="s">
        <v>1423</v>
      </c>
      <c r="D95" s="13" t="s">
        <v>57</v>
      </c>
      <c r="E95" s="13" t="s">
        <v>677</v>
      </c>
      <c r="F95" s="13" t="s">
        <v>678</v>
      </c>
      <c r="G95" s="63" t="n">
        <v>131449</v>
      </c>
      <c r="H95" s="13" t="s">
        <v>1417</v>
      </c>
      <c r="I95" s="13"/>
      <c r="J95" s="13" t="s">
        <v>1424</v>
      </c>
      <c r="K95" s="13" t="s">
        <v>1425</v>
      </c>
      <c r="L95" s="13" t="s">
        <v>1426</v>
      </c>
      <c r="M95" s="13"/>
    </row>
    <row r="96" customFormat="false" ht="15" hidden="false" customHeight="false" outlineLevel="0" collapsed="false">
      <c r="A96" s="13" t="s">
        <v>608</v>
      </c>
      <c r="B96" s="13" t="s">
        <v>607</v>
      </c>
      <c r="C96" s="13" t="s">
        <v>1427</v>
      </c>
      <c r="D96" s="13" t="s">
        <v>57</v>
      </c>
      <c r="E96" s="13" t="s">
        <v>677</v>
      </c>
      <c r="F96" s="13" t="s">
        <v>678</v>
      </c>
      <c r="G96" s="63" t="n">
        <v>249404</v>
      </c>
      <c r="H96" s="13" t="s">
        <v>1417</v>
      </c>
      <c r="I96" s="13"/>
      <c r="J96" s="13" t="s">
        <v>1424</v>
      </c>
      <c r="K96" s="13" t="s">
        <v>619</v>
      </c>
      <c r="L96" s="13" t="s">
        <v>1420</v>
      </c>
      <c r="M96" s="13"/>
    </row>
    <row r="97" customFormat="false" ht="15" hidden="false" customHeight="false" outlineLevel="0" collapsed="false">
      <c r="A97" s="13" t="s">
        <v>608</v>
      </c>
      <c r="B97" s="13" t="s">
        <v>607</v>
      </c>
      <c r="C97" s="13" t="s">
        <v>1416</v>
      </c>
      <c r="D97" s="13" t="s">
        <v>57</v>
      </c>
      <c r="E97" s="13" t="s">
        <v>680</v>
      </c>
      <c r="F97" s="13" t="s">
        <v>681</v>
      </c>
      <c r="G97" s="63" t="n">
        <v>4603727958</v>
      </c>
      <c r="H97" s="13" t="s">
        <v>1417</v>
      </c>
      <c r="I97" s="13"/>
      <c r="J97" s="13" t="s">
        <v>1418</v>
      </c>
      <c r="K97" s="13" t="s">
        <v>1419</v>
      </c>
      <c r="L97" s="13" t="s">
        <v>1420</v>
      </c>
      <c r="M97" s="13"/>
    </row>
    <row r="98" customFormat="false" ht="15" hidden="false" customHeight="false" outlineLevel="0" collapsed="false">
      <c r="A98" s="13" t="s">
        <v>608</v>
      </c>
      <c r="B98" s="13" t="s">
        <v>607</v>
      </c>
      <c r="C98" s="13" t="s">
        <v>1421</v>
      </c>
      <c r="D98" s="13" t="s">
        <v>57</v>
      </c>
      <c r="E98" s="13" t="s">
        <v>680</v>
      </c>
      <c r="F98" s="13" t="s">
        <v>681</v>
      </c>
      <c r="G98" s="63" t="n">
        <v>30591377944</v>
      </c>
      <c r="H98" s="13" t="s">
        <v>1417</v>
      </c>
      <c r="I98" s="13"/>
      <c r="J98" s="13" t="s">
        <v>1418</v>
      </c>
      <c r="K98" s="13" t="s">
        <v>1422</v>
      </c>
      <c r="L98" s="13" t="s">
        <v>1420</v>
      </c>
      <c r="M98" s="13"/>
    </row>
    <row r="99" customFormat="false" ht="15" hidden="false" customHeight="false" outlineLevel="0" collapsed="false">
      <c r="A99" s="13" t="s">
        <v>608</v>
      </c>
      <c r="B99" s="13" t="s">
        <v>607</v>
      </c>
      <c r="C99" s="13" t="s">
        <v>1423</v>
      </c>
      <c r="D99" s="13" t="s">
        <v>57</v>
      </c>
      <c r="E99" s="13" t="s">
        <v>680</v>
      </c>
      <c r="F99" s="13" t="s">
        <v>681</v>
      </c>
      <c r="G99" s="63" t="n">
        <v>3129872183</v>
      </c>
      <c r="H99" s="13" t="s">
        <v>1417</v>
      </c>
      <c r="I99" s="13"/>
      <c r="J99" s="13" t="s">
        <v>1424</v>
      </c>
      <c r="K99" s="13" t="s">
        <v>1425</v>
      </c>
      <c r="L99" s="13" t="s">
        <v>1426</v>
      </c>
      <c r="M99" s="13"/>
    </row>
    <row r="100" customFormat="false" ht="15" hidden="false" customHeight="false" outlineLevel="0" collapsed="false">
      <c r="A100" s="13" t="s">
        <v>608</v>
      </c>
      <c r="B100" s="13" t="s">
        <v>607</v>
      </c>
      <c r="C100" s="13" t="s">
        <v>1427</v>
      </c>
      <c r="D100" s="13" t="s">
        <v>57</v>
      </c>
      <c r="E100" s="13" t="s">
        <v>680</v>
      </c>
      <c r="F100" s="13" t="s">
        <v>681</v>
      </c>
      <c r="G100" s="63" t="n">
        <v>6804407373</v>
      </c>
      <c r="H100" s="13" t="s">
        <v>1417</v>
      </c>
      <c r="I100" s="13"/>
      <c r="J100" s="13" t="s">
        <v>1424</v>
      </c>
      <c r="K100" s="13" t="s">
        <v>619</v>
      </c>
      <c r="L100" s="13" t="s">
        <v>1420</v>
      </c>
      <c r="M100" s="13"/>
    </row>
    <row r="101" customFormat="false" ht="15" hidden="false" customHeight="false" outlineLevel="0" collapsed="false">
      <c r="A101" s="13" t="s">
        <v>608</v>
      </c>
      <c r="B101" s="13" t="s">
        <v>607</v>
      </c>
      <c r="C101" s="13" t="s">
        <v>1416</v>
      </c>
      <c r="D101" s="13" t="s">
        <v>57</v>
      </c>
      <c r="E101" s="13" t="s">
        <v>683</v>
      </c>
      <c r="F101" s="13" t="s">
        <v>684</v>
      </c>
      <c r="G101" s="63" t="n">
        <v>0</v>
      </c>
      <c r="H101" s="13" t="s">
        <v>1417</v>
      </c>
      <c r="I101" s="13"/>
      <c r="J101" s="13" t="s">
        <v>1418</v>
      </c>
      <c r="K101" s="13" t="s">
        <v>1419</v>
      </c>
      <c r="L101" s="13" t="s">
        <v>1420</v>
      </c>
      <c r="M101" s="13"/>
    </row>
    <row r="102" customFormat="false" ht="15" hidden="false" customHeight="false" outlineLevel="0" collapsed="false">
      <c r="A102" s="13" t="s">
        <v>608</v>
      </c>
      <c r="B102" s="13" t="s">
        <v>607</v>
      </c>
      <c r="C102" s="13" t="s">
        <v>1421</v>
      </c>
      <c r="D102" s="13" t="s">
        <v>57</v>
      </c>
      <c r="E102" s="13" t="s">
        <v>683</v>
      </c>
      <c r="F102" s="13" t="s">
        <v>684</v>
      </c>
      <c r="G102" s="63" t="n">
        <v>0</v>
      </c>
      <c r="H102" s="13" t="s">
        <v>1417</v>
      </c>
      <c r="I102" s="13"/>
      <c r="J102" s="13" t="s">
        <v>1418</v>
      </c>
      <c r="K102" s="13" t="s">
        <v>1422</v>
      </c>
      <c r="L102" s="13" t="s">
        <v>1420</v>
      </c>
      <c r="M102" s="13"/>
    </row>
    <row r="103" customFormat="false" ht="15" hidden="false" customHeight="false" outlineLevel="0" collapsed="false">
      <c r="A103" s="13" t="s">
        <v>608</v>
      </c>
      <c r="B103" s="13" t="s">
        <v>607</v>
      </c>
      <c r="C103" s="13" t="s">
        <v>1423</v>
      </c>
      <c r="D103" s="13" t="s">
        <v>57</v>
      </c>
      <c r="E103" s="13" t="s">
        <v>683</v>
      </c>
      <c r="F103" s="13" t="s">
        <v>684</v>
      </c>
      <c r="G103" s="63" t="n">
        <v>-7084</v>
      </c>
      <c r="H103" s="13" t="s">
        <v>1417</v>
      </c>
      <c r="I103" s="13"/>
      <c r="J103" s="13" t="s">
        <v>1424</v>
      </c>
      <c r="K103" s="13" t="s">
        <v>1425</v>
      </c>
      <c r="L103" s="13" t="s">
        <v>1426</v>
      </c>
      <c r="M103" s="13"/>
    </row>
    <row r="104" customFormat="false" ht="15" hidden="false" customHeight="false" outlineLevel="0" collapsed="false">
      <c r="A104" s="13" t="s">
        <v>608</v>
      </c>
      <c r="B104" s="13" t="s">
        <v>607</v>
      </c>
      <c r="C104" s="13" t="s">
        <v>1427</v>
      </c>
      <c r="D104" s="13" t="s">
        <v>57</v>
      </c>
      <c r="E104" s="13" t="s">
        <v>683</v>
      </c>
      <c r="F104" s="13" t="s">
        <v>684</v>
      </c>
      <c r="G104" s="63" t="n">
        <v>42778</v>
      </c>
      <c r="H104" s="13" t="s">
        <v>1417</v>
      </c>
      <c r="I104" s="13"/>
      <c r="J104" s="13" t="s">
        <v>1424</v>
      </c>
      <c r="K104" s="13" t="s">
        <v>619</v>
      </c>
      <c r="L104" s="13" t="s">
        <v>1420</v>
      </c>
      <c r="M104" s="13"/>
    </row>
    <row r="105" customFormat="false" ht="15" hidden="false" customHeight="false" outlineLevel="0" collapsed="false">
      <c r="A105" s="13" t="s">
        <v>608</v>
      </c>
      <c r="B105" s="13" t="s">
        <v>607</v>
      </c>
      <c r="C105" s="13" t="s">
        <v>1416</v>
      </c>
      <c r="D105" s="13" t="s">
        <v>57</v>
      </c>
      <c r="E105" s="13" t="s">
        <v>686</v>
      </c>
      <c r="F105" s="13" t="s">
        <v>687</v>
      </c>
      <c r="G105" s="109" t="n">
        <v>8.81</v>
      </c>
      <c r="H105" s="13" t="s">
        <v>1417</v>
      </c>
      <c r="I105" s="13"/>
      <c r="J105" s="13" t="s">
        <v>1418</v>
      </c>
      <c r="K105" s="13" t="s">
        <v>1419</v>
      </c>
      <c r="L105" s="13" t="s">
        <v>1420</v>
      </c>
      <c r="M105" s="13"/>
    </row>
    <row r="106" customFormat="false" ht="15" hidden="false" customHeight="false" outlineLevel="0" collapsed="false">
      <c r="A106" s="13" t="s">
        <v>608</v>
      </c>
      <c r="B106" s="13" t="s">
        <v>607</v>
      </c>
      <c r="C106" s="13" t="s">
        <v>1421</v>
      </c>
      <c r="D106" s="13" t="s">
        <v>57</v>
      </c>
      <c r="E106" s="13" t="s">
        <v>686</v>
      </c>
      <c r="F106" s="13" t="s">
        <v>687</v>
      </c>
      <c r="G106" s="109" t="n">
        <v>6.38</v>
      </c>
      <c r="H106" s="13" t="s">
        <v>1417</v>
      </c>
      <c r="I106" s="13"/>
      <c r="J106" s="13" t="s">
        <v>1418</v>
      </c>
      <c r="K106" s="13" t="s">
        <v>1422</v>
      </c>
      <c r="L106" s="13" t="s">
        <v>1420</v>
      </c>
      <c r="M106" s="13"/>
    </row>
    <row r="107" customFormat="false" ht="15" hidden="false" customHeight="false" outlineLevel="0" collapsed="false">
      <c r="A107" s="13" t="s">
        <v>608</v>
      </c>
      <c r="B107" s="13" t="s">
        <v>607</v>
      </c>
      <c r="C107" s="13" t="s">
        <v>1423</v>
      </c>
      <c r="D107" s="13" t="s">
        <v>57</v>
      </c>
      <c r="E107" s="13" t="s">
        <v>686</v>
      </c>
      <c r="F107" s="13" t="s">
        <v>687</v>
      </c>
      <c r="G107" s="109" t="n">
        <v>4</v>
      </c>
      <c r="H107" s="13" t="s">
        <v>1417</v>
      </c>
      <c r="I107" s="13"/>
      <c r="J107" s="13" t="s">
        <v>1424</v>
      </c>
      <c r="K107" s="13" t="s">
        <v>1425</v>
      </c>
      <c r="L107" s="13" t="s">
        <v>1426</v>
      </c>
      <c r="M107" s="13"/>
    </row>
    <row r="108" customFormat="false" ht="15" hidden="false" customHeight="false" outlineLevel="0" collapsed="false">
      <c r="A108" s="13" t="s">
        <v>608</v>
      </c>
      <c r="B108" s="13" t="s">
        <v>607</v>
      </c>
      <c r="C108" s="13" t="s">
        <v>1427</v>
      </c>
      <c r="D108" s="13" t="s">
        <v>57</v>
      </c>
      <c r="E108" s="13" t="s">
        <v>686</v>
      </c>
      <c r="F108" s="13" t="s">
        <v>687</v>
      </c>
      <c r="G108" s="109" t="n">
        <v>3</v>
      </c>
      <c r="H108" s="13" t="s">
        <v>1417</v>
      </c>
      <c r="I108" s="13"/>
      <c r="J108" s="13" t="s">
        <v>1424</v>
      </c>
      <c r="K108" s="13" t="s">
        <v>619</v>
      </c>
      <c r="L108" s="13" t="s">
        <v>1420</v>
      </c>
      <c r="M108" s="13"/>
    </row>
    <row r="109" customFormat="false" ht="15" hidden="false" customHeight="false" outlineLevel="0" collapsed="false">
      <c r="A109" s="13" t="s">
        <v>608</v>
      </c>
      <c r="B109" s="13" t="s">
        <v>607</v>
      </c>
      <c r="C109" s="13" t="s">
        <v>1416</v>
      </c>
      <c r="D109" s="13" t="s">
        <v>57</v>
      </c>
      <c r="E109" s="13" t="s">
        <v>689</v>
      </c>
      <c r="F109" s="13" t="s">
        <v>690</v>
      </c>
      <c r="G109" s="109" t="n">
        <v>8.81</v>
      </c>
      <c r="H109" s="13" t="s">
        <v>1417</v>
      </c>
      <c r="I109" s="13"/>
      <c r="J109" s="13"/>
      <c r="K109" s="13" t="s">
        <v>1419</v>
      </c>
      <c r="L109" s="13" t="s">
        <v>1420</v>
      </c>
      <c r="M109" s="13"/>
    </row>
    <row r="110" customFormat="false" ht="15" hidden="false" customHeight="false" outlineLevel="0" collapsed="false">
      <c r="A110" s="13" t="s">
        <v>608</v>
      </c>
      <c r="B110" s="13" t="s">
        <v>607</v>
      </c>
      <c r="C110" s="13" t="s">
        <v>1421</v>
      </c>
      <c r="D110" s="13" t="s">
        <v>57</v>
      </c>
      <c r="E110" s="13" t="s">
        <v>689</v>
      </c>
      <c r="F110" s="13" t="s">
        <v>690</v>
      </c>
      <c r="G110" s="109" t="n">
        <v>6.38</v>
      </c>
      <c r="H110" s="13" t="s">
        <v>1417</v>
      </c>
      <c r="I110" s="13"/>
      <c r="J110" s="13"/>
      <c r="K110" s="13" t="s">
        <v>1422</v>
      </c>
      <c r="L110" s="13" t="s">
        <v>1420</v>
      </c>
      <c r="M110" s="13"/>
    </row>
    <row r="111" customFormat="false" ht="15" hidden="false" customHeight="false" outlineLevel="0" collapsed="false">
      <c r="A111" s="13" t="s">
        <v>608</v>
      </c>
      <c r="B111" s="13" t="s">
        <v>607</v>
      </c>
      <c r="C111" s="13" t="s">
        <v>1423</v>
      </c>
      <c r="D111" s="13" t="s">
        <v>57</v>
      </c>
      <c r="E111" s="13" t="s">
        <v>689</v>
      </c>
      <c r="F111" s="13" t="s">
        <v>690</v>
      </c>
      <c r="G111" s="109" t="n">
        <v>4</v>
      </c>
      <c r="H111" s="13" t="s">
        <v>1417</v>
      </c>
      <c r="I111" s="13"/>
      <c r="J111" s="13"/>
      <c r="K111" s="13" t="s">
        <v>1425</v>
      </c>
      <c r="L111" s="13" t="s">
        <v>1426</v>
      </c>
      <c r="M111" s="13"/>
    </row>
    <row r="112" customFormat="false" ht="15" hidden="false" customHeight="false" outlineLevel="0" collapsed="false">
      <c r="A112" s="13" t="s">
        <v>608</v>
      </c>
      <c r="B112" s="13" t="s">
        <v>607</v>
      </c>
      <c r="C112" s="13" t="s">
        <v>1427</v>
      </c>
      <c r="D112" s="13" t="s">
        <v>57</v>
      </c>
      <c r="E112" s="13" t="s">
        <v>689</v>
      </c>
      <c r="F112" s="13" t="s">
        <v>690</v>
      </c>
      <c r="G112" s="109" t="n">
        <v>3</v>
      </c>
      <c r="H112" s="13" t="s">
        <v>1417</v>
      </c>
      <c r="I112" s="13"/>
      <c r="J112" s="13"/>
      <c r="K112" s="13" t="s">
        <v>619</v>
      </c>
      <c r="L112" s="13" t="s">
        <v>1420</v>
      </c>
      <c r="M112" s="13"/>
    </row>
    <row r="113" customFormat="false" ht="15" hidden="false" customHeight="false" outlineLevel="0" collapsed="false">
      <c r="A113" s="13" t="s">
        <v>608</v>
      </c>
      <c r="B113" s="13" t="s">
        <v>607</v>
      </c>
      <c r="C113" s="13" t="s">
        <v>1416</v>
      </c>
      <c r="D113" s="13" t="s">
        <v>57</v>
      </c>
      <c r="E113" s="13" t="s">
        <v>693</v>
      </c>
      <c r="F113" s="13" t="s">
        <v>694</v>
      </c>
      <c r="G113" s="63" t="n">
        <v>31984389141</v>
      </c>
      <c r="H113" s="13" t="s">
        <v>1417</v>
      </c>
      <c r="I113" s="13"/>
      <c r="J113" s="13" t="s">
        <v>1418</v>
      </c>
      <c r="K113" s="13" t="s">
        <v>1419</v>
      </c>
      <c r="L113" s="13" t="s">
        <v>1420</v>
      </c>
      <c r="M113" s="13"/>
    </row>
    <row r="114" customFormat="false" ht="15" hidden="false" customHeight="false" outlineLevel="0" collapsed="false">
      <c r="A114" s="13" t="s">
        <v>608</v>
      </c>
      <c r="B114" s="13" t="s">
        <v>607</v>
      </c>
      <c r="C114" s="13" t="s">
        <v>1421</v>
      </c>
      <c r="D114" s="13" t="s">
        <v>57</v>
      </c>
      <c r="E114" s="13" t="s">
        <v>693</v>
      </c>
      <c r="F114" s="13" t="s">
        <v>694</v>
      </c>
      <c r="G114" s="63" t="n">
        <v>44613263383</v>
      </c>
      <c r="H114" s="13" t="s">
        <v>1417</v>
      </c>
      <c r="I114" s="13"/>
      <c r="J114" s="13" t="s">
        <v>1418</v>
      </c>
      <c r="K114" s="13" t="s">
        <v>1422</v>
      </c>
      <c r="L114" s="13" t="s">
        <v>1420</v>
      </c>
      <c r="M114" s="13"/>
    </row>
    <row r="115" customFormat="false" ht="15" hidden="false" customHeight="false" outlineLevel="0" collapsed="false">
      <c r="A115" s="13" t="s">
        <v>608</v>
      </c>
      <c r="B115" s="13" t="s">
        <v>607</v>
      </c>
      <c r="C115" s="13" t="s">
        <v>1423</v>
      </c>
      <c r="D115" s="13" t="s">
        <v>57</v>
      </c>
      <c r="E115" s="13" t="s">
        <v>693</v>
      </c>
      <c r="F115" s="13" t="s">
        <v>694</v>
      </c>
      <c r="G115" s="63" t="n">
        <v>47335772334</v>
      </c>
      <c r="H115" s="13" t="s">
        <v>1417</v>
      </c>
      <c r="I115" s="13"/>
      <c r="J115" s="13" t="s">
        <v>1424</v>
      </c>
      <c r="K115" s="13" t="s">
        <v>1425</v>
      </c>
      <c r="L115" s="13" t="s">
        <v>1426</v>
      </c>
      <c r="M115" s="13"/>
    </row>
    <row r="116" customFormat="false" ht="15" hidden="false" customHeight="false" outlineLevel="0" collapsed="false">
      <c r="A116" s="13" t="s">
        <v>608</v>
      </c>
      <c r="B116" s="13" t="s">
        <v>607</v>
      </c>
      <c r="C116" s="13" t="s">
        <v>1427</v>
      </c>
      <c r="D116" s="13" t="s">
        <v>57</v>
      </c>
      <c r="E116" s="13" t="s">
        <v>693</v>
      </c>
      <c r="F116" s="13" t="s">
        <v>694</v>
      </c>
      <c r="G116" s="63" t="n">
        <v>34140804420</v>
      </c>
      <c r="H116" s="13" t="s">
        <v>1417</v>
      </c>
      <c r="I116" s="13"/>
      <c r="J116" s="13" t="s">
        <v>1424</v>
      </c>
      <c r="K116" s="13" t="s">
        <v>619</v>
      </c>
      <c r="L116" s="13" t="s">
        <v>1420</v>
      </c>
      <c r="M116" s="13"/>
    </row>
    <row r="117" customFormat="false" ht="15" hidden="false" customHeight="false" outlineLevel="0" collapsed="false">
      <c r="A117" s="13" t="s">
        <v>608</v>
      </c>
      <c r="B117" s="13" t="s">
        <v>607</v>
      </c>
      <c r="C117" s="13" t="s">
        <v>1416</v>
      </c>
      <c r="D117" s="13" t="s">
        <v>57</v>
      </c>
      <c r="E117" s="13" t="s">
        <v>696</v>
      </c>
      <c r="F117" s="13" t="s">
        <v>697</v>
      </c>
      <c r="G117" s="63" t="n">
        <v>7145997366</v>
      </c>
      <c r="H117" s="13" t="s">
        <v>1417</v>
      </c>
      <c r="I117" s="13"/>
      <c r="J117" s="13" t="s">
        <v>1418</v>
      </c>
      <c r="K117" s="13" t="s">
        <v>1419</v>
      </c>
      <c r="L117" s="13" t="s">
        <v>1420</v>
      </c>
      <c r="M117" s="13"/>
    </row>
    <row r="118" customFormat="false" ht="15" hidden="false" customHeight="false" outlineLevel="0" collapsed="false">
      <c r="A118" s="13" t="s">
        <v>608</v>
      </c>
      <c r="B118" s="13" t="s">
        <v>607</v>
      </c>
      <c r="C118" s="13" t="s">
        <v>1421</v>
      </c>
      <c r="D118" s="13" t="s">
        <v>57</v>
      </c>
      <c r="E118" s="13" t="s">
        <v>696</v>
      </c>
      <c r="F118" s="13" t="s">
        <v>697</v>
      </c>
      <c r="G118" s="63" t="n">
        <v>9674394663</v>
      </c>
      <c r="H118" s="13" t="s">
        <v>1417</v>
      </c>
      <c r="I118" s="13"/>
      <c r="J118" s="13" t="s">
        <v>1418</v>
      </c>
      <c r="K118" s="13" t="s">
        <v>1422</v>
      </c>
      <c r="L118" s="13" t="s">
        <v>1420</v>
      </c>
      <c r="M118" s="13"/>
    </row>
    <row r="119" customFormat="false" ht="15" hidden="false" customHeight="false" outlineLevel="0" collapsed="false">
      <c r="A119" s="13" t="s">
        <v>608</v>
      </c>
      <c r="B119" s="13" t="s">
        <v>607</v>
      </c>
      <c r="C119" s="13" t="s">
        <v>1423</v>
      </c>
      <c r="D119" s="13" t="s">
        <v>57</v>
      </c>
      <c r="E119" s="13" t="s">
        <v>696</v>
      </c>
      <c r="F119" s="13" t="s">
        <v>697</v>
      </c>
      <c r="G119" s="63" t="n">
        <v>11311154965</v>
      </c>
      <c r="H119" s="13" t="s">
        <v>1417</v>
      </c>
      <c r="I119" s="13"/>
      <c r="J119" s="13" t="s">
        <v>1438</v>
      </c>
      <c r="K119" s="13" t="s">
        <v>1425</v>
      </c>
      <c r="L119" s="13" t="s">
        <v>1426</v>
      </c>
      <c r="M119" s="13"/>
    </row>
    <row r="120" customFormat="false" ht="15" hidden="false" customHeight="false" outlineLevel="0" collapsed="false">
      <c r="A120" s="13" t="s">
        <v>608</v>
      </c>
      <c r="B120" s="13" t="s">
        <v>607</v>
      </c>
      <c r="C120" s="13" t="s">
        <v>1427</v>
      </c>
      <c r="D120" s="13" t="s">
        <v>57</v>
      </c>
      <c r="E120" s="13" t="s">
        <v>696</v>
      </c>
      <c r="F120" s="13" t="s">
        <v>697</v>
      </c>
      <c r="G120" s="63" t="n">
        <v>3450640058</v>
      </c>
      <c r="H120" s="13" t="s">
        <v>1417</v>
      </c>
      <c r="I120" s="13"/>
      <c r="J120" s="13" t="s">
        <v>1438</v>
      </c>
      <c r="K120" s="13" t="s">
        <v>619</v>
      </c>
      <c r="L120" s="13" t="s">
        <v>1420</v>
      </c>
      <c r="M120" s="13"/>
    </row>
    <row r="121" customFormat="false" ht="15" hidden="false" customHeight="false" outlineLevel="0" collapsed="false">
      <c r="A121" s="13" t="s">
        <v>608</v>
      </c>
      <c r="B121" s="13" t="s">
        <v>607</v>
      </c>
      <c r="C121" s="13" t="s">
        <v>1416</v>
      </c>
      <c r="D121" s="13" t="s">
        <v>57</v>
      </c>
      <c r="E121" s="13" t="s">
        <v>699</v>
      </c>
      <c r="F121" s="13" t="s">
        <v>700</v>
      </c>
      <c r="G121" s="63" t="n">
        <v>4728794397</v>
      </c>
      <c r="H121" s="13" t="s">
        <v>1417</v>
      </c>
      <c r="I121" s="13"/>
      <c r="J121" s="13" t="s">
        <v>1418</v>
      </c>
      <c r="K121" s="13" t="s">
        <v>1419</v>
      </c>
      <c r="L121" s="13" t="s">
        <v>1420</v>
      </c>
      <c r="M121" s="13"/>
    </row>
    <row r="122" customFormat="false" ht="15" hidden="false" customHeight="false" outlineLevel="0" collapsed="false">
      <c r="A122" s="13" t="s">
        <v>608</v>
      </c>
      <c r="B122" s="13" t="s">
        <v>607</v>
      </c>
      <c r="C122" s="13" t="s">
        <v>1421</v>
      </c>
      <c r="D122" s="13" t="s">
        <v>57</v>
      </c>
      <c r="E122" s="13" t="s">
        <v>699</v>
      </c>
      <c r="F122" s="13" t="s">
        <v>700</v>
      </c>
      <c r="G122" s="63" t="n">
        <v>2183735441</v>
      </c>
      <c r="H122" s="13" t="s">
        <v>1417</v>
      </c>
      <c r="I122" s="13"/>
      <c r="J122" s="13" t="s">
        <v>1418</v>
      </c>
      <c r="K122" s="13" t="s">
        <v>1422</v>
      </c>
      <c r="L122" s="13" t="s">
        <v>1420</v>
      </c>
      <c r="M122" s="13"/>
    </row>
    <row r="123" customFormat="false" ht="15" hidden="false" customHeight="false" outlineLevel="0" collapsed="false">
      <c r="A123" s="13" t="s">
        <v>608</v>
      </c>
      <c r="B123" s="13" t="s">
        <v>607</v>
      </c>
      <c r="C123" s="13" t="s">
        <v>1423</v>
      </c>
      <c r="D123" s="13" t="s">
        <v>57</v>
      </c>
      <c r="E123" s="13" t="s">
        <v>699</v>
      </c>
      <c r="F123" s="13" t="s">
        <v>700</v>
      </c>
      <c r="G123" s="63" t="n">
        <v>69501179</v>
      </c>
      <c r="H123" s="13" t="s">
        <v>1417</v>
      </c>
      <c r="I123" s="13"/>
      <c r="J123" s="13" t="s">
        <v>1424</v>
      </c>
      <c r="K123" s="13" t="s">
        <v>1425</v>
      </c>
      <c r="L123" s="13" t="s">
        <v>1426</v>
      </c>
      <c r="M123" s="13"/>
    </row>
    <row r="124" customFormat="false" ht="15" hidden="false" customHeight="false" outlineLevel="0" collapsed="false">
      <c r="A124" s="13" t="s">
        <v>608</v>
      </c>
      <c r="B124" s="13" t="s">
        <v>607</v>
      </c>
      <c r="C124" s="13" t="s">
        <v>1427</v>
      </c>
      <c r="D124" s="13" t="s">
        <v>57</v>
      </c>
      <c r="E124" s="13" t="s">
        <v>699</v>
      </c>
      <c r="F124" s="13" t="s">
        <v>700</v>
      </c>
      <c r="G124" s="63" t="n">
        <v>5688939656</v>
      </c>
      <c r="H124" s="13" t="s">
        <v>1417</v>
      </c>
      <c r="I124" s="13"/>
      <c r="J124" s="13" t="s">
        <v>1424</v>
      </c>
      <c r="K124" s="13" t="s">
        <v>619</v>
      </c>
      <c r="L124" s="13" t="s">
        <v>1420</v>
      </c>
      <c r="M124" s="13"/>
    </row>
    <row r="125" customFormat="false" ht="15" hidden="false" customHeight="false" outlineLevel="0" collapsed="false">
      <c r="A125" s="13" t="s">
        <v>608</v>
      </c>
      <c r="B125" s="13" t="s">
        <v>607</v>
      </c>
      <c r="C125" s="13" t="s">
        <v>1416</v>
      </c>
      <c r="D125" s="13" t="s">
        <v>57</v>
      </c>
      <c r="E125" s="13" t="s">
        <v>702</v>
      </c>
      <c r="F125" s="13" t="s">
        <v>703</v>
      </c>
      <c r="G125" s="63" t="n">
        <v>4888165764</v>
      </c>
      <c r="H125" s="13" t="s">
        <v>1417</v>
      </c>
      <c r="I125" s="13"/>
      <c r="J125" s="13" t="s">
        <v>1418</v>
      </c>
      <c r="K125" s="13" t="s">
        <v>1419</v>
      </c>
      <c r="L125" s="13" t="s">
        <v>1420</v>
      </c>
      <c r="M125" s="13"/>
    </row>
    <row r="126" customFormat="false" ht="15" hidden="false" customHeight="false" outlineLevel="0" collapsed="false">
      <c r="A126" s="13" t="s">
        <v>608</v>
      </c>
      <c r="B126" s="13" t="s">
        <v>607</v>
      </c>
      <c r="C126" s="13" t="s">
        <v>1421</v>
      </c>
      <c r="D126" s="13" t="s">
        <v>57</v>
      </c>
      <c r="E126" s="13" t="s">
        <v>702</v>
      </c>
      <c r="F126" s="13" t="s">
        <v>703</v>
      </c>
      <c r="G126" s="63" t="n">
        <v>3539716397</v>
      </c>
      <c r="H126" s="13" t="s">
        <v>1417</v>
      </c>
      <c r="I126" s="13"/>
      <c r="J126" s="13" t="s">
        <v>1418</v>
      </c>
      <c r="K126" s="13" t="s">
        <v>1422</v>
      </c>
      <c r="L126" s="13" t="s">
        <v>1420</v>
      </c>
      <c r="M126" s="13"/>
    </row>
    <row r="127" customFormat="false" ht="15" hidden="false" customHeight="false" outlineLevel="0" collapsed="false">
      <c r="A127" s="13" t="s">
        <v>608</v>
      </c>
      <c r="B127" s="13" t="s">
        <v>607</v>
      </c>
      <c r="C127" s="13" t="s">
        <v>1423</v>
      </c>
      <c r="D127" s="13" t="s">
        <v>57</v>
      </c>
      <c r="E127" s="13" t="s">
        <v>702</v>
      </c>
      <c r="F127" s="13" t="s">
        <v>703</v>
      </c>
      <c r="G127" s="63" t="n">
        <v>2837363273</v>
      </c>
      <c r="H127" s="13" t="s">
        <v>1417</v>
      </c>
      <c r="I127" s="13"/>
      <c r="J127" s="13" t="s">
        <v>1424</v>
      </c>
      <c r="K127" s="13" t="s">
        <v>1425</v>
      </c>
      <c r="L127" s="13" t="s">
        <v>1426</v>
      </c>
      <c r="M127" s="13"/>
    </row>
    <row r="128" customFormat="false" ht="15" hidden="false" customHeight="false" outlineLevel="0" collapsed="false">
      <c r="A128" s="13" t="s">
        <v>608</v>
      </c>
      <c r="B128" s="13" t="s">
        <v>607</v>
      </c>
      <c r="C128" s="13" t="s">
        <v>1427</v>
      </c>
      <c r="D128" s="13" t="s">
        <v>57</v>
      </c>
      <c r="E128" s="13" t="s">
        <v>702</v>
      </c>
      <c r="F128" s="13" t="s">
        <v>703</v>
      </c>
      <c r="G128" s="63" t="n">
        <v>6021897517</v>
      </c>
      <c r="H128" s="13" t="s">
        <v>1417</v>
      </c>
      <c r="I128" s="13"/>
      <c r="J128" s="13" t="s">
        <v>1424</v>
      </c>
      <c r="K128" s="13" t="s">
        <v>619</v>
      </c>
      <c r="L128" s="13" t="s">
        <v>1420</v>
      </c>
      <c r="M128" s="13"/>
    </row>
    <row r="129" customFormat="false" ht="15" hidden="false" customHeight="false" outlineLevel="0" collapsed="false">
      <c r="A129" s="13" t="s">
        <v>608</v>
      </c>
      <c r="B129" s="13" t="s">
        <v>607</v>
      </c>
      <c r="C129" s="13" t="s">
        <v>1416</v>
      </c>
      <c r="D129" s="13" t="s">
        <v>57</v>
      </c>
      <c r="E129" s="13" t="s">
        <v>705</v>
      </c>
      <c r="F129" s="13" t="s">
        <v>706</v>
      </c>
      <c r="G129" s="63" t="n">
        <v>-284437806</v>
      </c>
      <c r="H129" s="13" t="s">
        <v>1417</v>
      </c>
      <c r="I129" s="13"/>
      <c r="J129" s="13" t="s">
        <v>1418</v>
      </c>
      <c r="K129" s="13" t="s">
        <v>1419</v>
      </c>
      <c r="L129" s="13" t="s">
        <v>1420</v>
      </c>
      <c r="M129" s="13"/>
    </row>
    <row r="130" customFormat="false" ht="15" hidden="false" customHeight="false" outlineLevel="0" collapsed="false">
      <c r="A130" s="13" t="s">
        <v>608</v>
      </c>
      <c r="B130" s="13" t="s">
        <v>607</v>
      </c>
      <c r="C130" s="13" t="s">
        <v>1421</v>
      </c>
      <c r="D130" s="13" t="s">
        <v>57</v>
      </c>
      <c r="E130" s="13" t="s">
        <v>705</v>
      </c>
      <c r="F130" s="13" t="s">
        <v>706</v>
      </c>
      <c r="G130" s="63" t="n">
        <v>27051661547</v>
      </c>
      <c r="H130" s="13" t="s">
        <v>1417</v>
      </c>
      <c r="I130" s="13"/>
      <c r="J130" s="13" t="s">
        <v>1418</v>
      </c>
      <c r="K130" s="13" t="s">
        <v>1422</v>
      </c>
      <c r="L130" s="13" t="s">
        <v>1420</v>
      </c>
      <c r="M130" s="13"/>
    </row>
    <row r="131" customFormat="false" ht="15" hidden="false" customHeight="false" outlineLevel="0" collapsed="false">
      <c r="A131" s="13" t="s">
        <v>608</v>
      </c>
      <c r="B131" s="13" t="s">
        <v>607</v>
      </c>
      <c r="C131" s="13" t="s">
        <v>1423</v>
      </c>
      <c r="D131" s="13" t="s">
        <v>57</v>
      </c>
      <c r="E131" s="13" t="s">
        <v>705</v>
      </c>
      <c r="F131" s="13" t="s">
        <v>706</v>
      </c>
      <c r="G131" s="63" t="n">
        <v>292515994</v>
      </c>
      <c r="H131" s="13" t="s">
        <v>1417</v>
      </c>
      <c r="I131" s="13"/>
      <c r="J131" s="13" t="s">
        <v>1439</v>
      </c>
      <c r="K131" s="13" t="s">
        <v>1425</v>
      </c>
      <c r="L131" s="13" t="s">
        <v>1426</v>
      </c>
      <c r="M131" s="13"/>
    </row>
    <row r="132" customFormat="false" ht="15" hidden="false" customHeight="false" outlineLevel="0" collapsed="false">
      <c r="A132" s="13" t="s">
        <v>608</v>
      </c>
      <c r="B132" s="13" t="s">
        <v>607</v>
      </c>
      <c r="C132" s="13" t="s">
        <v>1427</v>
      </c>
      <c r="D132" s="13" t="s">
        <v>57</v>
      </c>
      <c r="E132" s="13" t="s">
        <v>705</v>
      </c>
      <c r="F132" s="13" t="s">
        <v>706</v>
      </c>
      <c r="G132" s="63" t="n">
        <v>782467078</v>
      </c>
      <c r="H132" s="13" t="s">
        <v>1417</v>
      </c>
      <c r="I132" s="13"/>
      <c r="J132" s="13" t="s">
        <v>1424</v>
      </c>
      <c r="K132" s="13" t="s">
        <v>619</v>
      </c>
      <c r="L132" s="13" t="s">
        <v>1420</v>
      </c>
      <c r="M132" s="13"/>
    </row>
    <row r="133" customFormat="false" ht="15" hidden="false" customHeight="false" outlineLevel="0" collapsed="false">
      <c r="A133" s="13" t="s">
        <v>608</v>
      </c>
      <c r="B133" s="13" t="s">
        <v>607</v>
      </c>
      <c r="C133" s="13" t="s">
        <v>1416</v>
      </c>
      <c r="D133" s="13" t="s">
        <v>57</v>
      </c>
      <c r="E133" s="13" t="s">
        <v>708</v>
      </c>
      <c r="F133" s="13" t="s">
        <v>709</v>
      </c>
      <c r="G133" s="63" t="n">
        <v>4603727958</v>
      </c>
      <c r="H133" s="13" t="s">
        <v>1417</v>
      </c>
      <c r="I133" s="13"/>
      <c r="J133" s="13" t="s">
        <v>1418</v>
      </c>
      <c r="K133" s="13" t="s">
        <v>1419</v>
      </c>
      <c r="L133" s="13" t="s">
        <v>1420</v>
      </c>
      <c r="M133" s="13"/>
    </row>
    <row r="134" customFormat="false" ht="15" hidden="false" customHeight="false" outlineLevel="0" collapsed="false">
      <c r="A134" s="13" t="s">
        <v>608</v>
      </c>
      <c r="B134" s="13" t="s">
        <v>607</v>
      </c>
      <c r="C134" s="13" t="s">
        <v>1421</v>
      </c>
      <c r="D134" s="13" t="s">
        <v>57</v>
      </c>
      <c r="E134" s="13" t="s">
        <v>708</v>
      </c>
      <c r="F134" s="13" t="s">
        <v>709</v>
      </c>
      <c r="G134" s="63" t="n">
        <v>30591377944</v>
      </c>
      <c r="H134" s="13" t="s">
        <v>1417</v>
      </c>
      <c r="I134" s="13"/>
      <c r="J134" s="13" t="s">
        <v>1418</v>
      </c>
      <c r="K134" s="13" t="s">
        <v>1422</v>
      </c>
      <c r="L134" s="13" t="s">
        <v>1420</v>
      </c>
      <c r="M134" s="13"/>
    </row>
    <row r="135" customFormat="false" ht="15" hidden="false" customHeight="false" outlineLevel="0" collapsed="false">
      <c r="A135" s="13" t="s">
        <v>608</v>
      </c>
      <c r="B135" s="13" t="s">
        <v>607</v>
      </c>
      <c r="C135" s="13" t="s">
        <v>1423</v>
      </c>
      <c r="D135" s="13" t="s">
        <v>57</v>
      </c>
      <c r="E135" s="13" t="s">
        <v>708</v>
      </c>
      <c r="F135" s="13" t="s">
        <v>709</v>
      </c>
      <c r="G135" s="63" t="n">
        <v>3129879267</v>
      </c>
      <c r="H135" s="13" t="s">
        <v>1417</v>
      </c>
      <c r="I135" s="13"/>
      <c r="J135" s="13" t="s">
        <v>1424</v>
      </c>
      <c r="K135" s="13" t="s">
        <v>1425</v>
      </c>
      <c r="L135" s="13" t="s">
        <v>1426</v>
      </c>
      <c r="M135" s="13"/>
    </row>
    <row r="136" customFormat="false" ht="15" hidden="false" customHeight="false" outlineLevel="0" collapsed="false">
      <c r="A136" s="13" t="s">
        <v>608</v>
      </c>
      <c r="B136" s="13" t="s">
        <v>607</v>
      </c>
      <c r="C136" s="13" t="s">
        <v>1427</v>
      </c>
      <c r="D136" s="13" t="s">
        <v>57</v>
      </c>
      <c r="E136" s="13" t="s">
        <v>708</v>
      </c>
      <c r="F136" s="13" t="s">
        <v>709</v>
      </c>
      <c r="G136" s="63" t="n">
        <v>6804364595</v>
      </c>
      <c r="H136" s="13" t="s">
        <v>1417</v>
      </c>
      <c r="I136" s="13"/>
      <c r="J136" s="13" t="s">
        <v>1424</v>
      </c>
      <c r="K136" s="13" t="s">
        <v>619</v>
      </c>
      <c r="L136" s="13" t="s">
        <v>1420</v>
      </c>
      <c r="M136" s="13"/>
    </row>
    <row r="137" customFormat="false" ht="15" hidden="false" customHeight="false" outlineLevel="0" collapsed="false">
      <c r="A137" s="13" t="s">
        <v>608</v>
      </c>
      <c r="B137" s="13" t="s">
        <v>607</v>
      </c>
      <c r="C137" s="13" t="s">
        <v>1416</v>
      </c>
      <c r="D137" s="13" t="s">
        <v>59</v>
      </c>
      <c r="E137" s="13" t="s">
        <v>712</v>
      </c>
      <c r="F137" s="13" t="s">
        <v>391</v>
      </c>
      <c r="G137" s="63" t="n">
        <v>29547207476</v>
      </c>
      <c r="H137" s="13" t="s">
        <v>1417</v>
      </c>
      <c r="I137" s="13"/>
      <c r="J137" s="13" t="s">
        <v>1440</v>
      </c>
      <c r="K137" s="13" t="s">
        <v>1419</v>
      </c>
      <c r="L137" s="13" t="s">
        <v>1420</v>
      </c>
      <c r="M137" s="13"/>
    </row>
    <row r="138" customFormat="false" ht="15" hidden="false" customHeight="false" outlineLevel="0" collapsed="false">
      <c r="A138" s="13" t="s">
        <v>608</v>
      </c>
      <c r="B138" s="13" t="s">
        <v>607</v>
      </c>
      <c r="C138" s="13" t="s">
        <v>1421</v>
      </c>
      <c r="D138" s="13" t="s">
        <v>59</v>
      </c>
      <c r="E138" s="13" t="s">
        <v>712</v>
      </c>
      <c r="F138" s="13" t="s">
        <v>391</v>
      </c>
      <c r="G138" s="63" t="n">
        <v>2463973775</v>
      </c>
      <c r="H138" s="13" t="s">
        <v>1417</v>
      </c>
      <c r="I138" s="13"/>
      <c r="J138" s="13" t="s">
        <v>1440</v>
      </c>
      <c r="K138" s="13" t="s">
        <v>1422</v>
      </c>
      <c r="L138" s="13" t="s">
        <v>1420</v>
      </c>
      <c r="M138" s="13"/>
    </row>
    <row r="139" customFormat="false" ht="15" hidden="false" customHeight="false" outlineLevel="0" collapsed="false">
      <c r="A139" s="13" t="s">
        <v>608</v>
      </c>
      <c r="B139" s="13" t="s">
        <v>607</v>
      </c>
      <c r="C139" s="13" t="s">
        <v>1423</v>
      </c>
      <c r="D139" s="13" t="s">
        <v>59</v>
      </c>
      <c r="E139" s="13" t="s">
        <v>712</v>
      </c>
      <c r="F139" s="13" t="s">
        <v>391</v>
      </c>
      <c r="G139" s="63" t="n">
        <v>2663388349</v>
      </c>
      <c r="H139" s="13" t="s">
        <v>1417</v>
      </c>
      <c r="I139" s="13"/>
      <c r="J139" s="13" t="s">
        <v>1441</v>
      </c>
      <c r="K139" s="13" t="s">
        <v>1425</v>
      </c>
      <c r="L139" s="13" t="s">
        <v>1426</v>
      </c>
      <c r="M139" s="13"/>
    </row>
    <row r="140" customFormat="false" ht="15" hidden="false" customHeight="false" outlineLevel="0" collapsed="false">
      <c r="A140" s="13" t="s">
        <v>608</v>
      </c>
      <c r="B140" s="13" t="s">
        <v>607</v>
      </c>
      <c r="C140" s="13" t="s">
        <v>1427</v>
      </c>
      <c r="D140" s="13" t="s">
        <v>59</v>
      </c>
      <c r="E140" s="13" t="s">
        <v>712</v>
      </c>
      <c r="F140" s="13" t="s">
        <v>391</v>
      </c>
      <c r="G140" s="63" t="n">
        <v>4036506961</v>
      </c>
      <c r="H140" s="13" t="s">
        <v>1417</v>
      </c>
      <c r="I140" s="13"/>
      <c r="J140" s="13" t="s">
        <v>1441</v>
      </c>
      <c r="K140" s="13" t="s">
        <v>619</v>
      </c>
      <c r="L140" s="13" t="s">
        <v>1420</v>
      </c>
      <c r="M140" s="13"/>
    </row>
    <row r="141" customFormat="false" ht="15" hidden="false" customHeight="false" outlineLevel="0" collapsed="false">
      <c r="A141" s="13" t="s">
        <v>608</v>
      </c>
      <c r="B141" s="13" t="s">
        <v>607</v>
      </c>
      <c r="C141" s="13" t="s">
        <v>1416</v>
      </c>
      <c r="D141" s="13" t="s">
        <v>59</v>
      </c>
      <c r="E141" s="13" t="s">
        <v>717</v>
      </c>
      <c r="F141" s="13" t="s">
        <v>718</v>
      </c>
      <c r="G141" s="63" t="n">
        <v>12118406500</v>
      </c>
      <c r="H141" s="13" t="s">
        <v>1417</v>
      </c>
      <c r="I141" s="13"/>
      <c r="J141" s="13" t="s">
        <v>1440</v>
      </c>
      <c r="K141" s="13" t="s">
        <v>1419</v>
      </c>
      <c r="L141" s="13" t="s">
        <v>1420</v>
      </c>
      <c r="M141" s="13"/>
    </row>
    <row r="142" customFormat="false" ht="15" hidden="false" customHeight="false" outlineLevel="0" collapsed="false">
      <c r="A142" s="13" t="s">
        <v>608</v>
      </c>
      <c r="B142" s="13" t="s">
        <v>607</v>
      </c>
      <c r="C142" s="13" t="s">
        <v>1421</v>
      </c>
      <c r="D142" s="13" t="s">
        <v>59</v>
      </c>
      <c r="E142" s="13" t="s">
        <v>717</v>
      </c>
      <c r="F142" s="13" t="s">
        <v>718</v>
      </c>
      <c r="G142" s="63" t="n">
        <v>16783681668</v>
      </c>
      <c r="H142" s="13" t="s">
        <v>1417</v>
      </c>
      <c r="I142" s="13"/>
      <c r="J142" s="13" t="s">
        <v>1440</v>
      </c>
      <c r="K142" s="13" t="s">
        <v>1422</v>
      </c>
      <c r="L142" s="13" t="s">
        <v>1420</v>
      </c>
      <c r="M142" s="13"/>
    </row>
    <row r="143" customFormat="false" ht="15" hidden="false" customHeight="false" outlineLevel="0" collapsed="false">
      <c r="A143" s="13" t="s">
        <v>608</v>
      </c>
      <c r="B143" s="13" t="s">
        <v>607</v>
      </c>
      <c r="C143" s="13" t="s">
        <v>1423</v>
      </c>
      <c r="D143" s="13" t="s">
        <v>59</v>
      </c>
      <c r="E143" s="13" t="s">
        <v>717</v>
      </c>
      <c r="F143" s="13" t="s">
        <v>718</v>
      </c>
      <c r="G143" s="63" t="n">
        <v>25075858587</v>
      </c>
      <c r="H143" s="13" t="s">
        <v>1417</v>
      </c>
      <c r="I143" s="13"/>
      <c r="J143" s="13" t="s">
        <v>1441</v>
      </c>
      <c r="K143" s="13" t="s">
        <v>1425</v>
      </c>
      <c r="L143" s="13" t="s">
        <v>1426</v>
      </c>
      <c r="M143" s="13"/>
    </row>
    <row r="144" customFormat="false" ht="15" hidden="false" customHeight="false" outlineLevel="0" collapsed="false">
      <c r="A144" s="13" t="s">
        <v>608</v>
      </c>
      <c r="B144" s="13" t="s">
        <v>607</v>
      </c>
      <c r="C144" s="13" t="s">
        <v>1427</v>
      </c>
      <c r="D144" s="13" t="s">
        <v>59</v>
      </c>
      <c r="E144" s="13" t="s">
        <v>717</v>
      </c>
      <c r="F144" s="13" t="s">
        <v>718</v>
      </c>
      <c r="G144" s="63" t="n">
        <v>18872446355</v>
      </c>
      <c r="H144" s="13" t="s">
        <v>1417</v>
      </c>
      <c r="I144" s="13"/>
      <c r="J144" s="13" t="s">
        <v>1441</v>
      </c>
      <c r="K144" s="13" t="s">
        <v>619</v>
      </c>
      <c r="L144" s="13" t="s">
        <v>1420</v>
      </c>
      <c r="M144" s="13"/>
    </row>
    <row r="145" customFormat="false" ht="15" hidden="false" customHeight="false" outlineLevel="0" collapsed="false">
      <c r="A145" s="13" t="s">
        <v>608</v>
      </c>
      <c r="B145" s="13" t="s">
        <v>607</v>
      </c>
      <c r="C145" s="13" t="s">
        <v>1416</v>
      </c>
      <c r="D145" s="13" t="s">
        <v>59</v>
      </c>
      <c r="E145" s="13" t="s">
        <v>722</v>
      </c>
      <c r="F145" s="13" t="s">
        <v>723</v>
      </c>
      <c r="G145" s="63" t="n">
        <v>97099554</v>
      </c>
      <c r="H145" s="13" t="s">
        <v>1417</v>
      </c>
      <c r="I145" s="13"/>
      <c r="J145" s="13" t="s">
        <v>1440</v>
      </c>
      <c r="K145" s="13" t="s">
        <v>1419</v>
      </c>
      <c r="L145" s="13" t="s">
        <v>1420</v>
      </c>
      <c r="M145" s="13"/>
    </row>
    <row r="146" customFormat="false" ht="15" hidden="false" customHeight="false" outlineLevel="0" collapsed="false">
      <c r="A146" s="13" t="s">
        <v>608</v>
      </c>
      <c r="B146" s="13" t="s">
        <v>607</v>
      </c>
      <c r="C146" s="13" t="s">
        <v>1421</v>
      </c>
      <c r="D146" s="13" t="s">
        <v>59</v>
      </c>
      <c r="E146" s="13" t="s">
        <v>722</v>
      </c>
      <c r="F146" s="13" t="s">
        <v>723</v>
      </c>
      <c r="G146" s="63" t="n">
        <v>27440000</v>
      </c>
      <c r="H146" s="13" t="s">
        <v>1417</v>
      </c>
      <c r="I146" s="13"/>
      <c r="J146" s="13" t="s">
        <v>1440</v>
      </c>
      <c r="K146" s="13" t="s">
        <v>1422</v>
      </c>
      <c r="L146" s="13" t="s">
        <v>1420</v>
      </c>
      <c r="M146" s="13"/>
    </row>
    <row r="147" customFormat="false" ht="15" hidden="false" customHeight="false" outlineLevel="0" collapsed="false">
      <c r="A147" s="13" t="s">
        <v>608</v>
      </c>
      <c r="B147" s="13" t="s">
        <v>607</v>
      </c>
      <c r="C147" s="13" t="s">
        <v>1423</v>
      </c>
      <c r="D147" s="13" t="s">
        <v>59</v>
      </c>
      <c r="E147" s="13" t="s">
        <v>722</v>
      </c>
      <c r="F147" s="13" t="s">
        <v>723</v>
      </c>
      <c r="G147" s="63" t="n">
        <v>630259097</v>
      </c>
      <c r="H147" s="13" t="s">
        <v>1417</v>
      </c>
      <c r="I147" s="13"/>
      <c r="J147" s="13" t="s">
        <v>1441</v>
      </c>
      <c r="K147" s="13" t="s">
        <v>1425</v>
      </c>
      <c r="L147" s="13" t="s">
        <v>1426</v>
      </c>
      <c r="M147" s="13"/>
    </row>
    <row r="148" customFormat="false" ht="15" hidden="false" customHeight="false" outlineLevel="0" collapsed="false">
      <c r="A148" s="13" t="s">
        <v>608</v>
      </c>
      <c r="B148" s="13" t="s">
        <v>607</v>
      </c>
      <c r="C148" s="13" t="s">
        <v>1427</v>
      </c>
      <c r="D148" s="13" t="s">
        <v>59</v>
      </c>
      <c r="E148" s="13" t="s">
        <v>722</v>
      </c>
      <c r="F148" s="13" t="s">
        <v>723</v>
      </c>
      <c r="G148" s="63" t="n">
        <v>140874649</v>
      </c>
      <c r="H148" s="13" t="s">
        <v>1417</v>
      </c>
      <c r="I148" s="13"/>
      <c r="J148" s="13" t="s">
        <v>1441</v>
      </c>
      <c r="K148" s="13" t="s">
        <v>619</v>
      </c>
      <c r="L148" s="13" t="s">
        <v>1420</v>
      </c>
      <c r="M148" s="13"/>
    </row>
    <row r="149" customFormat="false" ht="15" hidden="false" customHeight="false" outlineLevel="0" collapsed="false">
      <c r="A149" s="13" t="s">
        <v>608</v>
      </c>
      <c r="B149" s="13" t="s">
        <v>607</v>
      </c>
      <c r="C149" s="13" t="s">
        <v>1416</v>
      </c>
      <c r="D149" s="13" t="s">
        <v>59</v>
      </c>
      <c r="E149" s="13" t="s">
        <v>725</v>
      </c>
      <c r="F149" s="13" t="s">
        <v>726</v>
      </c>
      <c r="G149" s="63" t="n">
        <v>0</v>
      </c>
      <c r="H149" s="13" t="s">
        <v>1417</v>
      </c>
      <c r="I149" s="13"/>
      <c r="J149" s="13"/>
      <c r="K149" s="13" t="s">
        <v>1419</v>
      </c>
      <c r="L149" s="13" t="s">
        <v>1420</v>
      </c>
      <c r="M149" s="13"/>
    </row>
    <row r="150" customFormat="false" ht="15" hidden="false" customHeight="false" outlineLevel="0" collapsed="false">
      <c r="A150" s="13" t="s">
        <v>608</v>
      </c>
      <c r="B150" s="13" t="s">
        <v>607</v>
      </c>
      <c r="C150" s="13" t="s">
        <v>1421</v>
      </c>
      <c r="D150" s="13" t="s">
        <v>59</v>
      </c>
      <c r="E150" s="13" t="s">
        <v>725</v>
      </c>
      <c r="F150" s="13" t="s">
        <v>726</v>
      </c>
      <c r="G150" s="63" t="n">
        <v>0</v>
      </c>
      <c r="H150" s="13" t="s">
        <v>1417</v>
      </c>
      <c r="I150" s="13"/>
      <c r="J150" s="13"/>
      <c r="K150" s="13" t="s">
        <v>1422</v>
      </c>
      <c r="L150" s="13" t="s">
        <v>1420</v>
      </c>
      <c r="M150" s="13"/>
    </row>
    <row r="151" customFormat="false" ht="15" hidden="false" customHeight="false" outlineLevel="0" collapsed="false">
      <c r="A151" s="13" t="s">
        <v>608</v>
      </c>
      <c r="B151" s="13" t="s">
        <v>607</v>
      </c>
      <c r="C151" s="13" t="s">
        <v>1423</v>
      </c>
      <c r="D151" s="13" t="s">
        <v>59</v>
      </c>
      <c r="E151" s="13" t="s">
        <v>725</v>
      </c>
      <c r="F151" s="13" t="s">
        <v>726</v>
      </c>
      <c r="G151" s="63" t="n">
        <v>0</v>
      </c>
      <c r="H151" s="13" t="s">
        <v>1417</v>
      </c>
      <c r="I151" s="13"/>
      <c r="J151" s="13" t="s">
        <v>1441</v>
      </c>
      <c r="K151" s="13" t="s">
        <v>1425</v>
      </c>
      <c r="L151" s="13" t="s">
        <v>1426</v>
      </c>
      <c r="M151" s="13"/>
    </row>
    <row r="152" customFormat="false" ht="15" hidden="false" customHeight="false" outlineLevel="0" collapsed="false">
      <c r="A152" s="13" t="s">
        <v>608</v>
      </c>
      <c r="B152" s="13" t="s">
        <v>607</v>
      </c>
      <c r="C152" s="13" t="s">
        <v>1427</v>
      </c>
      <c r="D152" s="13" t="s">
        <v>59</v>
      </c>
      <c r="E152" s="13" t="s">
        <v>725</v>
      </c>
      <c r="F152" s="13" t="s">
        <v>726</v>
      </c>
      <c r="G152" s="63" t="n">
        <v>13190606059</v>
      </c>
      <c r="H152" s="13" t="s">
        <v>1417</v>
      </c>
      <c r="I152" s="13"/>
      <c r="J152" s="13" t="s">
        <v>1441</v>
      </c>
      <c r="K152" s="13" t="s">
        <v>619</v>
      </c>
      <c r="L152" s="13" t="s">
        <v>1420</v>
      </c>
      <c r="M152" s="13"/>
    </row>
    <row r="153" customFormat="false" ht="15" hidden="false" customHeight="false" outlineLevel="0" collapsed="false">
      <c r="A153" s="13" t="s">
        <v>608</v>
      </c>
      <c r="B153" s="13" t="s">
        <v>607</v>
      </c>
      <c r="C153" s="13" t="s">
        <v>1416</v>
      </c>
      <c r="D153" s="13" t="s">
        <v>59</v>
      </c>
      <c r="E153" s="13" t="s">
        <v>728</v>
      </c>
      <c r="F153" s="13" t="s">
        <v>396</v>
      </c>
      <c r="G153" s="63" t="n">
        <v>2264889867</v>
      </c>
      <c r="H153" s="13" t="s">
        <v>1417</v>
      </c>
      <c r="I153" s="13"/>
      <c r="J153" s="13" t="s">
        <v>1440</v>
      </c>
      <c r="K153" s="13" t="s">
        <v>1419</v>
      </c>
      <c r="L153" s="13" t="s">
        <v>1420</v>
      </c>
      <c r="M153" s="13"/>
    </row>
    <row r="154" customFormat="false" ht="15" hidden="false" customHeight="false" outlineLevel="0" collapsed="false">
      <c r="A154" s="13" t="s">
        <v>608</v>
      </c>
      <c r="B154" s="13" t="s">
        <v>607</v>
      </c>
      <c r="C154" s="13" t="s">
        <v>1421</v>
      </c>
      <c r="D154" s="13" t="s">
        <v>59</v>
      </c>
      <c r="E154" s="13" t="s">
        <v>728</v>
      </c>
      <c r="F154" s="13" t="s">
        <v>396</v>
      </c>
      <c r="G154" s="63" t="n">
        <v>4036032457</v>
      </c>
      <c r="H154" s="13" t="s">
        <v>1417</v>
      </c>
      <c r="I154" s="13"/>
      <c r="J154" s="13" t="s">
        <v>1440</v>
      </c>
      <c r="K154" s="13" t="s">
        <v>1422</v>
      </c>
      <c r="L154" s="13" t="s">
        <v>1420</v>
      </c>
      <c r="M154" s="13"/>
    </row>
    <row r="155" customFormat="false" ht="15" hidden="false" customHeight="false" outlineLevel="0" collapsed="false">
      <c r="A155" s="13" t="s">
        <v>608</v>
      </c>
      <c r="B155" s="13" t="s">
        <v>607</v>
      </c>
      <c r="C155" s="13" t="s">
        <v>1423</v>
      </c>
      <c r="D155" s="13" t="s">
        <v>59</v>
      </c>
      <c r="E155" s="13" t="s">
        <v>728</v>
      </c>
      <c r="F155" s="13" t="s">
        <v>396</v>
      </c>
      <c r="G155" s="63" t="n">
        <v>4135618544</v>
      </c>
      <c r="H155" s="13" t="s">
        <v>1417</v>
      </c>
      <c r="I155" s="13"/>
      <c r="J155" s="13" t="s">
        <v>1441</v>
      </c>
      <c r="K155" s="13" t="s">
        <v>1425</v>
      </c>
      <c r="L155" s="13" t="s">
        <v>1426</v>
      </c>
      <c r="M155" s="13"/>
    </row>
    <row r="156" customFormat="false" ht="15" hidden="false" customHeight="false" outlineLevel="0" collapsed="false">
      <c r="A156" s="13" t="s">
        <v>608</v>
      </c>
      <c r="B156" s="13" t="s">
        <v>607</v>
      </c>
      <c r="C156" s="13" t="s">
        <v>1427</v>
      </c>
      <c r="D156" s="13" t="s">
        <v>59</v>
      </c>
      <c r="E156" s="13" t="s">
        <v>728</v>
      </c>
      <c r="F156" s="13" t="s">
        <v>396</v>
      </c>
      <c r="G156" s="63" t="n">
        <v>1336242114</v>
      </c>
      <c r="H156" s="13" t="s">
        <v>1417</v>
      </c>
      <c r="I156" s="13"/>
      <c r="J156" s="13" t="s">
        <v>1441</v>
      </c>
      <c r="K156" s="13" t="s">
        <v>619</v>
      </c>
      <c r="L156" s="13" t="s">
        <v>1420</v>
      </c>
      <c r="M156" s="13"/>
    </row>
    <row r="157" customFormat="false" ht="15" hidden="false" customHeight="false" outlineLevel="0" collapsed="false">
      <c r="A157" s="13" t="s">
        <v>608</v>
      </c>
      <c r="B157" s="13" t="s">
        <v>607</v>
      </c>
      <c r="C157" s="13" t="s">
        <v>1416</v>
      </c>
      <c r="D157" s="13" t="s">
        <v>59</v>
      </c>
      <c r="E157" s="13" t="s">
        <v>730</v>
      </c>
      <c r="F157" s="13" t="s">
        <v>731</v>
      </c>
      <c r="G157" s="63" t="n">
        <v>1533846590</v>
      </c>
      <c r="H157" s="13" t="s">
        <v>1417</v>
      </c>
      <c r="I157" s="13"/>
      <c r="J157" s="13" t="s">
        <v>1442</v>
      </c>
      <c r="K157" s="13" t="s">
        <v>1419</v>
      </c>
      <c r="L157" s="13" t="s">
        <v>1420</v>
      </c>
      <c r="M157" s="13"/>
    </row>
    <row r="158" customFormat="false" ht="15" hidden="false" customHeight="false" outlineLevel="0" collapsed="false">
      <c r="A158" s="13" t="s">
        <v>608</v>
      </c>
      <c r="B158" s="13" t="s">
        <v>607</v>
      </c>
      <c r="C158" s="13" t="s">
        <v>1421</v>
      </c>
      <c r="D158" s="13" t="s">
        <v>59</v>
      </c>
      <c r="E158" s="13" t="s">
        <v>730</v>
      </c>
      <c r="F158" s="13" t="s">
        <v>731</v>
      </c>
      <c r="G158" s="63" t="n">
        <v>4549578293</v>
      </c>
      <c r="H158" s="13" t="s">
        <v>1417</v>
      </c>
      <c r="I158" s="13"/>
      <c r="J158" s="13" t="s">
        <v>1442</v>
      </c>
      <c r="K158" s="13" t="s">
        <v>1422</v>
      </c>
      <c r="L158" s="13" t="s">
        <v>1420</v>
      </c>
      <c r="M158" s="13"/>
    </row>
    <row r="159" customFormat="false" ht="15" hidden="false" customHeight="false" outlineLevel="0" collapsed="false">
      <c r="A159" s="13" t="s">
        <v>608</v>
      </c>
      <c r="B159" s="13" t="s">
        <v>607</v>
      </c>
      <c r="C159" s="13" t="s">
        <v>1423</v>
      </c>
      <c r="D159" s="13" t="s">
        <v>59</v>
      </c>
      <c r="E159" s="13" t="s">
        <v>730</v>
      </c>
      <c r="F159" s="13" t="s">
        <v>731</v>
      </c>
      <c r="G159" s="63" t="n">
        <v>58296415</v>
      </c>
      <c r="H159" s="13" t="s">
        <v>1417</v>
      </c>
      <c r="I159" s="13"/>
      <c r="J159" s="13" t="s">
        <v>1441</v>
      </c>
      <c r="K159" s="13" t="s">
        <v>1425</v>
      </c>
      <c r="L159" s="13" t="s">
        <v>1426</v>
      </c>
      <c r="M159" s="13"/>
    </row>
    <row r="160" customFormat="false" ht="15" hidden="false" customHeight="false" outlineLevel="0" collapsed="false">
      <c r="A160" s="13" t="s">
        <v>608</v>
      </c>
      <c r="B160" s="13" t="s">
        <v>607</v>
      </c>
      <c r="C160" s="13" t="s">
        <v>1427</v>
      </c>
      <c r="D160" s="13" t="s">
        <v>59</v>
      </c>
      <c r="E160" s="13" t="s">
        <v>730</v>
      </c>
      <c r="F160" s="13" t="s">
        <v>731</v>
      </c>
      <c r="G160" s="63" t="n">
        <v>166401766</v>
      </c>
      <c r="H160" s="13" t="s">
        <v>1417</v>
      </c>
      <c r="I160" s="13"/>
      <c r="J160" s="13" t="s">
        <v>1441</v>
      </c>
      <c r="K160" s="13" t="s">
        <v>619</v>
      </c>
      <c r="L160" s="13" t="s">
        <v>1420</v>
      </c>
      <c r="M160" s="13"/>
    </row>
    <row r="161" customFormat="false" ht="15" hidden="false" customHeight="false" outlineLevel="0" collapsed="false">
      <c r="A161" s="13" t="s">
        <v>608</v>
      </c>
      <c r="B161" s="13" t="s">
        <v>607</v>
      </c>
      <c r="C161" s="13" t="s">
        <v>1416</v>
      </c>
      <c r="D161" s="13" t="s">
        <v>59</v>
      </c>
      <c r="E161" s="13" t="s">
        <v>733</v>
      </c>
      <c r="F161" s="13" t="s">
        <v>734</v>
      </c>
      <c r="G161" s="63" t="n">
        <v>54908963</v>
      </c>
      <c r="H161" s="13" t="s">
        <v>1417</v>
      </c>
      <c r="I161" s="13"/>
      <c r="J161" s="13" t="s">
        <v>1440</v>
      </c>
      <c r="K161" s="13" t="s">
        <v>1419</v>
      </c>
      <c r="L161" s="13" t="s">
        <v>1420</v>
      </c>
      <c r="M161" s="13"/>
    </row>
    <row r="162" customFormat="false" ht="15" hidden="false" customHeight="false" outlineLevel="0" collapsed="false">
      <c r="A162" s="13" t="s">
        <v>608</v>
      </c>
      <c r="B162" s="13" t="s">
        <v>607</v>
      </c>
      <c r="C162" s="13" t="s">
        <v>1421</v>
      </c>
      <c r="D162" s="13" t="s">
        <v>59</v>
      </c>
      <c r="E162" s="13" t="s">
        <v>733</v>
      </c>
      <c r="F162" s="13" t="s">
        <v>734</v>
      </c>
      <c r="G162" s="63" t="n">
        <v>39319861</v>
      </c>
      <c r="H162" s="13" t="s">
        <v>1417</v>
      </c>
      <c r="I162" s="13"/>
      <c r="J162" s="13" t="s">
        <v>1440</v>
      </c>
      <c r="K162" s="13" t="s">
        <v>1422</v>
      </c>
      <c r="L162" s="13" t="s">
        <v>1420</v>
      </c>
      <c r="M162" s="13"/>
    </row>
    <row r="163" customFormat="false" ht="15" hidden="false" customHeight="false" outlineLevel="0" collapsed="false">
      <c r="A163" s="13" t="s">
        <v>608</v>
      </c>
      <c r="B163" s="13" t="s">
        <v>607</v>
      </c>
      <c r="C163" s="13" t="s">
        <v>1423</v>
      </c>
      <c r="D163" s="13" t="s">
        <v>59</v>
      </c>
      <c r="E163" s="13" t="s">
        <v>733</v>
      </c>
      <c r="F163" s="13" t="s">
        <v>734</v>
      </c>
      <c r="G163" s="63" t="n">
        <v>1166210842</v>
      </c>
      <c r="H163" s="13" t="s">
        <v>1417</v>
      </c>
      <c r="I163" s="13"/>
      <c r="J163" s="13" t="s">
        <v>1441</v>
      </c>
      <c r="K163" s="13" t="s">
        <v>1425</v>
      </c>
      <c r="L163" s="13" t="s">
        <v>1426</v>
      </c>
      <c r="M163" s="13"/>
    </row>
    <row r="164" customFormat="false" ht="15" hidden="false" customHeight="false" outlineLevel="0" collapsed="false">
      <c r="A164" s="13" t="s">
        <v>608</v>
      </c>
      <c r="B164" s="13" t="s">
        <v>607</v>
      </c>
      <c r="C164" s="13" t="s">
        <v>1427</v>
      </c>
      <c r="D164" s="13" t="s">
        <v>59</v>
      </c>
      <c r="E164" s="13" t="s">
        <v>733</v>
      </c>
      <c r="F164" s="13" t="s">
        <v>734</v>
      </c>
      <c r="G164" s="63" t="n">
        <v>1468574720</v>
      </c>
      <c r="H164" s="13" t="s">
        <v>1417</v>
      </c>
      <c r="I164" s="13"/>
      <c r="J164" s="13" t="s">
        <v>1441</v>
      </c>
      <c r="K164" s="13" t="s">
        <v>619</v>
      </c>
      <c r="L164" s="13" t="s">
        <v>1420</v>
      </c>
      <c r="M164" s="13"/>
    </row>
    <row r="165" customFormat="false" ht="15" hidden="false" customHeight="false" outlineLevel="0" collapsed="false">
      <c r="A165" s="13" t="s">
        <v>608</v>
      </c>
      <c r="B165" s="13" t="s">
        <v>607</v>
      </c>
      <c r="C165" s="13" t="s">
        <v>1416</v>
      </c>
      <c r="D165" s="13" t="s">
        <v>59</v>
      </c>
      <c r="E165" s="13" t="s">
        <v>736</v>
      </c>
      <c r="F165" s="13" t="s">
        <v>737</v>
      </c>
      <c r="G165" s="63" t="n">
        <v>0</v>
      </c>
      <c r="H165" s="13" t="s">
        <v>1417</v>
      </c>
      <c r="I165" s="13"/>
      <c r="J165" s="13"/>
      <c r="K165" s="13" t="s">
        <v>1419</v>
      </c>
      <c r="L165" s="13" t="s">
        <v>1420</v>
      </c>
      <c r="M165" s="13"/>
    </row>
    <row r="166" customFormat="false" ht="15" hidden="false" customHeight="false" outlineLevel="0" collapsed="false">
      <c r="A166" s="13" t="s">
        <v>608</v>
      </c>
      <c r="B166" s="13" t="s">
        <v>607</v>
      </c>
      <c r="C166" s="13" t="s">
        <v>1421</v>
      </c>
      <c r="D166" s="13" t="s">
        <v>59</v>
      </c>
      <c r="E166" s="13" t="s">
        <v>736</v>
      </c>
      <c r="F166" s="13" t="s">
        <v>737</v>
      </c>
      <c r="G166" s="63" t="n">
        <v>0</v>
      </c>
      <c r="H166" s="13" t="s">
        <v>1417</v>
      </c>
      <c r="I166" s="13"/>
      <c r="J166" s="13"/>
      <c r="K166" s="13" t="s">
        <v>1422</v>
      </c>
      <c r="L166" s="13" t="s">
        <v>1420</v>
      </c>
      <c r="M166" s="13"/>
    </row>
    <row r="167" customFormat="false" ht="15" hidden="false" customHeight="false" outlineLevel="0" collapsed="false">
      <c r="A167" s="13" t="s">
        <v>608</v>
      </c>
      <c r="B167" s="13" t="s">
        <v>607</v>
      </c>
      <c r="C167" s="13" t="s">
        <v>1423</v>
      </c>
      <c r="D167" s="13" t="s">
        <v>59</v>
      </c>
      <c r="E167" s="13" t="s">
        <v>736</v>
      </c>
      <c r="F167" s="13" t="s">
        <v>737</v>
      </c>
      <c r="G167" s="63" t="n">
        <v>1362895270</v>
      </c>
      <c r="H167" s="13" t="s">
        <v>1417</v>
      </c>
      <c r="I167" s="13"/>
      <c r="J167" s="13" t="s">
        <v>1441</v>
      </c>
      <c r="K167" s="13" t="s">
        <v>1425</v>
      </c>
      <c r="L167" s="13" t="s">
        <v>1426</v>
      </c>
      <c r="M167" s="13"/>
    </row>
    <row r="168" customFormat="false" ht="15" hidden="false" customHeight="false" outlineLevel="0" collapsed="false">
      <c r="A168" s="13" t="s">
        <v>608</v>
      </c>
      <c r="B168" s="13" t="s">
        <v>607</v>
      </c>
      <c r="C168" s="13" t="s">
        <v>1427</v>
      </c>
      <c r="D168" s="13" t="s">
        <v>59</v>
      </c>
      <c r="E168" s="13" t="s">
        <v>736</v>
      </c>
      <c r="F168" s="13" t="s">
        <v>737</v>
      </c>
      <c r="G168" s="63" t="n">
        <v>133200000</v>
      </c>
      <c r="H168" s="13" t="s">
        <v>1417</v>
      </c>
      <c r="I168" s="13"/>
      <c r="J168" s="13" t="s">
        <v>1441</v>
      </c>
      <c r="K168" s="13" t="s">
        <v>619</v>
      </c>
      <c r="L168" s="13" t="s">
        <v>1420</v>
      </c>
      <c r="M168" s="13"/>
    </row>
    <row r="169" customFormat="false" ht="15" hidden="false" customHeight="false" outlineLevel="0" collapsed="false">
      <c r="A169" s="13" t="s">
        <v>608</v>
      </c>
      <c r="B169" s="13" t="s">
        <v>607</v>
      </c>
      <c r="C169" s="13" t="s">
        <v>1416</v>
      </c>
      <c r="D169" s="13" t="s">
        <v>59</v>
      </c>
      <c r="E169" s="13" t="s">
        <v>739</v>
      </c>
      <c r="F169" s="13" t="s">
        <v>401</v>
      </c>
      <c r="G169" s="63" t="n">
        <v>45616358950</v>
      </c>
      <c r="H169" s="13" t="s">
        <v>1417</v>
      </c>
      <c r="I169" s="13"/>
      <c r="J169" s="13"/>
      <c r="K169" s="13" t="s">
        <v>1419</v>
      </c>
      <c r="L169" s="13" t="s">
        <v>1420</v>
      </c>
      <c r="M169" s="13" t="s">
        <v>1428</v>
      </c>
    </row>
    <row r="170" customFormat="false" ht="15" hidden="false" customHeight="false" outlineLevel="0" collapsed="false">
      <c r="A170" s="13" t="s">
        <v>608</v>
      </c>
      <c r="B170" s="13" t="s">
        <v>607</v>
      </c>
      <c r="C170" s="13" t="s">
        <v>1421</v>
      </c>
      <c r="D170" s="13" t="s">
        <v>59</v>
      </c>
      <c r="E170" s="13" t="s">
        <v>739</v>
      </c>
      <c r="F170" s="13" t="s">
        <v>401</v>
      </c>
      <c r="G170" s="63" t="n">
        <v>27900026054</v>
      </c>
      <c r="H170" s="13" t="s">
        <v>1417</v>
      </c>
      <c r="I170" s="13"/>
      <c r="J170" s="13"/>
      <c r="K170" s="13" t="s">
        <v>1422</v>
      </c>
      <c r="L170" s="13" t="s">
        <v>1420</v>
      </c>
      <c r="M170" s="13" t="s">
        <v>1428</v>
      </c>
    </row>
    <row r="171" customFormat="false" ht="15" hidden="false" customHeight="false" outlineLevel="0" collapsed="false">
      <c r="A171" s="13" t="s">
        <v>608</v>
      </c>
      <c r="B171" s="13" t="s">
        <v>607</v>
      </c>
      <c r="C171" s="13" t="s">
        <v>1423</v>
      </c>
      <c r="D171" s="13" t="s">
        <v>59</v>
      </c>
      <c r="E171" s="13" t="s">
        <v>739</v>
      </c>
      <c r="F171" s="13" t="s">
        <v>401</v>
      </c>
      <c r="G171" s="63" t="n">
        <v>35092527104</v>
      </c>
      <c r="H171" s="13" t="s">
        <v>1417</v>
      </c>
      <c r="I171" s="13"/>
      <c r="J171" s="13"/>
      <c r="K171" s="13" t="s">
        <v>1425</v>
      </c>
      <c r="L171" s="13" t="s">
        <v>1426</v>
      </c>
      <c r="M171" s="13" t="s">
        <v>1428</v>
      </c>
    </row>
    <row r="172" customFormat="false" ht="15" hidden="false" customHeight="false" outlineLevel="0" collapsed="false">
      <c r="A172" s="13" t="s">
        <v>608</v>
      </c>
      <c r="B172" s="13" t="s">
        <v>607</v>
      </c>
      <c r="C172" s="13" t="s">
        <v>1427</v>
      </c>
      <c r="D172" s="13" t="s">
        <v>59</v>
      </c>
      <c r="E172" s="13" t="s">
        <v>739</v>
      </c>
      <c r="F172" s="13" t="s">
        <v>401</v>
      </c>
      <c r="G172" s="63" t="n">
        <v>39344852624</v>
      </c>
      <c r="H172" s="13" t="s">
        <v>1417</v>
      </c>
      <c r="I172" s="13"/>
      <c r="J172" s="13"/>
      <c r="K172" s="13" t="s">
        <v>619</v>
      </c>
      <c r="L172" s="13" t="s">
        <v>1420</v>
      </c>
      <c r="M172" s="13" t="s">
        <v>1428</v>
      </c>
    </row>
    <row r="173" customFormat="false" ht="15" hidden="false" customHeight="false" outlineLevel="0" collapsed="false">
      <c r="A173" s="13" t="s">
        <v>608</v>
      </c>
      <c r="B173" s="13" t="s">
        <v>607</v>
      </c>
      <c r="C173" s="13" t="s">
        <v>1416</v>
      </c>
      <c r="D173" s="13" t="s">
        <v>59</v>
      </c>
      <c r="E173" s="13" t="s">
        <v>742</v>
      </c>
      <c r="F173" s="13" t="s">
        <v>743</v>
      </c>
      <c r="G173" s="63" t="n">
        <v>3268826531</v>
      </c>
      <c r="H173" s="13" t="s">
        <v>1417</v>
      </c>
      <c r="I173" s="13"/>
      <c r="J173" s="13" t="s">
        <v>1440</v>
      </c>
      <c r="K173" s="13" t="s">
        <v>1419</v>
      </c>
      <c r="L173" s="13" t="s">
        <v>1420</v>
      </c>
      <c r="M173" s="13"/>
    </row>
    <row r="174" customFormat="false" ht="15" hidden="false" customHeight="false" outlineLevel="0" collapsed="false">
      <c r="A174" s="13" t="s">
        <v>608</v>
      </c>
      <c r="B174" s="13" t="s">
        <v>607</v>
      </c>
      <c r="C174" s="13" t="s">
        <v>1421</v>
      </c>
      <c r="D174" s="13" t="s">
        <v>59</v>
      </c>
      <c r="E174" s="13" t="s">
        <v>742</v>
      </c>
      <c r="F174" s="13" t="s">
        <v>743</v>
      </c>
      <c r="G174" s="63" t="n">
        <v>3377073718</v>
      </c>
      <c r="H174" s="13" t="s">
        <v>1417</v>
      </c>
      <c r="I174" s="13"/>
      <c r="J174" s="13" t="s">
        <v>1440</v>
      </c>
      <c r="K174" s="13" t="s">
        <v>1422</v>
      </c>
      <c r="L174" s="13" t="s">
        <v>1420</v>
      </c>
      <c r="M174" s="13"/>
    </row>
    <row r="175" customFormat="false" ht="15" hidden="false" customHeight="false" outlineLevel="0" collapsed="false">
      <c r="A175" s="13" t="s">
        <v>608</v>
      </c>
      <c r="B175" s="13" t="s">
        <v>607</v>
      </c>
      <c r="C175" s="13" t="s">
        <v>1423</v>
      </c>
      <c r="D175" s="13" t="s">
        <v>59</v>
      </c>
      <c r="E175" s="13" t="s">
        <v>742</v>
      </c>
      <c r="F175" s="13" t="s">
        <v>743</v>
      </c>
      <c r="G175" s="63" t="n">
        <v>3733825590</v>
      </c>
      <c r="H175" s="13" t="s">
        <v>1417</v>
      </c>
      <c r="I175" s="13"/>
      <c r="J175" s="13" t="s">
        <v>1441</v>
      </c>
      <c r="K175" s="13" t="s">
        <v>1425</v>
      </c>
      <c r="L175" s="13" t="s">
        <v>1426</v>
      </c>
      <c r="M175" s="13"/>
    </row>
    <row r="176" customFormat="false" ht="15" hidden="false" customHeight="false" outlineLevel="0" collapsed="false">
      <c r="A176" s="13" t="s">
        <v>608</v>
      </c>
      <c r="B176" s="13" t="s">
        <v>607</v>
      </c>
      <c r="C176" s="13" t="s">
        <v>1427</v>
      </c>
      <c r="D176" s="13" t="s">
        <v>59</v>
      </c>
      <c r="E176" s="13" t="s">
        <v>742</v>
      </c>
      <c r="F176" s="13" t="s">
        <v>743</v>
      </c>
      <c r="G176" s="63" t="n">
        <v>4029438145</v>
      </c>
      <c r="H176" s="13" t="s">
        <v>1417</v>
      </c>
      <c r="I176" s="13"/>
      <c r="J176" s="13" t="s">
        <v>1441</v>
      </c>
      <c r="K176" s="13" t="s">
        <v>619</v>
      </c>
      <c r="L176" s="13" t="s">
        <v>1420</v>
      </c>
      <c r="M176" s="13"/>
    </row>
    <row r="177" customFormat="false" ht="15" hidden="false" customHeight="false" outlineLevel="0" collapsed="false">
      <c r="A177" s="13" t="s">
        <v>608</v>
      </c>
      <c r="B177" s="13" t="s">
        <v>607</v>
      </c>
      <c r="C177" s="13" t="s">
        <v>1416</v>
      </c>
      <c r="D177" s="13" t="s">
        <v>59</v>
      </c>
      <c r="E177" s="13" t="s">
        <v>747</v>
      </c>
      <c r="F177" s="13" t="s">
        <v>748</v>
      </c>
      <c r="G177" s="63" t="n">
        <v>0</v>
      </c>
      <c r="H177" s="13" t="s">
        <v>1417</v>
      </c>
      <c r="I177" s="13"/>
      <c r="J177" s="13"/>
      <c r="K177" s="13" t="s">
        <v>1419</v>
      </c>
      <c r="L177" s="13" t="s">
        <v>1420</v>
      </c>
      <c r="M177" s="13"/>
    </row>
    <row r="178" customFormat="false" ht="15" hidden="false" customHeight="false" outlineLevel="0" collapsed="false">
      <c r="A178" s="13" t="s">
        <v>608</v>
      </c>
      <c r="B178" s="13" t="s">
        <v>607</v>
      </c>
      <c r="C178" s="13" t="s">
        <v>1421</v>
      </c>
      <c r="D178" s="13" t="s">
        <v>59</v>
      </c>
      <c r="E178" s="13" t="s">
        <v>747</v>
      </c>
      <c r="F178" s="13" t="s">
        <v>748</v>
      </c>
      <c r="G178" s="63" t="n">
        <v>0</v>
      </c>
      <c r="H178" s="13" t="s">
        <v>1417</v>
      </c>
      <c r="I178" s="13"/>
      <c r="J178" s="13"/>
      <c r="K178" s="13" t="s">
        <v>1422</v>
      </c>
      <c r="L178" s="13" t="s">
        <v>1420</v>
      </c>
      <c r="M178" s="13"/>
    </row>
    <row r="179" customFormat="false" ht="15" hidden="false" customHeight="false" outlineLevel="0" collapsed="false">
      <c r="A179" s="13" t="s">
        <v>608</v>
      </c>
      <c r="B179" s="13" t="s">
        <v>607</v>
      </c>
      <c r="C179" s="13" t="s">
        <v>1423</v>
      </c>
      <c r="D179" s="13" t="s">
        <v>59</v>
      </c>
      <c r="E179" s="13" t="s">
        <v>747</v>
      </c>
      <c r="F179" s="13" t="s">
        <v>748</v>
      </c>
      <c r="G179" s="63" t="n">
        <v>323045319</v>
      </c>
      <c r="H179" s="13" t="s">
        <v>1417</v>
      </c>
      <c r="I179" s="13"/>
      <c r="J179" s="13" t="s">
        <v>1441</v>
      </c>
      <c r="K179" s="13" t="s">
        <v>1425</v>
      </c>
      <c r="L179" s="13" t="s">
        <v>1426</v>
      </c>
      <c r="M179" s="13"/>
    </row>
    <row r="180" customFormat="false" ht="15" hidden="false" customHeight="false" outlineLevel="0" collapsed="false">
      <c r="A180" s="13" t="s">
        <v>608</v>
      </c>
      <c r="B180" s="13" t="s">
        <v>607</v>
      </c>
      <c r="C180" s="13" t="s">
        <v>1427</v>
      </c>
      <c r="D180" s="13" t="s">
        <v>59</v>
      </c>
      <c r="E180" s="13" t="s">
        <v>747</v>
      </c>
      <c r="F180" s="13" t="s">
        <v>748</v>
      </c>
      <c r="G180" s="63" t="n">
        <v>23480000000</v>
      </c>
      <c r="H180" s="13" t="s">
        <v>1417</v>
      </c>
      <c r="I180" s="13"/>
      <c r="J180" s="13" t="s">
        <v>1441</v>
      </c>
      <c r="K180" s="13" t="s">
        <v>619</v>
      </c>
      <c r="L180" s="13" t="s">
        <v>1420</v>
      </c>
      <c r="M180" s="13"/>
    </row>
    <row r="181" customFormat="false" ht="15" hidden="false" customHeight="false" outlineLevel="0" collapsed="false">
      <c r="A181" s="13" t="s">
        <v>608</v>
      </c>
      <c r="B181" s="13" t="s">
        <v>607</v>
      </c>
      <c r="C181" s="13" t="s">
        <v>1416</v>
      </c>
      <c r="D181" s="13" t="s">
        <v>59</v>
      </c>
      <c r="E181" s="13" t="s">
        <v>750</v>
      </c>
      <c r="F181" s="13" t="s">
        <v>751</v>
      </c>
      <c r="G181" s="63" t="n">
        <v>66252356120</v>
      </c>
      <c r="H181" s="13" t="s">
        <v>1417</v>
      </c>
      <c r="I181" s="13"/>
      <c r="J181" s="13" t="s">
        <v>1440</v>
      </c>
      <c r="K181" s="13" t="s">
        <v>1419</v>
      </c>
      <c r="L181" s="13" t="s">
        <v>1420</v>
      </c>
      <c r="M181" s="13"/>
    </row>
    <row r="182" customFormat="false" ht="15" hidden="false" customHeight="false" outlineLevel="0" collapsed="false">
      <c r="A182" s="13" t="s">
        <v>608</v>
      </c>
      <c r="B182" s="13" t="s">
        <v>607</v>
      </c>
      <c r="C182" s="13" t="s">
        <v>1421</v>
      </c>
      <c r="D182" s="13" t="s">
        <v>59</v>
      </c>
      <c r="E182" s="13" t="s">
        <v>750</v>
      </c>
      <c r="F182" s="13" t="s">
        <v>751</v>
      </c>
      <c r="G182" s="63" t="n">
        <v>117418739194</v>
      </c>
      <c r="H182" s="13" t="s">
        <v>1417</v>
      </c>
      <c r="I182" s="13"/>
      <c r="J182" s="13" t="s">
        <v>1440</v>
      </c>
      <c r="K182" s="13" t="s">
        <v>1422</v>
      </c>
      <c r="L182" s="13" t="s">
        <v>1420</v>
      </c>
      <c r="M182" s="13"/>
    </row>
    <row r="183" customFormat="false" ht="15" hidden="false" customHeight="false" outlineLevel="0" collapsed="false">
      <c r="A183" s="13" t="s">
        <v>608</v>
      </c>
      <c r="B183" s="13" t="s">
        <v>607</v>
      </c>
      <c r="C183" s="13" t="s">
        <v>1423</v>
      </c>
      <c r="D183" s="13" t="s">
        <v>59</v>
      </c>
      <c r="E183" s="13" t="s">
        <v>750</v>
      </c>
      <c r="F183" s="13" t="s">
        <v>751</v>
      </c>
      <c r="G183" s="63" t="n">
        <v>132385666764</v>
      </c>
      <c r="H183" s="13" t="s">
        <v>1417</v>
      </c>
      <c r="I183" s="13"/>
      <c r="J183" s="13" t="s">
        <v>1441</v>
      </c>
      <c r="K183" s="13" t="s">
        <v>1425</v>
      </c>
      <c r="L183" s="13" t="s">
        <v>1426</v>
      </c>
      <c r="M183" s="13"/>
    </row>
    <row r="184" customFormat="false" ht="15" hidden="false" customHeight="false" outlineLevel="0" collapsed="false">
      <c r="A184" s="13" t="s">
        <v>608</v>
      </c>
      <c r="B184" s="13" t="s">
        <v>607</v>
      </c>
      <c r="C184" s="13" t="s">
        <v>1427</v>
      </c>
      <c r="D184" s="13" t="s">
        <v>59</v>
      </c>
      <c r="E184" s="13" t="s">
        <v>750</v>
      </c>
      <c r="F184" s="13" t="s">
        <v>751</v>
      </c>
      <c r="G184" s="63" t="n">
        <v>127921073027</v>
      </c>
      <c r="H184" s="13" t="s">
        <v>1417</v>
      </c>
      <c r="I184" s="13"/>
      <c r="J184" s="13" t="s">
        <v>1441</v>
      </c>
      <c r="K184" s="13" t="s">
        <v>619</v>
      </c>
      <c r="L184" s="13" t="s">
        <v>1420</v>
      </c>
      <c r="M184" s="13"/>
    </row>
    <row r="185" customFormat="false" ht="15" hidden="false" customHeight="false" outlineLevel="0" collapsed="false">
      <c r="A185" s="13" t="s">
        <v>608</v>
      </c>
      <c r="B185" s="13" t="s">
        <v>607</v>
      </c>
      <c r="C185" s="13" t="s">
        <v>1416</v>
      </c>
      <c r="D185" s="13" t="s">
        <v>59</v>
      </c>
      <c r="E185" s="13" t="s">
        <v>753</v>
      </c>
      <c r="F185" s="13" t="s">
        <v>754</v>
      </c>
      <c r="G185" s="63" t="n">
        <v>0</v>
      </c>
      <c r="H185" s="13" t="s">
        <v>1417</v>
      </c>
      <c r="I185" s="13"/>
      <c r="J185" s="13" t="s">
        <v>1440</v>
      </c>
      <c r="K185" s="13" t="s">
        <v>1419</v>
      </c>
      <c r="L185" s="13" t="s">
        <v>1420</v>
      </c>
      <c r="M185" s="13"/>
    </row>
    <row r="186" customFormat="false" ht="15" hidden="false" customHeight="false" outlineLevel="0" collapsed="false">
      <c r="A186" s="13" t="s">
        <v>608</v>
      </c>
      <c r="B186" s="13" t="s">
        <v>607</v>
      </c>
      <c r="C186" s="13" t="s">
        <v>1421</v>
      </c>
      <c r="D186" s="13" t="s">
        <v>59</v>
      </c>
      <c r="E186" s="13" t="s">
        <v>753</v>
      </c>
      <c r="F186" s="13" t="s">
        <v>754</v>
      </c>
      <c r="G186" s="63" t="n">
        <v>0</v>
      </c>
      <c r="H186" s="13" t="s">
        <v>1417</v>
      </c>
      <c r="I186" s="13"/>
      <c r="J186" s="13" t="s">
        <v>1440</v>
      </c>
      <c r="K186" s="13" t="s">
        <v>1422</v>
      </c>
      <c r="L186" s="13" t="s">
        <v>1420</v>
      </c>
      <c r="M186" s="13"/>
    </row>
    <row r="187" customFormat="false" ht="15" hidden="false" customHeight="false" outlineLevel="0" collapsed="false">
      <c r="A187" s="13" t="s">
        <v>608</v>
      </c>
      <c r="B187" s="13" t="s">
        <v>607</v>
      </c>
      <c r="C187" s="13" t="s">
        <v>1423</v>
      </c>
      <c r="D187" s="13" t="s">
        <v>59</v>
      </c>
      <c r="E187" s="13" t="s">
        <v>753</v>
      </c>
      <c r="F187" s="13" t="s">
        <v>754</v>
      </c>
      <c r="G187" s="63" t="n">
        <v>4142708331</v>
      </c>
      <c r="H187" s="13" t="s">
        <v>1417</v>
      </c>
      <c r="I187" s="13"/>
      <c r="J187" s="13" t="s">
        <v>1441</v>
      </c>
      <c r="K187" s="13" t="s">
        <v>1425</v>
      </c>
      <c r="L187" s="13" t="s">
        <v>1426</v>
      </c>
      <c r="M187" s="13"/>
    </row>
    <row r="188" customFormat="false" ht="15" hidden="false" customHeight="false" outlineLevel="0" collapsed="false">
      <c r="A188" s="13" t="s">
        <v>608</v>
      </c>
      <c r="B188" s="13" t="s">
        <v>607</v>
      </c>
      <c r="C188" s="13" t="s">
        <v>1427</v>
      </c>
      <c r="D188" s="13" t="s">
        <v>59</v>
      </c>
      <c r="E188" s="13" t="s">
        <v>753</v>
      </c>
      <c r="F188" s="13" t="s">
        <v>754</v>
      </c>
      <c r="G188" s="63" t="n">
        <v>3890104167</v>
      </c>
      <c r="H188" s="13" t="s">
        <v>1417</v>
      </c>
      <c r="I188" s="13"/>
      <c r="J188" s="13" t="s">
        <v>1441</v>
      </c>
      <c r="K188" s="13" t="s">
        <v>619</v>
      </c>
      <c r="L188" s="13" t="s">
        <v>1420</v>
      </c>
      <c r="M188" s="13"/>
    </row>
    <row r="189" customFormat="false" ht="15" hidden="false" customHeight="false" outlineLevel="0" collapsed="false">
      <c r="A189" s="13" t="s">
        <v>608</v>
      </c>
      <c r="B189" s="13" t="s">
        <v>607</v>
      </c>
      <c r="C189" s="13" t="s">
        <v>1416</v>
      </c>
      <c r="D189" s="13" t="s">
        <v>59</v>
      </c>
      <c r="E189" s="13" t="s">
        <v>756</v>
      </c>
      <c r="F189" s="13" t="s">
        <v>757</v>
      </c>
      <c r="G189" s="63" t="n">
        <v>0</v>
      </c>
      <c r="H189" s="13" t="s">
        <v>1417</v>
      </c>
      <c r="I189" s="13"/>
      <c r="J189" s="13" t="s">
        <v>1440</v>
      </c>
      <c r="K189" s="13" t="s">
        <v>1419</v>
      </c>
      <c r="L189" s="13" t="s">
        <v>1420</v>
      </c>
      <c r="M189" s="13"/>
    </row>
    <row r="190" customFormat="false" ht="15" hidden="false" customHeight="false" outlineLevel="0" collapsed="false">
      <c r="A190" s="13" t="s">
        <v>608</v>
      </c>
      <c r="B190" s="13" t="s">
        <v>607</v>
      </c>
      <c r="C190" s="13" t="s">
        <v>1421</v>
      </c>
      <c r="D190" s="13" t="s">
        <v>59</v>
      </c>
      <c r="E190" s="13" t="s">
        <v>756</v>
      </c>
      <c r="F190" s="13" t="s">
        <v>757</v>
      </c>
      <c r="G190" s="63" t="n">
        <v>14040900000</v>
      </c>
      <c r="H190" s="13" t="s">
        <v>1417</v>
      </c>
      <c r="I190" s="13"/>
      <c r="J190" s="13" t="s">
        <v>1440</v>
      </c>
      <c r="K190" s="13" t="s">
        <v>1422</v>
      </c>
      <c r="L190" s="13" t="s">
        <v>1420</v>
      </c>
      <c r="M190" s="13"/>
    </row>
    <row r="191" customFormat="false" ht="15" hidden="false" customHeight="false" outlineLevel="0" collapsed="false">
      <c r="A191" s="13" t="s">
        <v>608</v>
      </c>
      <c r="B191" s="13" t="s">
        <v>607</v>
      </c>
      <c r="C191" s="13" t="s">
        <v>1423</v>
      </c>
      <c r="D191" s="13" t="s">
        <v>59</v>
      </c>
      <c r="E191" s="13" t="s">
        <v>756</v>
      </c>
      <c r="F191" s="13" t="s">
        <v>757</v>
      </c>
      <c r="G191" s="63" t="n">
        <v>14040900000</v>
      </c>
      <c r="H191" s="13" t="s">
        <v>1417</v>
      </c>
      <c r="I191" s="13"/>
      <c r="J191" s="13" t="s">
        <v>1441</v>
      </c>
      <c r="K191" s="13" t="s">
        <v>1425</v>
      </c>
      <c r="L191" s="13" t="s">
        <v>1426</v>
      </c>
      <c r="M191" s="13"/>
    </row>
    <row r="192" customFormat="false" ht="15" hidden="false" customHeight="false" outlineLevel="0" collapsed="false">
      <c r="A192" s="13" t="s">
        <v>608</v>
      </c>
      <c r="B192" s="13" t="s">
        <v>607</v>
      </c>
      <c r="C192" s="13" t="s">
        <v>1427</v>
      </c>
      <c r="D192" s="13" t="s">
        <v>59</v>
      </c>
      <c r="E192" s="13" t="s">
        <v>756</v>
      </c>
      <c r="F192" s="13" t="s">
        <v>757</v>
      </c>
      <c r="G192" s="63" t="n">
        <v>14502013517</v>
      </c>
      <c r="H192" s="13" t="s">
        <v>1417</v>
      </c>
      <c r="I192" s="13"/>
      <c r="J192" s="13" t="s">
        <v>1441</v>
      </c>
      <c r="K192" s="13" t="s">
        <v>619</v>
      </c>
      <c r="L192" s="13" t="s">
        <v>1420</v>
      </c>
      <c r="M192" s="13"/>
    </row>
    <row r="193" customFormat="false" ht="15" hidden="false" customHeight="false" outlineLevel="0" collapsed="false">
      <c r="A193" s="13" t="s">
        <v>608</v>
      </c>
      <c r="B193" s="13" t="s">
        <v>607</v>
      </c>
      <c r="C193" s="13" t="s">
        <v>1416</v>
      </c>
      <c r="D193" s="13" t="s">
        <v>59</v>
      </c>
      <c r="E193" s="13" t="s">
        <v>759</v>
      </c>
      <c r="F193" s="13" t="s">
        <v>760</v>
      </c>
      <c r="G193" s="63" t="n">
        <v>14855847650</v>
      </c>
      <c r="H193" s="13" t="s">
        <v>1417</v>
      </c>
      <c r="I193" s="13"/>
      <c r="J193" s="13" t="s">
        <v>1443</v>
      </c>
      <c r="K193" s="13" t="s">
        <v>1419</v>
      </c>
      <c r="L193" s="13" t="s">
        <v>1420</v>
      </c>
      <c r="M193" s="13"/>
    </row>
    <row r="194" customFormat="false" ht="15" hidden="false" customHeight="false" outlineLevel="0" collapsed="false">
      <c r="A194" s="13" t="s">
        <v>608</v>
      </c>
      <c r="B194" s="13" t="s">
        <v>607</v>
      </c>
      <c r="C194" s="13" t="s">
        <v>1421</v>
      </c>
      <c r="D194" s="13" t="s">
        <v>59</v>
      </c>
      <c r="E194" s="13" t="s">
        <v>759</v>
      </c>
      <c r="F194" s="13" t="s">
        <v>760</v>
      </c>
      <c r="G194" s="63" t="n">
        <v>107933153871</v>
      </c>
      <c r="H194" s="13" t="s">
        <v>1417</v>
      </c>
      <c r="I194" s="13"/>
      <c r="J194" s="13" t="s">
        <v>1443</v>
      </c>
      <c r="K194" s="13" t="s">
        <v>1422</v>
      </c>
      <c r="L194" s="13" t="s">
        <v>1420</v>
      </c>
      <c r="M194" s="13"/>
    </row>
    <row r="195" customFormat="false" ht="15" hidden="false" customHeight="false" outlineLevel="0" collapsed="false">
      <c r="A195" s="13" t="s">
        <v>608</v>
      </c>
      <c r="B195" s="13" t="s">
        <v>607</v>
      </c>
      <c r="C195" s="13" t="s">
        <v>1423</v>
      </c>
      <c r="D195" s="13" t="s">
        <v>59</v>
      </c>
      <c r="E195" s="13" t="s">
        <v>759</v>
      </c>
      <c r="F195" s="13" t="s">
        <v>760</v>
      </c>
      <c r="G195" s="63" t="n">
        <v>78381566804</v>
      </c>
      <c r="H195" s="13" t="s">
        <v>1417</v>
      </c>
      <c r="I195" s="13"/>
      <c r="J195" s="13" t="s">
        <v>1441</v>
      </c>
      <c r="K195" s="13" t="s">
        <v>1425</v>
      </c>
      <c r="L195" s="13" t="s">
        <v>1426</v>
      </c>
      <c r="M195" s="13"/>
    </row>
    <row r="196" customFormat="false" ht="15" hidden="false" customHeight="false" outlineLevel="0" collapsed="false">
      <c r="A196" s="13" t="s">
        <v>608</v>
      </c>
      <c r="B196" s="13" t="s">
        <v>607</v>
      </c>
      <c r="C196" s="13" t="s">
        <v>1427</v>
      </c>
      <c r="D196" s="13" t="s">
        <v>59</v>
      </c>
      <c r="E196" s="13" t="s">
        <v>759</v>
      </c>
      <c r="F196" s="13" t="s">
        <v>760</v>
      </c>
      <c r="G196" s="63" t="n">
        <v>117045389015</v>
      </c>
      <c r="H196" s="13" t="s">
        <v>1417</v>
      </c>
      <c r="I196" s="13"/>
      <c r="J196" s="13" t="s">
        <v>1441</v>
      </c>
      <c r="K196" s="13" t="s">
        <v>619</v>
      </c>
      <c r="L196" s="13" t="s">
        <v>1420</v>
      </c>
      <c r="M196" s="13"/>
    </row>
    <row r="197" customFormat="false" ht="15" hidden="false" customHeight="false" outlineLevel="0" collapsed="false">
      <c r="A197" s="13" t="s">
        <v>608</v>
      </c>
      <c r="B197" s="13" t="s">
        <v>607</v>
      </c>
      <c r="C197" s="13" t="s">
        <v>1416</v>
      </c>
      <c r="D197" s="13" t="s">
        <v>59</v>
      </c>
      <c r="E197" s="13" t="s">
        <v>762</v>
      </c>
      <c r="F197" s="13" t="s">
        <v>763</v>
      </c>
      <c r="G197" s="63" t="n">
        <v>30000000000</v>
      </c>
      <c r="H197" s="13" t="s">
        <v>1417</v>
      </c>
      <c r="I197" s="13"/>
      <c r="J197" s="13" t="s">
        <v>1444</v>
      </c>
      <c r="K197" s="13" t="s">
        <v>1419</v>
      </c>
      <c r="L197" s="13" t="s">
        <v>1420</v>
      </c>
      <c r="M197" s="13"/>
    </row>
    <row r="198" customFormat="false" ht="15" hidden="false" customHeight="false" outlineLevel="0" collapsed="false">
      <c r="A198" s="13" t="s">
        <v>608</v>
      </c>
      <c r="B198" s="13" t="s">
        <v>607</v>
      </c>
      <c r="C198" s="13" t="s">
        <v>1421</v>
      </c>
      <c r="D198" s="13" t="s">
        <v>59</v>
      </c>
      <c r="E198" s="13" t="s">
        <v>762</v>
      </c>
      <c r="F198" s="13" t="s">
        <v>763</v>
      </c>
      <c r="G198" s="63" t="n">
        <v>30000000000</v>
      </c>
      <c r="H198" s="13" t="s">
        <v>1417</v>
      </c>
      <c r="I198" s="13"/>
      <c r="J198" s="13" t="s">
        <v>1444</v>
      </c>
      <c r="K198" s="13" t="s">
        <v>1422</v>
      </c>
      <c r="L198" s="13" t="s">
        <v>1420</v>
      </c>
      <c r="M198" s="13"/>
    </row>
    <row r="199" customFormat="false" ht="15" hidden="false" customHeight="false" outlineLevel="0" collapsed="false">
      <c r="A199" s="13" t="s">
        <v>608</v>
      </c>
      <c r="B199" s="13" t="s">
        <v>607</v>
      </c>
      <c r="C199" s="13" t="s">
        <v>1423</v>
      </c>
      <c r="D199" s="13" t="s">
        <v>59</v>
      </c>
      <c r="E199" s="13" t="s">
        <v>762</v>
      </c>
      <c r="F199" s="13" t="s">
        <v>763</v>
      </c>
      <c r="G199" s="63" t="n">
        <v>0</v>
      </c>
      <c r="H199" s="13" t="s">
        <v>1417</v>
      </c>
      <c r="I199" s="13"/>
      <c r="J199" s="13" t="s">
        <v>1441</v>
      </c>
      <c r="K199" s="13" t="s">
        <v>1425</v>
      </c>
      <c r="L199" s="13" t="s">
        <v>1426</v>
      </c>
      <c r="M199" s="13"/>
    </row>
    <row r="200" customFormat="false" ht="15" hidden="false" customHeight="false" outlineLevel="0" collapsed="false">
      <c r="A200" s="13" t="s">
        <v>608</v>
      </c>
      <c r="B200" s="13" t="s">
        <v>607</v>
      </c>
      <c r="C200" s="13" t="s">
        <v>1427</v>
      </c>
      <c r="D200" s="13" t="s">
        <v>59</v>
      </c>
      <c r="E200" s="13" t="s">
        <v>762</v>
      </c>
      <c r="F200" s="13" t="s">
        <v>763</v>
      </c>
      <c r="G200" s="63" t="n">
        <v>0</v>
      </c>
      <c r="H200" s="13" t="s">
        <v>1417</v>
      </c>
      <c r="I200" s="13"/>
      <c r="J200" s="13" t="s">
        <v>1441</v>
      </c>
      <c r="K200" s="13" t="s">
        <v>619</v>
      </c>
      <c r="L200" s="13" t="s">
        <v>1420</v>
      </c>
      <c r="M200" s="13"/>
    </row>
    <row r="201" customFormat="false" ht="15" hidden="false" customHeight="false" outlineLevel="0" collapsed="false">
      <c r="A201" s="13" t="s">
        <v>608</v>
      </c>
      <c r="B201" s="13" t="s">
        <v>607</v>
      </c>
      <c r="C201" s="13" t="s">
        <v>1416</v>
      </c>
      <c r="D201" s="13" t="s">
        <v>59</v>
      </c>
      <c r="E201" s="13" t="s">
        <v>765</v>
      </c>
      <c r="F201" s="13" t="s">
        <v>409</v>
      </c>
      <c r="G201" s="63" t="n">
        <v>114377030301</v>
      </c>
      <c r="H201" s="13" t="s">
        <v>1417</v>
      </c>
      <c r="I201" s="13"/>
      <c r="J201" s="13"/>
      <c r="K201" s="13" t="s">
        <v>1419</v>
      </c>
      <c r="L201" s="13" t="s">
        <v>1420</v>
      </c>
      <c r="M201" s="13" t="s">
        <v>1428</v>
      </c>
    </row>
    <row r="202" customFormat="false" ht="15" hidden="false" customHeight="false" outlineLevel="0" collapsed="false">
      <c r="A202" s="13" t="s">
        <v>608</v>
      </c>
      <c r="B202" s="13" t="s">
        <v>607</v>
      </c>
      <c r="C202" s="13" t="s">
        <v>1421</v>
      </c>
      <c r="D202" s="13" t="s">
        <v>59</v>
      </c>
      <c r="E202" s="13" t="s">
        <v>765</v>
      </c>
      <c r="F202" s="13" t="s">
        <v>409</v>
      </c>
      <c r="G202" s="63" t="n">
        <v>272769866783</v>
      </c>
      <c r="H202" s="13" t="s">
        <v>1417</v>
      </c>
      <c r="I202" s="13"/>
      <c r="J202" s="13"/>
      <c r="K202" s="13" t="s">
        <v>1422</v>
      </c>
      <c r="L202" s="13" t="s">
        <v>1420</v>
      </c>
      <c r="M202" s="13" t="s">
        <v>1428</v>
      </c>
    </row>
    <row r="203" customFormat="false" ht="15" hidden="false" customHeight="false" outlineLevel="0" collapsed="false">
      <c r="A203" s="13" t="s">
        <v>608</v>
      </c>
      <c r="B203" s="13" t="s">
        <v>607</v>
      </c>
      <c r="C203" s="13" t="s">
        <v>1423</v>
      </c>
      <c r="D203" s="13" t="s">
        <v>59</v>
      </c>
      <c r="E203" s="13" t="s">
        <v>765</v>
      </c>
      <c r="F203" s="13" t="s">
        <v>409</v>
      </c>
      <c r="G203" s="63" t="n">
        <v>233007712808</v>
      </c>
      <c r="H203" s="13" t="s">
        <v>1417</v>
      </c>
      <c r="I203" s="13"/>
      <c r="J203" s="13"/>
      <c r="K203" s="13" t="s">
        <v>1425</v>
      </c>
      <c r="L203" s="13" t="s">
        <v>1426</v>
      </c>
      <c r="M203" s="13" t="s">
        <v>1428</v>
      </c>
    </row>
    <row r="204" customFormat="false" ht="15" hidden="false" customHeight="false" outlineLevel="0" collapsed="false">
      <c r="A204" s="13" t="s">
        <v>608</v>
      </c>
      <c r="B204" s="13" t="s">
        <v>607</v>
      </c>
      <c r="C204" s="13" t="s">
        <v>1427</v>
      </c>
      <c r="D204" s="13" t="s">
        <v>59</v>
      </c>
      <c r="E204" s="13" t="s">
        <v>765</v>
      </c>
      <c r="F204" s="13" t="s">
        <v>409</v>
      </c>
      <c r="G204" s="63" t="n">
        <v>290868017871</v>
      </c>
      <c r="H204" s="13" t="s">
        <v>1417</v>
      </c>
      <c r="I204" s="13"/>
      <c r="J204" s="13"/>
      <c r="K204" s="13" t="s">
        <v>619</v>
      </c>
      <c r="L204" s="13" t="s">
        <v>1420</v>
      </c>
      <c r="M204" s="13" t="s">
        <v>1428</v>
      </c>
    </row>
    <row r="205" customFormat="false" ht="15" hidden="false" customHeight="false" outlineLevel="0" collapsed="false">
      <c r="A205" s="13" t="s">
        <v>608</v>
      </c>
      <c r="B205" s="13" t="s">
        <v>607</v>
      </c>
      <c r="C205" s="13" t="s">
        <v>1416</v>
      </c>
      <c r="D205" s="13" t="s">
        <v>59</v>
      </c>
      <c r="E205" s="13" t="s">
        <v>766</v>
      </c>
      <c r="F205" s="13" t="s">
        <v>411</v>
      </c>
      <c r="G205" s="63" t="n">
        <v>159993389251</v>
      </c>
      <c r="H205" s="13" t="s">
        <v>1417</v>
      </c>
      <c r="I205" s="13"/>
      <c r="J205" s="13"/>
      <c r="K205" s="13" t="s">
        <v>1419</v>
      </c>
      <c r="L205" s="13" t="s">
        <v>1420</v>
      </c>
      <c r="M205" s="13" t="s">
        <v>1428</v>
      </c>
    </row>
    <row r="206" customFormat="false" ht="15" hidden="false" customHeight="false" outlineLevel="0" collapsed="false">
      <c r="A206" s="13" t="s">
        <v>608</v>
      </c>
      <c r="B206" s="13" t="s">
        <v>607</v>
      </c>
      <c r="C206" s="13" t="s">
        <v>1421</v>
      </c>
      <c r="D206" s="13" t="s">
        <v>59</v>
      </c>
      <c r="E206" s="13" t="s">
        <v>766</v>
      </c>
      <c r="F206" s="13" t="s">
        <v>411</v>
      </c>
      <c r="G206" s="63" t="n">
        <v>300669892837</v>
      </c>
      <c r="H206" s="13" t="s">
        <v>1417</v>
      </c>
      <c r="I206" s="13"/>
      <c r="J206" s="13"/>
      <c r="K206" s="13" t="s">
        <v>1422</v>
      </c>
      <c r="L206" s="13" t="s">
        <v>1420</v>
      </c>
      <c r="M206" s="13" t="s">
        <v>1428</v>
      </c>
    </row>
    <row r="207" customFormat="false" ht="15" hidden="false" customHeight="false" outlineLevel="0" collapsed="false">
      <c r="A207" s="13" t="s">
        <v>608</v>
      </c>
      <c r="B207" s="13" t="s">
        <v>607</v>
      </c>
      <c r="C207" s="13" t="s">
        <v>1423</v>
      </c>
      <c r="D207" s="13" t="s">
        <v>59</v>
      </c>
      <c r="E207" s="13" t="s">
        <v>766</v>
      </c>
      <c r="F207" s="13" t="s">
        <v>411</v>
      </c>
      <c r="G207" s="63" t="n">
        <v>268100239912</v>
      </c>
      <c r="H207" s="13" t="s">
        <v>1417</v>
      </c>
      <c r="I207" s="13"/>
      <c r="J207" s="13"/>
      <c r="K207" s="13" t="s">
        <v>1425</v>
      </c>
      <c r="L207" s="13" t="s">
        <v>1426</v>
      </c>
      <c r="M207" s="13" t="s">
        <v>1428</v>
      </c>
    </row>
    <row r="208" customFormat="false" ht="15" hidden="false" customHeight="false" outlineLevel="0" collapsed="false">
      <c r="A208" s="13" t="s">
        <v>608</v>
      </c>
      <c r="B208" s="13" t="s">
        <v>607</v>
      </c>
      <c r="C208" s="13" t="s">
        <v>1427</v>
      </c>
      <c r="D208" s="13" t="s">
        <v>59</v>
      </c>
      <c r="E208" s="13" t="s">
        <v>766</v>
      </c>
      <c r="F208" s="13" t="s">
        <v>411</v>
      </c>
      <c r="G208" s="63" t="n">
        <v>330212870495</v>
      </c>
      <c r="H208" s="13" t="s">
        <v>1417</v>
      </c>
      <c r="I208" s="13"/>
      <c r="J208" s="13"/>
      <c r="K208" s="13" t="s">
        <v>619</v>
      </c>
      <c r="L208" s="13" t="s">
        <v>1420</v>
      </c>
      <c r="M208" s="13" t="s">
        <v>1428</v>
      </c>
    </row>
    <row r="209" customFormat="false" ht="15" hidden="false" customHeight="false" outlineLevel="0" collapsed="false">
      <c r="A209" s="13" t="s">
        <v>608</v>
      </c>
      <c r="B209" s="13" t="s">
        <v>607</v>
      </c>
      <c r="C209" s="13" t="s">
        <v>1416</v>
      </c>
      <c r="D209" s="13" t="s">
        <v>59</v>
      </c>
      <c r="E209" s="13" t="s">
        <v>767</v>
      </c>
      <c r="F209" s="13" t="s">
        <v>768</v>
      </c>
      <c r="G209" s="63" t="n">
        <v>6988804035</v>
      </c>
      <c r="H209" s="13" t="s">
        <v>1417</v>
      </c>
      <c r="I209" s="13"/>
      <c r="J209" s="13" t="s">
        <v>1440</v>
      </c>
      <c r="K209" s="13" t="s">
        <v>1419</v>
      </c>
      <c r="L209" s="13" t="s">
        <v>1420</v>
      </c>
      <c r="M209" s="13"/>
    </row>
    <row r="210" customFormat="false" ht="15" hidden="false" customHeight="false" outlineLevel="0" collapsed="false">
      <c r="A210" s="13" t="s">
        <v>608</v>
      </c>
      <c r="B210" s="13" t="s">
        <v>607</v>
      </c>
      <c r="C210" s="13" t="s">
        <v>1421</v>
      </c>
      <c r="D210" s="13" t="s">
        <v>59</v>
      </c>
      <c r="E210" s="13" t="s">
        <v>767</v>
      </c>
      <c r="F210" s="13" t="s">
        <v>768</v>
      </c>
      <c r="G210" s="63" t="n">
        <v>9988984035</v>
      </c>
      <c r="H210" s="13" t="s">
        <v>1417</v>
      </c>
      <c r="I210" s="13"/>
      <c r="J210" s="13" t="s">
        <v>1440</v>
      </c>
      <c r="K210" s="13" t="s">
        <v>1422</v>
      </c>
      <c r="L210" s="13" t="s">
        <v>1420</v>
      </c>
      <c r="M210" s="13"/>
    </row>
    <row r="211" customFormat="false" ht="15" hidden="false" customHeight="false" outlineLevel="0" collapsed="false">
      <c r="A211" s="13" t="s">
        <v>608</v>
      </c>
      <c r="B211" s="13" t="s">
        <v>607</v>
      </c>
      <c r="C211" s="13" t="s">
        <v>1423</v>
      </c>
      <c r="D211" s="13" t="s">
        <v>59</v>
      </c>
      <c r="E211" s="13" t="s">
        <v>767</v>
      </c>
      <c r="F211" s="13" t="s">
        <v>768</v>
      </c>
      <c r="G211" s="63" t="n">
        <v>11162071905</v>
      </c>
      <c r="H211" s="13" t="s">
        <v>1417</v>
      </c>
      <c r="I211" s="13"/>
      <c r="J211" s="13" t="s">
        <v>1441</v>
      </c>
      <c r="K211" s="13" t="s">
        <v>1425</v>
      </c>
      <c r="L211" s="13" t="s">
        <v>1426</v>
      </c>
      <c r="M211" s="13"/>
    </row>
    <row r="212" customFormat="false" ht="15" hidden="false" customHeight="false" outlineLevel="0" collapsed="false">
      <c r="A212" s="13" t="s">
        <v>608</v>
      </c>
      <c r="B212" s="13" t="s">
        <v>607</v>
      </c>
      <c r="C212" s="13" t="s">
        <v>1427</v>
      </c>
      <c r="D212" s="13" t="s">
        <v>59</v>
      </c>
      <c r="E212" s="13" t="s">
        <v>767</v>
      </c>
      <c r="F212" s="13" t="s">
        <v>768</v>
      </c>
      <c r="G212" s="63" t="n">
        <v>9396425044</v>
      </c>
      <c r="H212" s="13" t="s">
        <v>1417</v>
      </c>
      <c r="I212" s="13"/>
      <c r="J212" s="13" t="s">
        <v>1441</v>
      </c>
      <c r="K212" s="13" t="s">
        <v>619</v>
      </c>
      <c r="L212" s="13" t="s">
        <v>1420</v>
      </c>
      <c r="M212" s="13"/>
    </row>
    <row r="213" customFormat="false" ht="15" hidden="false" customHeight="false" outlineLevel="0" collapsed="false">
      <c r="A213" s="13" t="s">
        <v>608</v>
      </c>
      <c r="B213" s="13" t="s">
        <v>607</v>
      </c>
      <c r="C213" s="13" t="s">
        <v>1416</v>
      </c>
      <c r="D213" s="13" t="s">
        <v>59</v>
      </c>
      <c r="E213" s="13" t="s">
        <v>770</v>
      </c>
      <c r="F213" s="13" t="s">
        <v>771</v>
      </c>
      <c r="G213" s="63" t="n">
        <v>2059291014</v>
      </c>
      <c r="H213" s="13" t="s">
        <v>1417</v>
      </c>
      <c r="I213" s="13"/>
      <c r="J213" s="13" t="s">
        <v>1440</v>
      </c>
      <c r="K213" s="13" t="s">
        <v>1419</v>
      </c>
      <c r="L213" s="13" t="s">
        <v>1420</v>
      </c>
      <c r="M213" s="13"/>
    </row>
    <row r="214" customFormat="false" ht="15" hidden="false" customHeight="false" outlineLevel="0" collapsed="false">
      <c r="A214" s="13" t="s">
        <v>608</v>
      </c>
      <c r="B214" s="13" t="s">
        <v>607</v>
      </c>
      <c r="C214" s="13" t="s">
        <v>1421</v>
      </c>
      <c r="D214" s="13" t="s">
        <v>59</v>
      </c>
      <c r="E214" s="13" t="s">
        <v>770</v>
      </c>
      <c r="F214" s="13" t="s">
        <v>771</v>
      </c>
      <c r="G214" s="63" t="n">
        <v>4772562529</v>
      </c>
      <c r="H214" s="13" t="s">
        <v>1417</v>
      </c>
      <c r="I214" s="13"/>
      <c r="J214" s="13" t="s">
        <v>1440</v>
      </c>
      <c r="K214" s="13" t="s">
        <v>1422</v>
      </c>
      <c r="L214" s="13" t="s">
        <v>1420</v>
      </c>
      <c r="M214" s="13"/>
    </row>
    <row r="215" customFormat="false" ht="15" hidden="false" customHeight="false" outlineLevel="0" collapsed="false">
      <c r="A215" s="13" t="s">
        <v>608</v>
      </c>
      <c r="B215" s="13" t="s">
        <v>607</v>
      </c>
      <c r="C215" s="13" t="s">
        <v>1423</v>
      </c>
      <c r="D215" s="13" t="s">
        <v>59</v>
      </c>
      <c r="E215" s="13" t="s">
        <v>770</v>
      </c>
      <c r="F215" s="13" t="s">
        <v>771</v>
      </c>
      <c r="G215" s="63" t="n">
        <v>5668668826</v>
      </c>
      <c r="H215" s="13" t="s">
        <v>1417</v>
      </c>
      <c r="I215" s="13"/>
      <c r="J215" s="13" t="s">
        <v>1441</v>
      </c>
      <c r="K215" s="13" t="s">
        <v>1425</v>
      </c>
      <c r="L215" s="13" t="s">
        <v>1426</v>
      </c>
      <c r="M215" s="13"/>
    </row>
    <row r="216" customFormat="false" ht="15" hidden="false" customHeight="false" outlineLevel="0" collapsed="false">
      <c r="A216" s="13" t="s">
        <v>608</v>
      </c>
      <c r="B216" s="13" t="s">
        <v>607</v>
      </c>
      <c r="C216" s="13" t="s">
        <v>1427</v>
      </c>
      <c r="D216" s="13" t="s">
        <v>59</v>
      </c>
      <c r="E216" s="13" t="s">
        <v>770</v>
      </c>
      <c r="F216" s="13" t="s">
        <v>771</v>
      </c>
      <c r="G216" s="63" t="n">
        <v>6578276878</v>
      </c>
      <c r="H216" s="13" t="s">
        <v>1417</v>
      </c>
      <c r="I216" s="13"/>
      <c r="J216" s="13" t="s">
        <v>1441</v>
      </c>
      <c r="K216" s="13" t="s">
        <v>619</v>
      </c>
      <c r="L216" s="13" t="s">
        <v>1420</v>
      </c>
      <c r="M216" s="13"/>
    </row>
    <row r="217" customFormat="false" ht="15" hidden="false" customHeight="false" outlineLevel="0" collapsed="false">
      <c r="A217" s="13" t="s">
        <v>608</v>
      </c>
      <c r="B217" s="13" t="s">
        <v>607</v>
      </c>
      <c r="C217" s="13" t="s">
        <v>1416</v>
      </c>
      <c r="D217" s="13" t="s">
        <v>59</v>
      </c>
      <c r="E217" s="13" t="s">
        <v>775</v>
      </c>
      <c r="F217" s="13" t="s">
        <v>776</v>
      </c>
      <c r="G217" s="63" t="n">
        <v>889836562</v>
      </c>
      <c r="H217" s="13" t="s">
        <v>1417</v>
      </c>
      <c r="I217" s="13"/>
      <c r="J217" s="13" t="s">
        <v>1440</v>
      </c>
      <c r="K217" s="13" t="s">
        <v>1419</v>
      </c>
      <c r="L217" s="13" t="s">
        <v>1420</v>
      </c>
      <c r="M217" s="13"/>
    </row>
    <row r="218" customFormat="false" ht="15" hidden="false" customHeight="false" outlineLevel="0" collapsed="false">
      <c r="A218" s="13" t="s">
        <v>608</v>
      </c>
      <c r="B218" s="13" t="s">
        <v>607</v>
      </c>
      <c r="C218" s="13" t="s">
        <v>1421</v>
      </c>
      <c r="D218" s="13" t="s">
        <v>59</v>
      </c>
      <c r="E218" s="13" t="s">
        <v>775</v>
      </c>
      <c r="F218" s="13" t="s">
        <v>776</v>
      </c>
      <c r="G218" s="63" t="n">
        <v>2310412449</v>
      </c>
      <c r="H218" s="13" t="s">
        <v>1417</v>
      </c>
      <c r="I218" s="13"/>
      <c r="J218" s="13" t="s">
        <v>1440</v>
      </c>
      <c r="K218" s="13" t="s">
        <v>1422</v>
      </c>
      <c r="L218" s="13" t="s">
        <v>1420</v>
      </c>
      <c r="M218" s="13"/>
    </row>
    <row r="219" customFormat="false" ht="15" hidden="false" customHeight="false" outlineLevel="0" collapsed="false">
      <c r="A219" s="13" t="s">
        <v>608</v>
      </c>
      <c r="B219" s="13" t="s">
        <v>607</v>
      </c>
      <c r="C219" s="13" t="s">
        <v>1423</v>
      </c>
      <c r="D219" s="13" t="s">
        <v>59</v>
      </c>
      <c r="E219" s="13" t="s">
        <v>775</v>
      </c>
      <c r="F219" s="13" t="s">
        <v>776</v>
      </c>
      <c r="G219" s="63" t="n">
        <v>804070003</v>
      </c>
      <c r="H219" s="13" t="s">
        <v>1417</v>
      </c>
      <c r="I219" s="13"/>
      <c r="J219" s="13" t="s">
        <v>1441</v>
      </c>
      <c r="K219" s="13" t="s">
        <v>1425</v>
      </c>
      <c r="L219" s="13" t="s">
        <v>1426</v>
      </c>
      <c r="M219" s="13"/>
    </row>
    <row r="220" customFormat="false" ht="15" hidden="false" customHeight="false" outlineLevel="0" collapsed="false">
      <c r="A220" s="13" t="s">
        <v>608</v>
      </c>
      <c r="B220" s="13" t="s">
        <v>607</v>
      </c>
      <c r="C220" s="13" t="s">
        <v>1427</v>
      </c>
      <c r="D220" s="13" t="s">
        <v>59</v>
      </c>
      <c r="E220" s="13" t="s">
        <v>775</v>
      </c>
      <c r="F220" s="13" t="s">
        <v>776</v>
      </c>
      <c r="G220" s="63" t="n">
        <v>708852420</v>
      </c>
      <c r="H220" s="13" t="s">
        <v>1417</v>
      </c>
      <c r="I220" s="13"/>
      <c r="J220" s="13" t="s">
        <v>1441</v>
      </c>
      <c r="K220" s="13" t="s">
        <v>619</v>
      </c>
      <c r="L220" s="13" t="s">
        <v>1420</v>
      </c>
      <c r="M220" s="13"/>
    </row>
    <row r="221" customFormat="false" ht="15" hidden="false" customHeight="false" outlineLevel="0" collapsed="false">
      <c r="A221" s="13" t="s">
        <v>608</v>
      </c>
      <c r="B221" s="13" t="s">
        <v>607</v>
      </c>
      <c r="C221" s="13" t="s">
        <v>1416</v>
      </c>
      <c r="D221" s="13" t="s">
        <v>59</v>
      </c>
      <c r="E221" s="13" t="s">
        <v>778</v>
      </c>
      <c r="F221" s="13" t="s">
        <v>779</v>
      </c>
      <c r="G221" s="63" t="n">
        <v>0</v>
      </c>
      <c r="H221" s="13" t="s">
        <v>1417</v>
      </c>
      <c r="I221" s="13"/>
      <c r="J221" s="13"/>
      <c r="K221" s="13" t="s">
        <v>1419</v>
      </c>
      <c r="L221" s="13" t="s">
        <v>1420</v>
      </c>
      <c r="M221" s="13"/>
    </row>
    <row r="222" customFormat="false" ht="15" hidden="false" customHeight="false" outlineLevel="0" collapsed="false">
      <c r="A222" s="13" t="s">
        <v>608</v>
      </c>
      <c r="B222" s="13" t="s">
        <v>607</v>
      </c>
      <c r="C222" s="13" t="s">
        <v>1421</v>
      </c>
      <c r="D222" s="13" t="s">
        <v>59</v>
      </c>
      <c r="E222" s="13" t="s">
        <v>778</v>
      </c>
      <c r="F222" s="13" t="s">
        <v>779</v>
      </c>
      <c r="G222" s="63" t="n">
        <v>0</v>
      </c>
      <c r="H222" s="13" t="s">
        <v>1417</v>
      </c>
      <c r="I222" s="13"/>
      <c r="J222" s="13"/>
      <c r="K222" s="13" t="s">
        <v>1422</v>
      </c>
      <c r="L222" s="13" t="s">
        <v>1420</v>
      </c>
      <c r="M222" s="13"/>
    </row>
    <row r="223" customFormat="false" ht="15" hidden="false" customHeight="false" outlineLevel="0" collapsed="false">
      <c r="A223" s="13" t="s">
        <v>608</v>
      </c>
      <c r="B223" s="13" t="s">
        <v>607</v>
      </c>
      <c r="C223" s="13" t="s">
        <v>1423</v>
      </c>
      <c r="D223" s="13" t="s">
        <v>59</v>
      </c>
      <c r="E223" s="13" t="s">
        <v>778</v>
      </c>
      <c r="F223" s="13" t="s">
        <v>779</v>
      </c>
      <c r="G223" s="63" t="n">
        <v>0</v>
      </c>
      <c r="H223" s="13" t="s">
        <v>1417</v>
      </c>
      <c r="I223" s="13"/>
      <c r="J223" s="13" t="s">
        <v>1441</v>
      </c>
      <c r="K223" s="13" t="s">
        <v>1425</v>
      </c>
      <c r="L223" s="13" t="s">
        <v>1426</v>
      </c>
      <c r="M223" s="13"/>
    </row>
    <row r="224" customFormat="false" ht="15" hidden="false" customHeight="false" outlineLevel="0" collapsed="false">
      <c r="A224" s="13" t="s">
        <v>608</v>
      </c>
      <c r="B224" s="13" t="s">
        <v>607</v>
      </c>
      <c r="C224" s="13" t="s">
        <v>1427</v>
      </c>
      <c r="D224" s="13" t="s">
        <v>59</v>
      </c>
      <c r="E224" s="13" t="s">
        <v>778</v>
      </c>
      <c r="F224" s="13" t="s">
        <v>779</v>
      </c>
      <c r="G224" s="63" t="n">
        <v>233968266</v>
      </c>
      <c r="H224" s="13" t="s">
        <v>1417</v>
      </c>
      <c r="I224" s="13"/>
      <c r="J224" s="13" t="s">
        <v>1441</v>
      </c>
      <c r="K224" s="13" t="s">
        <v>619</v>
      </c>
      <c r="L224" s="13" t="s">
        <v>1420</v>
      </c>
      <c r="M224" s="13"/>
    </row>
    <row r="225" customFormat="false" ht="15" hidden="false" customHeight="false" outlineLevel="0" collapsed="false">
      <c r="A225" s="13" t="s">
        <v>608</v>
      </c>
      <c r="B225" s="13" t="s">
        <v>607</v>
      </c>
      <c r="C225" s="13" t="s">
        <v>1416</v>
      </c>
      <c r="D225" s="13" t="s">
        <v>59</v>
      </c>
      <c r="E225" s="13" t="s">
        <v>781</v>
      </c>
      <c r="F225" s="13" t="s">
        <v>782</v>
      </c>
      <c r="G225" s="63" t="n">
        <v>6011636598</v>
      </c>
      <c r="H225" s="13" t="s">
        <v>1417</v>
      </c>
      <c r="I225" s="13"/>
      <c r="J225" s="13" t="s">
        <v>1440</v>
      </c>
      <c r="K225" s="13" t="s">
        <v>1419</v>
      </c>
      <c r="L225" s="13" t="s">
        <v>1420</v>
      </c>
      <c r="M225" s="13"/>
    </row>
    <row r="226" customFormat="false" ht="15" hidden="false" customHeight="false" outlineLevel="0" collapsed="false">
      <c r="A226" s="13" t="s">
        <v>608</v>
      </c>
      <c r="B226" s="13" t="s">
        <v>607</v>
      </c>
      <c r="C226" s="13" t="s">
        <v>1421</v>
      </c>
      <c r="D226" s="13" t="s">
        <v>59</v>
      </c>
      <c r="E226" s="13" t="s">
        <v>781</v>
      </c>
      <c r="F226" s="13" t="s">
        <v>782</v>
      </c>
      <c r="G226" s="63" t="n">
        <v>11650476198</v>
      </c>
      <c r="H226" s="13" t="s">
        <v>1417</v>
      </c>
      <c r="I226" s="13"/>
      <c r="J226" s="13" t="s">
        <v>1440</v>
      </c>
      <c r="K226" s="13" t="s">
        <v>1422</v>
      </c>
      <c r="L226" s="13" t="s">
        <v>1420</v>
      </c>
      <c r="M226" s="13"/>
    </row>
    <row r="227" customFormat="false" ht="15" hidden="false" customHeight="false" outlineLevel="0" collapsed="false">
      <c r="A227" s="13" t="s">
        <v>608</v>
      </c>
      <c r="B227" s="13" t="s">
        <v>607</v>
      </c>
      <c r="C227" s="13" t="s">
        <v>1423</v>
      </c>
      <c r="D227" s="13" t="s">
        <v>59</v>
      </c>
      <c r="E227" s="13" t="s">
        <v>781</v>
      </c>
      <c r="F227" s="13" t="s">
        <v>782</v>
      </c>
      <c r="G227" s="63" t="n">
        <v>2027768405</v>
      </c>
      <c r="H227" s="13" t="s">
        <v>1417</v>
      </c>
      <c r="I227" s="13"/>
      <c r="J227" s="13" t="s">
        <v>1441</v>
      </c>
      <c r="K227" s="13" t="s">
        <v>1425</v>
      </c>
      <c r="L227" s="13" t="s">
        <v>1426</v>
      </c>
      <c r="M227" s="13"/>
    </row>
    <row r="228" customFormat="false" ht="15" hidden="false" customHeight="false" outlineLevel="0" collapsed="false">
      <c r="A228" s="13" t="s">
        <v>608</v>
      </c>
      <c r="B228" s="13" t="s">
        <v>607</v>
      </c>
      <c r="C228" s="13" t="s">
        <v>1427</v>
      </c>
      <c r="D228" s="13" t="s">
        <v>59</v>
      </c>
      <c r="E228" s="13" t="s">
        <v>781</v>
      </c>
      <c r="F228" s="13" t="s">
        <v>782</v>
      </c>
      <c r="G228" s="63" t="n">
        <v>1537989603</v>
      </c>
      <c r="H228" s="13" t="s">
        <v>1417</v>
      </c>
      <c r="I228" s="13"/>
      <c r="J228" s="13" t="s">
        <v>1441</v>
      </c>
      <c r="K228" s="13" t="s">
        <v>619</v>
      </c>
      <c r="L228" s="13" t="s">
        <v>1420</v>
      </c>
      <c r="M228" s="13"/>
    </row>
    <row r="229" customFormat="false" ht="15" hidden="false" customHeight="false" outlineLevel="0" collapsed="false">
      <c r="A229" s="13" t="s">
        <v>608</v>
      </c>
      <c r="B229" s="13" t="s">
        <v>607</v>
      </c>
      <c r="C229" s="13" t="s">
        <v>1416</v>
      </c>
      <c r="D229" s="13" t="s">
        <v>59</v>
      </c>
      <c r="E229" s="13" t="s">
        <v>784</v>
      </c>
      <c r="F229" s="13" t="s">
        <v>785</v>
      </c>
      <c r="G229" s="63" t="n">
        <v>0</v>
      </c>
      <c r="H229" s="13" t="s">
        <v>1417</v>
      </c>
      <c r="I229" s="13"/>
      <c r="J229" s="13"/>
      <c r="K229" s="13" t="s">
        <v>1419</v>
      </c>
      <c r="L229" s="13" t="s">
        <v>1420</v>
      </c>
      <c r="M229" s="13"/>
    </row>
    <row r="230" customFormat="false" ht="15" hidden="false" customHeight="false" outlineLevel="0" collapsed="false">
      <c r="A230" s="13" t="s">
        <v>608</v>
      </c>
      <c r="B230" s="13" t="s">
        <v>607</v>
      </c>
      <c r="C230" s="13" t="s">
        <v>1421</v>
      </c>
      <c r="D230" s="13" t="s">
        <v>59</v>
      </c>
      <c r="E230" s="13" t="s">
        <v>784</v>
      </c>
      <c r="F230" s="13" t="s">
        <v>785</v>
      </c>
      <c r="G230" s="63" t="n">
        <v>0</v>
      </c>
      <c r="H230" s="13" t="s">
        <v>1417</v>
      </c>
      <c r="I230" s="13"/>
      <c r="J230" s="13"/>
      <c r="K230" s="13" t="s">
        <v>1422</v>
      </c>
      <c r="L230" s="13" t="s">
        <v>1420</v>
      </c>
      <c r="M230" s="13"/>
    </row>
    <row r="231" customFormat="false" ht="15" hidden="false" customHeight="false" outlineLevel="0" collapsed="false">
      <c r="A231" s="13" t="s">
        <v>608</v>
      </c>
      <c r="B231" s="13" t="s">
        <v>607</v>
      </c>
      <c r="C231" s="13" t="s">
        <v>1423</v>
      </c>
      <c r="D231" s="13" t="s">
        <v>59</v>
      </c>
      <c r="E231" s="13" t="s">
        <v>784</v>
      </c>
      <c r="F231" s="13" t="s">
        <v>785</v>
      </c>
      <c r="G231" s="63" t="n">
        <v>7074679859</v>
      </c>
      <c r="H231" s="13" t="s">
        <v>1417</v>
      </c>
      <c r="I231" s="13"/>
      <c r="J231" s="13" t="s">
        <v>1441</v>
      </c>
      <c r="K231" s="13" t="s">
        <v>1425</v>
      </c>
      <c r="L231" s="13" t="s">
        <v>1426</v>
      </c>
      <c r="M231" s="13"/>
    </row>
    <row r="232" customFormat="false" ht="15" hidden="false" customHeight="false" outlineLevel="0" collapsed="false">
      <c r="A232" s="13" t="s">
        <v>608</v>
      </c>
      <c r="B232" s="13" t="s">
        <v>607</v>
      </c>
      <c r="C232" s="13" t="s">
        <v>1427</v>
      </c>
      <c r="D232" s="13" t="s">
        <v>59</v>
      </c>
      <c r="E232" s="13" t="s">
        <v>784</v>
      </c>
      <c r="F232" s="13" t="s">
        <v>785</v>
      </c>
      <c r="G232" s="63" t="n">
        <v>1016716073</v>
      </c>
      <c r="H232" s="13" t="s">
        <v>1417</v>
      </c>
      <c r="I232" s="13"/>
      <c r="J232" s="13" t="s">
        <v>1441</v>
      </c>
      <c r="K232" s="13" t="s">
        <v>619</v>
      </c>
      <c r="L232" s="13" t="s">
        <v>1420</v>
      </c>
      <c r="M232" s="13"/>
    </row>
    <row r="233" customFormat="false" ht="15" hidden="false" customHeight="false" outlineLevel="0" collapsed="false">
      <c r="A233" s="13" t="s">
        <v>608</v>
      </c>
      <c r="B233" s="13" t="s">
        <v>607</v>
      </c>
      <c r="C233" s="13" t="s">
        <v>1416</v>
      </c>
      <c r="D233" s="13" t="s">
        <v>59</v>
      </c>
      <c r="E233" s="13" t="s">
        <v>787</v>
      </c>
      <c r="F233" s="13" t="s">
        <v>788</v>
      </c>
      <c r="G233" s="63" t="n">
        <v>4990900</v>
      </c>
      <c r="H233" s="13" t="s">
        <v>1417</v>
      </c>
      <c r="I233" s="13"/>
      <c r="J233" s="13" t="s">
        <v>1440</v>
      </c>
      <c r="K233" s="13" t="s">
        <v>1419</v>
      </c>
      <c r="L233" s="13" t="s">
        <v>1420</v>
      </c>
      <c r="M233" s="13"/>
    </row>
    <row r="234" customFormat="false" ht="15" hidden="false" customHeight="false" outlineLevel="0" collapsed="false">
      <c r="A234" s="13" t="s">
        <v>608</v>
      </c>
      <c r="B234" s="13" t="s">
        <v>607</v>
      </c>
      <c r="C234" s="13" t="s">
        <v>1421</v>
      </c>
      <c r="D234" s="13" t="s">
        <v>59</v>
      </c>
      <c r="E234" s="13" t="s">
        <v>787</v>
      </c>
      <c r="F234" s="13" t="s">
        <v>788</v>
      </c>
      <c r="G234" s="63" t="n">
        <v>109015136</v>
      </c>
      <c r="H234" s="13" t="s">
        <v>1417</v>
      </c>
      <c r="I234" s="13"/>
      <c r="J234" s="13" t="s">
        <v>1440</v>
      </c>
      <c r="K234" s="13" t="s">
        <v>1422</v>
      </c>
      <c r="L234" s="13" t="s">
        <v>1420</v>
      </c>
      <c r="M234" s="13"/>
    </row>
    <row r="235" customFormat="false" ht="15" hidden="false" customHeight="false" outlineLevel="0" collapsed="false">
      <c r="A235" s="13" t="s">
        <v>608</v>
      </c>
      <c r="B235" s="13" t="s">
        <v>607</v>
      </c>
      <c r="C235" s="13" t="s">
        <v>1423</v>
      </c>
      <c r="D235" s="13" t="s">
        <v>59</v>
      </c>
      <c r="E235" s="13" t="s">
        <v>787</v>
      </c>
      <c r="F235" s="13" t="s">
        <v>788</v>
      </c>
      <c r="G235" s="63" t="n">
        <v>217251809</v>
      </c>
      <c r="H235" s="13" t="s">
        <v>1417</v>
      </c>
      <c r="I235" s="13"/>
      <c r="J235" s="13" t="s">
        <v>1441</v>
      </c>
      <c r="K235" s="13" t="s">
        <v>1425</v>
      </c>
      <c r="L235" s="13" t="s">
        <v>1426</v>
      </c>
      <c r="M235" s="13"/>
    </row>
    <row r="236" customFormat="false" ht="15" hidden="false" customHeight="false" outlineLevel="0" collapsed="false">
      <c r="A236" s="13" t="s">
        <v>608</v>
      </c>
      <c r="B236" s="13" t="s">
        <v>607</v>
      </c>
      <c r="C236" s="13" t="s">
        <v>1427</v>
      </c>
      <c r="D236" s="13" t="s">
        <v>59</v>
      </c>
      <c r="E236" s="13" t="s">
        <v>787</v>
      </c>
      <c r="F236" s="13" t="s">
        <v>788</v>
      </c>
      <c r="G236" s="63" t="n">
        <v>145725435</v>
      </c>
      <c r="H236" s="13" t="s">
        <v>1417</v>
      </c>
      <c r="I236" s="13"/>
      <c r="J236" s="13" t="s">
        <v>1441</v>
      </c>
      <c r="K236" s="13" t="s">
        <v>619</v>
      </c>
      <c r="L236" s="13" t="s">
        <v>1420</v>
      </c>
      <c r="M236" s="13"/>
    </row>
    <row r="237" customFormat="false" ht="15" hidden="false" customHeight="false" outlineLevel="0" collapsed="false">
      <c r="A237" s="13" t="s">
        <v>608</v>
      </c>
      <c r="B237" s="13" t="s">
        <v>607</v>
      </c>
      <c r="C237" s="13" t="s">
        <v>1416</v>
      </c>
      <c r="D237" s="13" t="s">
        <v>59</v>
      </c>
      <c r="E237" s="13" t="s">
        <v>790</v>
      </c>
      <c r="F237" s="13" t="s">
        <v>791</v>
      </c>
      <c r="G237" s="63" t="n">
        <v>1576828919</v>
      </c>
      <c r="H237" s="13" t="s">
        <v>1417</v>
      </c>
      <c r="I237" s="13"/>
      <c r="J237" s="13" t="s">
        <v>1440</v>
      </c>
      <c r="K237" s="13" t="s">
        <v>1419</v>
      </c>
      <c r="L237" s="13" t="s">
        <v>1420</v>
      </c>
      <c r="M237" s="13"/>
    </row>
    <row r="238" customFormat="false" ht="15" hidden="false" customHeight="false" outlineLevel="0" collapsed="false">
      <c r="A238" s="13" t="s">
        <v>608</v>
      </c>
      <c r="B238" s="13" t="s">
        <v>607</v>
      </c>
      <c r="C238" s="13" t="s">
        <v>1421</v>
      </c>
      <c r="D238" s="13" t="s">
        <v>59</v>
      </c>
      <c r="E238" s="13" t="s">
        <v>790</v>
      </c>
      <c r="F238" s="13" t="s">
        <v>791</v>
      </c>
      <c r="G238" s="63" t="n">
        <v>5339423095</v>
      </c>
      <c r="H238" s="13" t="s">
        <v>1417</v>
      </c>
      <c r="I238" s="13"/>
      <c r="J238" s="13" t="s">
        <v>1440</v>
      </c>
      <c r="K238" s="13" t="s">
        <v>1422</v>
      </c>
      <c r="L238" s="13" t="s">
        <v>1420</v>
      </c>
      <c r="M238" s="13"/>
    </row>
    <row r="239" customFormat="false" ht="15" hidden="false" customHeight="false" outlineLevel="0" collapsed="false">
      <c r="A239" s="13" t="s">
        <v>608</v>
      </c>
      <c r="B239" s="13" t="s">
        <v>607</v>
      </c>
      <c r="C239" s="13" t="s">
        <v>1423</v>
      </c>
      <c r="D239" s="13" t="s">
        <v>59</v>
      </c>
      <c r="E239" s="13" t="s">
        <v>790</v>
      </c>
      <c r="F239" s="13" t="s">
        <v>791</v>
      </c>
      <c r="G239" s="63" t="n">
        <v>4563471447</v>
      </c>
      <c r="H239" s="13" t="s">
        <v>1417</v>
      </c>
      <c r="I239" s="13"/>
      <c r="J239" s="13" t="s">
        <v>1441</v>
      </c>
      <c r="K239" s="13" t="s">
        <v>1425</v>
      </c>
      <c r="L239" s="13" t="s">
        <v>1426</v>
      </c>
      <c r="M239" s="13"/>
    </row>
    <row r="240" customFormat="false" ht="15" hidden="false" customHeight="false" outlineLevel="0" collapsed="false">
      <c r="A240" s="13" t="s">
        <v>608</v>
      </c>
      <c r="B240" s="13" t="s">
        <v>607</v>
      </c>
      <c r="C240" s="13" t="s">
        <v>1427</v>
      </c>
      <c r="D240" s="13" t="s">
        <v>59</v>
      </c>
      <c r="E240" s="13" t="s">
        <v>790</v>
      </c>
      <c r="F240" s="13" t="s">
        <v>791</v>
      </c>
      <c r="G240" s="63" t="n">
        <v>5125717507</v>
      </c>
      <c r="H240" s="13" t="s">
        <v>1417</v>
      </c>
      <c r="I240" s="13"/>
      <c r="J240" s="13" t="s">
        <v>1441</v>
      </c>
      <c r="K240" s="13" t="s">
        <v>619</v>
      </c>
      <c r="L240" s="13" t="s">
        <v>1420</v>
      </c>
      <c r="M240" s="13"/>
    </row>
    <row r="241" customFormat="false" ht="15" hidden="false" customHeight="false" outlineLevel="0" collapsed="false">
      <c r="A241" s="13" t="s">
        <v>608</v>
      </c>
      <c r="B241" s="13" t="s">
        <v>607</v>
      </c>
      <c r="C241" s="13" t="s">
        <v>1416</v>
      </c>
      <c r="D241" s="13" t="s">
        <v>59</v>
      </c>
      <c r="E241" s="13" t="s">
        <v>793</v>
      </c>
      <c r="F241" s="13" t="s">
        <v>794</v>
      </c>
      <c r="G241" s="63" t="n">
        <v>700008000</v>
      </c>
      <c r="H241" s="13" t="s">
        <v>1417</v>
      </c>
      <c r="I241" s="13"/>
      <c r="J241" s="13" t="s">
        <v>1440</v>
      </c>
      <c r="K241" s="13" t="s">
        <v>1419</v>
      </c>
      <c r="L241" s="13" t="s">
        <v>1420</v>
      </c>
      <c r="M241" s="13"/>
    </row>
    <row r="242" customFormat="false" ht="15" hidden="false" customHeight="false" outlineLevel="0" collapsed="false">
      <c r="A242" s="13" t="s">
        <v>608</v>
      </c>
      <c r="B242" s="13" t="s">
        <v>607</v>
      </c>
      <c r="C242" s="13" t="s">
        <v>1421</v>
      </c>
      <c r="D242" s="13" t="s">
        <v>59</v>
      </c>
      <c r="E242" s="13" t="s">
        <v>793</v>
      </c>
      <c r="F242" s="13" t="s">
        <v>794</v>
      </c>
      <c r="G242" s="63" t="n">
        <v>7476298000</v>
      </c>
      <c r="H242" s="13" t="s">
        <v>1417</v>
      </c>
      <c r="I242" s="13"/>
      <c r="J242" s="13" t="s">
        <v>1440</v>
      </c>
      <c r="K242" s="13" t="s">
        <v>1422</v>
      </c>
      <c r="L242" s="13" t="s">
        <v>1420</v>
      </c>
      <c r="M242" s="13"/>
    </row>
    <row r="243" customFormat="false" ht="15" hidden="false" customHeight="false" outlineLevel="0" collapsed="false">
      <c r="A243" s="13" t="s">
        <v>608</v>
      </c>
      <c r="B243" s="13" t="s">
        <v>607</v>
      </c>
      <c r="C243" s="13" t="s">
        <v>1423</v>
      </c>
      <c r="D243" s="13" t="s">
        <v>59</v>
      </c>
      <c r="E243" s="13" t="s">
        <v>793</v>
      </c>
      <c r="F243" s="13" t="s">
        <v>794</v>
      </c>
      <c r="G243" s="63" t="n">
        <v>7068000000</v>
      </c>
      <c r="H243" s="13" t="s">
        <v>1417</v>
      </c>
      <c r="I243" s="13"/>
      <c r="J243" s="13" t="s">
        <v>1441</v>
      </c>
      <c r="K243" s="13" t="s">
        <v>1425</v>
      </c>
      <c r="L243" s="13" t="s">
        <v>1426</v>
      </c>
      <c r="M243" s="13"/>
    </row>
    <row r="244" customFormat="false" ht="15" hidden="false" customHeight="false" outlineLevel="0" collapsed="false">
      <c r="A244" s="13" t="s">
        <v>608</v>
      </c>
      <c r="B244" s="13" t="s">
        <v>607</v>
      </c>
      <c r="C244" s="13" t="s">
        <v>1427</v>
      </c>
      <c r="D244" s="13" t="s">
        <v>59</v>
      </c>
      <c r="E244" s="13" t="s">
        <v>793</v>
      </c>
      <c r="F244" s="13" t="s">
        <v>794</v>
      </c>
      <c r="G244" s="63" t="n">
        <v>7068000000</v>
      </c>
      <c r="H244" s="13" t="s">
        <v>1417</v>
      </c>
      <c r="I244" s="13"/>
      <c r="J244" s="13" t="s">
        <v>1441</v>
      </c>
      <c r="K244" s="13" t="s">
        <v>619</v>
      </c>
      <c r="L244" s="13" t="s">
        <v>1420</v>
      </c>
      <c r="M244" s="13"/>
    </row>
    <row r="245" customFormat="false" ht="15" hidden="false" customHeight="false" outlineLevel="0" collapsed="false">
      <c r="A245" s="13" t="s">
        <v>608</v>
      </c>
      <c r="B245" s="13" t="s">
        <v>607</v>
      </c>
      <c r="C245" s="13" t="s">
        <v>1416</v>
      </c>
      <c r="D245" s="13" t="s">
        <v>59</v>
      </c>
      <c r="E245" s="13" t="s">
        <v>798</v>
      </c>
      <c r="F245" s="13" t="s">
        <v>799</v>
      </c>
      <c r="G245" s="63" t="n">
        <v>174233989</v>
      </c>
      <c r="H245" s="13" t="s">
        <v>1417</v>
      </c>
      <c r="I245" s="13"/>
      <c r="J245" s="13" t="s">
        <v>1440</v>
      </c>
      <c r="K245" s="13" t="s">
        <v>1419</v>
      </c>
      <c r="L245" s="13" t="s">
        <v>1420</v>
      </c>
      <c r="M245" s="13"/>
    </row>
    <row r="246" customFormat="false" ht="15" hidden="false" customHeight="false" outlineLevel="0" collapsed="false">
      <c r="A246" s="13" t="s">
        <v>608</v>
      </c>
      <c r="B246" s="13" t="s">
        <v>607</v>
      </c>
      <c r="C246" s="13" t="s">
        <v>1421</v>
      </c>
      <c r="D246" s="13" t="s">
        <v>59</v>
      </c>
      <c r="E246" s="13" t="s">
        <v>798</v>
      </c>
      <c r="F246" s="13" t="s">
        <v>799</v>
      </c>
      <c r="G246" s="63" t="n">
        <v>231752112</v>
      </c>
      <c r="H246" s="13" t="s">
        <v>1417</v>
      </c>
      <c r="I246" s="13"/>
      <c r="J246" s="13" t="s">
        <v>1440</v>
      </c>
      <c r="K246" s="13" t="s">
        <v>1422</v>
      </c>
      <c r="L246" s="13" t="s">
        <v>1420</v>
      </c>
      <c r="M246" s="13"/>
    </row>
    <row r="247" customFormat="false" ht="15" hidden="false" customHeight="false" outlineLevel="0" collapsed="false">
      <c r="A247" s="13" t="s">
        <v>608</v>
      </c>
      <c r="B247" s="13" t="s">
        <v>607</v>
      </c>
      <c r="C247" s="13" t="s">
        <v>1423</v>
      </c>
      <c r="D247" s="13" t="s">
        <v>59</v>
      </c>
      <c r="E247" s="13" t="s">
        <v>798</v>
      </c>
      <c r="F247" s="13" t="s">
        <v>799</v>
      </c>
      <c r="G247" s="63" t="n">
        <v>143594960</v>
      </c>
      <c r="H247" s="13" t="s">
        <v>1417</v>
      </c>
      <c r="I247" s="13"/>
      <c r="J247" s="13" t="s">
        <v>1441</v>
      </c>
      <c r="K247" s="13" t="s">
        <v>1425</v>
      </c>
      <c r="L247" s="13" t="s">
        <v>1426</v>
      </c>
      <c r="M247" s="13"/>
    </row>
    <row r="248" customFormat="false" ht="15" hidden="false" customHeight="false" outlineLevel="0" collapsed="false">
      <c r="A248" s="13" t="s">
        <v>608</v>
      </c>
      <c r="B248" s="13" t="s">
        <v>607</v>
      </c>
      <c r="C248" s="13" t="s">
        <v>1427</v>
      </c>
      <c r="D248" s="13" t="s">
        <v>59</v>
      </c>
      <c r="E248" s="13" t="s">
        <v>798</v>
      </c>
      <c r="F248" s="13" t="s">
        <v>799</v>
      </c>
      <c r="G248" s="63" t="n">
        <v>52991281</v>
      </c>
      <c r="H248" s="13" t="s">
        <v>1417</v>
      </c>
      <c r="I248" s="13"/>
      <c r="J248" s="13" t="s">
        <v>1441</v>
      </c>
      <c r="K248" s="13" t="s">
        <v>619</v>
      </c>
      <c r="L248" s="13" t="s">
        <v>1420</v>
      </c>
      <c r="M248" s="13"/>
    </row>
    <row r="249" customFormat="false" ht="15" hidden="false" customHeight="false" outlineLevel="0" collapsed="false">
      <c r="A249" s="13" t="s">
        <v>608</v>
      </c>
      <c r="B249" s="13" t="s">
        <v>607</v>
      </c>
      <c r="C249" s="13" t="s">
        <v>1416</v>
      </c>
      <c r="D249" s="13" t="s">
        <v>59</v>
      </c>
      <c r="E249" s="13" t="s">
        <v>801</v>
      </c>
      <c r="F249" s="13" t="s">
        <v>802</v>
      </c>
      <c r="G249" s="63" t="n">
        <v>0</v>
      </c>
      <c r="H249" s="13" t="s">
        <v>1417</v>
      </c>
      <c r="I249" s="13"/>
      <c r="J249" s="13" t="s">
        <v>1440</v>
      </c>
      <c r="K249" s="13" t="s">
        <v>1419</v>
      </c>
      <c r="L249" s="13" t="s">
        <v>1420</v>
      </c>
      <c r="M249" s="13"/>
    </row>
    <row r="250" customFormat="false" ht="15" hidden="false" customHeight="false" outlineLevel="0" collapsed="false">
      <c r="A250" s="13" t="s">
        <v>608</v>
      </c>
      <c r="B250" s="13" t="s">
        <v>607</v>
      </c>
      <c r="C250" s="13" t="s">
        <v>1421</v>
      </c>
      <c r="D250" s="13" t="s">
        <v>59</v>
      </c>
      <c r="E250" s="13" t="s">
        <v>801</v>
      </c>
      <c r="F250" s="13" t="s">
        <v>802</v>
      </c>
      <c r="G250" s="63" t="n">
        <v>0</v>
      </c>
      <c r="H250" s="13" t="s">
        <v>1417</v>
      </c>
      <c r="I250" s="13"/>
      <c r="J250" s="13" t="s">
        <v>1440</v>
      </c>
      <c r="K250" s="13" t="s">
        <v>1422</v>
      </c>
      <c r="L250" s="13" t="s">
        <v>1420</v>
      </c>
      <c r="M250" s="13"/>
    </row>
    <row r="251" customFormat="false" ht="15" hidden="false" customHeight="false" outlineLevel="0" collapsed="false">
      <c r="A251" s="13" t="s">
        <v>608</v>
      </c>
      <c r="B251" s="13" t="s">
        <v>607</v>
      </c>
      <c r="C251" s="13" t="s">
        <v>1423</v>
      </c>
      <c r="D251" s="13" t="s">
        <v>59</v>
      </c>
      <c r="E251" s="13" t="s">
        <v>801</v>
      </c>
      <c r="F251" s="13" t="s">
        <v>802</v>
      </c>
      <c r="G251" s="63" t="n">
        <v>920444528</v>
      </c>
      <c r="H251" s="13" t="s">
        <v>1417</v>
      </c>
      <c r="I251" s="13"/>
      <c r="J251" s="13" t="s">
        <v>1441</v>
      </c>
      <c r="K251" s="13" t="s">
        <v>1425</v>
      </c>
      <c r="L251" s="13" t="s">
        <v>1426</v>
      </c>
      <c r="M251" s="13"/>
    </row>
    <row r="252" customFormat="false" ht="15" hidden="false" customHeight="false" outlineLevel="0" collapsed="false">
      <c r="A252" s="13" t="s">
        <v>608</v>
      </c>
      <c r="B252" s="13" t="s">
        <v>607</v>
      </c>
      <c r="C252" s="13" t="s">
        <v>1427</v>
      </c>
      <c r="D252" s="13" t="s">
        <v>59</v>
      </c>
      <c r="E252" s="13" t="s">
        <v>801</v>
      </c>
      <c r="F252" s="13" t="s">
        <v>802</v>
      </c>
      <c r="G252" s="63" t="n">
        <v>1047230532</v>
      </c>
      <c r="H252" s="13" t="s">
        <v>1417</v>
      </c>
      <c r="I252" s="13"/>
      <c r="J252" s="13" t="s">
        <v>1441</v>
      </c>
      <c r="K252" s="13" t="s">
        <v>619</v>
      </c>
      <c r="L252" s="13" t="s">
        <v>1420</v>
      </c>
      <c r="M252" s="13"/>
    </row>
    <row r="253" customFormat="false" ht="15" hidden="false" customHeight="false" outlineLevel="0" collapsed="false">
      <c r="A253" s="13" t="s">
        <v>608</v>
      </c>
      <c r="B253" s="13" t="s">
        <v>607</v>
      </c>
      <c r="C253" s="13" t="s">
        <v>1416</v>
      </c>
      <c r="D253" s="13" t="s">
        <v>59</v>
      </c>
      <c r="E253" s="13" t="s">
        <v>804</v>
      </c>
      <c r="F253" s="13" t="s">
        <v>805</v>
      </c>
      <c r="G253" s="63" t="n">
        <v>18405630017</v>
      </c>
      <c r="H253" s="13" t="s">
        <v>1417</v>
      </c>
      <c r="I253" s="13"/>
      <c r="J253" s="13"/>
      <c r="K253" s="13" t="s">
        <v>1419</v>
      </c>
      <c r="L253" s="13" t="s">
        <v>1420</v>
      </c>
      <c r="M253" s="13" t="s">
        <v>1428</v>
      </c>
    </row>
    <row r="254" customFormat="false" ht="15" hidden="false" customHeight="false" outlineLevel="0" collapsed="false">
      <c r="A254" s="13" t="s">
        <v>608</v>
      </c>
      <c r="B254" s="13" t="s">
        <v>607</v>
      </c>
      <c r="C254" s="13" t="s">
        <v>1421</v>
      </c>
      <c r="D254" s="13" t="s">
        <v>59</v>
      </c>
      <c r="E254" s="13" t="s">
        <v>804</v>
      </c>
      <c r="F254" s="13" t="s">
        <v>805</v>
      </c>
      <c r="G254" s="63" t="n">
        <v>41878923554</v>
      </c>
      <c r="H254" s="13" t="s">
        <v>1417</v>
      </c>
      <c r="I254" s="13"/>
      <c r="J254" s="13"/>
      <c r="K254" s="13" t="s">
        <v>1422</v>
      </c>
      <c r="L254" s="13" t="s">
        <v>1420</v>
      </c>
      <c r="M254" s="13" t="s">
        <v>1428</v>
      </c>
    </row>
    <row r="255" customFormat="false" ht="15" hidden="false" customHeight="false" outlineLevel="0" collapsed="false">
      <c r="A255" s="13" t="s">
        <v>608</v>
      </c>
      <c r="B255" s="13" t="s">
        <v>607</v>
      </c>
      <c r="C255" s="13" t="s">
        <v>1423</v>
      </c>
      <c r="D255" s="13" t="s">
        <v>59</v>
      </c>
      <c r="E255" s="13" t="s">
        <v>804</v>
      </c>
      <c r="F255" s="13" t="s">
        <v>805</v>
      </c>
      <c r="G255" s="63" t="n">
        <v>39650021742</v>
      </c>
      <c r="H255" s="13" t="s">
        <v>1417</v>
      </c>
      <c r="I255" s="13"/>
      <c r="J255" s="13"/>
      <c r="K255" s="13" t="s">
        <v>1425</v>
      </c>
      <c r="L255" s="13" t="s">
        <v>1426</v>
      </c>
      <c r="M255" s="13" t="s">
        <v>1428</v>
      </c>
    </row>
    <row r="256" customFormat="false" ht="15" hidden="false" customHeight="false" outlineLevel="0" collapsed="false">
      <c r="A256" s="13" t="s">
        <v>608</v>
      </c>
      <c r="B256" s="13" t="s">
        <v>607</v>
      </c>
      <c r="C256" s="13" t="s">
        <v>1427</v>
      </c>
      <c r="D256" s="13" t="s">
        <v>59</v>
      </c>
      <c r="E256" s="13" t="s">
        <v>804</v>
      </c>
      <c r="F256" s="13" t="s">
        <v>805</v>
      </c>
      <c r="G256" s="63" t="n">
        <v>32911893039</v>
      </c>
      <c r="H256" s="13" t="s">
        <v>1417</v>
      </c>
      <c r="I256" s="13"/>
      <c r="J256" s="13"/>
      <c r="K256" s="13" t="s">
        <v>619</v>
      </c>
      <c r="L256" s="13" t="s">
        <v>1420</v>
      </c>
      <c r="M256" s="13" t="s">
        <v>1428</v>
      </c>
    </row>
    <row r="257" customFormat="false" ht="15" hidden="false" customHeight="false" outlineLevel="0" collapsed="false">
      <c r="A257" s="13" t="s">
        <v>608</v>
      </c>
      <c r="B257" s="13" t="s">
        <v>607</v>
      </c>
      <c r="C257" s="13" t="s">
        <v>1416</v>
      </c>
      <c r="D257" s="13" t="s">
        <v>59</v>
      </c>
      <c r="E257" s="13" t="s">
        <v>806</v>
      </c>
      <c r="F257" s="13" t="s">
        <v>807</v>
      </c>
      <c r="G257" s="63" t="n">
        <v>55654298000</v>
      </c>
      <c r="H257" s="13" t="s">
        <v>1417</v>
      </c>
      <c r="I257" s="13"/>
      <c r="J257" s="13" t="s">
        <v>1440</v>
      </c>
      <c r="K257" s="13" t="s">
        <v>1419</v>
      </c>
      <c r="L257" s="13" t="s">
        <v>1420</v>
      </c>
      <c r="M257" s="13"/>
    </row>
    <row r="258" customFormat="false" ht="15" hidden="false" customHeight="false" outlineLevel="0" collapsed="false">
      <c r="A258" s="13" t="s">
        <v>608</v>
      </c>
      <c r="B258" s="13" t="s">
        <v>607</v>
      </c>
      <c r="C258" s="13" t="s">
        <v>1421</v>
      </c>
      <c r="D258" s="13" t="s">
        <v>59</v>
      </c>
      <c r="E258" s="13" t="s">
        <v>806</v>
      </c>
      <c r="F258" s="13" t="s">
        <v>807</v>
      </c>
      <c r="G258" s="63" t="n">
        <v>71249929334</v>
      </c>
      <c r="H258" s="13" t="s">
        <v>1417</v>
      </c>
      <c r="I258" s="13"/>
      <c r="J258" s="13" t="s">
        <v>1440</v>
      </c>
      <c r="K258" s="13" t="s">
        <v>1422</v>
      </c>
      <c r="L258" s="13" t="s">
        <v>1420</v>
      </c>
      <c r="M258" s="13"/>
    </row>
    <row r="259" customFormat="false" ht="15" hidden="false" customHeight="false" outlineLevel="0" collapsed="false">
      <c r="A259" s="13" t="s">
        <v>608</v>
      </c>
      <c r="B259" s="13" t="s">
        <v>607</v>
      </c>
      <c r="C259" s="13" t="s">
        <v>1423</v>
      </c>
      <c r="D259" s="13" t="s">
        <v>59</v>
      </c>
      <c r="E259" s="13" t="s">
        <v>806</v>
      </c>
      <c r="F259" s="13" t="s">
        <v>807</v>
      </c>
      <c r="G259" s="63" t="n">
        <v>15268666300</v>
      </c>
      <c r="H259" s="13" t="s">
        <v>1417</v>
      </c>
      <c r="I259" s="13"/>
      <c r="J259" s="13" t="s">
        <v>1441</v>
      </c>
      <c r="K259" s="13" t="s">
        <v>1425</v>
      </c>
      <c r="L259" s="13" t="s">
        <v>1426</v>
      </c>
      <c r="M259" s="13"/>
    </row>
    <row r="260" customFormat="false" ht="15" hidden="false" customHeight="false" outlineLevel="0" collapsed="false">
      <c r="A260" s="13" t="s">
        <v>608</v>
      </c>
      <c r="B260" s="13" t="s">
        <v>607</v>
      </c>
      <c r="C260" s="13" t="s">
        <v>1427</v>
      </c>
      <c r="D260" s="13" t="s">
        <v>59</v>
      </c>
      <c r="E260" s="13" t="s">
        <v>806</v>
      </c>
      <c r="F260" s="13" t="s">
        <v>807</v>
      </c>
      <c r="G260" s="63" t="n">
        <v>4083000000</v>
      </c>
      <c r="H260" s="13" t="s">
        <v>1417</v>
      </c>
      <c r="I260" s="13"/>
      <c r="J260" s="13" t="s">
        <v>1441</v>
      </c>
      <c r="K260" s="13" t="s">
        <v>619</v>
      </c>
      <c r="L260" s="13" t="s">
        <v>1420</v>
      </c>
      <c r="M260" s="13"/>
    </row>
    <row r="261" customFormat="false" ht="15" hidden="false" customHeight="false" outlineLevel="0" collapsed="false">
      <c r="A261" s="13" t="s">
        <v>608</v>
      </c>
      <c r="B261" s="13" t="s">
        <v>607</v>
      </c>
      <c r="C261" s="13" t="s">
        <v>1416</v>
      </c>
      <c r="D261" s="13" t="s">
        <v>59</v>
      </c>
      <c r="E261" s="13" t="s">
        <v>811</v>
      </c>
      <c r="F261" s="13" t="s">
        <v>812</v>
      </c>
      <c r="G261" s="63" t="n">
        <v>331522552</v>
      </c>
      <c r="H261" s="13" t="s">
        <v>1417</v>
      </c>
      <c r="I261" s="13"/>
      <c r="J261" s="13" t="s">
        <v>1440</v>
      </c>
      <c r="K261" s="13" t="s">
        <v>1419</v>
      </c>
      <c r="L261" s="13" t="s">
        <v>1420</v>
      </c>
      <c r="M261" s="13"/>
    </row>
    <row r="262" customFormat="false" ht="15" hidden="false" customHeight="false" outlineLevel="0" collapsed="false">
      <c r="A262" s="13" t="s">
        <v>608</v>
      </c>
      <c r="B262" s="13" t="s">
        <v>607</v>
      </c>
      <c r="C262" s="13" t="s">
        <v>1421</v>
      </c>
      <c r="D262" s="13" t="s">
        <v>59</v>
      </c>
      <c r="E262" s="13" t="s">
        <v>811</v>
      </c>
      <c r="F262" s="13" t="s">
        <v>812</v>
      </c>
      <c r="G262" s="63" t="n">
        <v>190255560</v>
      </c>
      <c r="H262" s="13" t="s">
        <v>1417</v>
      </c>
      <c r="I262" s="13"/>
      <c r="J262" s="13" t="s">
        <v>1440</v>
      </c>
      <c r="K262" s="13" t="s">
        <v>1422</v>
      </c>
      <c r="L262" s="13" t="s">
        <v>1420</v>
      </c>
      <c r="M262" s="13"/>
    </row>
    <row r="263" customFormat="false" ht="15" hidden="false" customHeight="false" outlineLevel="0" collapsed="false">
      <c r="A263" s="13" t="s">
        <v>608</v>
      </c>
      <c r="B263" s="13" t="s">
        <v>607</v>
      </c>
      <c r="C263" s="13" t="s">
        <v>1423</v>
      </c>
      <c r="D263" s="13" t="s">
        <v>59</v>
      </c>
      <c r="E263" s="13" t="s">
        <v>811</v>
      </c>
      <c r="F263" s="13" t="s">
        <v>812</v>
      </c>
      <c r="G263" s="63" t="n">
        <v>50700680</v>
      </c>
      <c r="H263" s="13" t="s">
        <v>1417</v>
      </c>
      <c r="I263" s="13"/>
      <c r="J263" s="13" t="s">
        <v>1441</v>
      </c>
      <c r="K263" s="13" t="s">
        <v>1425</v>
      </c>
      <c r="L263" s="13" t="s">
        <v>1426</v>
      </c>
      <c r="M263" s="13"/>
    </row>
    <row r="264" customFormat="false" ht="15" hidden="false" customHeight="false" outlineLevel="0" collapsed="false">
      <c r="A264" s="13" t="s">
        <v>608</v>
      </c>
      <c r="B264" s="13" t="s">
        <v>607</v>
      </c>
      <c r="C264" s="13" t="s">
        <v>1427</v>
      </c>
      <c r="D264" s="13" t="s">
        <v>59</v>
      </c>
      <c r="E264" s="13" t="s">
        <v>811</v>
      </c>
      <c r="F264" s="13" t="s">
        <v>812</v>
      </c>
      <c r="G264" s="63" t="n">
        <v>0</v>
      </c>
      <c r="H264" s="13" t="s">
        <v>1417</v>
      </c>
      <c r="I264" s="13"/>
      <c r="J264" s="13" t="s">
        <v>1441</v>
      </c>
      <c r="K264" s="13" t="s">
        <v>619</v>
      </c>
      <c r="L264" s="13" t="s">
        <v>1420</v>
      </c>
      <c r="M264" s="13"/>
    </row>
    <row r="265" customFormat="false" ht="15" hidden="false" customHeight="false" outlineLevel="0" collapsed="false">
      <c r="A265" s="13" t="s">
        <v>608</v>
      </c>
      <c r="B265" s="13" t="s">
        <v>607</v>
      </c>
      <c r="C265" s="13" t="s">
        <v>1416</v>
      </c>
      <c r="D265" s="13" t="s">
        <v>59</v>
      </c>
      <c r="E265" s="13" t="s">
        <v>814</v>
      </c>
      <c r="F265" s="13" t="s">
        <v>815</v>
      </c>
      <c r="G265" s="63" t="n">
        <v>0</v>
      </c>
      <c r="H265" s="13" t="s">
        <v>1417</v>
      </c>
      <c r="I265" s="13"/>
      <c r="J265" s="13" t="s">
        <v>1440</v>
      </c>
      <c r="K265" s="13" t="s">
        <v>1419</v>
      </c>
      <c r="L265" s="13" t="s">
        <v>1420</v>
      </c>
      <c r="M265" s="13"/>
    </row>
    <row r="266" customFormat="false" ht="15" hidden="false" customHeight="false" outlineLevel="0" collapsed="false">
      <c r="A266" s="13" t="s">
        <v>608</v>
      </c>
      <c r="B266" s="13" t="s">
        <v>607</v>
      </c>
      <c r="C266" s="13" t="s">
        <v>1421</v>
      </c>
      <c r="D266" s="13" t="s">
        <v>59</v>
      </c>
      <c r="E266" s="13" t="s">
        <v>814</v>
      </c>
      <c r="F266" s="13" t="s">
        <v>815</v>
      </c>
      <c r="G266" s="63" t="n">
        <v>0</v>
      </c>
      <c r="H266" s="13" t="s">
        <v>1417</v>
      </c>
      <c r="I266" s="13"/>
      <c r="J266" s="13" t="s">
        <v>1440</v>
      </c>
      <c r="K266" s="13" t="s">
        <v>1422</v>
      </c>
      <c r="L266" s="13" t="s">
        <v>1420</v>
      </c>
      <c r="M266" s="13"/>
    </row>
    <row r="267" customFormat="false" ht="15" hidden="false" customHeight="false" outlineLevel="0" collapsed="false">
      <c r="A267" s="13" t="s">
        <v>608</v>
      </c>
      <c r="B267" s="13" t="s">
        <v>607</v>
      </c>
      <c r="C267" s="13" t="s">
        <v>1423</v>
      </c>
      <c r="D267" s="13" t="s">
        <v>59</v>
      </c>
      <c r="E267" s="13" t="s">
        <v>814</v>
      </c>
      <c r="F267" s="13" t="s">
        <v>815</v>
      </c>
      <c r="G267" s="63" t="n">
        <v>1408042622</v>
      </c>
      <c r="H267" s="13" t="s">
        <v>1417</v>
      </c>
      <c r="I267" s="13"/>
      <c r="J267" s="13" t="s">
        <v>1441</v>
      </c>
      <c r="K267" s="13" t="s">
        <v>1425</v>
      </c>
      <c r="L267" s="13" t="s">
        <v>1426</v>
      </c>
      <c r="M267" s="13"/>
    </row>
    <row r="268" customFormat="false" ht="15" hidden="false" customHeight="false" outlineLevel="0" collapsed="false">
      <c r="A268" s="13" t="s">
        <v>608</v>
      </c>
      <c r="B268" s="13" t="s">
        <v>607</v>
      </c>
      <c r="C268" s="13" t="s">
        <v>1427</v>
      </c>
      <c r="D268" s="13" t="s">
        <v>59</v>
      </c>
      <c r="E268" s="13" t="s">
        <v>814</v>
      </c>
      <c r="F268" s="13" t="s">
        <v>815</v>
      </c>
      <c r="G268" s="63" t="n">
        <v>282419576</v>
      </c>
      <c r="H268" s="13" t="s">
        <v>1417</v>
      </c>
      <c r="I268" s="13"/>
      <c r="J268" s="13" t="s">
        <v>1441</v>
      </c>
      <c r="K268" s="13" t="s">
        <v>619</v>
      </c>
      <c r="L268" s="13" t="s">
        <v>1420</v>
      </c>
      <c r="M268" s="13"/>
    </row>
    <row r="269" customFormat="false" ht="15" hidden="false" customHeight="false" outlineLevel="0" collapsed="false">
      <c r="A269" s="13" t="s">
        <v>608</v>
      </c>
      <c r="B269" s="13" t="s">
        <v>607</v>
      </c>
      <c r="C269" s="13" t="s">
        <v>1416</v>
      </c>
      <c r="D269" s="13" t="s">
        <v>59</v>
      </c>
      <c r="E269" s="13" t="s">
        <v>817</v>
      </c>
      <c r="F269" s="13" t="s">
        <v>818</v>
      </c>
      <c r="G269" s="63" t="n">
        <v>2095601594</v>
      </c>
      <c r="H269" s="13" t="s">
        <v>1417</v>
      </c>
      <c r="I269" s="13"/>
      <c r="J269" s="13" t="s">
        <v>1440</v>
      </c>
      <c r="K269" s="13" t="s">
        <v>1419</v>
      </c>
      <c r="L269" s="13" t="s">
        <v>1420</v>
      </c>
      <c r="M269" s="13"/>
    </row>
    <row r="270" customFormat="false" ht="15" hidden="false" customHeight="false" outlineLevel="0" collapsed="false">
      <c r="A270" s="13" t="s">
        <v>608</v>
      </c>
      <c r="B270" s="13" t="s">
        <v>607</v>
      </c>
      <c r="C270" s="13" t="s">
        <v>1421</v>
      </c>
      <c r="D270" s="13" t="s">
        <v>59</v>
      </c>
      <c r="E270" s="13" t="s">
        <v>817</v>
      </c>
      <c r="F270" s="13" t="s">
        <v>818</v>
      </c>
      <c r="G270" s="63" t="n">
        <v>1058806553</v>
      </c>
      <c r="H270" s="13" t="s">
        <v>1417</v>
      </c>
      <c r="I270" s="13"/>
      <c r="J270" s="13" t="s">
        <v>1440</v>
      </c>
      <c r="K270" s="13" t="s">
        <v>1422</v>
      </c>
      <c r="L270" s="13" t="s">
        <v>1420</v>
      </c>
      <c r="M270" s="13"/>
    </row>
    <row r="271" customFormat="false" ht="15" hidden="false" customHeight="false" outlineLevel="0" collapsed="false">
      <c r="A271" s="13" t="s">
        <v>608</v>
      </c>
      <c r="B271" s="13" t="s">
        <v>607</v>
      </c>
      <c r="C271" s="13" t="s">
        <v>1423</v>
      </c>
      <c r="D271" s="13" t="s">
        <v>59</v>
      </c>
      <c r="E271" s="13" t="s">
        <v>817</v>
      </c>
      <c r="F271" s="13" t="s">
        <v>818</v>
      </c>
      <c r="G271" s="63" t="n">
        <v>2680405972</v>
      </c>
      <c r="H271" s="13" t="s">
        <v>1417</v>
      </c>
      <c r="I271" s="13"/>
      <c r="J271" s="13" t="s">
        <v>1441</v>
      </c>
      <c r="K271" s="13" t="s">
        <v>1425</v>
      </c>
      <c r="L271" s="13" t="s">
        <v>1426</v>
      </c>
      <c r="M271" s="13"/>
    </row>
    <row r="272" customFormat="false" ht="15" hidden="false" customHeight="false" outlineLevel="0" collapsed="false">
      <c r="A272" s="13" t="s">
        <v>608</v>
      </c>
      <c r="B272" s="13" t="s">
        <v>607</v>
      </c>
      <c r="C272" s="13" t="s">
        <v>1427</v>
      </c>
      <c r="D272" s="13" t="s">
        <v>59</v>
      </c>
      <c r="E272" s="13" t="s">
        <v>817</v>
      </c>
      <c r="F272" s="13" t="s">
        <v>818</v>
      </c>
      <c r="G272" s="63" t="n">
        <v>4024099405</v>
      </c>
      <c r="H272" s="13" t="s">
        <v>1417</v>
      </c>
      <c r="I272" s="13"/>
      <c r="J272" s="13" t="s">
        <v>1441</v>
      </c>
      <c r="K272" s="13" t="s">
        <v>619</v>
      </c>
      <c r="L272" s="13" t="s">
        <v>1420</v>
      </c>
      <c r="M272" s="13"/>
    </row>
    <row r="273" customFormat="false" ht="15" hidden="false" customHeight="false" outlineLevel="0" collapsed="false">
      <c r="A273" s="13" t="s">
        <v>608</v>
      </c>
      <c r="B273" s="13" t="s">
        <v>607</v>
      </c>
      <c r="C273" s="13" t="s">
        <v>1416</v>
      </c>
      <c r="D273" s="13" t="s">
        <v>59</v>
      </c>
      <c r="E273" s="13" t="s">
        <v>820</v>
      </c>
      <c r="F273" s="13" t="s">
        <v>821</v>
      </c>
      <c r="G273" s="63" t="n">
        <v>2617116617</v>
      </c>
      <c r="H273" s="13" t="s">
        <v>1417</v>
      </c>
      <c r="I273" s="13"/>
      <c r="J273" s="13" t="s">
        <v>1440</v>
      </c>
      <c r="K273" s="13" t="s">
        <v>1419</v>
      </c>
      <c r="L273" s="13" t="s">
        <v>1420</v>
      </c>
      <c r="M273" s="13"/>
    </row>
    <row r="274" customFormat="false" ht="15" hidden="false" customHeight="false" outlineLevel="0" collapsed="false">
      <c r="A274" s="13" t="s">
        <v>608</v>
      </c>
      <c r="B274" s="13" t="s">
        <v>607</v>
      </c>
      <c r="C274" s="13" t="s">
        <v>1421</v>
      </c>
      <c r="D274" s="13" t="s">
        <v>59</v>
      </c>
      <c r="E274" s="13" t="s">
        <v>820</v>
      </c>
      <c r="F274" s="13" t="s">
        <v>821</v>
      </c>
      <c r="G274" s="63" t="n">
        <v>1160606700</v>
      </c>
      <c r="H274" s="13" t="s">
        <v>1417</v>
      </c>
      <c r="I274" s="13"/>
      <c r="J274" s="13" t="s">
        <v>1440</v>
      </c>
      <c r="K274" s="13" t="s">
        <v>1422</v>
      </c>
      <c r="L274" s="13" t="s">
        <v>1420</v>
      </c>
      <c r="M274" s="13"/>
    </row>
    <row r="275" customFormat="false" ht="15" hidden="false" customHeight="false" outlineLevel="0" collapsed="false">
      <c r="A275" s="13" t="s">
        <v>608</v>
      </c>
      <c r="B275" s="13" t="s">
        <v>607</v>
      </c>
      <c r="C275" s="13" t="s">
        <v>1423</v>
      </c>
      <c r="D275" s="13" t="s">
        <v>59</v>
      </c>
      <c r="E275" s="13" t="s">
        <v>820</v>
      </c>
      <c r="F275" s="13" t="s">
        <v>821</v>
      </c>
      <c r="G275" s="63" t="n">
        <v>1160606700</v>
      </c>
      <c r="H275" s="13" t="s">
        <v>1417</v>
      </c>
      <c r="I275" s="13"/>
      <c r="J275" s="13" t="s">
        <v>1441</v>
      </c>
      <c r="K275" s="13" t="s">
        <v>1425</v>
      </c>
      <c r="L275" s="13" t="s">
        <v>1426</v>
      </c>
      <c r="M275" s="13"/>
    </row>
    <row r="276" customFormat="false" ht="15" hidden="false" customHeight="false" outlineLevel="0" collapsed="false">
      <c r="A276" s="13" t="s">
        <v>608</v>
      </c>
      <c r="B276" s="13" t="s">
        <v>607</v>
      </c>
      <c r="C276" s="13" t="s">
        <v>1427</v>
      </c>
      <c r="D276" s="13" t="s">
        <v>59</v>
      </c>
      <c r="E276" s="13" t="s">
        <v>820</v>
      </c>
      <c r="F276" s="13" t="s">
        <v>821</v>
      </c>
      <c r="G276" s="63" t="n">
        <v>13033951873</v>
      </c>
      <c r="H276" s="13" t="s">
        <v>1417</v>
      </c>
      <c r="I276" s="13"/>
      <c r="J276" s="13" t="s">
        <v>1441</v>
      </c>
      <c r="K276" s="13" t="s">
        <v>619</v>
      </c>
      <c r="L276" s="13" t="s">
        <v>1420</v>
      </c>
      <c r="M276" s="13"/>
    </row>
    <row r="277" customFormat="false" ht="15" hidden="false" customHeight="false" outlineLevel="0" collapsed="false">
      <c r="A277" s="13" t="s">
        <v>608</v>
      </c>
      <c r="B277" s="13" t="s">
        <v>607</v>
      </c>
      <c r="C277" s="13" t="s">
        <v>1416</v>
      </c>
      <c r="D277" s="13" t="s">
        <v>59</v>
      </c>
      <c r="E277" s="13" t="s">
        <v>825</v>
      </c>
      <c r="F277" s="13" t="s">
        <v>826</v>
      </c>
      <c r="G277" s="63" t="n">
        <v>29822475744</v>
      </c>
      <c r="H277" s="13" t="s">
        <v>1417</v>
      </c>
      <c r="I277" s="13"/>
      <c r="J277" s="13" t="s">
        <v>1440</v>
      </c>
      <c r="K277" s="13" t="s">
        <v>1419</v>
      </c>
      <c r="L277" s="13" t="s">
        <v>1420</v>
      </c>
      <c r="M277" s="13"/>
    </row>
    <row r="278" customFormat="false" ht="15" hidden="false" customHeight="false" outlineLevel="0" collapsed="false">
      <c r="A278" s="13" t="s">
        <v>608</v>
      </c>
      <c r="B278" s="13" t="s">
        <v>607</v>
      </c>
      <c r="C278" s="13" t="s">
        <v>1421</v>
      </c>
      <c r="D278" s="13" t="s">
        <v>59</v>
      </c>
      <c r="E278" s="13" t="s">
        <v>825</v>
      </c>
      <c r="F278" s="13" t="s">
        <v>826</v>
      </c>
      <c r="G278" s="63" t="n">
        <v>55978364748</v>
      </c>
      <c r="H278" s="13" t="s">
        <v>1417</v>
      </c>
      <c r="I278" s="13"/>
      <c r="J278" s="13" t="s">
        <v>1440</v>
      </c>
      <c r="K278" s="13" t="s">
        <v>1422</v>
      </c>
      <c r="L278" s="13" t="s">
        <v>1420</v>
      </c>
      <c r="M278" s="13"/>
    </row>
    <row r="279" customFormat="false" ht="15" hidden="false" customHeight="false" outlineLevel="0" collapsed="false">
      <c r="A279" s="13" t="s">
        <v>608</v>
      </c>
      <c r="B279" s="13" t="s">
        <v>607</v>
      </c>
      <c r="C279" s="13" t="s">
        <v>1423</v>
      </c>
      <c r="D279" s="13" t="s">
        <v>59</v>
      </c>
      <c r="E279" s="13" t="s">
        <v>825</v>
      </c>
      <c r="F279" s="13" t="s">
        <v>826</v>
      </c>
      <c r="G279" s="63" t="n">
        <v>78152405426</v>
      </c>
      <c r="H279" s="13" t="s">
        <v>1417</v>
      </c>
      <c r="I279" s="13"/>
      <c r="J279" s="13" t="s">
        <v>1445</v>
      </c>
      <c r="K279" s="13" t="s">
        <v>1425</v>
      </c>
      <c r="L279" s="13" t="s">
        <v>1426</v>
      </c>
      <c r="M279" s="13"/>
    </row>
    <row r="280" customFormat="false" ht="15" hidden="false" customHeight="false" outlineLevel="0" collapsed="false">
      <c r="A280" s="13" t="s">
        <v>608</v>
      </c>
      <c r="B280" s="13" t="s">
        <v>607</v>
      </c>
      <c r="C280" s="13" t="s">
        <v>1427</v>
      </c>
      <c r="D280" s="13" t="s">
        <v>59</v>
      </c>
      <c r="E280" s="13" t="s">
        <v>825</v>
      </c>
      <c r="F280" s="13" t="s">
        <v>826</v>
      </c>
      <c r="G280" s="63" t="n">
        <v>69371515682</v>
      </c>
      <c r="H280" s="13" t="s">
        <v>1417</v>
      </c>
      <c r="I280" s="13"/>
      <c r="J280" s="13" t="s">
        <v>1445</v>
      </c>
      <c r="K280" s="13" t="s">
        <v>619</v>
      </c>
      <c r="L280" s="13" t="s">
        <v>1420</v>
      </c>
      <c r="M280" s="13"/>
    </row>
    <row r="281" customFormat="false" ht="15" hidden="false" customHeight="false" outlineLevel="0" collapsed="false">
      <c r="A281" s="13" t="s">
        <v>608</v>
      </c>
      <c r="B281" s="13" t="s">
        <v>607</v>
      </c>
      <c r="C281" s="13" t="s">
        <v>1416</v>
      </c>
      <c r="D281" s="13" t="s">
        <v>59</v>
      </c>
      <c r="E281" s="13" t="s">
        <v>828</v>
      </c>
      <c r="F281" s="13" t="s">
        <v>829</v>
      </c>
      <c r="G281" s="63" t="n">
        <v>90521014507</v>
      </c>
      <c r="H281" s="13" t="s">
        <v>1417</v>
      </c>
      <c r="I281" s="13"/>
      <c r="J281" s="13"/>
      <c r="K281" s="13" t="s">
        <v>1419</v>
      </c>
      <c r="L281" s="13" t="s">
        <v>1420</v>
      </c>
      <c r="M281" s="13" t="s">
        <v>1428</v>
      </c>
    </row>
    <row r="282" customFormat="false" ht="15" hidden="false" customHeight="false" outlineLevel="0" collapsed="false">
      <c r="A282" s="13" t="s">
        <v>608</v>
      </c>
      <c r="B282" s="13" t="s">
        <v>607</v>
      </c>
      <c r="C282" s="13" t="s">
        <v>1421</v>
      </c>
      <c r="D282" s="13" t="s">
        <v>59</v>
      </c>
      <c r="E282" s="13" t="s">
        <v>828</v>
      </c>
      <c r="F282" s="13" t="s">
        <v>829</v>
      </c>
      <c r="G282" s="63" t="n">
        <v>129637962895</v>
      </c>
      <c r="H282" s="13" t="s">
        <v>1417</v>
      </c>
      <c r="I282" s="13"/>
      <c r="J282" s="13"/>
      <c r="K282" s="13" t="s">
        <v>1422</v>
      </c>
      <c r="L282" s="13" t="s">
        <v>1420</v>
      </c>
      <c r="M282" s="13" t="s">
        <v>1428</v>
      </c>
    </row>
    <row r="283" customFormat="false" ht="15" hidden="false" customHeight="false" outlineLevel="0" collapsed="false">
      <c r="A283" s="13" t="s">
        <v>608</v>
      </c>
      <c r="B283" s="13" t="s">
        <v>607</v>
      </c>
      <c r="C283" s="13" t="s">
        <v>1423</v>
      </c>
      <c r="D283" s="13" t="s">
        <v>59</v>
      </c>
      <c r="E283" s="13" t="s">
        <v>828</v>
      </c>
      <c r="F283" s="13" t="s">
        <v>829</v>
      </c>
      <c r="G283" s="63" t="n">
        <v>98720827700</v>
      </c>
      <c r="H283" s="13" t="s">
        <v>1417</v>
      </c>
      <c r="I283" s="13"/>
      <c r="J283" s="13"/>
      <c r="K283" s="13" t="s">
        <v>1425</v>
      </c>
      <c r="L283" s="13" t="s">
        <v>1426</v>
      </c>
      <c r="M283" s="13" t="s">
        <v>1428</v>
      </c>
    </row>
    <row r="284" customFormat="false" ht="15" hidden="false" customHeight="false" outlineLevel="0" collapsed="false">
      <c r="A284" s="13" t="s">
        <v>608</v>
      </c>
      <c r="B284" s="13" t="s">
        <v>607</v>
      </c>
      <c r="C284" s="13" t="s">
        <v>1427</v>
      </c>
      <c r="D284" s="13" t="s">
        <v>59</v>
      </c>
      <c r="E284" s="13" t="s">
        <v>828</v>
      </c>
      <c r="F284" s="13" t="s">
        <v>829</v>
      </c>
      <c r="G284" s="63" t="n">
        <v>90794986536</v>
      </c>
      <c r="H284" s="13" t="s">
        <v>1417</v>
      </c>
      <c r="I284" s="13"/>
      <c r="J284" s="13"/>
      <c r="K284" s="13" t="s">
        <v>619</v>
      </c>
      <c r="L284" s="13" t="s">
        <v>1420</v>
      </c>
      <c r="M284" s="13" t="s">
        <v>1428</v>
      </c>
    </row>
    <row r="285" customFormat="false" ht="15" hidden="false" customHeight="false" outlineLevel="0" collapsed="false">
      <c r="A285" s="13" t="s">
        <v>608</v>
      </c>
      <c r="B285" s="13" t="s">
        <v>607</v>
      </c>
      <c r="C285" s="13" t="s">
        <v>1416</v>
      </c>
      <c r="D285" s="13" t="s">
        <v>59</v>
      </c>
      <c r="E285" s="13" t="s">
        <v>830</v>
      </c>
      <c r="F285" s="13" t="s">
        <v>423</v>
      </c>
      <c r="G285" s="63" t="n">
        <v>108926644524</v>
      </c>
      <c r="H285" s="13" t="s">
        <v>1417</v>
      </c>
      <c r="I285" s="13"/>
      <c r="J285" s="13"/>
      <c r="K285" s="13" t="s">
        <v>1419</v>
      </c>
      <c r="L285" s="13" t="s">
        <v>1420</v>
      </c>
      <c r="M285" s="13" t="s">
        <v>1428</v>
      </c>
    </row>
    <row r="286" customFormat="false" ht="15" hidden="false" customHeight="false" outlineLevel="0" collapsed="false">
      <c r="A286" s="13" t="s">
        <v>608</v>
      </c>
      <c r="B286" s="13" t="s">
        <v>607</v>
      </c>
      <c r="C286" s="13" t="s">
        <v>1421</v>
      </c>
      <c r="D286" s="13" t="s">
        <v>59</v>
      </c>
      <c r="E286" s="13" t="s">
        <v>830</v>
      </c>
      <c r="F286" s="13" t="s">
        <v>423</v>
      </c>
      <c r="G286" s="63" t="n">
        <v>171516886449</v>
      </c>
      <c r="H286" s="13" t="s">
        <v>1417</v>
      </c>
      <c r="I286" s="13"/>
      <c r="J286" s="13"/>
      <c r="K286" s="13" t="s">
        <v>1422</v>
      </c>
      <c r="L286" s="13" t="s">
        <v>1420</v>
      </c>
      <c r="M286" s="13" t="s">
        <v>1428</v>
      </c>
    </row>
    <row r="287" customFormat="false" ht="15" hidden="false" customHeight="false" outlineLevel="0" collapsed="false">
      <c r="A287" s="13" t="s">
        <v>608</v>
      </c>
      <c r="B287" s="13" t="s">
        <v>607</v>
      </c>
      <c r="C287" s="13" t="s">
        <v>1423</v>
      </c>
      <c r="D287" s="13" t="s">
        <v>59</v>
      </c>
      <c r="E287" s="13" t="s">
        <v>830</v>
      </c>
      <c r="F287" s="13" t="s">
        <v>423</v>
      </c>
      <c r="G287" s="63" t="n">
        <v>138370849442</v>
      </c>
      <c r="H287" s="13" t="s">
        <v>1417</v>
      </c>
      <c r="I287" s="13"/>
      <c r="J287" s="13"/>
      <c r="K287" s="13" t="s">
        <v>1425</v>
      </c>
      <c r="L287" s="13" t="s">
        <v>1426</v>
      </c>
      <c r="M287" s="13" t="s">
        <v>1428</v>
      </c>
    </row>
    <row r="288" customFormat="false" ht="15" hidden="false" customHeight="false" outlineLevel="0" collapsed="false">
      <c r="A288" s="13" t="s">
        <v>608</v>
      </c>
      <c r="B288" s="13" t="s">
        <v>607</v>
      </c>
      <c r="C288" s="13" t="s">
        <v>1427</v>
      </c>
      <c r="D288" s="13" t="s">
        <v>59</v>
      </c>
      <c r="E288" s="13" t="s">
        <v>830</v>
      </c>
      <c r="F288" s="13" t="s">
        <v>423</v>
      </c>
      <c r="G288" s="63" t="n">
        <v>123706879575</v>
      </c>
      <c r="H288" s="13" t="s">
        <v>1417</v>
      </c>
      <c r="I288" s="13"/>
      <c r="J288" s="13"/>
      <c r="K288" s="13" t="s">
        <v>619</v>
      </c>
      <c r="L288" s="13" t="s">
        <v>1420</v>
      </c>
      <c r="M288" s="13" t="s">
        <v>1428</v>
      </c>
    </row>
    <row r="289" customFormat="false" ht="15" hidden="false" customHeight="false" outlineLevel="0" collapsed="false">
      <c r="A289" s="13" t="s">
        <v>608</v>
      </c>
      <c r="B289" s="13" t="s">
        <v>607</v>
      </c>
      <c r="C289" s="13" t="s">
        <v>1416</v>
      </c>
      <c r="D289" s="13" t="s">
        <v>59</v>
      </c>
      <c r="E289" s="13" t="s">
        <v>831</v>
      </c>
      <c r="F289" s="13" t="s">
        <v>832</v>
      </c>
      <c r="G289" s="63" t="n">
        <v>27734500000</v>
      </c>
      <c r="H289" s="13" t="s">
        <v>1417</v>
      </c>
      <c r="I289" s="13"/>
      <c r="J289" s="13" t="s">
        <v>1440</v>
      </c>
      <c r="K289" s="13" t="s">
        <v>1419</v>
      </c>
      <c r="L289" s="13" t="s">
        <v>1420</v>
      </c>
      <c r="M289" s="13"/>
    </row>
    <row r="290" customFormat="false" ht="15" hidden="false" customHeight="false" outlineLevel="0" collapsed="false">
      <c r="A290" s="13" t="s">
        <v>608</v>
      </c>
      <c r="B290" s="13" t="s">
        <v>607</v>
      </c>
      <c r="C290" s="13" t="s">
        <v>1421</v>
      </c>
      <c r="D290" s="13" t="s">
        <v>59</v>
      </c>
      <c r="E290" s="13" t="s">
        <v>831</v>
      </c>
      <c r="F290" s="13" t="s">
        <v>832</v>
      </c>
      <c r="G290" s="63" t="n">
        <v>27734500000</v>
      </c>
      <c r="H290" s="13" t="s">
        <v>1417</v>
      </c>
      <c r="I290" s="13"/>
      <c r="J290" s="13" t="s">
        <v>1440</v>
      </c>
      <c r="K290" s="13" t="s">
        <v>1422</v>
      </c>
      <c r="L290" s="13" t="s">
        <v>1420</v>
      </c>
      <c r="M290" s="13"/>
    </row>
    <row r="291" customFormat="false" ht="15" hidden="false" customHeight="false" outlineLevel="0" collapsed="false">
      <c r="A291" s="13" t="s">
        <v>608</v>
      </c>
      <c r="B291" s="13" t="s">
        <v>607</v>
      </c>
      <c r="C291" s="13" t="s">
        <v>1423</v>
      </c>
      <c r="D291" s="13" t="s">
        <v>59</v>
      </c>
      <c r="E291" s="13" t="s">
        <v>831</v>
      </c>
      <c r="F291" s="13" t="s">
        <v>832</v>
      </c>
      <c r="G291" s="63" t="n">
        <v>101000000000</v>
      </c>
      <c r="H291" s="13" t="s">
        <v>1417</v>
      </c>
      <c r="I291" s="13"/>
      <c r="J291" s="13" t="s">
        <v>1441</v>
      </c>
      <c r="K291" s="13" t="s">
        <v>1425</v>
      </c>
      <c r="L291" s="13" t="s">
        <v>1426</v>
      </c>
      <c r="M291" s="13"/>
    </row>
    <row r="292" customFormat="false" ht="15" hidden="false" customHeight="false" outlineLevel="0" collapsed="false">
      <c r="A292" s="13" t="s">
        <v>608</v>
      </c>
      <c r="B292" s="13" t="s">
        <v>607</v>
      </c>
      <c r="C292" s="13" t="s">
        <v>1427</v>
      </c>
      <c r="D292" s="13" t="s">
        <v>59</v>
      </c>
      <c r="E292" s="13" t="s">
        <v>831</v>
      </c>
      <c r="F292" s="13" t="s">
        <v>832</v>
      </c>
      <c r="G292" s="63" t="n">
        <v>127503947050</v>
      </c>
      <c r="H292" s="13" t="s">
        <v>1417</v>
      </c>
      <c r="I292" s="13"/>
      <c r="J292" s="13" t="s">
        <v>1441</v>
      </c>
      <c r="K292" s="13" t="s">
        <v>619</v>
      </c>
      <c r="L292" s="13" t="s">
        <v>1420</v>
      </c>
      <c r="M292" s="13"/>
    </row>
    <row r="293" customFormat="false" ht="15" hidden="false" customHeight="false" outlineLevel="0" collapsed="false">
      <c r="A293" s="13" t="s">
        <v>608</v>
      </c>
      <c r="B293" s="13" t="s">
        <v>607</v>
      </c>
      <c r="C293" s="13" t="s">
        <v>1416</v>
      </c>
      <c r="D293" s="13" t="s">
        <v>59</v>
      </c>
      <c r="E293" s="13" t="s">
        <v>834</v>
      </c>
      <c r="F293" s="13" t="s">
        <v>835</v>
      </c>
      <c r="G293" s="63" t="n">
        <v>0</v>
      </c>
      <c r="H293" s="13" t="s">
        <v>1417</v>
      </c>
      <c r="I293" s="13"/>
      <c r="J293" s="13"/>
      <c r="K293" s="13" t="s">
        <v>1419</v>
      </c>
      <c r="L293" s="13" t="s">
        <v>1420</v>
      </c>
      <c r="M293" s="13"/>
    </row>
    <row r="294" customFormat="false" ht="15" hidden="false" customHeight="false" outlineLevel="0" collapsed="false">
      <c r="A294" s="13" t="s">
        <v>608</v>
      </c>
      <c r="B294" s="13" t="s">
        <v>607</v>
      </c>
      <c r="C294" s="13" t="s">
        <v>1421</v>
      </c>
      <c r="D294" s="13" t="s">
        <v>59</v>
      </c>
      <c r="E294" s="13" t="s">
        <v>834</v>
      </c>
      <c r="F294" s="13" t="s">
        <v>835</v>
      </c>
      <c r="G294" s="63" t="n">
        <v>0</v>
      </c>
      <c r="H294" s="13" t="s">
        <v>1417</v>
      </c>
      <c r="I294" s="13"/>
      <c r="J294" s="13"/>
      <c r="K294" s="13" t="s">
        <v>1422</v>
      </c>
      <c r="L294" s="13" t="s">
        <v>1420</v>
      </c>
      <c r="M294" s="13"/>
    </row>
    <row r="295" customFormat="false" ht="15" hidden="false" customHeight="false" outlineLevel="0" collapsed="false">
      <c r="A295" s="13" t="s">
        <v>608</v>
      </c>
      <c r="B295" s="13" t="s">
        <v>607</v>
      </c>
      <c r="C295" s="13" t="s">
        <v>1423</v>
      </c>
      <c r="D295" s="13" t="s">
        <v>59</v>
      </c>
      <c r="E295" s="13" t="s">
        <v>834</v>
      </c>
      <c r="F295" s="13" t="s">
        <v>835</v>
      </c>
      <c r="G295" s="63" t="n">
        <v>-23437977914</v>
      </c>
      <c r="H295" s="13" t="s">
        <v>1417</v>
      </c>
      <c r="I295" s="13"/>
      <c r="J295" s="13" t="s">
        <v>1441</v>
      </c>
      <c r="K295" s="13" t="s">
        <v>1425</v>
      </c>
      <c r="L295" s="13" t="s">
        <v>1426</v>
      </c>
      <c r="M295" s="13"/>
    </row>
    <row r="296" customFormat="false" ht="15" hidden="false" customHeight="false" outlineLevel="0" collapsed="false">
      <c r="A296" s="13" t="s">
        <v>608</v>
      </c>
      <c r="B296" s="13" t="s">
        <v>607</v>
      </c>
      <c r="C296" s="13" t="s">
        <v>1427</v>
      </c>
      <c r="D296" s="13" t="s">
        <v>59</v>
      </c>
      <c r="E296" s="13" t="s">
        <v>834</v>
      </c>
      <c r="F296" s="13" t="s">
        <v>835</v>
      </c>
      <c r="G296" s="63" t="n">
        <v>20030310891</v>
      </c>
      <c r="H296" s="13" t="s">
        <v>1417</v>
      </c>
      <c r="I296" s="13"/>
      <c r="J296" s="13" t="s">
        <v>1441</v>
      </c>
      <c r="K296" s="13" t="s">
        <v>619</v>
      </c>
      <c r="L296" s="13" t="s">
        <v>1420</v>
      </c>
      <c r="M296" s="13"/>
    </row>
    <row r="297" customFormat="false" ht="15" hidden="false" customHeight="false" outlineLevel="0" collapsed="false">
      <c r="A297" s="13" t="s">
        <v>608</v>
      </c>
      <c r="B297" s="13" t="s">
        <v>607</v>
      </c>
      <c r="C297" s="13" t="s">
        <v>1416</v>
      </c>
      <c r="D297" s="13" t="s">
        <v>59</v>
      </c>
      <c r="E297" s="13" t="s">
        <v>837</v>
      </c>
      <c r="F297" s="13" t="s">
        <v>838</v>
      </c>
      <c r="G297" s="63" t="n">
        <v>4889685079</v>
      </c>
      <c r="H297" s="13" t="s">
        <v>1417</v>
      </c>
      <c r="I297" s="13"/>
      <c r="J297" s="13" t="s">
        <v>1440</v>
      </c>
      <c r="K297" s="13" t="s">
        <v>1419</v>
      </c>
      <c r="L297" s="13" t="s">
        <v>1420</v>
      </c>
      <c r="M297" s="13"/>
    </row>
    <row r="298" customFormat="false" ht="15" hidden="false" customHeight="false" outlineLevel="0" collapsed="false">
      <c r="A298" s="13" t="s">
        <v>608</v>
      </c>
      <c r="B298" s="13" t="s">
        <v>607</v>
      </c>
      <c r="C298" s="13" t="s">
        <v>1421</v>
      </c>
      <c r="D298" s="13" t="s">
        <v>59</v>
      </c>
      <c r="E298" s="13" t="s">
        <v>837</v>
      </c>
      <c r="F298" s="13" t="s">
        <v>838</v>
      </c>
      <c r="G298" s="63" t="n">
        <v>52384568796</v>
      </c>
      <c r="H298" s="13" t="s">
        <v>1417</v>
      </c>
      <c r="I298" s="13"/>
      <c r="J298" s="13" t="s">
        <v>1440</v>
      </c>
      <c r="K298" s="13" t="s">
        <v>1422</v>
      </c>
      <c r="L298" s="13" t="s">
        <v>1420</v>
      </c>
      <c r="M298" s="13"/>
    </row>
    <row r="299" customFormat="false" ht="15" hidden="false" customHeight="false" outlineLevel="0" collapsed="false">
      <c r="A299" s="13" t="s">
        <v>608</v>
      </c>
      <c r="B299" s="13" t="s">
        <v>607</v>
      </c>
      <c r="C299" s="13" t="s">
        <v>1423</v>
      </c>
      <c r="D299" s="13" t="s">
        <v>59</v>
      </c>
      <c r="E299" s="13" t="s">
        <v>837</v>
      </c>
      <c r="F299" s="13" t="s">
        <v>838</v>
      </c>
      <c r="G299" s="63" t="n">
        <v>0</v>
      </c>
      <c r="H299" s="13" t="s">
        <v>1417</v>
      </c>
      <c r="I299" s="13"/>
      <c r="J299" s="13" t="s">
        <v>1441</v>
      </c>
      <c r="K299" s="13" t="s">
        <v>1425</v>
      </c>
      <c r="L299" s="13" t="s">
        <v>1426</v>
      </c>
      <c r="M299" s="13"/>
    </row>
    <row r="300" customFormat="false" ht="15" hidden="false" customHeight="false" outlineLevel="0" collapsed="false">
      <c r="A300" s="13" t="s">
        <v>608</v>
      </c>
      <c r="B300" s="13" t="s">
        <v>607</v>
      </c>
      <c r="C300" s="13" t="s">
        <v>1427</v>
      </c>
      <c r="D300" s="13" t="s">
        <v>59</v>
      </c>
      <c r="E300" s="13" t="s">
        <v>837</v>
      </c>
      <c r="F300" s="13" t="s">
        <v>838</v>
      </c>
      <c r="G300" s="63" t="n">
        <v>0</v>
      </c>
      <c r="H300" s="13" t="s">
        <v>1417</v>
      </c>
      <c r="I300" s="13"/>
      <c r="J300" s="13" t="s">
        <v>1441</v>
      </c>
      <c r="K300" s="13" t="s">
        <v>619</v>
      </c>
      <c r="L300" s="13" t="s">
        <v>1420</v>
      </c>
      <c r="M300" s="13"/>
    </row>
    <row r="301" customFormat="false" ht="15" hidden="false" customHeight="false" outlineLevel="0" collapsed="false">
      <c r="A301" s="13" t="s">
        <v>608</v>
      </c>
      <c r="B301" s="13" t="s">
        <v>607</v>
      </c>
      <c r="C301" s="13" t="s">
        <v>1416</v>
      </c>
      <c r="D301" s="13" t="s">
        <v>59</v>
      </c>
      <c r="E301" s="13" t="s">
        <v>840</v>
      </c>
      <c r="F301" s="13" t="s">
        <v>841</v>
      </c>
      <c r="G301" s="63" t="n">
        <v>-1098608204</v>
      </c>
      <c r="H301" s="13" t="s">
        <v>1417</v>
      </c>
      <c r="I301" s="13"/>
      <c r="J301" s="13" t="s">
        <v>1440</v>
      </c>
      <c r="K301" s="13" t="s">
        <v>1419</v>
      </c>
      <c r="L301" s="13" t="s">
        <v>1420</v>
      </c>
      <c r="M301" s="13"/>
    </row>
    <row r="302" customFormat="false" ht="15" hidden="false" customHeight="false" outlineLevel="0" collapsed="false">
      <c r="A302" s="13" t="s">
        <v>608</v>
      </c>
      <c r="B302" s="13" t="s">
        <v>607</v>
      </c>
      <c r="C302" s="13" t="s">
        <v>1421</v>
      </c>
      <c r="D302" s="13" t="s">
        <v>59</v>
      </c>
      <c r="E302" s="13" t="s">
        <v>840</v>
      </c>
      <c r="F302" s="13" t="s">
        <v>841</v>
      </c>
      <c r="G302" s="63" t="n">
        <v>25953053343</v>
      </c>
      <c r="H302" s="13" t="s">
        <v>1417</v>
      </c>
      <c r="I302" s="13"/>
      <c r="J302" s="13" t="s">
        <v>1440</v>
      </c>
      <c r="K302" s="13" t="s">
        <v>1422</v>
      </c>
      <c r="L302" s="13" t="s">
        <v>1420</v>
      </c>
      <c r="M302" s="13"/>
    </row>
    <row r="303" customFormat="false" ht="15" hidden="false" customHeight="false" outlineLevel="0" collapsed="false">
      <c r="A303" s="13" t="s">
        <v>608</v>
      </c>
      <c r="B303" s="13" t="s">
        <v>607</v>
      </c>
      <c r="C303" s="13" t="s">
        <v>1423</v>
      </c>
      <c r="D303" s="13" t="s">
        <v>59</v>
      </c>
      <c r="E303" s="13" t="s">
        <v>840</v>
      </c>
      <c r="F303" s="13" t="s">
        <v>841</v>
      </c>
      <c r="G303" s="63" t="n">
        <v>26245562252</v>
      </c>
      <c r="H303" s="13" t="s">
        <v>1417</v>
      </c>
      <c r="I303" s="13"/>
      <c r="J303" s="13" t="s">
        <v>1441</v>
      </c>
      <c r="K303" s="13" t="s">
        <v>1425</v>
      </c>
      <c r="L303" s="13" t="s">
        <v>1426</v>
      </c>
      <c r="M303" s="13"/>
    </row>
    <row r="304" customFormat="false" ht="15" hidden="false" customHeight="false" outlineLevel="0" collapsed="false">
      <c r="A304" s="13" t="s">
        <v>608</v>
      </c>
      <c r="B304" s="13" t="s">
        <v>607</v>
      </c>
      <c r="C304" s="13" t="s">
        <v>1427</v>
      </c>
      <c r="D304" s="13" t="s">
        <v>59</v>
      </c>
      <c r="E304" s="13" t="s">
        <v>840</v>
      </c>
      <c r="F304" s="13" t="s">
        <v>841</v>
      </c>
      <c r="G304" s="63" t="n">
        <v>27027986552</v>
      </c>
      <c r="H304" s="13" t="s">
        <v>1417</v>
      </c>
      <c r="I304" s="13"/>
      <c r="J304" s="13" t="s">
        <v>1441</v>
      </c>
      <c r="K304" s="13" t="s">
        <v>619</v>
      </c>
      <c r="L304" s="13" t="s">
        <v>1420</v>
      </c>
      <c r="M304" s="13"/>
    </row>
    <row r="305" customFormat="false" ht="15" hidden="false" customHeight="false" outlineLevel="0" collapsed="false">
      <c r="A305" s="13" t="s">
        <v>608</v>
      </c>
      <c r="B305" s="13" t="s">
        <v>607</v>
      </c>
      <c r="C305" s="13" t="s">
        <v>1416</v>
      </c>
      <c r="D305" s="13" t="s">
        <v>59</v>
      </c>
      <c r="E305" s="13" t="s">
        <v>843</v>
      </c>
      <c r="F305" s="13" t="s">
        <v>844</v>
      </c>
      <c r="G305" s="63" t="n">
        <v>19541167852</v>
      </c>
      <c r="H305" s="13" t="s">
        <v>1417</v>
      </c>
      <c r="I305" s="13"/>
      <c r="J305" s="13" t="s">
        <v>1446</v>
      </c>
      <c r="K305" s="13" t="s">
        <v>1419</v>
      </c>
      <c r="L305" s="13" t="s">
        <v>1420</v>
      </c>
      <c r="M305" s="13"/>
    </row>
    <row r="306" customFormat="false" ht="15" hidden="false" customHeight="false" outlineLevel="0" collapsed="false">
      <c r="A306" s="13" t="s">
        <v>608</v>
      </c>
      <c r="B306" s="13" t="s">
        <v>607</v>
      </c>
      <c r="C306" s="13" t="s">
        <v>1421</v>
      </c>
      <c r="D306" s="13" t="s">
        <v>59</v>
      </c>
      <c r="E306" s="13" t="s">
        <v>843</v>
      </c>
      <c r="F306" s="13" t="s">
        <v>844</v>
      </c>
      <c r="G306" s="63" t="n">
        <v>23080884249</v>
      </c>
      <c r="H306" s="13" t="s">
        <v>1417</v>
      </c>
      <c r="I306" s="13"/>
      <c r="J306" s="13" t="s">
        <v>1446</v>
      </c>
      <c r="K306" s="13" t="s">
        <v>1422</v>
      </c>
      <c r="L306" s="13" t="s">
        <v>1420</v>
      </c>
      <c r="M306" s="13"/>
    </row>
    <row r="307" customFormat="false" ht="15" hidden="false" customHeight="false" outlineLevel="0" collapsed="false">
      <c r="A307" s="13" t="s">
        <v>608</v>
      </c>
      <c r="B307" s="13" t="s">
        <v>607</v>
      </c>
      <c r="C307" s="13" t="s">
        <v>1423</v>
      </c>
      <c r="D307" s="13" t="s">
        <v>59</v>
      </c>
      <c r="E307" s="13" t="s">
        <v>843</v>
      </c>
      <c r="F307" s="13" t="s">
        <v>844</v>
      </c>
      <c r="G307" s="63" t="n">
        <v>25918247522</v>
      </c>
      <c r="H307" s="13" t="s">
        <v>1417</v>
      </c>
      <c r="I307" s="13"/>
      <c r="J307" s="13" t="s">
        <v>1446</v>
      </c>
      <c r="K307" s="13" t="s">
        <v>1425</v>
      </c>
      <c r="L307" s="13" t="s">
        <v>1426</v>
      </c>
      <c r="M307" s="13"/>
    </row>
    <row r="308" customFormat="false" ht="15" hidden="false" customHeight="false" outlineLevel="0" collapsed="false">
      <c r="A308" s="13" t="s">
        <v>608</v>
      </c>
      <c r="B308" s="13" t="s">
        <v>607</v>
      </c>
      <c r="C308" s="13" t="s">
        <v>1427</v>
      </c>
      <c r="D308" s="13" t="s">
        <v>59</v>
      </c>
      <c r="E308" s="13" t="s">
        <v>843</v>
      </c>
      <c r="F308" s="13" t="s">
        <v>844</v>
      </c>
      <c r="G308" s="63" t="n">
        <v>31939895635</v>
      </c>
      <c r="H308" s="13" t="s">
        <v>1417</v>
      </c>
      <c r="I308" s="13"/>
      <c r="J308" s="13" t="s">
        <v>1446</v>
      </c>
      <c r="K308" s="13" t="s">
        <v>619</v>
      </c>
      <c r="L308" s="13" t="s">
        <v>1420</v>
      </c>
      <c r="M308" s="13"/>
    </row>
    <row r="309" customFormat="false" ht="15" hidden="false" customHeight="false" outlineLevel="0" collapsed="false">
      <c r="A309" s="13" t="s">
        <v>608</v>
      </c>
      <c r="B309" s="13" t="s">
        <v>607</v>
      </c>
      <c r="C309" s="13" t="s">
        <v>1416</v>
      </c>
      <c r="D309" s="13" t="s">
        <v>59</v>
      </c>
      <c r="E309" s="13" t="s">
        <v>846</v>
      </c>
      <c r="F309" s="13" t="s">
        <v>430</v>
      </c>
      <c r="G309" s="63" t="n">
        <v>51066744727</v>
      </c>
      <c r="H309" s="13" t="s">
        <v>1417</v>
      </c>
      <c r="I309" s="13"/>
      <c r="J309" s="13"/>
      <c r="K309" s="13" t="s">
        <v>1419</v>
      </c>
      <c r="L309" s="13" t="s">
        <v>1420</v>
      </c>
      <c r="M309" s="13" t="s">
        <v>1428</v>
      </c>
    </row>
    <row r="310" customFormat="false" ht="15" hidden="false" customHeight="false" outlineLevel="0" collapsed="false">
      <c r="A310" s="13" t="s">
        <v>608</v>
      </c>
      <c r="B310" s="13" t="s">
        <v>607</v>
      </c>
      <c r="C310" s="13" t="s">
        <v>1421</v>
      </c>
      <c r="D310" s="13" t="s">
        <v>59</v>
      </c>
      <c r="E310" s="13" t="s">
        <v>846</v>
      </c>
      <c r="F310" s="13" t="s">
        <v>430</v>
      </c>
      <c r="G310" s="63" t="n">
        <v>129153006388</v>
      </c>
      <c r="H310" s="13" t="s">
        <v>1417</v>
      </c>
      <c r="I310" s="13"/>
      <c r="J310" s="13"/>
      <c r="K310" s="13" t="s">
        <v>1422</v>
      </c>
      <c r="L310" s="13" t="s">
        <v>1420</v>
      </c>
      <c r="M310" s="13" t="s">
        <v>1428</v>
      </c>
    </row>
    <row r="311" customFormat="false" ht="15" hidden="false" customHeight="false" outlineLevel="0" collapsed="false">
      <c r="A311" s="13" t="s">
        <v>608</v>
      </c>
      <c r="B311" s="13" t="s">
        <v>607</v>
      </c>
      <c r="C311" s="13" t="s">
        <v>1423</v>
      </c>
      <c r="D311" s="13" t="s">
        <v>59</v>
      </c>
      <c r="E311" s="13" t="s">
        <v>846</v>
      </c>
      <c r="F311" s="13" t="s">
        <v>430</v>
      </c>
      <c r="G311" s="63" t="n">
        <v>129725831860</v>
      </c>
      <c r="H311" s="13" t="s">
        <v>1417</v>
      </c>
      <c r="I311" s="13"/>
      <c r="J311" s="13"/>
      <c r="K311" s="13" t="s">
        <v>1425</v>
      </c>
      <c r="L311" s="13" t="s">
        <v>1426</v>
      </c>
      <c r="M311" s="13" t="s">
        <v>1428</v>
      </c>
    </row>
    <row r="312" customFormat="false" ht="15" hidden="false" customHeight="false" outlineLevel="0" collapsed="false">
      <c r="A312" s="13" t="s">
        <v>608</v>
      </c>
      <c r="B312" s="13" t="s">
        <v>607</v>
      </c>
      <c r="C312" s="13" t="s">
        <v>1427</v>
      </c>
      <c r="D312" s="13" t="s">
        <v>59</v>
      </c>
      <c r="E312" s="13" t="s">
        <v>846</v>
      </c>
      <c r="F312" s="13" t="s">
        <v>430</v>
      </c>
      <c r="G312" s="63" t="n">
        <v>206502140128</v>
      </c>
      <c r="H312" s="13" t="s">
        <v>1417</v>
      </c>
      <c r="I312" s="13"/>
      <c r="J312" s="13"/>
      <c r="K312" s="13" t="s">
        <v>619</v>
      </c>
      <c r="L312" s="13" t="s">
        <v>1420</v>
      </c>
      <c r="M312" s="13" t="s">
        <v>1428</v>
      </c>
    </row>
    <row r="313" customFormat="false" ht="15" hidden="false" customHeight="false" outlineLevel="0" collapsed="false">
      <c r="A313" s="13" t="s">
        <v>608</v>
      </c>
      <c r="B313" s="13" t="s">
        <v>607</v>
      </c>
      <c r="C313" s="13" t="s">
        <v>1416</v>
      </c>
      <c r="D313" s="13" t="s">
        <v>59</v>
      </c>
      <c r="E313" s="13" t="s">
        <v>847</v>
      </c>
      <c r="F313" s="13" t="s">
        <v>432</v>
      </c>
      <c r="G313" s="63" t="n">
        <v>0</v>
      </c>
      <c r="H313" s="13" t="s">
        <v>1417</v>
      </c>
      <c r="I313" s="13"/>
      <c r="J313" s="13" t="s">
        <v>1440</v>
      </c>
      <c r="K313" s="13" t="s">
        <v>1419</v>
      </c>
      <c r="L313" s="13" t="s">
        <v>1420</v>
      </c>
      <c r="M313" s="13"/>
    </row>
    <row r="314" customFormat="false" ht="15" hidden="false" customHeight="false" outlineLevel="0" collapsed="false">
      <c r="A314" s="13" t="s">
        <v>608</v>
      </c>
      <c r="B314" s="13" t="s">
        <v>607</v>
      </c>
      <c r="C314" s="13" t="s">
        <v>1421</v>
      </c>
      <c r="D314" s="13" t="s">
        <v>59</v>
      </c>
      <c r="E314" s="13" t="s">
        <v>847</v>
      </c>
      <c r="F314" s="13" t="s">
        <v>432</v>
      </c>
      <c r="G314" s="63" t="n">
        <v>0</v>
      </c>
      <c r="H314" s="13" t="s">
        <v>1417</v>
      </c>
      <c r="I314" s="13"/>
      <c r="J314" s="13" t="s">
        <v>1440</v>
      </c>
      <c r="K314" s="13" t="s">
        <v>1422</v>
      </c>
      <c r="L314" s="13" t="s">
        <v>1420</v>
      </c>
      <c r="M314" s="13"/>
    </row>
    <row r="315" customFormat="false" ht="15" hidden="false" customHeight="false" outlineLevel="0" collapsed="false">
      <c r="A315" s="13" t="s">
        <v>608</v>
      </c>
      <c r="B315" s="13" t="s">
        <v>607</v>
      </c>
      <c r="C315" s="13" t="s">
        <v>1423</v>
      </c>
      <c r="D315" s="13" t="s">
        <v>59</v>
      </c>
      <c r="E315" s="13" t="s">
        <v>847</v>
      </c>
      <c r="F315" s="13" t="s">
        <v>432</v>
      </c>
      <c r="G315" s="63" t="n">
        <v>3558610</v>
      </c>
      <c r="H315" s="13" t="s">
        <v>1417</v>
      </c>
      <c r="I315" s="13"/>
      <c r="J315" s="13" t="s">
        <v>1441</v>
      </c>
      <c r="K315" s="13" t="s">
        <v>1425</v>
      </c>
      <c r="L315" s="13" t="s">
        <v>1426</v>
      </c>
      <c r="M315" s="13"/>
    </row>
    <row r="316" customFormat="false" ht="15" hidden="false" customHeight="false" outlineLevel="0" collapsed="false">
      <c r="A316" s="13" t="s">
        <v>608</v>
      </c>
      <c r="B316" s="13" t="s">
        <v>607</v>
      </c>
      <c r="C316" s="13" t="s">
        <v>1427</v>
      </c>
      <c r="D316" s="13" t="s">
        <v>59</v>
      </c>
      <c r="E316" s="13" t="s">
        <v>847</v>
      </c>
      <c r="F316" s="13" t="s">
        <v>432</v>
      </c>
      <c r="G316" s="63" t="n">
        <v>3850792</v>
      </c>
      <c r="H316" s="13" t="s">
        <v>1417</v>
      </c>
      <c r="I316" s="13"/>
      <c r="J316" s="13" t="s">
        <v>1441</v>
      </c>
      <c r="K316" s="13" t="s">
        <v>619</v>
      </c>
      <c r="L316" s="13" t="s">
        <v>1420</v>
      </c>
      <c r="M316" s="13"/>
    </row>
    <row r="317" customFormat="false" ht="15" hidden="false" customHeight="false" outlineLevel="0" collapsed="false">
      <c r="A317" s="13" t="s">
        <v>608</v>
      </c>
      <c r="B317" s="13" t="s">
        <v>607</v>
      </c>
      <c r="C317" s="13" t="s">
        <v>1416</v>
      </c>
      <c r="D317" s="13" t="s">
        <v>59</v>
      </c>
      <c r="E317" s="13" t="s">
        <v>849</v>
      </c>
      <c r="F317" s="13" t="s">
        <v>435</v>
      </c>
      <c r="G317" s="63" t="n">
        <v>51066744727</v>
      </c>
      <c r="H317" s="13" t="s">
        <v>1417</v>
      </c>
      <c r="I317" s="13"/>
      <c r="J317" s="13"/>
      <c r="K317" s="13" t="s">
        <v>1419</v>
      </c>
      <c r="L317" s="13" t="s">
        <v>1420</v>
      </c>
      <c r="M317" s="13" t="s">
        <v>1428</v>
      </c>
    </row>
    <row r="318" customFormat="false" ht="15" hidden="false" customHeight="false" outlineLevel="0" collapsed="false">
      <c r="A318" s="13" t="s">
        <v>608</v>
      </c>
      <c r="B318" s="13" t="s">
        <v>607</v>
      </c>
      <c r="C318" s="13" t="s">
        <v>1421</v>
      </c>
      <c r="D318" s="13" t="s">
        <v>59</v>
      </c>
      <c r="E318" s="13" t="s">
        <v>849</v>
      </c>
      <c r="F318" s="13" t="s">
        <v>435</v>
      </c>
      <c r="G318" s="63" t="n">
        <v>129153006388</v>
      </c>
      <c r="H318" s="13" t="s">
        <v>1417</v>
      </c>
      <c r="I318" s="13"/>
      <c r="J318" s="13"/>
      <c r="K318" s="13" t="s">
        <v>1422</v>
      </c>
      <c r="L318" s="13" t="s">
        <v>1420</v>
      </c>
      <c r="M318" s="13" t="s">
        <v>1428</v>
      </c>
    </row>
    <row r="319" customFormat="false" ht="15" hidden="false" customHeight="false" outlineLevel="0" collapsed="false">
      <c r="A319" s="13" t="s">
        <v>608</v>
      </c>
      <c r="B319" s="13" t="s">
        <v>607</v>
      </c>
      <c r="C319" s="13" t="s">
        <v>1423</v>
      </c>
      <c r="D319" s="13" t="s">
        <v>59</v>
      </c>
      <c r="E319" s="13" t="s">
        <v>849</v>
      </c>
      <c r="F319" s="13" t="s">
        <v>435</v>
      </c>
      <c r="G319" s="63" t="n">
        <v>129729390470</v>
      </c>
      <c r="H319" s="13" t="s">
        <v>1417</v>
      </c>
      <c r="I319" s="13"/>
      <c r="J319" s="13"/>
      <c r="K319" s="13" t="s">
        <v>1425</v>
      </c>
      <c r="L319" s="13" t="s">
        <v>1426</v>
      </c>
      <c r="M319" s="13" t="s">
        <v>1428</v>
      </c>
    </row>
    <row r="320" customFormat="false" ht="15" hidden="false" customHeight="false" outlineLevel="0" collapsed="false">
      <c r="A320" s="13" t="s">
        <v>608</v>
      </c>
      <c r="B320" s="13" t="s">
        <v>607</v>
      </c>
      <c r="C320" s="13" t="s">
        <v>1427</v>
      </c>
      <c r="D320" s="13" t="s">
        <v>59</v>
      </c>
      <c r="E320" s="13" t="s">
        <v>849</v>
      </c>
      <c r="F320" s="13" t="s">
        <v>435</v>
      </c>
      <c r="G320" s="63" t="n">
        <v>206505990920</v>
      </c>
      <c r="H320" s="13" t="s">
        <v>1417</v>
      </c>
      <c r="I320" s="13"/>
      <c r="J320" s="13"/>
      <c r="K320" s="13" t="s">
        <v>619</v>
      </c>
      <c r="L320" s="13" t="s">
        <v>1420</v>
      </c>
      <c r="M320" s="13" t="s">
        <v>1428</v>
      </c>
    </row>
    <row r="321" customFormat="false" ht="15" hidden="false" customHeight="false" outlineLevel="0" collapsed="false">
      <c r="A321" s="13" t="s">
        <v>608</v>
      </c>
      <c r="B321" s="13" t="s">
        <v>607</v>
      </c>
      <c r="C321" s="13" t="s">
        <v>1416</v>
      </c>
      <c r="D321" s="13" t="s">
        <v>59</v>
      </c>
      <c r="E321" s="13" t="s">
        <v>850</v>
      </c>
      <c r="F321" s="13" t="s">
        <v>437</v>
      </c>
      <c r="G321" s="63" t="n">
        <v>159993389251</v>
      </c>
      <c r="H321" s="13" t="s">
        <v>1417</v>
      </c>
      <c r="I321" s="13"/>
      <c r="J321" s="13"/>
      <c r="K321" s="13" t="s">
        <v>1419</v>
      </c>
      <c r="L321" s="13" t="s">
        <v>1420</v>
      </c>
      <c r="M321" s="13" t="s">
        <v>1428</v>
      </c>
    </row>
    <row r="322" customFormat="false" ht="15" hidden="false" customHeight="false" outlineLevel="0" collapsed="false">
      <c r="A322" s="13" t="s">
        <v>608</v>
      </c>
      <c r="B322" s="13" t="s">
        <v>607</v>
      </c>
      <c r="C322" s="13" t="s">
        <v>1421</v>
      </c>
      <c r="D322" s="13" t="s">
        <v>59</v>
      </c>
      <c r="E322" s="13" t="s">
        <v>850</v>
      </c>
      <c r="F322" s="13" t="s">
        <v>437</v>
      </c>
      <c r="G322" s="63" t="n">
        <v>300669892837</v>
      </c>
      <c r="H322" s="13" t="s">
        <v>1417</v>
      </c>
      <c r="I322" s="13"/>
      <c r="J322" s="13"/>
      <c r="K322" s="13" t="s">
        <v>1422</v>
      </c>
      <c r="L322" s="13" t="s">
        <v>1420</v>
      </c>
      <c r="M322" s="13" t="s">
        <v>1428</v>
      </c>
    </row>
    <row r="323" customFormat="false" ht="15" hidden="false" customHeight="false" outlineLevel="0" collapsed="false">
      <c r="A323" s="13" t="s">
        <v>608</v>
      </c>
      <c r="B323" s="13" t="s">
        <v>607</v>
      </c>
      <c r="C323" s="13" t="s">
        <v>1423</v>
      </c>
      <c r="D323" s="13" t="s">
        <v>59</v>
      </c>
      <c r="E323" s="13" t="s">
        <v>850</v>
      </c>
      <c r="F323" s="13" t="s">
        <v>437</v>
      </c>
      <c r="G323" s="63" t="n">
        <v>268100239912</v>
      </c>
      <c r="H323" s="13" t="s">
        <v>1417</v>
      </c>
      <c r="I323" s="13"/>
      <c r="J323" s="13"/>
      <c r="K323" s="13" t="s">
        <v>1425</v>
      </c>
      <c r="L323" s="13" t="s">
        <v>1426</v>
      </c>
      <c r="M323" s="13" t="s">
        <v>1428</v>
      </c>
    </row>
    <row r="324" customFormat="false" ht="15" hidden="false" customHeight="false" outlineLevel="0" collapsed="false">
      <c r="A324" s="13" t="s">
        <v>608</v>
      </c>
      <c r="B324" s="13" t="s">
        <v>607</v>
      </c>
      <c r="C324" s="13" t="s">
        <v>1427</v>
      </c>
      <c r="D324" s="13" t="s">
        <v>59</v>
      </c>
      <c r="E324" s="13" t="s">
        <v>850</v>
      </c>
      <c r="F324" s="13" t="s">
        <v>437</v>
      </c>
      <c r="G324" s="63" t="n">
        <v>330212870495</v>
      </c>
      <c r="H324" s="13" t="s">
        <v>1417</v>
      </c>
      <c r="I324" s="13"/>
      <c r="J324" s="13"/>
      <c r="K324" s="13" t="s">
        <v>619</v>
      </c>
      <c r="L324" s="13" t="s">
        <v>1420</v>
      </c>
      <c r="M324" s="13" t="s">
        <v>1428</v>
      </c>
    </row>
    <row r="325" customFormat="false" ht="15" hidden="false" customHeight="false" outlineLevel="0" collapsed="false">
      <c r="A325" s="13" t="s">
        <v>608</v>
      </c>
      <c r="B325" s="13" t="s">
        <v>607</v>
      </c>
      <c r="C325" s="13" t="s">
        <v>1416</v>
      </c>
      <c r="D325" s="13" t="s">
        <v>59</v>
      </c>
      <c r="E325" s="13" t="s">
        <v>852</v>
      </c>
      <c r="F325" s="13" t="s">
        <v>853</v>
      </c>
      <c r="G325" s="63" t="n">
        <v>0</v>
      </c>
      <c r="H325" s="13" t="s">
        <v>1417</v>
      </c>
      <c r="I325" s="13"/>
      <c r="J325" s="13"/>
      <c r="K325" s="13" t="s">
        <v>1419</v>
      </c>
      <c r="L325" s="13" t="s">
        <v>1420</v>
      </c>
      <c r="M325" s="13"/>
    </row>
    <row r="326" customFormat="false" ht="15" hidden="false" customHeight="false" outlineLevel="0" collapsed="false">
      <c r="A326" s="13" t="s">
        <v>608</v>
      </c>
      <c r="B326" s="13" t="s">
        <v>607</v>
      </c>
      <c r="C326" s="13" t="s">
        <v>1421</v>
      </c>
      <c r="D326" s="13" t="s">
        <v>59</v>
      </c>
      <c r="E326" s="13" t="s">
        <v>852</v>
      </c>
      <c r="F326" s="13" t="s">
        <v>853</v>
      </c>
      <c r="G326" s="63" t="n">
        <v>0</v>
      </c>
      <c r="H326" s="13" t="s">
        <v>1417</v>
      </c>
      <c r="I326" s="13"/>
      <c r="J326" s="13"/>
      <c r="K326" s="13" t="s">
        <v>1422</v>
      </c>
      <c r="L326" s="13" t="s">
        <v>1420</v>
      </c>
      <c r="M326" s="13"/>
    </row>
    <row r="327" customFormat="false" ht="15" hidden="false" customHeight="false" outlineLevel="0" collapsed="false">
      <c r="A327" s="13" t="s">
        <v>608</v>
      </c>
      <c r="B327" s="13" t="s">
        <v>607</v>
      </c>
      <c r="C327" s="13" t="s">
        <v>1423</v>
      </c>
      <c r="D327" s="13" t="s">
        <v>59</v>
      </c>
      <c r="E327" s="13" t="s">
        <v>852</v>
      </c>
      <c r="F327" s="13" t="s">
        <v>853</v>
      </c>
      <c r="G327" s="63" t="n">
        <v>100000000</v>
      </c>
      <c r="H327" s="13" t="s">
        <v>1417</v>
      </c>
      <c r="I327" s="13"/>
      <c r="J327" s="13" t="s">
        <v>1441</v>
      </c>
      <c r="K327" s="13" t="s">
        <v>1425</v>
      </c>
      <c r="L327" s="13" t="s">
        <v>1426</v>
      </c>
      <c r="M327" s="13"/>
    </row>
    <row r="328" customFormat="false" ht="15" hidden="false" customHeight="false" outlineLevel="0" collapsed="false">
      <c r="A328" s="13" t="s">
        <v>608</v>
      </c>
      <c r="B328" s="13" t="s">
        <v>607</v>
      </c>
      <c r="C328" s="13" t="s">
        <v>1427</v>
      </c>
      <c r="D328" s="13" t="s">
        <v>59</v>
      </c>
      <c r="E328" s="13" t="s">
        <v>852</v>
      </c>
      <c r="F328" s="13" t="s">
        <v>853</v>
      </c>
      <c r="G328" s="63" t="n">
        <v>100000000</v>
      </c>
      <c r="H328" s="13" t="s">
        <v>1417</v>
      </c>
      <c r="I328" s="13"/>
      <c r="J328" s="13" t="s">
        <v>1441</v>
      </c>
      <c r="K328" s="13" t="s">
        <v>619</v>
      </c>
      <c r="L328" s="13" t="s">
        <v>1420</v>
      </c>
      <c r="M328" s="13"/>
    </row>
    <row r="329" customFormat="false" ht="15" hidden="false" customHeight="false" outlineLevel="0" collapsed="false">
      <c r="A329" s="13" t="s">
        <v>608</v>
      </c>
      <c r="B329" s="13" t="s">
        <v>607</v>
      </c>
      <c r="C329" s="13" t="s">
        <v>1416</v>
      </c>
      <c r="D329" s="13" t="s">
        <v>59</v>
      </c>
      <c r="E329" s="13" t="s">
        <v>855</v>
      </c>
      <c r="F329" s="13" t="s">
        <v>856</v>
      </c>
      <c r="G329" s="63" t="n">
        <v>19541167852</v>
      </c>
      <c r="H329" s="13" t="s">
        <v>1417</v>
      </c>
      <c r="I329" s="13"/>
      <c r="J329" s="13" t="s">
        <v>1440</v>
      </c>
      <c r="K329" s="13" t="s">
        <v>1419</v>
      </c>
      <c r="L329" s="13" t="s">
        <v>1420</v>
      </c>
      <c r="M329" s="13"/>
    </row>
    <row r="330" customFormat="false" ht="15" hidden="false" customHeight="false" outlineLevel="0" collapsed="false">
      <c r="A330" s="13" t="s">
        <v>608</v>
      </c>
      <c r="B330" s="13" t="s">
        <v>607</v>
      </c>
      <c r="C330" s="13" t="s">
        <v>1421</v>
      </c>
      <c r="D330" s="13" t="s">
        <v>59</v>
      </c>
      <c r="E330" s="13" t="s">
        <v>855</v>
      </c>
      <c r="F330" s="13" t="s">
        <v>856</v>
      </c>
      <c r="G330" s="63" t="n">
        <v>23080884249</v>
      </c>
      <c r="H330" s="13" t="s">
        <v>1417</v>
      </c>
      <c r="I330" s="13"/>
      <c r="J330" s="13" t="s">
        <v>1440</v>
      </c>
      <c r="K330" s="13" t="s">
        <v>1422</v>
      </c>
      <c r="L330" s="13" t="s">
        <v>1420</v>
      </c>
      <c r="M330" s="13"/>
    </row>
    <row r="331" customFormat="false" ht="15" hidden="false" customHeight="false" outlineLevel="0" collapsed="false">
      <c r="A331" s="13" t="s">
        <v>608</v>
      </c>
      <c r="B331" s="13" t="s">
        <v>607</v>
      </c>
      <c r="C331" s="13" t="s">
        <v>1423</v>
      </c>
      <c r="D331" s="13" t="s">
        <v>59</v>
      </c>
      <c r="E331" s="13" t="s">
        <v>855</v>
      </c>
      <c r="F331" s="13" t="s">
        <v>856</v>
      </c>
      <c r="G331" s="63" t="n">
        <v>25818247522</v>
      </c>
      <c r="H331" s="13" t="s">
        <v>1417</v>
      </c>
      <c r="I331" s="13"/>
      <c r="J331" s="13" t="s">
        <v>1441</v>
      </c>
      <c r="K331" s="13" t="s">
        <v>1425</v>
      </c>
      <c r="L331" s="13" t="s">
        <v>1426</v>
      </c>
      <c r="M331" s="13"/>
    </row>
    <row r="332" customFormat="false" ht="15" hidden="false" customHeight="false" outlineLevel="0" collapsed="false">
      <c r="A332" s="13" t="s">
        <v>608</v>
      </c>
      <c r="B332" s="13" t="s">
        <v>607</v>
      </c>
      <c r="C332" s="13" t="s">
        <v>1427</v>
      </c>
      <c r="D332" s="13" t="s">
        <v>59</v>
      </c>
      <c r="E332" s="13" t="s">
        <v>855</v>
      </c>
      <c r="F332" s="13" t="s">
        <v>856</v>
      </c>
      <c r="G332" s="63" t="n">
        <v>31839895635</v>
      </c>
      <c r="H332" s="13" t="s">
        <v>1417</v>
      </c>
      <c r="I332" s="13"/>
      <c r="J332" s="13" t="s">
        <v>1441</v>
      </c>
      <c r="K332" s="13" t="s">
        <v>619</v>
      </c>
      <c r="L332" s="13" t="s">
        <v>1420</v>
      </c>
      <c r="M332" s="13"/>
    </row>
    <row r="333" customFormat="false" ht="15" hidden="false" customHeight="false" outlineLevel="0" collapsed="false">
      <c r="A333" s="13" t="s">
        <v>608</v>
      </c>
      <c r="B333" s="13" t="s">
        <v>607</v>
      </c>
      <c r="C333" s="13" t="s">
        <v>1416</v>
      </c>
      <c r="D333" s="13" t="s">
        <v>59</v>
      </c>
      <c r="E333" s="13" t="s">
        <v>859</v>
      </c>
      <c r="F333" s="13" t="s">
        <v>860</v>
      </c>
      <c r="G333" s="63" t="n">
        <v>45616358950</v>
      </c>
      <c r="H333" s="13" t="s">
        <v>1417</v>
      </c>
      <c r="I333" s="13"/>
      <c r="J333" s="13" t="s">
        <v>1440</v>
      </c>
      <c r="K333" s="13" t="s">
        <v>1419</v>
      </c>
      <c r="L333" s="13" t="s">
        <v>1420</v>
      </c>
      <c r="M333" s="13"/>
    </row>
    <row r="334" customFormat="false" ht="15" hidden="false" customHeight="false" outlineLevel="0" collapsed="false">
      <c r="A334" s="13" t="s">
        <v>608</v>
      </c>
      <c r="B334" s="13" t="s">
        <v>607</v>
      </c>
      <c r="C334" s="13" t="s">
        <v>1421</v>
      </c>
      <c r="D334" s="13" t="s">
        <v>59</v>
      </c>
      <c r="E334" s="13" t="s">
        <v>859</v>
      </c>
      <c r="F334" s="13" t="s">
        <v>860</v>
      </c>
      <c r="G334" s="63" t="n">
        <v>27900026054</v>
      </c>
      <c r="H334" s="13" t="s">
        <v>1417</v>
      </c>
      <c r="I334" s="13"/>
      <c r="J334" s="13" t="s">
        <v>1440</v>
      </c>
      <c r="K334" s="13" t="s">
        <v>1422</v>
      </c>
      <c r="L334" s="13" t="s">
        <v>1420</v>
      </c>
      <c r="M334" s="13"/>
    </row>
    <row r="335" customFormat="false" ht="15" hidden="false" customHeight="false" outlineLevel="0" collapsed="false">
      <c r="A335" s="13" t="s">
        <v>608</v>
      </c>
      <c r="B335" s="13" t="s">
        <v>607</v>
      </c>
      <c r="C335" s="13" t="s">
        <v>1423</v>
      </c>
      <c r="D335" s="13" t="s">
        <v>59</v>
      </c>
      <c r="E335" s="13" t="s">
        <v>859</v>
      </c>
      <c r="F335" s="13" t="s">
        <v>860</v>
      </c>
      <c r="G335" s="63" t="n">
        <v>35092527104</v>
      </c>
      <c r="H335" s="13" t="s">
        <v>1417</v>
      </c>
      <c r="I335" s="13"/>
      <c r="J335" s="13" t="s">
        <v>1441</v>
      </c>
      <c r="K335" s="13" t="s">
        <v>1425</v>
      </c>
      <c r="L335" s="13" t="s">
        <v>1426</v>
      </c>
      <c r="M335" s="13"/>
    </row>
    <row r="336" customFormat="false" ht="15" hidden="false" customHeight="false" outlineLevel="0" collapsed="false">
      <c r="A336" s="13" t="s">
        <v>608</v>
      </c>
      <c r="B336" s="13" t="s">
        <v>607</v>
      </c>
      <c r="C336" s="13" t="s">
        <v>1427</v>
      </c>
      <c r="D336" s="13" t="s">
        <v>59</v>
      </c>
      <c r="E336" s="13" t="s">
        <v>859</v>
      </c>
      <c r="F336" s="13" t="s">
        <v>860</v>
      </c>
      <c r="G336" s="63" t="n">
        <v>39344852624</v>
      </c>
      <c r="H336" s="13" t="s">
        <v>1417</v>
      </c>
      <c r="I336" s="13"/>
      <c r="J336" s="13" t="s">
        <v>1441</v>
      </c>
      <c r="K336" s="13" t="s">
        <v>619</v>
      </c>
      <c r="L336" s="13" t="s">
        <v>1420</v>
      </c>
      <c r="M336" s="13"/>
    </row>
    <row r="337" customFormat="false" ht="15" hidden="false" customHeight="false" outlineLevel="0" collapsed="false">
      <c r="A337" s="13" t="s">
        <v>608</v>
      </c>
      <c r="B337" s="13" t="s">
        <v>607</v>
      </c>
      <c r="C337" s="13" t="s">
        <v>1416</v>
      </c>
      <c r="D337" s="13" t="s">
        <v>59</v>
      </c>
      <c r="E337" s="13" t="s">
        <v>862</v>
      </c>
      <c r="F337" s="13" t="s">
        <v>863</v>
      </c>
      <c r="G337" s="63" t="n">
        <v>114377030301</v>
      </c>
      <c r="H337" s="13" t="s">
        <v>1417</v>
      </c>
      <c r="I337" s="13"/>
      <c r="J337" s="13" t="s">
        <v>1440</v>
      </c>
      <c r="K337" s="13" t="s">
        <v>1419</v>
      </c>
      <c r="L337" s="13" t="s">
        <v>1420</v>
      </c>
      <c r="M337" s="13"/>
    </row>
    <row r="338" customFormat="false" ht="15" hidden="false" customHeight="false" outlineLevel="0" collapsed="false">
      <c r="A338" s="13" t="s">
        <v>608</v>
      </c>
      <c r="B338" s="13" t="s">
        <v>607</v>
      </c>
      <c r="C338" s="13" t="s">
        <v>1421</v>
      </c>
      <c r="D338" s="13" t="s">
        <v>59</v>
      </c>
      <c r="E338" s="13" t="s">
        <v>862</v>
      </c>
      <c r="F338" s="13" t="s">
        <v>863</v>
      </c>
      <c r="G338" s="63" t="n">
        <v>272769866783</v>
      </c>
      <c r="H338" s="13" t="s">
        <v>1417</v>
      </c>
      <c r="I338" s="13"/>
      <c r="J338" s="13" t="s">
        <v>1440</v>
      </c>
      <c r="K338" s="13" t="s">
        <v>1422</v>
      </c>
      <c r="L338" s="13" t="s">
        <v>1420</v>
      </c>
      <c r="M338" s="13"/>
    </row>
    <row r="339" customFormat="false" ht="15" hidden="false" customHeight="false" outlineLevel="0" collapsed="false">
      <c r="A339" s="13" t="s">
        <v>608</v>
      </c>
      <c r="B339" s="13" t="s">
        <v>607</v>
      </c>
      <c r="C339" s="13" t="s">
        <v>1423</v>
      </c>
      <c r="D339" s="13" t="s">
        <v>59</v>
      </c>
      <c r="E339" s="13" t="s">
        <v>862</v>
      </c>
      <c r="F339" s="13" t="s">
        <v>863</v>
      </c>
      <c r="G339" s="63" t="n">
        <v>233007712808</v>
      </c>
      <c r="H339" s="13" t="s">
        <v>1417</v>
      </c>
      <c r="I339" s="13"/>
      <c r="J339" s="13" t="s">
        <v>1441</v>
      </c>
      <c r="K339" s="13" t="s">
        <v>1425</v>
      </c>
      <c r="L339" s="13" t="s">
        <v>1426</v>
      </c>
      <c r="M339" s="13"/>
    </row>
    <row r="340" customFormat="false" ht="15" hidden="false" customHeight="false" outlineLevel="0" collapsed="false">
      <c r="A340" s="13" t="s">
        <v>608</v>
      </c>
      <c r="B340" s="13" t="s">
        <v>607</v>
      </c>
      <c r="C340" s="13" t="s">
        <v>1427</v>
      </c>
      <c r="D340" s="13" t="s">
        <v>59</v>
      </c>
      <c r="E340" s="13" t="s">
        <v>862</v>
      </c>
      <c r="F340" s="13" t="s">
        <v>863</v>
      </c>
      <c r="G340" s="63" t="n">
        <v>290868017871</v>
      </c>
      <c r="H340" s="13" t="s">
        <v>1417</v>
      </c>
      <c r="I340" s="13"/>
      <c r="J340" s="13" t="s">
        <v>1441</v>
      </c>
      <c r="K340" s="13" t="s">
        <v>619</v>
      </c>
      <c r="L340" s="13" t="s">
        <v>1420</v>
      </c>
      <c r="M340" s="13"/>
    </row>
    <row r="341" customFormat="false" ht="15" hidden="false" customHeight="false" outlineLevel="0" collapsed="false">
      <c r="A341" s="13" t="s">
        <v>608</v>
      </c>
      <c r="B341" s="13" t="s">
        <v>607</v>
      </c>
      <c r="C341" s="13" t="s">
        <v>1416</v>
      </c>
      <c r="D341" s="13" t="s">
        <v>59</v>
      </c>
      <c r="E341" s="13" t="s">
        <v>865</v>
      </c>
      <c r="F341" s="13" t="s">
        <v>866</v>
      </c>
      <c r="G341" s="63" t="n">
        <v>159993389251</v>
      </c>
      <c r="H341" s="13" t="s">
        <v>1417</v>
      </c>
      <c r="I341" s="13"/>
      <c r="J341" s="13" t="s">
        <v>1440</v>
      </c>
      <c r="K341" s="13" t="s">
        <v>1419</v>
      </c>
      <c r="L341" s="13" t="s">
        <v>1420</v>
      </c>
      <c r="M341" s="13"/>
    </row>
    <row r="342" customFormat="false" ht="15" hidden="false" customHeight="false" outlineLevel="0" collapsed="false">
      <c r="A342" s="13" t="s">
        <v>608</v>
      </c>
      <c r="B342" s="13" t="s">
        <v>607</v>
      </c>
      <c r="C342" s="13" t="s">
        <v>1421</v>
      </c>
      <c r="D342" s="13" t="s">
        <v>59</v>
      </c>
      <c r="E342" s="13" t="s">
        <v>865</v>
      </c>
      <c r="F342" s="13" t="s">
        <v>866</v>
      </c>
      <c r="G342" s="63" t="n">
        <v>300669892837</v>
      </c>
      <c r="H342" s="13" t="s">
        <v>1417</v>
      </c>
      <c r="I342" s="13"/>
      <c r="J342" s="13" t="s">
        <v>1440</v>
      </c>
      <c r="K342" s="13" t="s">
        <v>1422</v>
      </c>
      <c r="L342" s="13" t="s">
        <v>1420</v>
      </c>
      <c r="M342" s="13"/>
    </row>
    <row r="343" customFormat="false" ht="15" hidden="false" customHeight="false" outlineLevel="0" collapsed="false">
      <c r="A343" s="13" t="s">
        <v>608</v>
      </c>
      <c r="B343" s="13" t="s">
        <v>607</v>
      </c>
      <c r="C343" s="13" t="s">
        <v>1423</v>
      </c>
      <c r="D343" s="13" t="s">
        <v>59</v>
      </c>
      <c r="E343" s="13" t="s">
        <v>865</v>
      </c>
      <c r="F343" s="13" t="s">
        <v>866</v>
      </c>
      <c r="G343" s="63" t="n">
        <v>268100239912</v>
      </c>
      <c r="H343" s="13" t="s">
        <v>1417</v>
      </c>
      <c r="I343" s="13"/>
      <c r="J343" s="13" t="s">
        <v>1441</v>
      </c>
      <c r="K343" s="13" t="s">
        <v>1425</v>
      </c>
      <c r="L343" s="13" t="s">
        <v>1426</v>
      </c>
      <c r="M343" s="13"/>
    </row>
    <row r="344" customFormat="false" ht="15" hidden="false" customHeight="false" outlineLevel="0" collapsed="false">
      <c r="A344" s="13" t="s">
        <v>608</v>
      </c>
      <c r="B344" s="13" t="s">
        <v>607</v>
      </c>
      <c r="C344" s="13" t="s">
        <v>1427</v>
      </c>
      <c r="D344" s="13" t="s">
        <v>59</v>
      </c>
      <c r="E344" s="13" t="s">
        <v>865</v>
      </c>
      <c r="F344" s="13" t="s">
        <v>866</v>
      </c>
      <c r="G344" s="63" t="n">
        <v>330212870495</v>
      </c>
      <c r="H344" s="13" t="s">
        <v>1417</v>
      </c>
      <c r="I344" s="13"/>
      <c r="J344" s="13" t="s">
        <v>1441</v>
      </c>
      <c r="K344" s="13" t="s">
        <v>619</v>
      </c>
      <c r="L344" s="13" t="s">
        <v>1420</v>
      </c>
      <c r="M344" s="13"/>
    </row>
    <row r="345" customFormat="false" ht="15" hidden="false" customHeight="false" outlineLevel="0" collapsed="false">
      <c r="A345" s="13" t="s">
        <v>608</v>
      </c>
      <c r="B345" s="13" t="s">
        <v>607</v>
      </c>
      <c r="C345" s="13" t="s">
        <v>1416</v>
      </c>
      <c r="D345" s="13" t="s">
        <v>59</v>
      </c>
      <c r="E345" s="13" t="s">
        <v>868</v>
      </c>
      <c r="F345" s="13" t="s">
        <v>869</v>
      </c>
      <c r="G345" s="63" t="n">
        <v>18405630017</v>
      </c>
      <c r="H345" s="13" t="s">
        <v>1417</v>
      </c>
      <c r="I345" s="13"/>
      <c r="J345" s="13" t="s">
        <v>1440</v>
      </c>
      <c r="K345" s="13" t="s">
        <v>1419</v>
      </c>
      <c r="L345" s="13" t="s">
        <v>1420</v>
      </c>
      <c r="M345" s="13"/>
    </row>
    <row r="346" customFormat="false" ht="15" hidden="false" customHeight="false" outlineLevel="0" collapsed="false">
      <c r="A346" s="13" t="s">
        <v>608</v>
      </c>
      <c r="B346" s="13" t="s">
        <v>607</v>
      </c>
      <c r="C346" s="13" t="s">
        <v>1421</v>
      </c>
      <c r="D346" s="13" t="s">
        <v>59</v>
      </c>
      <c r="E346" s="13" t="s">
        <v>868</v>
      </c>
      <c r="F346" s="13" t="s">
        <v>869</v>
      </c>
      <c r="G346" s="63" t="n">
        <v>41878923554</v>
      </c>
      <c r="H346" s="13" t="s">
        <v>1417</v>
      </c>
      <c r="I346" s="13"/>
      <c r="J346" s="13" t="s">
        <v>1440</v>
      </c>
      <c r="K346" s="13" t="s">
        <v>1422</v>
      </c>
      <c r="L346" s="13" t="s">
        <v>1420</v>
      </c>
      <c r="M346" s="13"/>
    </row>
    <row r="347" customFormat="false" ht="15" hidden="false" customHeight="false" outlineLevel="0" collapsed="false">
      <c r="A347" s="13" t="s">
        <v>608</v>
      </c>
      <c r="B347" s="13" t="s">
        <v>607</v>
      </c>
      <c r="C347" s="13" t="s">
        <v>1423</v>
      </c>
      <c r="D347" s="13" t="s">
        <v>59</v>
      </c>
      <c r="E347" s="13" t="s">
        <v>868</v>
      </c>
      <c r="F347" s="13" t="s">
        <v>869</v>
      </c>
      <c r="G347" s="63" t="n">
        <v>39650021742</v>
      </c>
      <c r="H347" s="13" t="s">
        <v>1417</v>
      </c>
      <c r="I347" s="13"/>
      <c r="J347" s="13" t="s">
        <v>1441</v>
      </c>
      <c r="K347" s="13" t="s">
        <v>1425</v>
      </c>
      <c r="L347" s="13" t="s">
        <v>1426</v>
      </c>
      <c r="M347" s="13"/>
    </row>
    <row r="348" customFormat="false" ht="15" hidden="false" customHeight="false" outlineLevel="0" collapsed="false">
      <c r="A348" s="13" t="s">
        <v>608</v>
      </c>
      <c r="B348" s="13" t="s">
        <v>607</v>
      </c>
      <c r="C348" s="13" t="s">
        <v>1427</v>
      </c>
      <c r="D348" s="13" t="s">
        <v>59</v>
      </c>
      <c r="E348" s="13" t="s">
        <v>868</v>
      </c>
      <c r="F348" s="13" t="s">
        <v>869</v>
      </c>
      <c r="G348" s="63" t="n">
        <v>32911893039</v>
      </c>
      <c r="H348" s="13" t="s">
        <v>1417</v>
      </c>
      <c r="I348" s="13"/>
      <c r="J348" s="13" t="s">
        <v>1441</v>
      </c>
      <c r="K348" s="13" t="s">
        <v>619</v>
      </c>
      <c r="L348" s="13" t="s">
        <v>1420</v>
      </c>
      <c r="M348" s="13"/>
    </row>
    <row r="349" customFormat="false" ht="15" hidden="false" customHeight="false" outlineLevel="0" collapsed="false">
      <c r="A349" s="13" t="s">
        <v>608</v>
      </c>
      <c r="B349" s="13" t="s">
        <v>607</v>
      </c>
      <c r="C349" s="13" t="s">
        <v>1416</v>
      </c>
      <c r="D349" s="13" t="s">
        <v>59</v>
      </c>
      <c r="E349" s="13" t="s">
        <v>871</v>
      </c>
      <c r="F349" s="13" t="s">
        <v>872</v>
      </c>
      <c r="G349" s="63" t="n">
        <v>90521014507</v>
      </c>
      <c r="H349" s="13" t="s">
        <v>1417</v>
      </c>
      <c r="I349" s="13"/>
      <c r="J349" s="13" t="s">
        <v>1440</v>
      </c>
      <c r="K349" s="13" t="s">
        <v>1419</v>
      </c>
      <c r="L349" s="13" t="s">
        <v>1420</v>
      </c>
      <c r="M349" s="13"/>
    </row>
    <row r="350" customFormat="false" ht="15" hidden="false" customHeight="false" outlineLevel="0" collapsed="false">
      <c r="A350" s="13" t="s">
        <v>608</v>
      </c>
      <c r="B350" s="13" t="s">
        <v>607</v>
      </c>
      <c r="C350" s="13" t="s">
        <v>1421</v>
      </c>
      <c r="D350" s="13" t="s">
        <v>59</v>
      </c>
      <c r="E350" s="13" t="s">
        <v>871</v>
      </c>
      <c r="F350" s="13" t="s">
        <v>872</v>
      </c>
      <c r="G350" s="63" t="n">
        <v>129637962895</v>
      </c>
      <c r="H350" s="13" t="s">
        <v>1417</v>
      </c>
      <c r="I350" s="13"/>
      <c r="J350" s="13" t="s">
        <v>1440</v>
      </c>
      <c r="K350" s="13" t="s">
        <v>1422</v>
      </c>
      <c r="L350" s="13" t="s">
        <v>1420</v>
      </c>
      <c r="M350" s="13"/>
    </row>
    <row r="351" customFormat="false" ht="15" hidden="false" customHeight="false" outlineLevel="0" collapsed="false">
      <c r="A351" s="13" t="s">
        <v>608</v>
      </c>
      <c r="B351" s="13" t="s">
        <v>607</v>
      </c>
      <c r="C351" s="13" t="s">
        <v>1423</v>
      </c>
      <c r="D351" s="13" t="s">
        <v>59</v>
      </c>
      <c r="E351" s="13" t="s">
        <v>871</v>
      </c>
      <c r="F351" s="13" t="s">
        <v>872</v>
      </c>
      <c r="G351" s="63" t="n">
        <v>98720827700</v>
      </c>
      <c r="H351" s="13" t="s">
        <v>1417</v>
      </c>
      <c r="I351" s="13"/>
      <c r="J351" s="13" t="s">
        <v>1447</v>
      </c>
      <c r="K351" s="13" t="s">
        <v>1425</v>
      </c>
      <c r="L351" s="13" t="s">
        <v>1426</v>
      </c>
      <c r="M351" s="13"/>
    </row>
    <row r="352" customFormat="false" ht="15" hidden="false" customHeight="false" outlineLevel="0" collapsed="false">
      <c r="A352" s="13" t="s">
        <v>608</v>
      </c>
      <c r="B352" s="13" t="s">
        <v>607</v>
      </c>
      <c r="C352" s="13" t="s">
        <v>1427</v>
      </c>
      <c r="D352" s="13" t="s">
        <v>59</v>
      </c>
      <c r="E352" s="13" t="s">
        <v>871</v>
      </c>
      <c r="F352" s="13" t="s">
        <v>872</v>
      </c>
      <c r="G352" s="63" t="n">
        <v>90794986536</v>
      </c>
      <c r="H352" s="13" t="s">
        <v>1417</v>
      </c>
      <c r="I352" s="13"/>
      <c r="J352" s="13" t="s">
        <v>1448</v>
      </c>
      <c r="K352" s="13" t="s">
        <v>619</v>
      </c>
      <c r="L352" s="13" t="s">
        <v>1420</v>
      </c>
      <c r="M352" s="13"/>
    </row>
    <row r="353" customFormat="false" ht="15" hidden="false" customHeight="false" outlineLevel="0" collapsed="false">
      <c r="A353" s="13" t="s">
        <v>608</v>
      </c>
      <c r="B353" s="13" t="s">
        <v>607</v>
      </c>
      <c r="C353" s="13" t="s">
        <v>1416</v>
      </c>
      <c r="D353" s="13" t="s">
        <v>59</v>
      </c>
      <c r="E353" s="13" t="s">
        <v>874</v>
      </c>
      <c r="F353" s="13" t="s">
        <v>875</v>
      </c>
      <c r="G353" s="63" t="n">
        <v>108926644524</v>
      </c>
      <c r="H353" s="13" t="s">
        <v>1417</v>
      </c>
      <c r="I353" s="13"/>
      <c r="J353" s="13" t="s">
        <v>1440</v>
      </c>
      <c r="K353" s="13" t="s">
        <v>1419</v>
      </c>
      <c r="L353" s="13" t="s">
        <v>1420</v>
      </c>
      <c r="M353" s="13"/>
    </row>
    <row r="354" customFormat="false" ht="15" hidden="false" customHeight="false" outlineLevel="0" collapsed="false">
      <c r="A354" s="13" t="s">
        <v>608</v>
      </c>
      <c r="B354" s="13" t="s">
        <v>607</v>
      </c>
      <c r="C354" s="13" t="s">
        <v>1421</v>
      </c>
      <c r="D354" s="13" t="s">
        <v>59</v>
      </c>
      <c r="E354" s="13" t="s">
        <v>874</v>
      </c>
      <c r="F354" s="13" t="s">
        <v>875</v>
      </c>
      <c r="G354" s="63" t="n">
        <v>171516886449</v>
      </c>
      <c r="H354" s="13" t="s">
        <v>1417</v>
      </c>
      <c r="I354" s="13"/>
      <c r="J354" s="13" t="s">
        <v>1440</v>
      </c>
      <c r="K354" s="13" t="s">
        <v>1422</v>
      </c>
      <c r="L354" s="13" t="s">
        <v>1420</v>
      </c>
      <c r="M354" s="13"/>
    </row>
    <row r="355" customFormat="false" ht="15" hidden="false" customHeight="false" outlineLevel="0" collapsed="false">
      <c r="A355" s="13" t="s">
        <v>608</v>
      </c>
      <c r="B355" s="13" t="s">
        <v>607</v>
      </c>
      <c r="C355" s="13" t="s">
        <v>1423</v>
      </c>
      <c r="D355" s="13" t="s">
        <v>59</v>
      </c>
      <c r="E355" s="13" t="s">
        <v>874</v>
      </c>
      <c r="F355" s="13" t="s">
        <v>875</v>
      </c>
      <c r="G355" s="63" t="n">
        <v>138370849442</v>
      </c>
      <c r="H355" s="13" t="s">
        <v>1417</v>
      </c>
      <c r="I355" s="13"/>
      <c r="J355" s="13" t="s">
        <v>1449</v>
      </c>
      <c r="K355" s="13" t="s">
        <v>1425</v>
      </c>
      <c r="L355" s="13" t="s">
        <v>1426</v>
      </c>
      <c r="M355" s="13"/>
    </row>
    <row r="356" customFormat="false" ht="15" hidden="false" customHeight="false" outlineLevel="0" collapsed="false">
      <c r="A356" s="13" t="s">
        <v>608</v>
      </c>
      <c r="B356" s="13" t="s">
        <v>607</v>
      </c>
      <c r="C356" s="13" t="s">
        <v>1427</v>
      </c>
      <c r="D356" s="13" t="s">
        <v>59</v>
      </c>
      <c r="E356" s="13" t="s">
        <v>874</v>
      </c>
      <c r="F356" s="13" t="s">
        <v>875</v>
      </c>
      <c r="G356" s="63" t="n">
        <v>123706879575</v>
      </c>
      <c r="H356" s="13" t="s">
        <v>1417</v>
      </c>
      <c r="I356" s="13"/>
      <c r="J356" s="13" t="s">
        <v>1450</v>
      </c>
      <c r="K356" s="13" t="s">
        <v>619</v>
      </c>
      <c r="L356" s="13" t="s">
        <v>1420</v>
      </c>
      <c r="M356" s="13"/>
    </row>
    <row r="357" customFormat="false" ht="15" hidden="false" customHeight="false" outlineLevel="0" collapsed="false">
      <c r="A357" s="13" t="s">
        <v>608</v>
      </c>
      <c r="B357" s="13" t="s">
        <v>607</v>
      </c>
      <c r="C357" s="13" t="s">
        <v>1416</v>
      </c>
      <c r="D357" s="13" t="s">
        <v>59</v>
      </c>
      <c r="E357" s="13" t="s">
        <v>877</v>
      </c>
      <c r="F357" s="13" t="s">
        <v>878</v>
      </c>
      <c r="G357" s="63" t="n">
        <v>51066744727</v>
      </c>
      <c r="H357" s="13" t="s">
        <v>1417</v>
      </c>
      <c r="I357" s="13"/>
      <c r="J357" s="13" t="s">
        <v>1440</v>
      </c>
      <c r="K357" s="13" t="s">
        <v>1419</v>
      </c>
      <c r="L357" s="13" t="s">
        <v>1420</v>
      </c>
      <c r="M357" s="13"/>
    </row>
    <row r="358" customFormat="false" ht="15" hidden="false" customHeight="false" outlineLevel="0" collapsed="false">
      <c r="A358" s="13" t="s">
        <v>608</v>
      </c>
      <c r="B358" s="13" t="s">
        <v>607</v>
      </c>
      <c r="C358" s="13" t="s">
        <v>1421</v>
      </c>
      <c r="D358" s="13" t="s">
        <v>59</v>
      </c>
      <c r="E358" s="13" t="s">
        <v>877</v>
      </c>
      <c r="F358" s="13" t="s">
        <v>878</v>
      </c>
      <c r="G358" s="63" t="n">
        <v>129153006388</v>
      </c>
      <c r="H358" s="13" t="s">
        <v>1417</v>
      </c>
      <c r="I358" s="13"/>
      <c r="J358" s="13" t="s">
        <v>1440</v>
      </c>
      <c r="K358" s="13" t="s">
        <v>1422</v>
      </c>
      <c r="L358" s="13" t="s">
        <v>1420</v>
      </c>
      <c r="M358" s="13"/>
    </row>
    <row r="359" customFormat="false" ht="15" hidden="false" customHeight="false" outlineLevel="0" collapsed="false">
      <c r="A359" s="13" t="s">
        <v>608</v>
      </c>
      <c r="B359" s="13" t="s">
        <v>607</v>
      </c>
      <c r="C359" s="13" t="s">
        <v>1423</v>
      </c>
      <c r="D359" s="13" t="s">
        <v>59</v>
      </c>
      <c r="E359" s="13" t="s">
        <v>877</v>
      </c>
      <c r="F359" s="13" t="s">
        <v>878</v>
      </c>
      <c r="G359" s="63" t="n">
        <v>129725831860</v>
      </c>
      <c r="H359" s="13" t="s">
        <v>1417</v>
      </c>
      <c r="I359" s="13"/>
      <c r="J359" s="13" t="s">
        <v>1441</v>
      </c>
      <c r="K359" s="13" t="s">
        <v>1425</v>
      </c>
      <c r="L359" s="13" t="s">
        <v>1426</v>
      </c>
      <c r="M359" s="13"/>
    </row>
    <row r="360" customFormat="false" ht="15" hidden="false" customHeight="false" outlineLevel="0" collapsed="false">
      <c r="A360" s="13" t="s">
        <v>608</v>
      </c>
      <c r="B360" s="13" t="s">
        <v>607</v>
      </c>
      <c r="C360" s="13" t="s">
        <v>1427</v>
      </c>
      <c r="D360" s="13" t="s">
        <v>59</v>
      </c>
      <c r="E360" s="13" t="s">
        <v>877</v>
      </c>
      <c r="F360" s="13" t="s">
        <v>878</v>
      </c>
      <c r="G360" s="63" t="n">
        <v>206502140128</v>
      </c>
      <c r="H360" s="13" t="s">
        <v>1417</v>
      </c>
      <c r="I360" s="13"/>
      <c r="J360" s="13" t="s">
        <v>1441</v>
      </c>
      <c r="K360" s="13" t="s">
        <v>619</v>
      </c>
      <c r="L360" s="13" t="s">
        <v>1420</v>
      </c>
      <c r="M360" s="13"/>
    </row>
    <row r="361" customFormat="false" ht="15" hidden="false" customHeight="false" outlineLevel="0" collapsed="false">
      <c r="A361" s="13" t="s">
        <v>608</v>
      </c>
      <c r="B361" s="13" t="s">
        <v>607</v>
      </c>
      <c r="C361" s="13" t="s">
        <v>1416</v>
      </c>
      <c r="D361" s="13" t="s">
        <v>59</v>
      </c>
      <c r="E361" s="13" t="s">
        <v>880</v>
      </c>
      <c r="F361" s="13" t="s">
        <v>881</v>
      </c>
      <c r="G361" s="63" t="n">
        <v>51066744727</v>
      </c>
      <c r="H361" s="13" t="s">
        <v>1417</v>
      </c>
      <c r="I361" s="13"/>
      <c r="J361" s="13" t="s">
        <v>1440</v>
      </c>
      <c r="K361" s="13" t="s">
        <v>1419</v>
      </c>
      <c r="L361" s="13" t="s">
        <v>1420</v>
      </c>
      <c r="M361" s="13"/>
    </row>
    <row r="362" customFormat="false" ht="15" hidden="false" customHeight="false" outlineLevel="0" collapsed="false">
      <c r="A362" s="13" t="s">
        <v>608</v>
      </c>
      <c r="B362" s="13" t="s">
        <v>607</v>
      </c>
      <c r="C362" s="13" t="s">
        <v>1421</v>
      </c>
      <c r="D362" s="13" t="s">
        <v>59</v>
      </c>
      <c r="E362" s="13" t="s">
        <v>880</v>
      </c>
      <c r="F362" s="13" t="s">
        <v>881</v>
      </c>
      <c r="G362" s="63" t="n">
        <v>129153006388</v>
      </c>
      <c r="H362" s="13" t="s">
        <v>1417</v>
      </c>
      <c r="I362" s="13"/>
      <c r="J362" s="13" t="s">
        <v>1440</v>
      </c>
      <c r="K362" s="13" t="s">
        <v>1422</v>
      </c>
      <c r="L362" s="13" t="s">
        <v>1420</v>
      </c>
      <c r="M362" s="13"/>
    </row>
    <row r="363" customFormat="false" ht="15" hidden="false" customHeight="false" outlineLevel="0" collapsed="false">
      <c r="A363" s="13" t="s">
        <v>608</v>
      </c>
      <c r="B363" s="13" t="s">
        <v>607</v>
      </c>
      <c r="C363" s="13" t="s">
        <v>1423</v>
      </c>
      <c r="D363" s="13" t="s">
        <v>59</v>
      </c>
      <c r="E363" s="13" t="s">
        <v>880</v>
      </c>
      <c r="F363" s="13" t="s">
        <v>881</v>
      </c>
      <c r="G363" s="63" t="n">
        <v>129729390470</v>
      </c>
      <c r="H363" s="13" t="s">
        <v>1417</v>
      </c>
      <c r="I363" s="13"/>
      <c r="J363" s="13" t="s">
        <v>1441</v>
      </c>
      <c r="K363" s="13" t="s">
        <v>1425</v>
      </c>
      <c r="L363" s="13" t="s">
        <v>1426</v>
      </c>
      <c r="M363" s="13"/>
    </row>
    <row r="364" customFormat="false" ht="15" hidden="false" customHeight="false" outlineLevel="0" collapsed="false">
      <c r="A364" s="13" t="s">
        <v>608</v>
      </c>
      <c r="B364" s="13" t="s">
        <v>607</v>
      </c>
      <c r="C364" s="13" t="s">
        <v>1427</v>
      </c>
      <c r="D364" s="13" t="s">
        <v>59</v>
      </c>
      <c r="E364" s="13" t="s">
        <v>880</v>
      </c>
      <c r="F364" s="13" t="s">
        <v>881</v>
      </c>
      <c r="G364" s="63" t="n">
        <v>206505990920</v>
      </c>
      <c r="H364" s="13" t="s">
        <v>1417</v>
      </c>
      <c r="I364" s="13"/>
      <c r="J364" s="13" t="s">
        <v>1441</v>
      </c>
      <c r="K364" s="13" t="s">
        <v>619</v>
      </c>
      <c r="L364" s="13" t="s">
        <v>1420</v>
      </c>
      <c r="M364" s="13"/>
    </row>
    <row r="365" customFormat="false" ht="15" hidden="false" customHeight="false" outlineLevel="0" collapsed="false">
      <c r="A365" s="13" t="s">
        <v>608</v>
      </c>
      <c r="B365" s="13" t="s">
        <v>607</v>
      </c>
      <c r="C365" s="13" t="s">
        <v>1416</v>
      </c>
      <c r="D365" s="13" t="s">
        <v>59</v>
      </c>
      <c r="E365" s="13" t="s">
        <v>883</v>
      </c>
      <c r="F365" s="13" t="s">
        <v>884</v>
      </c>
      <c r="G365" s="63" t="n">
        <v>159993389251</v>
      </c>
      <c r="H365" s="13" t="s">
        <v>1417</v>
      </c>
      <c r="I365" s="13"/>
      <c r="J365" s="13" t="s">
        <v>1440</v>
      </c>
      <c r="K365" s="13" t="s">
        <v>1419</v>
      </c>
      <c r="L365" s="13" t="s">
        <v>1420</v>
      </c>
      <c r="M365" s="13"/>
    </row>
    <row r="366" customFormat="false" ht="15" hidden="false" customHeight="false" outlineLevel="0" collapsed="false">
      <c r="A366" s="13" t="s">
        <v>608</v>
      </c>
      <c r="B366" s="13" t="s">
        <v>607</v>
      </c>
      <c r="C366" s="13" t="s">
        <v>1421</v>
      </c>
      <c r="D366" s="13" t="s">
        <v>59</v>
      </c>
      <c r="E366" s="13" t="s">
        <v>883</v>
      </c>
      <c r="F366" s="13" t="s">
        <v>884</v>
      </c>
      <c r="G366" s="63" t="n">
        <v>300669892837</v>
      </c>
      <c r="H366" s="13" t="s">
        <v>1417</v>
      </c>
      <c r="I366" s="13"/>
      <c r="J366" s="13" t="s">
        <v>1440</v>
      </c>
      <c r="K366" s="13" t="s">
        <v>1422</v>
      </c>
      <c r="L366" s="13" t="s">
        <v>1420</v>
      </c>
      <c r="M366" s="13"/>
    </row>
    <row r="367" customFormat="false" ht="15" hidden="false" customHeight="false" outlineLevel="0" collapsed="false">
      <c r="A367" s="13" t="s">
        <v>608</v>
      </c>
      <c r="B367" s="13" t="s">
        <v>607</v>
      </c>
      <c r="C367" s="13" t="s">
        <v>1423</v>
      </c>
      <c r="D367" s="13" t="s">
        <v>59</v>
      </c>
      <c r="E367" s="13" t="s">
        <v>883</v>
      </c>
      <c r="F367" s="13" t="s">
        <v>884</v>
      </c>
      <c r="G367" s="63" t="n">
        <v>268100239912</v>
      </c>
      <c r="H367" s="13" t="s">
        <v>1417</v>
      </c>
      <c r="I367" s="13"/>
      <c r="J367" s="13" t="s">
        <v>1441</v>
      </c>
      <c r="K367" s="13" t="s">
        <v>1425</v>
      </c>
      <c r="L367" s="13" t="s">
        <v>1426</v>
      </c>
      <c r="M367" s="13"/>
    </row>
    <row r="368" customFormat="false" ht="15" hidden="false" customHeight="false" outlineLevel="0" collapsed="false">
      <c r="A368" s="13" t="s">
        <v>608</v>
      </c>
      <c r="B368" s="13" t="s">
        <v>607</v>
      </c>
      <c r="C368" s="13" t="s">
        <v>1427</v>
      </c>
      <c r="D368" s="13" t="s">
        <v>59</v>
      </c>
      <c r="E368" s="13" t="s">
        <v>883</v>
      </c>
      <c r="F368" s="13" t="s">
        <v>884</v>
      </c>
      <c r="G368" s="63" t="n">
        <v>330212870495</v>
      </c>
      <c r="H368" s="13" t="s">
        <v>1417</v>
      </c>
      <c r="I368" s="13"/>
      <c r="J368" s="13" t="s">
        <v>1441</v>
      </c>
      <c r="K368" s="13" t="s">
        <v>619</v>
      </c>
      <c r="L368" s="13" t="s">
        <v>1420</v>
      </c>
      <c r="M368" s="13"/>
    </row>
    <row r="369" customFormat="false" ht="15" hidden="false" customHeight="false" outlineLevel="0" collapsed="false">
      <c r="A369" s="13" t="s">
        <v>608</v>
      </c>
      <c r="B369" s="13" t="s">
        <v>607</v>
      </c>
      <c r="C369" s="13" t="s">
        <v>1416</v>
      </c>
      <c r="D369" s="13" t="s">
        <v>61</v>
      </c>
      <c r="E369" s="13" t="s">
        <v>890</v>
      </c>
      <c r="F369" s="13" t="s">
        <v>891</v>
      </c>
      <c r="G369" s="63" t="n">
        <v>101458663684</v>
      </c>
      <c r="H369" s="13" t="s">
        <v>1417</v>
      </c>
      <c r="I369" s="13"/>
      <c r="J369" s="13" t="s">
        <v>1451</v>
      </c>
      <c r="K369" s="13" t="s">
        <v>1419</v>
      </c>
      <c r="L369" s="13" t="s">
        <v>1420</v>
      </c>
      <c r="M369" s="13"/>
    </row>
    <row r="370" customFormat="false" ht="15" hidden="false" customHeight="false" outlineLevel="0" collapsed="false">
      <c r="A370" s="13" t="s">
        <v>608</v>
      </c>
      <c r="B370" s="13" t="s">
        <v>607</v>
      </c>
      <c r="C370" s="13" t="s">
        <v>1421</v>
      </c>
      <c r="D370" s="13" t="s">
        <v>61</v>
      </c>
      <c r="E370" s="13" t="s">
        <v>890</v>
      </c>
      <c r="F370" s="13" t="s">
        <v>891</v>
      </c>
      <c r="G370" s="63" t="n">
        <v>129626427997</v>
      </c>
      <c r="H370" s="13" t="s">
        <v>1417</v>
      </c>
      <c r="I370" s="13"/>
      <c r="J370" s="13" t="s">
        <v>1451</v>
      </c>
      <c r="K370" s="13" t="s">
        <v>1422</v>
      </c>
      <c r="L370" s="13" t="s">
        <v>1420</v>
      </c>
      <c r="M370" s="13"/>
    </row>
    <row r="371" customFormat="false" ht="15" hidden="false" customHeight="false" outlineLevel="0" collapsed="false">
      <c r="A371" s="13" t="s">
        <v>608</v>
      </c>
      <c r="B371" s="13" t="s">
        <v>607</v>
      </c>
      <c r="C371" s="13" t="s">
        <v>1423</v>
      </c>
      <c r="D371" s="13" t="s">
        <v>61</v>
      </c>
      <c r="E371" s="13" t="s">
        <v>890</v>
      </c>
      <c r="F371" s="13" t="s">
        <v>891</v>
      </c>
      <c r="G371" s="63" t="n">
        <v>143981788308</v>
      </c>
      <c r="H371" s="13" t="s">
        <v>1417</v>
      </c>
      <c r="I371" s="13"/>
      <c r="J371" s="13" t="s">
        <v>1452</v>
      </c>
      <c r="K371" s="13" t="s">
        <v>1425</v>
      </c>
      <c r="L371" s="13" t="s">
        <v>1426</v>
      </c>
      <c r="M371" s="13"/>
    </row>
    <row r="372" customFormat="false" ht="15" hidden="false" customHeight="false" outlineLevel="0" collapsed="false">
      <c r="A372" s="13" t="s">
        <v>608</v>
      </c>
      <c r="B372" s="13" t="s">
        <v>607</v>
      </c>
      <c r="C372" s="13" t="s">
        <v>1427</v>
      </c>
      <c r="D372" s="13" t="s">
        <v>61</v>
      </c>
      <c r="E372" s="13" t="s">
        <v>890</v>
      </c>
      <c r="F372" s="13" t="s">
        <v>891</v>
      </c>
      <c r="G372" s="63" t="n">
        <v>151063423185</v>
      </c>
      <c r="H372" s="13" t="s">
        <v>1417</v>
      </c>
      <c r="I372" s="13"/>
      <c r="J372" s="13" t="s">
        <v>1452</v>
      </c>
      <c r="K372" s="13" t="s">
        <v>619</v>
      </c>
      <c r="L372" s="13" t="s">
        <v>1420</v>
      </c>
      <c r="M372" s="13"/>
    </row>
    <row r="373" customFormat="false" ht="15" hidden="false" customHeight="false" outlineLevel="0" collapsed="false">
      <c r="A373" s="13" t="s">
        <v>608</v>
      </c>
      <c r="B373" s="13" t="s">
        <v>607</v>
      </c>
      <c r="C373" s="13" t="s">
        <v>1416</v>
      </c>
      <c r="D373" s="13" t="s">
        <v>61</v>
      </c>
      <c r="E373" s="13" t="s">
        <v>893</v>
      </c>
      <c r="F373" s="13" t="s">
        <v>894</v>
      </c>
      <c r="G373" s="63" t="n">
        <v>2786380201</v>
      </c>
      <c r="H373" s="13" t="s">
        <v>1417</v>
      </c>
      <c r="I373" s="13"/>
      <c r="J373" s="13" t="s">
        <v>1451</v>
      </c>
      <c r="K373" s="13" t="s">
        <v>1419</v>
      </c>
      <c r="L373" s="13" t="s">
        <v>1420</v>
      </c>
      <c r="M373" s="13"/>
    </row>
    <row r="374" customFormat="false" ht="15" hidden="false" customHeight="false" outlineLevel="0" collapsed="false">
      <c r="A374" s="13" t="s">
        <v>608</v>
      </c>
      <c r="B374" s="13" t="s">
        <v>607</v>
      </c>
      <c r="C374" s="13" t="s">
        <v>1421</v>
      </c>
      <c r="D374" s="13" t="s">
        <v>61</v>
      </c>
      <c r="E374" s="13" t="s">
        <v>893</v>
      </c>
      <c r="F374" s="13" t="s">
        <v>894</v>
      </c>
      <c r="G374" s="63" t="n">
        <v>4079886993</v>
      </c>
      <c r="H374" s="13" t="s">
        <v>1417</v>
      </c>
      <c r="I374" s="13"/>
      <c r="J374" s="13" t="s">
        <v>1451</v>
      </c>
      <c r="K374" s="13" t="s">
        <v>1422</v>
      </c>
      <c r="L374" s="13" t="s">
        <v>1420</v>
      </c>
      <c r="M374" s="13"/>
    </row>
    <row r="375" customFormat="false" ht="15" hidden="false" customHeight="false" outlineLevel="0" collapsed="false">
      <c r="A375" s="13" t="s">
        <v>608</v>
      </c>
      <c r="B375" s="13" t="s">
        <v>607</v>
      </c>
      <c r="C375" s="13" t="s">
        <v>1423</v>
      </c>
      <c r="D375" s="13" t="s">
        <v>61</v>
      </c>
      <c r="E375" s="13" t="s">
        <v>893</v>
      </c>
      <c r="F375" s="13" t="s">
        <v>894</v>
      </c>
      <c r="G375" s="63" t="n">
        <v>0</v>
      </c>
      <c r="H375" s="13" t="s">
        <v>1417</v>
      </c>
      <c r="I375" s="13"/>
      <c r="J375" s="13" t="s">
        <v>1452</v>
      </c>
      <c r="K375" s="13" t="s">
        <v>1425</v>
      </c>
      <c r="L375" s="13" t="s">
        <v>1426</v>
      </c>
      <c r="M375" s="13"/>
    </row>
    <row r="376" customFormat="false" ht="15" hidden="false" customHeight="false" outlineLevel="0" collapsed="false">
      <c r="A376" s="13" t="s">
        <v>608</v>
      </c>
      <c r="B376" s="13" t="s">
        <v>607</v>
      </c>
      <c r="C376" s="13" t="s">
        <v>1427</v>
      </c>
      <c r="D376" s="13" t="s">
        <v>61</v>
      </c>
      <c r="E376" s="13" t="s">
        <v>893</v>
      </c>
      <c r="F376" s="13" t="s">
        <v>894</v>
      </c>
      <c r="G376" s="63" t="n">
        <v>0</v>
      </c>
      <c r="H376" s="13" t="s">
        <v>1417</v>
      </c>
      <c r="I376" s="13"/>
      <c r="J376" s="13" t="s">
        <v>1452</v>
      </c>
      <c r="K376" s="13" t="s">
        <v>619</v>
      </c>
      <c r="L376" s="13" t="s">
        <v>1420</v>
      </c>
      <c r="M376" s="13"/>
    </row>
    <row r="377" customFormat="false" ht="15" hidden="false" customHeight="false" outlineLevel="0" collapsed="false">
      <c r="A377" s="13" t="s">
        <v>608</v>
      </c>
      <c r="B377" s="13" t="s">
        <v>607</v>
      </c>
      <c r="C377" s="13" t="s">
        <v>1416</v>
      </c>
      <c r="D377" s="13" t="s">
        <v>61</v>
      </c>
      <c r="E377" s="13" t="s">
        <v>896</v>
      </c>
      <c r="F377" s="13" t="s">
        <v>897</v>
      </c>
      <c r="G377" s="63" t="n">
        <v>-22608563678</v>
      </c>
      <c r="H377" s="13" t="s">
        <v>1417</v>
      </c>
      <c r="I377" s="13"/>
      <c r="J377" s="13" t="s">
        <v>1451</v>
      </c>
      <c r="K377" s="13" t="s">
        <v>1419</v>
      </c>
      <c r="L377" s="13" t="s">
        <v>1420</v>
      </c>
      <c r="M377" s="13"/>
    </row>
    <row r="378" customFormat="false" ht="15" hidden="false" customHeight="false" outlineLevel="0" collapsed="false">
      <c r="A378" s="13" t="s">
        <v>608</v>
      </c>
      <c r="B378" s="13" t="s">
        <v>607</v>
      </c>
      <c r="C378" s="13" t="s">
        <v>1421</v>
      </c>
      <c r="D378" s="13" t="s">
        <v>61</v>
      </c>
      <c r="E378" s="13" t="s">
        <v>896</v>
      </c>
      <c r="F378" s="13" t="s">
        <v>897</v>
      </c>
      <c r="G378" s="63" t="n">
        <v>-42022919130</v>
      </c>
      <c r="H378" s="13" t="s">
        <v>1417</v>
      </c>
      <c r="I378" s="13"/>
      <c r="J378" s="13" t="s">
        <v>1451</v>
      </c>
      <c r="K378" s="13" t="s">
        <v>1422</v>
      </c>
      <c r="L378" s="13" t="s">
        <v>1420</v>
      </c>
      <c r="M378" s="13"/>
    </row>
    <row r="379" customFormat="false" ht="15" hidden="false" customHeight="false" outlineLevel="0" collapsed="false">
      <c r="A379" s="13" t="s">
        <v>608</v>
      </c>
      <c r="B379" s="13" t="s">
        <v>607</v>
      </c>
      <c r="C379" s="13" t="s">
        <v>1423</v>
      </c>
      <c r="D379" s="13" t="s">
        <v>61</v>
      </c>
      <c r="E379" s="13" t="s">
        <v>896</v>
      </c>
      <c r="F379" s="13" t="s">
        <v>897</v>
      </c>
      <c r="G379" s="63" t="n">
        <v>-73980910685</v>
      </c>
      <c r="H379" s="13" t="s">
        <v>1417</v>
      </c>
      <c r="I379" s="13"/>
      <c r="J379" s="13" t="s">
        <v>1452</v>
      </c>
      <c r="K379" s="13" t="s">
        <v>1425</v>
      </c>
      <c r="L379" s="13" t="s">
        <v>1426</v>
      </c>
      <c r="M379" s="13"/>
    </row>
    <row r="380" customFormat="false" ht="15" hidden="false" customHeight="false" outlineLevel="0" collapsed="false">
      <c r="A380" s="13" t="s">
        <v>608</v>
      </c>
      <c r="B380" s="13" t="s">
        <v>607</v>
      </c>
      <c r="C380" s="13" t="s">
        <v>1427</v>
      </c>
      <c r="D380" s="13" t="s">
        <v>61</v>
      </c>
      <c r="E380" s="13" t="s">
        <v>896</v>
      </c>
      <c r="F380" s="13" t="s">
        <v>897</v>
      </c>
      <c r="G380" s="63" t="n">
        <v>-85117618388</v>
      </c>
      <c r="H380" s="13" t="s">
        <v>1417</v>
      </c>
      <c r="I380" s="13"/>
      <c r="J380" s="13" t="s">
        <v>1452</v>
      </c>
      <c r="K380" s="13" t="s">
        <v>619</v>
      </c>
      <c r="L380" s="13" t="s">
        <v>1420</v>
      </c>
      <c r="M380" s="13"/>
    </row>
    <row r="381" customFormat="false" ht="15" hidden="false" customHeight="false" outlineLevel="0" collapsed="false">
      <c r="A381" s="13" t="s">
        <v>608</v>
      </c>
      <c r="B381" s="13" t="s">
        <v>607</v>
      </c>
      <c r="C381" s="13" t="s">
        <v>1416</v>
      </c>
      <c r="D381" s="13" t="s">
        <v>61</v>
      </c>
      <c r="E381" s="13" t="s">
        <v>899</v>
      </c>
      <c r="F381" s="13" t="s">
        <v>900</v>
      </c>
      <c r="G381" s="63" t="n">
        <v>-40865720296</v>
      </c>
      <c r="H381" s="13" t="s">
        <v>1417</v>
      </c>
      <c r="I381" s="13"/>
      <c r="J381" s="13" t="s">
        <v>1451</v>
      </c>
      <c r="K381" s="13" t="s">
        <v>1419</v>
      </c>
      <c r="L381" s="13" t="s">
        <v>1420</v>
      </c>
      <c r="M381" s="13"/>
    </row>
    <row r="382" customFormat="false" ht="15" hidden="false" customHeight="false" outlineLevel="0" collapsed="false">
      <c r="A382" s="13" t="s">
        <v>608</v>
      </c>
      <c r="B382" s="13" t="s">
        <v>607</v>
      </c>
      <c r="C382" s="13" t="s">
        <v>1421</v>
      </c>
      <c r="D382" s="13" t="s">
        <v>61</v>
      </c>
      <c r="E382" s="13" t="s">
        <v>899</v>
      </c>
      <c r="F382" s="13" t="s">
        <v>900</v>
      </c>
      <c r="G382" s="63" t="n">
        <v>-48709047407</v>
      </c>
      <c r="H382" s="13" t="s">
        <v>1417</v>
      </c>
      <c r="I382" s="13"/>
      <c r="J382" s="13" t="s">
        <v>1451</v>
      </c>
      <c r="K382" s="13" t="s">
        <v>1422</v>
      </c>
      <c r="L382" s="13" t="s">
        <v>1420</v>
      </c>
      <c r="M382" s="13"/>
    </row>
    <row r="383" customFormat="false" ht="15" hidden="false" customHeight="false" outlineLevel="0" collapsed="false">
      <c r="A383" s="13" t="s">
        <v>608</v>
      </c>
      <c r="B383" s="13" t="s">
        <v>607</v>
      </c>
      <c r="C383" s="13" t="s">
        <v>1423</v>
      </c>
      <c r="D383" s="13" t="s">
        <v>61</v>
      </c>
      <c r="E383" s="13" t="s">
        <v>899</v>
      </c>
      <c r="F383" s="13" t="s">
        <v>900</v>
      </c>
      <c r="G383" s="63" t="n">
        <v>-35270130188</v>
      </c>
      <c r="H383" s="13" t="s">
        <v>1417</v>
      </c>
      <c r="I383" s="13"/>
      <c r="J383" s="13" t="s">
        <v>1452</v>
      </c>
      <c r="K383" s="13" t="s">
        <v>1425</v>
      </c>
      <c r="L383" s="13" t="s">
        <v>1426</v>
      </c>
      <c r="M383" s="13"/>
    </row>
    <row r="384" customFormat="false" ht="15" hidden="false" customHeight="false" outlineLevel="0" collapsed="false">
      <c r="A384" s="13" t="s">
        <v>608</v>
      </c>
      <c r="B384" s="13" t="s">
        <v>607</v>
      </c>
      <c r="C384" s="13" t="s">
        <v>1427</v>
      </c>
      <c r="D384" s="13" t="s">
        <v>61</v>
      </c>
      <c r="E384" s="13" t="s">
        <v>899</v>
      </c>
      <c r="F384" s="13" t="s">
        <v>900</v>
      </c>
      <c r="G384" s="63" t="n">
        <v>-42386915098</v>
      </c>
      <c r="H384" s="13" t="s">
        <v>1417</v>
      </c>
      <c r="I384" s="13"/>
      <c r="J384" s="13" t="s">
        <v>1452</v>
      </c>
      <c r="K384" s="13" t="s">
        <v>619</v>
      </c>
      <c r="L384" s="13" t="s">
        <v>1420</v>
      </c>
      <c r="M384" s="13"/>
    </row>
    <row r="385" customFormat="false" ht="15" hidden="false" customHeight="false" outlineLevel="0" collapsed="false">
      <c r="A385" s="13" t="s">
        <v>608</v>
      </c>
      <c r="B385" s="13" t="s">
        <v>607</v>
      </c>
      <c r="C385" s="13" t="s">
        <v>1416</v>
      </c>
      <c r="D385" s="13" t="s">
        <v>61</v>
      </c>
      <c r="E385" s="13" t="s">
        <v>902</v>
      </c>
      <c r="F385" s="13" t="s">
        <v>903</v>
      </c>
      <c r="G385" s="63" t="n">
        <v>-27383498762</v>
      </c>
      <c r="H385" s="13" t="s">
        <v>1417</v>
      </c>
      <c r="I385" s="13"/>
      <c r="J385" s="13" t="s">
        <v>1451</v>
      </c>
      <c r="K385" s="13" t="s">
        <v>1419</v>
      </c>
      <c r="L385" s="13" t="s">
        <v>1420</v>
      </c>
      <c r="M385" s="13"/>
    </row>
    <row r="386" customFormat="false" ht="15" hidden="false" customHeight="false" outlineLevel="0" collapsed="false">
      <c r="A386" s="13" t="s">
        <v>608</v>
      </c>
      <c r="B386" s="13" t="s">
        <v>607</v>
      </c>
      <c r="C386" s="13" t="s">
        <v>1421</v>
      </c>
      <c r="D386" s="13" t="s">
        <v>61</v>
      </c>
      <c r="E386" s="13" t="s">
        <v>902</v>
      </c>
      <c r="F386" s="13" t="s">
        <v>903</v>
      </c>
      <c r="G386" s="63" t="n">
        <v>-17209085814</v>
      </c>
      <c r="H386" s="13" t="s">
        <v>1417</v>
      </c>
      <c r="I386" s="13"/>
      <c r="J386" s="13" t="s">
        <v>1451</v>
      </c>
      <c r="K386" s="13" t="s">
        <v>1422</v>
      </c>
      <c r="L386" s="13" t="s">
        <v>1420</v>
      </c>
      <c r="M386" s="13"/>
    </row>
    <row r="387" customFormat="false" ht="15" hidden="false" customHeight="false" outlineLevel="0" collapsed="false">
      <c r="A387" s="13" t="s">
        <v>608</v>
      </c>
      <c r="B387" s="13" t="s">
        <v>607</v>
      </c>
      <c r="C387" s="13" t="s">
        <v>1423</v>
      </c>
      <c r="D387" s="13" t="s">
        <v>61</v>
      </c>
      <c r="E387" s="13" t="s">
        <v>902</v>
      </c>
      <c r="F387" s="13" t="s">
        <v>903</v>
      </c>
      <c r="G387" s="63" t="n">
        <v>-16945082659</v>
      </c>
      <c r="H387" s="13" t="s">
        <v>1417</v>
      </c>
      <c r="I387" s="13"/>
      <c r="J387" s="13" t="s">
        <v>1452</v>
      </c>
      <c r="K387" s="13" t="s">
        <v>1425</v>
      </c>
      <c r="L387" s="13" t="s">
        <v>1426</v>
      </c>
      <c r="M387" s="13"/>
    </row>
    <row r="388" customFormat="false" ht="15" hidden="false" customHeight="false" outlineLevel="0" collapsed="false">
      <c r="A388" s="13" t="s">
        <v>608</v>
      </c>
      <c r="B388" s="13" t="s">
        <v>607</v>
      </c>
      <c r="C388" s="13" t="s">
        <v>1427</v>
      </c>
      <c r="D388" s="13" t="s">
        <v>61</v>
      </c>
      <c r="E388" s="13" t="s">
        <v>902</v>
      </c>
      <c r="F388" s="13" t="s">
        <v>903</v>
      </c>
      <c r="G388" s="63" t="n">
        <v>-21302607009</v>
      </c>
      <c r="H388" s="13" t="s">
        <v>1417</v>
      </c>
      <c r="I388" s="13"/>
      <c r="J388" s="13" t="s">
        <v>1452</v>
      </c>
      <c r="K388" s="13" t="s">
        <v>619</v>
      </c>
      <c r="L388" s="13" t="s">
        <v>1420</v>
      </c>
      <c r="M388" s="13"/>
    </row>
    <row r="389" customFormat="false" ht="15" hidden="false" customHeight="false" outlineLevel="0" collapsed="false">
      <c r="A389" s="13" t="s">
        <v>608</v>
      </c>
      <c r="B389" s="13" t="s">
        <v>607</v>
      </c>
      <c r="C389" s="13" t="s">
        <v>1416</v>
      </c>
      <c r="D389" s="13" t="s">
        <v>61</v>
      </c>
      <c r="E389" s="13" t="s">
        <v>905</v>
      </c>
      <c r="F389" s="13" t="s">
        <v>906</v>
      </c>
      <c r="G389" s="63" t="n">
        <v>13387261149</v>
      </c>
      <c r="H389" s="13" t="s">
        <v>1417</v>
      </c>
      <c r="I389" s="13"/>
      <c r="J389" s="13"/>
      <c r="K389" s="13" t="s">
        <v>1419</v>
      </c>
      <c r="L389" s="13" t="s">
        <v>1420</v>
      </c>
      <c r="M389" s="13" t="s">
        <v>1428</v>
      </c>
    </row>
    <row r="390" customFormat="false" ht="15" hidden="false" customHeight="false" outlineLevel="0" collapsed="false">
      <c r="A390" s="13" t="s">
        <v>608</v>
      </c>
      <c r="B390" s="13" t="s">
        <v>607</v>
      </c>
      <c r="C390" s="13" t="s">
        <v>1421</v>
      </c>
      <c r="D390" s="13" t="s">
        <v>61</v>
      </c>
      <c r="E390" s="13" t="s">
        <v>905</v>
      </c>
      <c r="F390" s="13" t="s">
        <v>906</v>
      </c>
      <c r="G390" s="63" t="n">
        <v>25765262639</v>
      </c>
      <c r="H390" s="13" t="s">
        <v>1417</v>
      </c>
      <c r="I390" s="13"/>
      <c r="J390" s="13"/>
      <c r="K390" s="13" t="s">
        <v>1422</v>
      </c>
      <c r="L390" s="13" t="s">
        <v>1420</v>
      </c>
      <c r="M390" s="13" t="s">
        <v>1428</v>
      </c>
    </row>
    <row r="391" customFormat="false" ht="15" hidden="false" customHeight="false" outlineLevel="0" collapsed="false">
      <c r="A391" s="13" t="s">
        <v>608</v>
      </c>
      <c r="B391" s="13" t="s">
        <v>607</v>
      </c>
      <c r="C391" s="13" t="s">
        <v>1423</v>
      </c>
      <c r="D391" s="13" t="s">
        <v>61</v>
      </c>
      <c r="E391" s="13" t="s">
        <v>905</v>
      </c>
      <c r="F391" s="13" t="s">
        <v>906</v>
      </c>
      <c r="G391" s="63" t="n">
        <v>17785664776</v>
      </c>
      <c r="H391" s="13" t="s">
        <v>1417</v>
      </c>
      <c r="I391" s="13"/>
      <c r="J391" s="13"/>
      <c r="K391" s="13" t="s">
        <v>1425</v>
      </c>
      <c r="L391" s="13" t="s">
        <v>1426</v>
      </c>
      <c r="M391" s="13" t="s">
        <v>1428</v>
      </c>
    </row>
    <row r="392" customFormat="false" ht="15" hidden="false" customHeight="false" outlineLevel="0" collapsed="false">
      <c r="A392" s="13" t="s">
        <v>608</v>
      </c>
      <c r="B392" s="13" t="s">
        <v>607</v>
      </c>
      <c r="C392" s="13" t="s">
        <v>1427</v>
      </c>
      <c r="D392" s="13" t="s">
        <v>61</v>
      </c>
      <c r="E392" s="13" t="s">
        <v>905</v>
      </c>
      <c r="F392" s="13" t="s">
        <v>906</v>
      </c>
      <c r="G392" s="63" t="n">
        <v>2256282690</v>
      </c>
      <c r="H392" s="13" t="s">
        <v>1417</v>
      </c>
      <c r="I392" s="13"/>
      <c r="J392" s="13"/>
      <c r="K392" s="13" t="s">
        <v>619</v>
      </c>
      <c r="L392" s="13" t="s">
        <v>1420</v>
      </c>
      <c r="M392" s="13" t="s">
        <v>1428</v>
      </c>
    </row>
    <row r="393" customFormat="false" ht="15" hidden="false" customHeight="false" outlineLevel="0" collapsed="false">
      <c r="A393" s="13" t="s">
        <v>608</v>
      </c>
      <c r="B393" s="13" t="s">
        <v>607</v>
      </c>
      <c r="C393" s="13" t="s">
        <v>1416</v>
      </c>
      <c r="D393" s="13" t="s">
        <v>61</v>
      </c>
      <c r="E393" s="13" t="s">
        <v>907</v>
      </c>
      <c r="F393" s="13" t="s">
        <v>908</v>
      </c>
      <c r="G393" s="63" t="n">
        <v>-3643595812</v>
      </c>
      <c r="H393" s="13" t="s">
        <v>1417</v>
      </c>
      <c r="I393" s="13"/>
      <c r="J393" s="13" t="s">
        <v>1451</v>
      </c>
      <c r="K393" s="13" t="s">
        <v>1419</v>
      </c>
      <c r="L393" s="13" t="s">
        <v>1420</v>
      </c>
      <c r="M393" s="13"/>
    </row>
    <row r="394" customFormat="false" ht="15" hidden="false" customHeight="false" outlineLevel="0" collapsed="false">
      <c r="A394" s="13" t="s">
        <v>608</v>
      </c>
      <c r="B394" s="13" t="s">
        <v>607</v>
      </c>
      <c r="C394" s="13" t="s">
        <v>1421</v>
      </c>
      <c r="D394" s="13" t="s">
        <v>61</v>
      </c>
      <c r="E394" s="13" t="s">
        <v>907</v>
      </c>
      <c r="F394" s="13" t="s">
        <v>908</v>
      </c>
      <c r="G394" s="63" t="n">
        <v>-7565985614</v>
      </c>
      <c r="H394" s="13" t="s">
        <v>1417</v>
      </c>
      <c r="I394" s="13"/>
      <c r="J394" s="13" t="s">
        <v>1451</v>
      </c>
      <c r="K394" s="13" t="s">
        <v>1422</v>
      </c>
      <c r="L394" s="13" t="s">
        <v>1420</v>
      </c>
      <c r="M394" s="13"/>
    </row>
    <row r="395" customFormat="false" ht="15" hidden="false" customHeight="false" outlineLevel="0" collapsed="false">
      <c r="A395" s="13" t="s">
        <v>608</v>
      </c>
      <c r="B395" s="13" t="s">
        <v>607</v>
      </c>
      <c r="C395" s="13" t="s">
        <v>1423</v>
      </c>
      <c r="D395" s="13" t="s">
        <v>61</v>
      </c>
      <c r="E395" s="13" t="s">
        <v>907</v>
      </c>
      <c r="F395" s="13" t="s">
        <v>908</v>
      </c>
      <c r="G395" s="63" t="n">
        <v>-11523542360</v>
      </c>
      <c r="H395" s="13" t="s">
        <v>1417</v>
      </c>
      <c r="I395" s="13"/>
      <c r="J395" s="13" t="s">
        <v>1452</v>
      </c>
      <c r="K395" s="13" t="s">
        <v>1425</v>
      </c>
      <c r="L395" s="13" t="s">
        <v>1426</v>
      </c>
      <c r="M395" s="13"/>
    </row>
    <row r="396" customFormat="false" ht="15" hidden="false" customHeight="false" outlineLevel="0" collapsed="false">
      <c r="A396" s="13" t="s">
        <v>608</v>
      </c>
      <c r="B396" s="13" t="s">
        <v>607</v>
      </c>
      <c r="C396" s="13" t="s">
        <v>1427</v>
      </c>
      <c r="D396" s="13" t="s">
        <v>61</v>
      </c>
      <c r="E396" s="13" t="s">
        <v>907</v>
      </c>
      <c r="F396" s="13" t="s">
        <v>908</v>
      </c>
      <c r="G396" s="63" t="n">
        <v>4181857038</v>
      </c>
      <c r="H396" s="13" t="s">
        <v>1417</v>
      </c>
      <c r="I396" s="13"/>
      <c r="J396" s="13" t="s">
        <v>1452</v>
      </c>
      <c r="K396" s="13" t="s">
        <v>619</v>
      </c>
      <c r="L396" s="13" t="s">
        <v>1420</v>
      </c>
      <c r="M396" s="13"/>
    </row>
    <row r="397" customFormat="false" ht="15" hidden="false" customHeight="false" outlineLevel="0" collapsed="false">
      <c r="A397" s="13" t="s">
        <v>608</v>
      </c>
      <c r="B397" s="13" t="s">
        <v>607</v>
      </c>
      <c r="C397" s="13" t="s">
        <v>1416</v>
      </c>
      <c r="D397" s="13" t="s">
        <v>61</v>
      </c>
      <c r="E397" s="13" t="s">
        <v>910</v>
      </c>
      <c r="F397" s="13" t="s">
        <v>911</v>
      </c>
      <c r="G397" s="63" t="n">
        <v>-2009565254</v>
      </c>
      <c r="H397" s="13" t="s">
        <v>1417</v>
      </c>
      <c r="I397" s="13"/>
      <c r="J397" s="13" t="s">
        <v>1451</v>
      </c>
      <c r="K397" s="13" t="s">
        <v>1419</v>
      </c>
      <c r="L397" s="13" t="s">
        <v>1420</v>
      </c>
      <c r="M397" s="13"/>
    </row>
    <row r="398" customFormat="false" ht="15" hidden="false" customHeight="false" outlineLevel="0" collapsed="false">
      <c r="A398" s="13" t="s">
        <v>608</v>
      </c>
      <c r="B398" s="13" t="s">
        <v>607</v>
      </c>
      <c r="C398" s="13" t="s">
        <v>1421</v>
      </c>
      <c r="D398" s="13" t="s">
        <v>61</v>
      </c>
      <c r="E398" s="13" t="s">
        <v>910</v>
      </c>
      <c r="F398" s="13" t="s">
        <v>911</v>
      </c>
      <c r="G398" s="63" t="n">
        <v>1536428416</v>
      </c>
      <c r="H398" s="13" t="s">
        <v>1417</v>
      </c>
      <c r="I398" s="13"/>
      <c r="J398" s="13" t="s">
        <v>1451</v>
      </c>
      <c r="K398" s="13" t="s">
        <v>1422</v>
      </c>
      <c r="L398" s="13" t="s">
        <v>1420</v>
      </c>
      <c r="M398" s="13"/>
    </row>
    <row r="399" customFormat="false" ht="15" hidden="false" customHeight="false" outlineLevel="0" collapsed="false">
      <c r="A399" s="13" t="s">
        <v>608</v>
      </c>
      <c r="B399" s="13" t="s">
        <v>607</v>
      </c>
      <c r="C399" s="13" t="s">
        <v>1423</v>
      </c>
      <c r="D399" s="13" t="s">
        <v>61</v>
      </c>
      <c r="E399" s="13" t="s">
        <v>910</v>
      </c>
      <c r="F399" s="13" t="s">
        <v>911</v>
      </c>
      <c r="G399" s="63" t="n">
        <v>-3264434868</v>
      </c>
      <c r="H399" s="13" t="s">
        <v>1417</v>
      </c>
      <c r="I399" s="13"/>
      <c r="J399" s="13" t="s">
        <v>1452</v>
      </c>
      <c r="K399" s="13" t="s">
        <v>1425</v>
      </c>
      <c r="L399" s="13" t="s">
        <v>1426</v>
      </c>
      <c r="M399" s="13"/>
    </row>
    <row r="400" customFormat="false" ht="15" hidden="false" customHeight="false" outlineLevel="0" collapsed="false">
      <c r="A400" s="13" t="s">
        <v>608</v>
      </c>
      <c r="B400" s="13" t="s">
        <v>607</v>
      </c>
      <c r="C400" s="13" t="s">
        <v>1427</v>
      </c>
      <c r="D400" s="13" t="s">
        <v>61</v>
      </c>
      <c r="E400" s="13" t="s">
        <v>910</v>
      </c>
      <c r="F400" s="13" t="s">
        <v>911</v>
      </c>
      <c r="G400" s="63" t="n">
        <v>-870188358</v>
      </c>
      <c r="H400" s="13" t="s">
        <v>1417</v>
      </c>
      <c r="I400" s="13"/>
      <c r="J400" s="13" t="s">
        <v>1452</v>
      </c>
      <c r="K400" s="13" t="s">
        <v>619</v>
      </c>
      <c r="L400" s="13" t="s">
        <v>1420</v>
      </c>
      <c r="M400" s="13"/>
    </row>
    <row r="401" customFormat="false" ht="15" hidden="false" customHeight="false" outlineLevel="0" collapsed="false">
      <c r="A401" s="13" t="s">
        <v>608</v>
      </c>
      <c r="B401" s="13" t="s">
        <v>607</v>
      </c>
      <c r="C401" s="13" t="s">
        <v>1416</v>
      </c>
      <c r="D401" s="13" t="s">
        <v>61</v>
      </c>
      <c r="E401" s="13" t="s">
        <v>913</v>
      </c>
      <c r="F401" s="13" t="s">
        <v>914</v>
      </c>
      <c r="G401" s="63" t="n">
        <v>7734100083</v>
      </c>
      <c r="H401" s="13" t="s">
        <v>1417</v>
      </c>
      <c r="I401" s="13"/>
      <c r="J401" s="13"/>
      <c r="K401" s="13" t="s">
        <v>1419</v>
      </c>
      <c r="L401" s="13" t="s">
        <v>1420</v>
      </c>
      <c r="M401" s="13" t="s">
        <v>1428</v>
      </c>
    </row>
    <row r="402" customFormat="false" ht="15" hidden="false" customHeight="false" outlineLevel="0" collapsed="false">
      <c r="A402" s="13" t="s">
        <v>608</v>
      </c>
      <c r="B402" s="13" t="s">
        <v>607</v>
      </c>
      <c r="C402" s="13" t="s">
        <v>1421</v>
      </c>
      <c r="D402" s="13" t="s">
        <v>61</v>
      </c>
      <c r="E402" s="13" t="s">
        <v>913</v>
      </c>
      <c r="F402" s="13" t="s">
        <v>914</v>
      </c>
      <c r="G402" s="63" t="n">
        <v>19735705441</v>
      </c>
      <c r="H402" s="13" t="s">
        <v>1417</v>
      </c>
      <c r="I402" s="13"/>
      <c r="J402" s="13"/>
      <c r="K402" s="13" t="s">
        <v>1422</v>
      </c>
      <c r="L402" s="13" t="s">
        <v>1420</v>
      </c>
      <c r="M402" s="13" t="s">
        <v>1428</v>
      </c>
    </row>
    <row r="403" customFormat="false" ht="15" hidden="false" customHeight="false" outlineLevel="0" collapsed="false">
      <c r="A403" s="13" t="s">
        <v>608</v>
      </c>
      <c r="B403" s="13" t="s">
        <v>607</v>
      </c>
      <c r="C403" s="13" t="s">
        <v>1423</v>
      </c>
      <c r="D403" s="13" t="s">
        <v>61</v>
      </c>
      <c r="E403" s="13" t="s">
        <v>913</v>
      </c>
      <c r="F403" s="13" t="s">
        <v>914</v>
      </c>
      <c r="G403" s="63" t="n">
        <v>2997687548</v>
      </c>
      <c r="H403" s="13" t="s">
        <v>1417</v>
      </c>
      <c r="I403" s="13"/>
      <c r="J403" s="13"/>
      <c r="K403" s="13" t="s">
        <v>1425</v>
      </c>
      <c r="L403" s="13" t="s">
        <v>1426</v>
      </c>
      <c r="M403" s="13" t="s">
        <v>1428</v>
      </c>
    </row>
    <row r="404" customFormat="false" ht="15" hidden="false" customHeight="false" outlineLevel="0" collapsed="false">
      <c r="A404" s="13" t="s">
        <v>608</v>
      </c>
      <c r="B404" s="13" t="s">
        <v>607</v>
      </c>
      <c r="C404" s="13" t="s">
        <v>1427</v>
      </c>
      <c r="D404" s="13" t="s">
        <v>61</v>
      </c>
      <c r="E404" s="13" t="s">
        <v>913</v>
      </c>
      <c r="F404" s="13" t="s">
        <v>914</v>
      </c>
      <c r="G404" s="63" t="n">
        <v>5567951370</v>
      </c>
      <c r="H404" s="13" t="s">
        <v>1417</v>
      </c>
      <c r="I404" s="13"/>
      <c r="J404" s="13"/>
      <c r="K404" s="13" t="s">
        <v>619</v>
      </c>
      <c r="L404" s="13" t="s">
        <v>1420</v>
      </c>
      <c r="M404" s="13" t="s">
        <v>1428</v>
      </c>
    </row>
    <row r="405" customFormat="false" ht="15" hidden="false" customHeight="false" outlineLevel="0" collapsed="false">
      <c r="A405" s="13" t="s">
        <v>608</v>
      </c>
      <c r="B405" s="13" t="s">
        <v>607</v>
      </c>
      <c r="C405" s="13" t="s">
        <v>1416</v>
      </c>
      <c r="D405" s="13" t="s">
        <v>61</v>
      </c>
      <c r="E405" s="13" t="s">
        <v>915</v>
      </c>
      <c r="F405" s="13" t="s">
        <v>916</v>
      </c>
      <c r="G405" s="63" t="n">
        <v>-16981553674</v>
      </c>
      <c r="H405" s="13" t="s">
        <v>1417</v>
      </c>
      <c r="I405" s="13"/>
      <c r="J405" s="13" t="s">
        <v>1451</v>
      </c>
      <c r="K405" s="13" t="s">
        <v>1419</v>
      </c>
      <c r="L405" s="13" t="s">
        <v>1420</v>
      </c>
      <c r="M405" s="13"/>
    </row>
    <row r="406" customFormat="false" ht="15" hidden="false" customHeight="false" outlineLevel="0" collapsed="false">
      <c r="A406" s="13" t="s">
        <v>608</v>
      </c>
      <c r="B406" s="13" t="s">
        <v>607</v>
      </c>
      <c r="C406" s="13" t="s">
        <v>1421</v>
      </c>
      <c r="D406" s="13" t="s">
        <v>61</v>
      </c>
      <c r="E406" s="13" t="s">
        <v>915</v>
      </c>
      <c r="F406" s="13" t="s">
        <v>916</v>
      </c>
      <c r="G406" s="63" t="n">
        <v>-36091707048</v>
      </c>
      <c r="H406" s="13" t="s">
        <v>1417</v>
      </c>
      <c r="I406" s="13"/>
      <c r="J406" s="13" t="s">
        <v>1451</v>
      </c>
      <c r="K406" s="13" t="s">
        <v>1422</v>
      </c>
      <c r="L406" s="13" t="s">
        <v>1420</v>
      </c>
      <c r="M406" s="13"/>
    </row>
    <row r="407" customFormat="false" ht="15" hidden="false" customHeight="false" outlineLevel="0" collapsed="false">
      <c r="A407" s="13" t="s">
        <v>608</v>
      </c>
      <c r="B407" s="13" t="s">
        <v>607</v>
      </c>
      <c r="C407" s="13" t="s">
        <v>1423</v>
      </c>
      <c r="D407" s="13" t="s">
        <v>61</v>
      </c>
      <c r="E407" s="13" t="s">
        <v>915</v>
      </c>
      <c r="F407" s="13" t="s">
        <v>916</v>
      </c>
      <c r="G407" s="63" t="n">
        <v>-24447662378</v>
      </c>
      <c r="H407" s="13" t="s">
        <v>1417</v>
      </c>
      <c r="I407" s="13"/>
      <c r="J407" s="13" t="s">
        <v>1452</v>
      </c>
      <c r="K407" s="13" t="s">
        <v>1425</v>
      </c>
      <c r="L407" s="13" t="s">
        <v>1426</v>
      </c>
      <c r="M407" s="13"/>
    </row>
    <row r="408" customFormat="false" ht="15" hidden="false" customHeight="false" outlineLevel="0" collapsed="false">
      <c r="A408" s="13" t="s">
        <v>608</v>
      </c>
      <c r="B408" s="13" t="s">
        <v>607</v>
      </c>
      <c r="C408" s="13" t="s">
        <v>1427</v>
      </c>
      <c r="D408" s="13" t="s">
        <v>61</v>
      </c>
      <c r="E408" s="13" t="s">
        <v>915</v>
      </c>
      <c r="F408" s="13" t="s">
        <v>916</v>
      </c>
      <c r="G408" s="63" t="n">
        <v>-3910827865</v>
      </c>
      <c r="H408" s="13" t="s">
        <v>1417</v>
      </c>
      <c r="I408" s="13"/>
      <c r="J408" s="13" t="s">
        <v>1452</v>
      </c>
      <c r="K408" s="13" t="s">
        <v>619</v>
      </c>
      <c r="L408" s="13" t="s">
        <v>1420</v>
      </c>
      <c r="M408" s="13"/>
    </row>
    <row r="409" customFormat="false" ht="15" hidden="false" customHeight="false" outlineLevel="0" collapsed="false">
      <c r="A409" s="13" t="s">
        <v>608</v>
      </c>
      <c r="B409" s="13" t="s">
        <v>607</v>
      </c>
      <c r="C409" s="13" t="s">
        <v>1416</v>
      </c>
      <c r="D409" s="13" t="s">
        <v>61</v>
      </c>
      <c r="E409" s="13" t="s">
        <v>918</v>
      </c>
      <c r="F409" s="13" t="s">
        <v>919</v>
      </c>
      <c r="G409" s="63" t="n">
        <v>0</v>
      </c>
      <c r="H409" s="13" t="s">
        <v>1417</v>
      </c>
      <c r="I409" s="13"/>
      <c r="J409" s="13" t="s">
        <v>1451</v>
      </c>
      <c r="K409" s="13" t="s">
        <v>1419</v>
      </c>
      <c r="L409" s="13" t="s">
        <v>1420</v>
      </c>
      <c r="M409" s="13"/>
    </row>
    <row r="410" customFormat="false" ht="15" hidden="false" customHeight="false" outlineLevel="0" collapsed="false">
      <c r="A410" s="13" t="s">
        <v>608</v>
      </c>
      <c r="B410" s="13" t="s">
        <v>607</v>
      </c>
      <c r="C410" s="13" t="s">
        <v>1421</v>
      </c>
      <c r="D410" s="13" t="s">
        <v>61</v>
      </c>
      <c r="E410" s="13" t="s">
        <v>918</v>
      </c>
      <c r="F410" s="13" t="s">
        <v>919</v>
      </c>
      <c r="G410" s="63" t="n">
        <v>-54785129</v>
      </c>
      <c r="H410" s="13" t="s">
        <v>1417</v>
      </c>
      <c r="I410" s="13"/>
      <c r="J410" s="13" t="s">
        <v>1451</v>
      </c>
      <c r="K410" s="13" t="s">
        <v>1422</v>
      </c>
      <c r="L410" s="13" t="s">
        <v>1420</v>
      </c>
      <c r="M410" s="13"/>
    </row>
    <row r="411" customFormat="false" ht="15" hidden="false" customHeight="false" outlineLevel="0" collapsed="false">
      <c r="A411" s="13" t="s">
        <v>608</v>
      </c>
      <c r="B411" s="13" t="s">
        <v>607</v>
      </c>
      <c r="C411" s="13" t="s">
        <v>1423</v>
      </c>
      <c r="D411" s="13" t="s">
        <v>61</v>
      </c>
      <c r="E411" s="13" t="s">
        <v>918</v>
      </c>
      <c r="F411" s="13" t="s">
        <v>919</v>
      </c>
      <c r="G411" s="63" t="n">
        <v>0</v>
      </c>
      <c r="H411" s="13" t="s">
        <v>1417</v>
      </c>
      <c r="I411" s="13"/>
      <c r="J411" s="13" t="s">
        <v>1452</v>
      </c>
      <c r="K411" s="13" t="s">
        <v>1425</v>
      </c>
      <c r="L411" s="13" t="s">
        <v>1426</v>
      </c>
      <c r="M411" s="13"/>
    </row>
    <row r="412" customFormat="false" ht="15" hidden="false" customHeight="false" outlineLevel="0" collapsed="false">
      <c r="A412" s="13" t="s">
        <v>608</v>
      </c>
      <c r="B412" s="13" t="s">
        <v>607</v>
      </c>
      <c r="C412" s="13" t="s">
        <v>1427</v>
      </c>
      <c r="D412" s="13" t="s">
        <v>61</v>
      </c>
      <c r="E412" s="13" t="s">
        <v>918</v>
      </c>
      <c r="F412" s="13" t="s">
        <v>919</v>
      </c>
      <c r="G412" s="63" t="n">
        <v>-23480000000</v>
      </c>
      <c r="H412" s="13" t="s">
        <v>1417</v>
      </c>
      <c r="I412" s="13"/>
      <c r="J412" s="13" t="s">
        <v>1452</v>
      </c>
      <c r="K412" s="13" t="s">
        <v>619</v>
      </c>
      <c r="L412" s="13" t="s">
        <v>1420</v>
      </c>
      <c r="M412" s="13"/>
    </row>
    <row r="413" customFormat="false" ht="15" hidden="false" customHeight="false" outlineLevel="0" collapsed="false">
      <c r="A413" s="13" t="s">
        <v>608</v>
      </c>
      <c r="B413" s="13" t="s">
        <v>607</v>
      </c>
      <c r="C413" s="13" t="s">
        <v>1416</v>
      </c>
      <c r="D413" s="13" t="s">
        <v>61</v>
      </c>
      <c r="E413" s="13" t="s">
        <v>921</v>
      </c>
      <c r="F413" s="13" t="s">
        <v>922</v>
      </c>
      <c r="G413" s="63" t="n">
        <v>0</v>
      </c>
      <c r="H413" s="13" t="s">
        <v>1417</v>
      </c>
      <c r="I413" s="13"/>
      <c r="J413" s="13" t="s">
        <v>1451</v>
      </c>
      <c r="K413" s="13" t="s">
        <v>1419</v>
      </c>
      <c r="L413" s="13" t="s">
        <v>1420</v>
      </c>
      <c r="M413" s="13"/>
    </row>
    <row r="414" customFormat="false" ht="15" hidden="false" customHeight="false" outlineLevel="0" collapsed="false">
      <c r="A414" s="13" t="s">
        <v>608</v>
      </c>
      <c r="B414" s="13" t="s">
        <v>607</v>
      </c>
      <c r="C414" s="13" t="s">
        <v>1421</v>
      </c>
      <c r="D414" s="13" t="s">
        <v>61</v>
      </c>
      <c r="E414" s="13" t="s">
        <v>921</v>
      </c>
      <c r="F414" s="13" t="s">
        <v>922</v>
      </c>
      <c r="G414" s="63" t="n">
        <v>0</v>
      </c>
      <c r="H414" s="13" t="s">
        <v>1417</v>
      </c>
      <c r="I414" s="13"/>
      <c r="J414" s="13" t="s">
        <v>1451</v>
      </c>
      <c r="K414" s="13" t="s">
        <v>1422</v>
      </c>
      <c r="L414" s="13" t="s">
        <v>1420</v>
      </c>
      <c r="M414" s="13"/>
    </row>
    <row r="415" customFormat="false" ht="15" hidden="false" customHeight="false" outlineLevel="0" collapsed="false">
      <c r="A415" s="13" t="s">
        <v>608</v>
      </c>
      <c r="B415" s="13" t="s">
        <v>607</v>
      </c>
      <c r="C415" s="13" t="s">
        <v>1423</v>
      </c>
      <c r="D415" s="13" t="s">
        <v>61</v>
      </c>
      <c r="E415" s="13" t="s">
        <v>921</v>
      </c>
      <c r="F415" s="13" t="s">
        <v>922</v>
      </c>
      <c r="G415" s="63" t="n">
        <v>-2015875481</v>
      </c>
      <c r="H415" s="13" t="s">
        <v>1417</v>
      </c>
      <c r="I415" s="13"/>
      <c r="J415" s="13" t="s">
        <v>1452</v>
      </c>
      <c r="K415" s="13" t="s">
        <v>1425</v>
      </c>
      <c r="L415" s="13" t="s">
        <v>1426</v>
      </c>
      <c r="M415" s="13"/>
    </row>
    <row r="416" customFormat="false" ht="15" hidden="false" customHeight="false" outlineLevel="0" collapsed="false">
      <c r="A416" s="13" t="s">
        <v>608</v>
      </c>
      <c r="B416" s="13" t="s">
        <v>607</v>
      </c>
      <c r="C416" s="13" t="s">
        <v>1427</v>
      </c>
      <c r="D416" s="13" t="s">
        <v>61</v>
      </c>
      <c r="E416" s="13" t="s">
        <v>921</v>
      </c>
      <c r="F416" s="13" t="s">
        <v>922</v>
      </c>
      <c r="G416" s="63" t="n">
        <v>0</v>
      </c>
      <c r="H416" s="13" t="s">
        <v>1417</v>
      </c>
      <c r="I416" s="13"/>
      <c r="J416" s="13" t="s">
        <v>1452</v>
      </c>
      <c r="K416" s="13" t="s">
        <v>619</v>
      </c>
      <c r="L416" s="13" t="s">
        <v>1420</v>
      </c>
      <c r="M416" s="13"/>
    </row>
    <row r="417" customFormat="false" ht="15" hidden="false" customHeight="false" outlineLevel="0" collapsed="false">
      <c r="A417" s="13" t="s">
        <v>608</v>
      </c>
      <c r="B417" s="13" t="s">
        <v>607</v>
      </c>
      <c r="C417" s="13" t="s">
        <v>1416</v>
      </c>
      <c r="D417" s="13" t="s">
        <v>61</v>
      </c>
      <c r="E417" s="13" t="s">
        <v>925</v>
      </c>
      <c r="F417" s="13" t="s">
        <v>926</v>
      </c>
      <c r="G417" s="63" t="n">
        <v>0</v>
      </c>
      <c r="H417" s="13" t="s">
        <v>1417</v>
      </c>
      <c r="I417" s="13"/>
      <c r="J417" s="13" t="s">
        <v>1451</v>
      </c>
      <c r="K417" s="13" t="s">
        <v>1419</v>
      </c>
      <c r="L417" s="13" t="s">
        <v>1420</v>
      </c>
      <c r="M417" s="13"/>
    </row>
    <row r="418" customFormat="false" ht="15" hidden="false" customHeight="false" outlineLevel="0" collapsed="false">
      <c r="A418" s="13" t="s">
        <v>608</v>
      </c>
      <c r="B418" s="13" t="s">
        <v>607</v>
      </c>
      <c r="C418" s="13" t="s">
        <v>1421</v>
      </c>
      <c r="D418" s="13" t="s">
        <v>61</v>
      </c>
      <c r="E418" s="13" t="s">
        <v>925</v>
      </c>
      <c r="F418" s="13" t="s">
        <v>926</v>
      </c>
      <c r="G418" s="63" t="n">
        <v>0</v>
      </c>
      <c r="H418" s="13" t="s">
        <v>1417</v>
      </c>
      <c r="I418" s="13"/>
      <c r="J418" s="13" t="s">
        <v>1451</v>
      </c>
      <c r="K418" s="13" t="s">
        <v>1422</v>
      </c>
      <c r="L418" s="13" t="s">
        <v>1420</v>
      </c>
      <c r="M418" s="13"/>
    </row>
    <row r="419" customFormat="false" ht="15" hidden="false" customHeight="false" outlineLevel="0" collapsed="false">
      <c r="A419" s="13" t="s">
        <v>608</v>
      </c>
      <c r="B419" s="13" t="s">
        <v>607</v>
      </c>
      <c r="C419" s="13" t="s">
        <v>1423</v>
      </c>
      <c r="D419" s="13" t="s">
        <v>61</v>
      </c>
      <c r="E419" s="13" t="s">
        <v>925</v>
      </c>
      <c r="F419" s="13" t="s">
        <v>926</v>
      </c>
      <c r="G419" s="63" t="n">
        <v>303123000</v>
      </c>
      <c r="H419" s="13" t="s">
        <v>1417</v>
      </c>
      <c r="I419" s="13"/>
      <c r="J419" s="13" t="s">
        <v>1452</v>
      </c>
      <c r="K419" s="13" t="s">
        <v>1425</v>
      </c>
      <c r="L419" s="13" t="s">
        <v>1426</v>
      </c>
      <c r="M419" s="13"/>
    </row>
    <row r="420" customFormat="false" ht="15" hidden="false" customHeight="false" outlineLevel="0" collapsed="false">
      <c r="A420" s="13" t="s">
        <v>608</v>
      </c>
      <c r="B420" s="13" t="s">
        <v>607</v>
      </c>
      <c r="C420" s="13" t="s">
        <v>1427</v>
      </c>
      <c r="D420" s="13" t="s">
        <v>61</v>
      </c>
      <c r="E420" s="13" t="s">
        <v>925</v>
      </c>
      <c r="F420" s="13" t="s">
        <v>926</v>
      </c>
      <c r="G420" s="63" t="n">
        <v>0</v>
      </c>
      <c r="H420" s="13" t="s">
        <v>1417</v>
      </c>
      <c r="I420" s="13"/>
      <c r="J420" s="13" t="s">
        <v>1452</v>
      </c>
      <c r="K420" s="13" t="s">
        <v>619</v>
      </c>
      <c r="L420" s="13" t="s">
        <v>1420</v>
      </c>
      <c r="M420" s="13"/>
    </row>
    <row r="421" customFormat="false" ht="15" hidden="false" customHeight="false" outlineLevel="0" collapsed="false">
      <c r="A421" s="13" t="s">
        <v>608</v>
      </c>
      <c r="B421" s="13" t="s">
        <v>607</v>
      </c>
      <c r="C421" s="13" t="s">
        <v>1416</v>
      </c>
      <c r="D421" s="13" t="s">
        <v>61</v>
      </c>
      <c r="E421" s="13" t="s">
        <v>934</v>
      </c>
      <c r="F421" s="13" t="s">
        <v>935</v>
      </c>
      <c r="G421" s="63" t="n">
        <v>-16981553674</v>
      </c>
      <c r="H421" s="13" t="s">
        <v>1417</v>
      </c>
      <c r="I421" s="13"/>
      <c r="J421" s="13"/>
      <c r="K421" s="13" t="s">
        <v>1419</v>
      </c>
      <c r="L421" s="13" t="s">
        <v>1420</v>
      </c>
      <c r="M421" s="13" t="s">
        <v>1428</v>
      </c>
    </row>
    <row r="422" customFormat="false" ht="15" hidden="false" customHeight="false" outlineLevel="0" collapsed="false">
      <c r="A422" s="13" t="s">
        <v>608</v>
      </c>
      <c r="B422" s="13" t="s">
        <v>607</v>
      </c>
      <c r="C422" s="13" t="s">
        <v>1421</v>
      </c>
      <c r="D422" s="13" t="s">
        <v>61</v>
      </c>
      <c r="E422" s="13" t="s">
        <v>934</v>
      </c>
      <c r="F422" s="13" t="s">
        <v>935</v>
      </c>
      <c r="G422" s="63" t="n">
        <v>-36146492177</v>
      </c>
      <c r="H422" s="13" t="s">
        <v>1417</v>
      </c>
      <c r="I422" s="13"/>
      <c r="J422" s="13"/>
      <c r="K422" s="13" t="s">
        <v>1422</v>
      </c>
      <c r="L422" s="13" t="s">
        <v>1420</v>
      </c>
      <c r="M422" s="13" t="s">
        <v>1428</v>
      </c>
    </row>
    <row r="423" customFormat="false" ht="15" hidden="false" customHeight="false" outlineLevel="0" collapsed="false">
      <c r="A423" s="13" t="s">
        <v>608</v>
      </c>
      <c r="B423" s="13" t="s">
        <v>607</v>
      </c>
      <c r="C423" s="13" t="s">
        <v>1423</v>
      </c>
      <c r="D423" s="13" t="s">
        <v>61</v>
      </c>
      <c r="E423" s="13" t="s">
        <v>934</v>
      </c>
      <c r="F423" s="13" t="s">
        <v>935</v>
      </c>
      <c r="G423" s="63" t="n">
        <v>-26160414859</v>
      </c>
      <c r="H423" s="13" t="s">
        <v>1417</v>
      </c>
      <c r="I423" s="13"/>
      <c r="J423" s="13"/>
      <c r="K423" s="13" t="s">
        <v>1425</v>
      </c>
      <c r="L423" s="13" t="s">
        <v>1426</v>
      </c>
      <c r="M423" s="13" t="s">
        <v>1428</v>
      </c>
    </row>
    <row r="424" customFormat="false" ht="15" hidden="false" customHeight="false" outlineLevel="0" collapsed="false">
      <c r="A424" s="13" t="s">
        <v>608</v>
      </c>
      <c r="B424" s="13" t="s">
        <v>607</v>
      </c>
      <c r="C424" s="13" t="s">
        <v>1427</v>
      </c>
      <c r="D424" s="13" t="s">
        <v>61</v>
      </c>
      <c r="E424" s="13" t="s">
        <v>934</v>
      </c>
      <c r="F424" s="13" t="s">
        <v>935</v>
      </c>
      <c r="G424" s="63" t="n">
        <v>-27390827865</v>
      </c>
      <c r="H424" s="13" t="s">
        <v>1417</v>
      </c>
      <c r="I424" s="13"/>
      <c r="J424" s="13"/>
      <c r="K424" s="13" t="s">
        <v>619</v>
      </c>
      <c r="L424" s="13" t="s">
        <v>1420</v>
      </c>
      <c r="M424" s="13" t="s">
        <v>1428</v>
      </c>
    </row>
    <row r="425" customFormat="false" ht="15" hidden="false" customHeight="false" outlineLevel="0" collapsed="false">
      <c r="A425" s="13" t="s">
        <v>608</v>
      </c>
      <c r="B425" s="13" t="s">
        <v>607</v>
      </c>
      <c r="C425" s="13" t="s">
        <v>1416</v>
      </c>
      <c r="D425" s="13" t="s">
        <v>61</v>
      </c>
      <c r="E425" s="13" t="s">
        <v>940</v>
      </c>
      <c r="F425" s="13" t="s">
        <v>941</v>
      </c>
      <c r="G425" s="63" t="n">
        <v>55246000000</v>
      </c>
      <c r="H425" s="13" t="s">
        <v>1417</v>
      </c>
      <c r="I425" s="13"/>
      <c r="J425" s="13" t="s">
        <v>1451</v>
      </c>
      <c r="K425" s="13" t="s">
        <v>1419</v>
      </c>
      <c r="L425" s="13" t="s">
        <v>1420</v>
      </c>
      <c r="M425" s="13"/>
    </row>
    <row r="426" customFormat="false" ht="15" hidden="false" customHeight="false" outlineLevel="0" collapsed="false">
      <c r="A426" s="13" t="s">
        <v>608</v>
      </c>
      <c r="B426" s="13" t="s">
        <v>607</v>
      </c>
      <c r="C426" s="13" t="s">
        <v>1421</v>
      </c>
      <c r="D426" s="13" t="s">
        <v>61</v>
      </c>
      <c r="E426" s="13" t="s">
        <v>940</v>
      </c>
      <c r="F426" s="13" t="s">
        <v>941</v>
      </c>
      <c r="G426" s="63" t="n">
        <v>33071929334</v>
      </c>
      <c r="H426" s="13" t="s">
        <v>1417</v>
      </c>
      <c r="I426" s="13"/>
      <c r="J426" s="13" t="s">
        <v>1451</v>
      </c>
      <c r="K426" s="13" t="s">
        <v>1422</v>
      </c>
      <c r="L426" s="13" t="s">
        <v>1420</v>
      </c>
      <c r="M426" s="13"/>
    </row>
    <row r="427" customFormat="false" ht="15" hidden="false" customHeight="false" outlineLevel="0" collapsed="false">
      <c r="A427" s="13" t="s">
        <v>608</v>
      </c>
      <c r="B427" s="13" t="s">
        <v>607</v>
      </c>
      <c r="C427" s="13" t="s">
        <v>1423</v>
      </c>
      <c r="D427" s="13" t="s">
        <v>61</v>
      </c>
      <c r="E427" s="13" t="s">
        <v>940</v>
      </c>
      <c r="F427" s="13" t="s">
        <v>941</v>
      </c>
      <c r="G427" s="63" t="n">
        <v>6717555926</v>
      </c>
      <c r="H427" s="13" t="s">
        <v>1417</v>
      </c>
      <c r="I427" s="13"/>
      <c r="J427" s="13" t="s">
        <v>1452</v>
      </c>
      <c r="K427" s="13" t="s">
        <v>1425</v>
      </c>
      <c r="L427" s="13" t="s">
        <v>1426</v>
      </c>
      <c r="M427" s="13"/>
    </row>
    <row r="428" customFormat="false" ht="15" hidden="false" customHeight="false" outlineLevel="0" collapsed="false">
      <c r="A428" s="13" t="s">
        <v>608</v>
      </c>
      <c r="B428" s="13" t="s">
        <v>607</v>
      </c>
      <c r="C428" s="13" t="s">
        <v>1427</v>
      </c>
      <c r="D428" s="13" t="s">
        <v>61</v>
      </c>
      <c r="E428" s="13" t="s">
        <v>940</v>
      </c>
      <c r="F428" s="13" t="s">
        <v>941</v>
      </c>
      <c r="G428" s="63" t="n">
        <v>0</v>
      </c>
      <c r="H428" s="13" t="s">
        <v>1417</v>
      </c>
      <c r="I428" s="13"/>
      <c r="J428" s="13" t="s">
        <v>1452</v>
      </c>
      <c r="K428" s="13" t="s">
        <v>619</v>
      </c>
      <c r="L428" s="13" t="s">
        <v>1420</v>
      </c>
      <c r="M428" s="13"/>
    </row>
    <row r="429" customFormat="false" ht="15" hidden="false" customHeight="false" outlineLevel="0" collapsed="false">
      <c r="A429" s="13" t="s">
        <v>608</v>
      </c>
      <c r="B429" s="13" t="s">
        <v>607</v>
      </c>
      <c r="C429" s="13" t="s">
        <v>1416</v>
      </c>
      <c r="D429" s="13" t="s">
        <v>61</v>
      </c>
      <c r="E429" s="13" t="s">
        <v>943</v>
      </c>
      <c r="F429" s="13" t="s">
        <v>944</v>
      </c>
      <c r="G429" s="63" t="n">
        <v>-30887841073</v>
      </c>
      <c r="H429" s="13" t="s">
        <v>1417</v>
      </c>
      <c r="I429" s="13"/>
      <c r="J429" s="13" t="s">
        <v>1451</v>
      </c>
      <c r="K429" s="13" t="s">
        <v>1419</v>
      </c>
      <c r="L429" s="13" t="s">
        <v>1420</v>
      </c>
      <c r="M429" s="13"/>
    </row>
    <row r="430" customFormat="false" ht="15" hidden="false" customHeight="false" outlineLevel="0" collapsed="false">
      <c r="A430" s="13" t="s">
        <v>608</v>
      </c>
      <c r="B430" s="13" t="s">
        <v>607</v>
      </c>
      <c r="C430" s="13" t="s">
        <v>1421</v>
      </c>
      <c r="D430" s="13" t="s">
        <v>61</v>
      </c>
      <c r="E430" s="13" t="s">
        <v>943</v>
      </c>
      <c r="F430" s="13" t="s">
        <v>944</v>
      </c>
      <c r="G430" s="63" t="n">
        <v>-700008000</v>
      </c>
      <c r="H430" s="13" t="s">
        <v>1417</v>
      </c>
      <c r="I430" s="13"/>
      <c r="J430" s="13" t="s">
        <v>1451</v>
      </c>
      <c r="K430" s="13" t="s">
        <v>1422</v>
      </c>
      <c r="L430" s="13" t="s">
        <v>1420</v>
      </c>
      <c r="M430" s="13"/>
    </row>
    <row r="431" customFormat="false" ht="15" hidden="false" customHeight="false" outlineLevel="0" collapsed="false">
      <c r="A431" s="13" t="s">
        <v>608</v>
      </c>
      <c r="B431" s="13" t="s">
        <v>607</v>
      </c>
      <c r="C431" s="13" t="s">
        <v>1423</v>
      </c>
      <c r="D431" s="13" t="s">
        <v>61</v>
      </c>
      <c r="E431" s="13" t="s">
        <v>943</v>
      </c>
      <c r="F431" s="13" t="s">
        <v>944</v>
      </c>
      <c r="G431" s="63" t="n">
        <v>-4015634050</v>
      </c>
      <c r="H431" s="13" t="s">
        <v>1417</v>
      </c>
      <c r="I431" s="13"/>
      <c r="J431" s="13" t="s">
        <v>1452</v>
      </c>
      <c r="K431" s="13" t="s">
        <v>1425</v>
      </c>
      <c r="L431" s="13" t="s">
        <v>1426</v>
      </c>
      <c r="M431" s="13"/>
    </row>
    <row r="432" customFormat="false" ht="15" hidden="false" customHeight="false" outlineLevel="0" collapsed="false">
      <c r="A432" s="13" t="s">
        <v>608</v>
      </c>
      <c r="B432" s="13" t="s">
        <v>607</v>
      </c>
      <c r="C432" s="13" t="s">
        <v>1427</v>
      </c>
      <c r="D432" s="13" t="s">
        <v>61</v>
      </c>
      <c r="E432" s="13" t="s">
        <v>943</v>
      </c>
      <c r="F432" s="13" t="s">
        <v>944</v>
      </c>
      <c r="G432" s="63" t="n">
        <v>-12951313161</v>
      </c>
      <c r="H432" s="13" t="s">
        <v>1417</v>
      </c>
      <c r="I432" s="13"/>
      <c r="J432" s="13" t="s">
        <v>1452</v>
      </c>
      <c r="K432" s="13" t="s">
        <v>619</v>
      </c>
      <c r="L432" s="13" t="s">
        <v>1420</v>
      </c>
      <c r="M432" s="13"/>
    </row>
    <row r="433" customFormat="false" ht="15" hidden="false" customHeight="false" outlineLevel="0" collapsed="false">
      <c r="A433" s="13" t="s">
        <v>608</v>
      </c>
      <c r="B433" s="13" t="s">
        <v>607</v>
      </c>
      <c r="C433" s="13" t="s">
        <v>1416</v>
      </c>
      <c r="D433" s="13" t="s">
        <v>61</v>
      </c>
      <c r="E433" s="13" t="s">
        <v>946</v>
      </c>
      <c r="F433" s="13" t="s">
        <v>947</v>
      </c>
      <c r="G433" s="63" t="n">
        <v>-174137725</v>
      </c>
      <c r="H433" s="13" t="s">
        <v>1417</v>
      </c>
      <c r="I433" s="13"/>
      <c r="J433" s="13" t="s">
        <v>1451</v>
      </c>
      <c r="K433" s="13" t="s">
        <v>1419</v>
      </c>
      <c r="L433" s="13" t="s">
        <v>1420</v>
      </c>
      <c r="M433" s="13"/>
    </row>
    <row r="434" customFormat="false" ht="15" hidden="false" customHeight="false" outlineLevel="0" collapsed="false">
      <c r="A434" s="13" t="s">
        <v>608</v>
      </c>
      <c r="B434" s="13" t="s">
        <v>607</v>
      </c>
      <c r="C434" s="13" t="s">
        <v>1421</v>
      </c>
      <c r="D434" s="13" t="s">
        <v>61</v>
      </c>
      <c r="E434" s="13" t="s">
        <v>946</v>
      </c>
      <c r="F434" s="13" t="s">
        <v>947</v>
      </c>
      <c r="G434" s="63" t="n">
        <v>-258986069</v>
      </c>
      <c r="H434" s="13" t="s">
        <v>1417</v>
      </c>
      <c r="I434" s="13"/>
      <c r="J434" s="13" t="s">
        <v>1451</v>
      </c>
      <c r="K434" s="13" t="s">
        <v>1422</v>
      </c>
      <c r="L434" s="13" t="s">
        <v>1420</v>
      </c>
      <c r="M434" s="13"/>
    </row>
    <row r="435" customFormat="false" ht="15" hidden="false" customHeight="false" outlineLevel="0" collapsed="false">
      <c r="A435" s="13" t="s">
        <v>608</v>
      </c>
      <c r="B435" s="13" t="s">
        <v>607</v>
      </c>
      <c r="C435" s="13" t="s">
        <v>1423</v>
      </c>
      <c r="D435" s="13" t="s">
        <v>61</v>
      </c>
      <c r="E435" s="13" t="s">
        <v>946</v>
      </c>
      <c r="F435" s="13" t="s">
        <v>947</v>
      </c>
      <c r="G435" s="63" t="n">
        <v>-227712033</v>
      </c>
      <c r="H435" s="13" t="s">
        <v>1417</v>
      </c>
      <c r="I435" s="13"/>
      <c r="J435" s="13" t="s">
        <v>1452</v>
      </c>
      <c r="K435" s="13" t="s">
        <v>1425</v>
      </c>
      <c r="L435" s="13" t="s">
        <v>1426</v>
      </c>
      <c r="M435" s="13"/>
    </row>
    <row r="436" customFormat="false" ht="15" hidden="false" customHeight="false" outlineLevel="0" collapsed="false">
      <c r="A436" s="13" t="s">
        <v>608</v>
      </c>
      <c r="B436" s="13" t="s">
        <v>607</v>
      </c>
      <c r="C436" s="13" t="s">
        <v>1427</v>
      </c>
      <c r="D436" s="13" t="s">
        <v>61</v>
      </c>
      <c r="E436" s="13" t="s">
        <v>946</v>
      </c>
      <c r="F436" s="13" t="s">
        <v>947</v>
      </c>
      <c r="G436" s="63" t="n">
        <v>-141304358</v>
      </c>
      <c r="H436" s="13" t="s">
        <v>1417</v>
      </c>
      <c r="I436" s="13"/>
      <c r="J436" s="13" t="s">
        <v>1452</v>
      </c>
      <c r="K436" s="13" t="s">
        <v>619</v>
      </c>
      <c r="L436" s="13" t="s">
        <v>1420</v>
      </c>
      <c r="M436" s="13"/>
    </row>
    <row r="437" customFormat="false" ht="15" hidden="false" customHeight="false" outlineLevel="0" collapsed="false">
      <c r="A437" s="13" t="s">
        <v>608</v>
      </c>
      <c r="B437" s="13" t="s">
        <v>607</v>
      </c>
      <c r="C437" s="13" t="s">
        <v>1416</v>
      </c>
      <c r="D437" s="13" t="s">
        <v>61</v>
      </c>
      <c r="E437" s="13" t="s">
        <v>953</v>
      </c>
      <c r="F437" s="13" t="s">
        <v>954</v>
      </c>
      <c r="G437" s="63" t="n">
        <v>3000000000</v>
      </c>
      <c r="H437" s="13" t="s">
        <v>1417</v>
      </c>
      <c r="I437" s="13"/>
      <c r="J437" s="13" t="s">
        <v>1451</v>
      </c>
      <c r="K437" s="13" t="s">
        <v>1419</v>
      </c>
      <c r="L437" s="13" t="s">
        <v>1420</v>
      </c>
      <c r="M437" s="13"/>
    </row>
    <row r="438" customFormat="false" ht="15" hidden="false" customHeight="false" outlineLevel="0" collapsed="false">
      <c r="A438" s="13" t="s">
        <v>608</v>
      </c>
      <c r="B438" s="13" t="s">
        <v>607</v>
      </c>
      <c r="C438" s="13" t="s">
        <v>1421</v>
      </c>
      <c r="D438" s="13" t="s">
        <v>61</v>
      </c>
      <c r="E438" s="13" t="s">
        <v>953</v>
      </c>
      <c r="F438" s="13" t="s">
        <v>954</v>
      </c>
      <c r="G438" s="63" t="n">
        <v>30000000000</v>
      </c>
      <c r="H438" s="13" t="s">
        <v>1417</v>
      </c>
      <c r="I438" s="13"/>
      <c r="J438" s="13" t="s">
        <v>1451</v>
      </c>
      <c r="K438" s="13" t="s">
        <v>1422</v>
      </c>
      <c r="L438" s="13" t="s">
        <v>1420</v>
      </c>
      <c r="M438" s="13"/>
    </row>
    <row r="439" customFormat="false" ht="15" hidden="false" customHeight="false" outlineLevel="0" collapsed="false">
      <c r="A439" s="13" t="s">
        <v>608</v>
      </c>
      <c r="B439" s="13" t="s">
        <v>607</v>
      </c>
      <c r="C439" s="13" t="s">
        <v>1423</v>
      </c>
      <c r="D439" s="13" t="s">
        <v>61</v>
      </c>
      <c r="E439" s="13" t="s">
        <v>953</v>
      </c>
      <c r="F439" s="13" t="s">
        <v>954</v>
      </c>
      <c r="G439" s="63" t="n">
        <v>0</v>
      </c>
      <c r="H439" s="13" t="s">
        <v>1417</v>
      </c>
      <c r="I439" s="13"/>
      <c r="J439" s="13" t="s">
        <v>1452</v>
      </c>
      <c r="K439" s="13" t="s">
        <v>1425</v>
      </c>
      <c r="L439" s="13" t="s">
        <v>1426</v>
      </c>
      <c r="M439" s="13"/>
    </row>
    <row r="440" customFormat="false" ht="15" hidden="false" customHeight="false" outlineLevel="0" collapsed="false">
      <c r="A440" s="13" t="s">
        <v>608</v>
      </c>
      <c r="B440" s="13" t="s">
        <v>607</v>
      </c>
      <c r="C440" s="13" t="s">
        <v>1427</v>
      </c>
      <c r="D440" s="13" t="s">
        <v>61</v>
      </c>
      <c r="E440" s="13" t="s">
        <v>953</v>
      </c>
      <c r="F440" s="13" t="s">
        <v>954</v>
      </c>
      <c r="G440" s="63" t="n">
        <v>0</v>
      </c>
      <c r="H440" s="13" t="s">
        <v>1417</v>
      </c>
      <c r="I440" s="13"/>
      <c r="J440" s="13" t="s">
        <v>1452</v>
      </c>
      <c r="K440" s="13" t="s">
        <v>619</v>
      </c>
      <c r="L440" s="13" t="s">
        <v>1420</v>
      </c>
      <c r="M440" s="13"/>
    </row>
    <row r="441" customFormat="false" ht="15" hidden="false" customHeight="false" outlineLevel="0" collapsed="false">
      <c r="A441" s="13" t="s">
        <v>608</v>
      </c>
      <c r="B441" s="13" t="s">
        <v>607</v>
      </c>
      <c r="C441" s="13" t="s">
        <v>1416</v>
      </c>
      <c r="D441" s="13" t="s">
        <v>61</v>
      </c>
      <c r="E441" s="13" t="s">
        <v>956</v>
      </c>
      <c r="F441" s="13" t="s">
        <v>957</v>
      </c>
      <c r="G441" s="63" t="n">
        <v>-3427524256</v>
      </c>
      <c r="H441" s="13" t="s">
        <v>1417</v>
      </c>
      <c r="I441" s="13"/>
      <c r="J441" s="13" t="s">
        <v>1451</v>
      </c>
      <c r="K441" s="13" t="s">
        <v>1419</v>
      </c>
      <c r="L441" s="13" t="s">
        <v>1420</v>
      </c>
      <c r="M441" s="13"/>
    </row>
    <row r="442" customFormat="false" ht="15" hidden="false" customHeight="false" outlineLevel="0" collapsed="false">
      <c r="A442" s="13" t="s">
        <v>608</v>
      </c>
      <c r="B442" s="13" t="s">
        <v>607</v>
      </c>
      <c r="C442" s="13" t="s">
        <v>1421</v>
      </c>
      <c r="D442" s="13" t="s">
        <v>61</v>
      </c>
      <c r="E442" s="13" t="s">
        <v>956</v>
      </c>
      <c r="F442" s="13" t="s">
        <v>957</v>
      </c>
      <c r="G442" s="63" t="n">
        <v>-3844110996</v>
      </c>
      <c r="H442" s="13" t="s">
        <v>1417</v>
      </c>
      <c r="I442" s="13"/>
      <c r="J442" s="13" t="s">
        <v>1451</v>
      </c>
      <c r="K442" s="13" t="s">
        <v>1422</v>
      </c>
      <c r="L442" s="13" t="s">
        <v>1420</v>
      </c>
      <c r="M442" s="13"/>
    </row>
    <row r="443" customFormat="false" ht="15" hidden="false" customHeight="false" outlineLevel="0" collapsed="false">
      <c r="A443" s="13" t="s">
        <v>608</v>
      </c>
      <c r="B443" s="13" t="s">
        <v>607</v>
      </c>
      <c r="C443" s="13" t="s">
        <v>1423</v>
      </c>
      <c r="D443" s="13" t="s">
        <v>61</v>
      </c>
      <c r="E443" s="13" t="s">
        <v>956</v>
      </c>
      <c r="F443" s="13" t="s">
        <v>957</v>
      </c>
      <c r="G443" s="63" t="n">
        <v>-5744519363</v>
      </c>
      <c r="H443" s="13" t="s">
        <v>1417</v>
      </c>
      <c r="I443" s="13"/>
      <c r="J443" s="13" t="s">
        <v>1452</v>
      </c>
      <c r="K443" s="13" t="s">
        <v>1425</v>
      </c>
      <c r="L443" s="13" t="s">
        <v>1426</v>
      </c>
      <c r="M443" s="13"/>
    </row>
    <row r="444" customFormat="false" ht="15" hidden="false" customHeight="false" outlineLevel="0" collapsed="false">
      <c r="A444" s="13" t="s">
        <v>608</v>
      </c>
      <c r="B444" s="13" t="s">
        <v>607</v>
      </c>
      <c r="C444" s="13" t="s">
        <v>1427</v>
      </c>
      <c r="D444" s="13" t="s">
        <v>61</v>
      </c>
      <c r="E444" s="13" t="s">
        <v>956</v>
      </c>
      <c r="F444" s="13" t="s">
        <v>957</v>
      </c>
      <c r="G444" s="63" t="n">
        <v>-8780889744</v>
      </c>
      <c r="H444" s="13" t="s">
        <v>1417</v>
      </c>
      <c r="I444" s="13"/>
      <c r="J444" s="13" t="s">
        <v>1452</v>
      </c>
      <c r="K444" s="13" t="s">
        <v>619</v>
      </c>
      <c r="L444" s="13" t="s">
        <v>1420</v>
      </c>
      <c r="M444" s="13"/>
    </row>
    <row r="445" customFormat="false" ht="15" hidden="false" customHeight="false" outlineLevel="0" collapsed="false">
      <c r="A445" s="13" t="s">
        <v>608</v>
      </c>
      <c r="B445" s="13" t="s">
        <v>607</v>
      </c>
      <c r="C445" s="13" t="s">
        <v>1416</v>
      </c>
      <c r="D445" s="13" t="s">
        <v>61</v>
      </c>
      <c r="E445" s="13" t="s">
        <v>959</v>
      </c>
      <c r="F445" s="13" t="s">
        <v>960</v>
      </c>
      <c r="G445" s="63" t="n">
        <v>282572850</v>
      </c>
      <c r="H445" s="13" t="s">
        <v>1417</v>
      </c>
      <c r="I445" s="13"/>
      <c r="J445" s="13" t="s">
        <v>1451</v>
      </c>
      <c r="K445" s="13" t="s">
        <v>1419</v>
      </c>
      <c r="L445" s="13" t="s">
        <v>1420</v>
      </c>
      <c r="M445" s="13"/>
    </row>
    <row r="446" customFormat="false" ht="15" hidden="false" customHeight="false" outlineLevel="0" collapsed="false">
      <c r="A446" s="13" t="s">
        <v>608</v>
      </c>
      <c r="B446" s="13" t="s">
        <v>607</v>
      </c>
      <c r="C446" s="13" t="s">
        <v>1421</v>
      </c>
      <c r="D446" s="13" t="s">
        <v>61</v>
      </c>
      <c r="E446" s="13" t="s">
        <v>959</v>
      </c>
      <c r="F446" s="13" t="s">
        <v>960</v>
      </c>
      <c r="G446" s="63" t="n">
        <v>175237200</v>
      </c>
      <c r="H446" s="13" t="s">
        <v>1417</v>
      </c>
      <c r="I446" s="13"/>
      <c r="J446" s="13" t="s">
        <v>1451</v>
      </c>
      <c r="K446" s="13" t="s">
        <v>1422</v>
      </c>
      <c r="L446" s="13" t="s">
        <v>1420</v>
      </c>
      <c r="M446" s="13"/>
    </row>
    <row r="447" customFormat="false" ht="15" hidden="false" customHeight="false" outlineLevel="0" collapsed="false">
      <c r="A447" s="13" t="s">
        <v>608</v>
      </c>
      <c r="B447" s="13" t="s">
        <v>607</v>
      </c>
      <c r="C447" s="13" t="s">
        <v>1423</v>
      </c>
      <c r="D447" s="13" t="s">
        <v>61</v>
      </c>
      <c r="E447" s="13" t="s">
        <v>959</v>
      </c>
      <c r="F447" s="13" t="s">
        <v>960</v>
      </c>
      <c r="G447" s="63" t="n">
        <v>0</v>
      </c>
      <c r="H447" s="13" t="s">
        <v>1417</v>
      </c>
      <c r="I447" s="13"/>
      <c r="J447" s="13" t="s">
        <v>1452</v>
      </c>
      <c r="K447" s="13" t="s">
        <v>1425</v>
      </c>
      <c r="L447" s="13" t="s">
        <v>1426</v>
      </c>
      <c r="M447" s="13"/>
    </row>
    <row r="448" customFormat="false" ht="15" hidden="false" customHeight="false" outlineLevel="0" collapsed="false">
      <c r="A448" s="13" t="s">
        <v>608</v>
      </c>
      <c r="B448" s="13" t="s">
        <v>607</v>
      </c>
      <c r="C448" s="13" t="s">
        <v>1427</v>
      </c>
      <c r="D448" s="13" t="s">
        <v>61</v>
      </c>
      <c r="E448" s="13" t="s">
        <v>959</v>
      </c>
      <c r="F448" s="13" t="s">
        <v>960</v>
      </c>
      <c r="G448" s="63" t="n">
        <v>0</v>
      </c>
      <c r="H448" s="13" t="s">
        <v>1417</v>
      </c>
      <c r="I448" s="13"/>
      <c r="J448" s="13" t="s">
        <v>1452</v>
      </c>
      <c r="K448" s="13" t="s">
        <v>619</v>
      </c>
      <c r="L448" s="13" t="s">
        <v>1420</v>
      </c>
      <c r="M448" s="13"/>
    </row>
    <row r="449" customFormat="false" ht="15" hidden="false" customHeight="false" outlineLevel="0" collapsed="false">
      <c r="A449" s="13" t="s">
        <v>608</v>
      </c>
      <c r="B449" s="13" t="s">
        <v>607</v>
      </c>
      <c r="C449" s="13" t="s">
        <v>1416</v>
      </c>
      <c r="D449" s="13" t="s">
        <v>61</v>
      </c>
      <c r="E449" s="13" t="s">
        <v>962</v>
      </c>
      <c r="F449" s="13" t="s">
        <v>963</v>
      </c>
      <c r="G449" s="63" t="n">
        <v>0</v>
      </c>
      <c r="H449" s="13" t="s">
        <v>1417</v>
      </c>
      <c r="I449" s="13"/>
      <c r="J449" s="13" t="s">
        <v>1451</v>
      </c>
      <c r="K449" s="13" t="s">
        <v>1419</v>
      </c>
      <c r="L449" s="13" t="s">
        <v>1420</v>
      </c>
      <c r="M449" s="13"/>
    </row>
    <row r="450" customFormat="false" ht="15" hidden="false" customHeight="false" outlineLevel="0" collapsed="false">
      <c r="A450" s="13" t="s">
        <v>608</v>
      </c>
      <c r="B450" s="13" t="s">
        <v>607</v>
      </c>
      <c r="C450" s="13" t="s">
        <v>1421</v>
      </c>
      <c r="D450" s="13" t="s">
        <v>61</v>
      </c>
      <c r="E450" s="13" t="s">
        <v>962</v>
      </c>
      <c r="F450" s="13" t="s">
        <v>963</v>
      </c>
      <c r="G450" s="63" t="n">
        <v>2977204389</v>
      </c>
      <c r="H450" s="13" t="s">
        <v>1417</v>
      </c>
      <c r="I450" s="13"/>
      <c r="J450" s="13" t="s">
        <v>1451</v>
      </c>
      <c r="K450" s="13" t="s">
        <v>1422</v>
      </c>
      <c r="L450" s="13" t="s">
        <v>1420</v>
      </c>
      <c r="M450" s="13"/>
    </row>
    <row r="451" customFormat="false" ht="15" hidden="false" customHeight="false" outlineLevel="0" collapsed="false">
      <c r="A451" s="13" t="s">
        <v>608</v>
      </c>
      <c r="B451" s="13" t="s">
        <v>607</v>
      </c>
      <c r="C451" s="13" t="s">
        <v>1423</v>
      </c>
      <c r="D451" s="13" t="s">
        <v>61</v>
      </c>
      <c r="E451" s="13" t="s">
        <v>962</v>
      </c>
      <c r="F451" s="13" t="s">
        <v>963</v>
      </c>
      <c r="G451" s="63" t="n">
        <v>16843417535</v>
      </c>
      <c r="H451" s="13" t="s">
        <v>1417</v>
      </c>
      <c r="I451" s="13"/>
      <c r="J451" s="13" t="s">
        <v>1452</v>
      </c>
      <c r="K451" s="13" t="s">
        <v>1425</v>
      </c>
      <c r="L451" s="13" t="s">
        <v>1426</v>
      </c>
      <c r="M451" s="13"/>
    </row>
    <row r="452" customFormat="false" ht="15" hidden="false" customHeight="false" outlineLevel="0" collapsed="false">
      <c r="A452" s="13" t="s">
        <v>608</v>
      </c>
      <c r="B452" s="13" t="s">
        <v>607</v>
      </c>
      <c r="C452" s="13" t="s">
        <v>1427</v>
      </c>
      <c r="D452" s="13" t="s">
        <v>61</v>
      </c>
      <c r="E452" s="13" t="s">
        <v>962</v>
      </c>
      <c r="F452" s="13" t="s">
        <v>963</v>
      </c>
      <c r="G452" s="63" t="n">
        <v>6968037795</v>
      </c>
      <c r="H452" s="13" t="s">
        <v>1417</v>
      </c>
      <c r="I452" s="13"/>
      <c r="J452" s="13" t="s">
        <v>1452</v>
      </c>
      <c r="K452" s="13" t="s">
        <v>619</v>
      </c>
      <c r="L452" s="13" t="s">
        <v>1420</v>
      </c>
      <c r="M452" s="13"/>
    </row>
    <row r="453" customFormat="false" ht="15" hidden="false" customHeight="false" outlineLevel="0" collapsed="false">
      <c r="A453" s="13" t="s">
        <v>608</v>
      </c>
      <c r="B453" s="13" t="s">
        <v>607</v>
      </c>
      <c r="C453" s="13" t="s">
        <v>1416</v>
      </c>
      <c r="D453" s="13" t="s">
        <v>61</v>
      </c>
      <c r="E453" s="13" t="s">
        <v>965</v>
      </c>
      <c r="F453" s="13" t="s">
        <v>966</v>
      </c>
      <c r="G453" s="63" t="n">
        <v>-4933634156</v>
      </c>
      <c r="H453" s="13" t="s">
        <v>1417</v>
      </c>
      <c r="I453" s="13"/>
      <c r="J453" s="13" t="s">
        <v>1451</v>
      </c>
      <c r="K453" s="13" t="s">
        <v>1419</v>
      </c>
      <c r="L453" s="13" t="s">
        <v>1420</v>
      </c>
      <c r="M453" s="13"/>
    </row>
    <row r="454" customFormat="false" ht="15" hidden="false" customHeight="false" outlineLevel="0" collapsed="false">
      <c r="A454" s="13" t="s">
        <v>608</v>
      </c>
      <c r="B454" s="13" t="s">
        <v>607</v>
      </c>
      <c r="C454" s="13" t="s">
        <v>1421</v>
      </c>
      <c r="D454" s="13" t="s">
        <v>61</v>
      </c>
      <c r="E454" s="13" t="s">
        <v>965</v>
      </c>
      <c r="F454" s="13" t="s">
        <v>966</v>
      </c>
      <c r="G454" s="63" t="n">
        <v>-45093892823</v>
      </c>
      <c r="H454" s="13" t="s">
        <v>1417</v>
      </c>
      <c r="I454" s="13"/>
      <c r="J454" s="13" t="s">
        <v>1451</v>
      </c>
      <c r="K454" s="13" t="s">
        <v>1422</v>
      </c>
      <c r="L454" s="13" t="s">
        <v>1420</v>
      </c>
      <c r="M454" s="13"/>
    </row>
    <row r="455" customFormat="false" ht="15" hidden="false" customHeight="false" outlineLevel="0" collapsed="false">
      <c r="A455" s="13" t="s">
        <v>608</v>
      </c>
      <c r="B455" s="13" t="s">
        <v>607</v>
      </c>
      <c r="C455" s="13" t="s">
        <v>1423</v>
      </c>
      <c r="D455" s="13" t="s">
        <v>61</v>
      </c>
      <c r="E455" s="13" t="s">
        <v>965</v>
      </c>
      <c r="F455" s="13" t="s">
        <v>966</v>
      </c>
      <c r="G455" s="63" t="n">
        <v>-20468827761</v>
      </c>
      <c r="H455" s="13" t="s">
        <v>1417</v>
      </c>
      <c r="I455" s="13"/>
      <c r="J455" s="13" t="s">
        <v>1452</v>
      </c>
      <c r="K455" s="13" t="s">
        <v>1425</v>
      </c>
      <c r="L455" s="13" t="s">
        <v>1426</v>
      </c>
      <c r="M455" s="13"/>
    </row>
    <row r="456" customFormat="false" ht="15" hidden="false" customHeight="false" outlineLevel="0" collapsed="false">
      <c r="A456" s="13" t="s">
        <v>608</v>
      </c>
      <c r="B456" s="13" t="s">
        <v>607</v>
      </c>
      <c r="C456" s="13" t="s">
        <v>1427</v>
      </c>
      <c r="D456" s="13" t="s">
        <v>61</v>
      </c>
      <c r="E456" s="13" t="s">
        <v>965</v>
      </c>
      <c r="F456" s="13" t="s">
        <v>966</v>
      </c>
      <c r="G456" s="63" t="n">
        <v>-30103370433</v>
      </c>
      <c r="H456" s="13" t="s">
        <v>1417</v>
      </c>
      <c r="I456" s="13"/>
      <c r="J456" s="13" t="s">
        <v>1452</v>
      </c>
      <c r="K456" s="13" t="s">
        <v>619</v>
      </c>
      <c r="L456" s="13" t="s">
        <v>1420</v>
      </c>
      <c r="M456" s="13"/>
    </row>
    <row r="457" customFormat="false" ht="15" hidden="false" customHeight="false" outlineLevel="0" collapsed="false">
      <c r="A457" s="13" t="s">
        <v>608</v>
      </c>
      <c r="B457" s="13" t="s">
        <v>607</v>
      </c>
      <c r="C457" s="13" t="s">
        <v>1416</v>
      </c>
      <c r="D457" s="13" t="s">
        <v>61</v>
      </c>
      <c r="E457" s="13" t="s">
        <v>968</v>
      </c>
      <c r="F457" s="13" t="s">
        <v>969</v>
      </c>
      <c r="G457" s="63" t="n">
        <v>0</v>
      </c>
      <c r="H457" s="13" t="s">
        <v>1417</v>
      </c>
      <c r="I457" s="13"/>
      <c r="J457" s="13" t="s">
        <v>1451</v>
      </c>
      <c r="K457" s="13" t="s">
        <v>1419</v>
      </c>
      <c r="L457" s="13" t="s">
        <v>1420</v>
      </c>
      <c r="M457" s="13"/>
    </row>
    <row r="458" customFormat="false" ht="15" hidden="false" customHeight="false" outlineLevel="0" collapsed="false">
      <c r="A458" s="13" t="s">
        <v>608</v>
      </c>
      <c r="B458" s="13" t="s">
        <v>607</v>
      </c>
      <c r="C458" s="13" t="s">
        <v>1421</v>
      </c>
      <c r="D458" s="13" t="s">
        <v>61</v>
      </c>
      <c r="E458" s="13" t="s">
        <v>968</v>
      </c>
      <c r="F458" s="13" t="s">
        <v>969</v>
      </c>
      <c r="G458" s="63" t="n">
        <v>0</v>
      </c>
      <c r="H458" s="13" t="s">
        <v>1417</v>
      </c>
      <c r="I458" s="13"/>
      <c r="J458" s="13" t="s">
        <v>1451</v>
      </c>
      <c r="K458" s="13" t="s">
        <v>1422</v>
      </c>
      <c r="L458" s="13" t="s">
        <v>1420</v>
      </c>
      <c r="M458" s="13"/>
    </row>
    <row r="459" customFormat="false" ht="15" hidden="false" customHeight="false" outlineLevel="0" collapsed="false">
      <c r="A459" s="13" t="s">
        <v>608</v>
      </c>
      <c r="B459" s="13" t="s">
        <v>607</v>
      </c>
      <c r="C459" s="13" t="s">
        <v>1423</v>
      </c>
      <c r="D459" s="13" t="s">
        <v>61</v>
      </c>
      <c r="E459" s="13" t="s">
        <v>968</v>
      </c>
      <c r="F459" s="13" t="s">
        <v>969</v>
      </c>
      <c r="G459" s="63" t="n">
        <v>30763499000</v>
      </c>
      <c r="H459" s="13" t="s">
        <v>1417</v>
      </c>
      <c r="I459" s="13"/>
      <c r="J459" s="13" t="s">
        <v>1452</v>
      </c>
      <c r="K459" s="13" t="s">
        <v>1425</v>
      </c>
      <c r="L459" s="13" t="s">
        <v>1426</v>
      </c>
      <c r="M459" s="13"/>
    </row>
    <row r="460" customFormat="false" ht="15" hidden="false" customHeight="false" outlineLevel="0" collapsed="false">
      <c r="A460" s="13" t="s">
        <v>608</v>
      </c>
      <c r="B460" s="13" t="s">
        <v>607</v>
      </c>
      <c r="C460" s="13" t="s">
        <v>1427</v>
      </c>
      <c r="D460" s="13" t="s">
        <v>61</v>
      </c>
      <c r="E460" s="13" t="s">
        <v>968</v>
      </c>
      <c r="F460" s="13" t="s">
        <v>969</v>
      </c>
      <c r="G460" s="63" t="n">
        <v>69203672050</v>
      </c>
      <c r="H460" s="13" t="s">
        <v>1417</v>
      </c>
      <c r="I460" s="13"/>
      <c r="J460" s="13" t="s">
        <v>1453</v>
      </c>
      <c r="K460" s="13" t="s">
        <v>619</v>
      </c>
      <c r="L460" s="13" t="s">
        <v>1420</v>
      </c>
      <c r="M460" s="13"/>
    </row>
    <row r="461" customFormat="false" ht="15" hidden="false" customHeight="false" outlineLevel="0" collapsed="false">
      <c r="A461" s="13" t="s">
        <v>608</v>
      </c>
      <c r="B461" s="13" t="s">
        <v>607</v>
      </c>
      <c r="C461" s="13" t="s">
        <v>1416</v>
      </c>
      <c r="D461" s="13" t="s">
        <v>61</v>
      </c>
      <c r="E461" s="13" t="s">
        <v>971</v>
      </c>
      <c r="F461" s="13" t="s">
        <v>972</v>
      </c>
      <c r="G461" s="63" t="n">
        <v>-30000000000</v>
      </c>
      <c r="H461" s="13" t="s">
        <v>1417</v>
      </c>
      <c r="I461" s="13"/>
      <c r="J461" s="13" t="s">
        <v>1451</v>
      </c>
      <c r="K461" s="13" t="s">
        <v>1419</v>
      </c>
      <c r="L461" s="13" t="s">
        <v>1420</v>
      </c>
      <c r="M461" s="13"/>
    </row>
    <row r="462" customFormat="false" ht="15" hidden="false" customHeight="false" outlineLevel="0" collapsed="false">
      <c r="A462" s="13" t="s">
        <v>608</v>
      </c>
      <c r="B462" s="13" t="s">
        <v>607</v>
      </c>
      <c r="C462" s="13" t="s">
        <v>1421</v>
      </c>
      <c r="D462" s="13" t="s">
        <v>61</v>
      </c>
      <c r="E462" s="13" t="s">
        <v>971</v>
      </c>
      <c r="F462" s="13" t="s">
        <v>972</v>
      </c>
      <c r="G462" s="63" t="n">
        <v>-30000000000</v>
      </c>
      <c r="H462" s="13" t="s">
        <v>1417</v>
      </c>
      <c r="I462" s="13"/>
      <c r="J462" s="13" t="s">
        <v>1451</v>
      </c>
      <c r="K462" s="13" t="s">
        <v>1422</v>
      </c>
      <c r="L462" s="13" t="s">
        <v>1420</v>
      </c>
      <c r="M462" s="13"/>
    </row>
    <row r="463" customFormat="false" ht="15" hidden="false" customHeight="false" outlineLevel="0" collapsed="false">
      <c r="A463" s="13" t="s">
        <v>608</v>
      </c>
      <c r="B463" s="13" t="s">
        <v>607</v>
      </c>
      <c r="C463" s="13" t="s">
        <v>1423</v>
      </c>
      <c r="D463" s="13" t="s">
        <v>61</v>
      </c>
      <c r="E463" s="13" t="s">
        <v>971</v>
      </c>
      <c r="F463" s="13" t="s">
        <v>972</v>
      </c>
      <c r="G463" s="63" t="n">
        <v>0</v>
      </c>
      <c r="H463" s="13" t="s">
        <v>1417</v>
      </c>
      <c r="I463" s="13"/>
      <c r="J463" s="13" t="s">
        <v>1452</v>
      </c>
      <c r="K463" s="13" t="s">
        <v>1425</v>
      </c>
      <c r="L463" s="13" t="s">
        <v>1426</v>
      </c>
      <c r="M463" s="13"/>
    </row>
    <row r="464" customFormat="false" ht="15" hidden="false" customHeight="false" outlineLevel="0" collapsed="false">
      <c r="A464" s="13" t="s">
        <v>608</v>
      </c>
      <c r="B464" s="13" t="s">
        <v>607</v>
      </c>
      <c r="C464" s="13" t="s">
        <v>1427</v>
      </c>
      <c r="D464" s="13" t="s">
        <v>61</v>
      </c>
      <c r="E464" s="13" t="s">
        <v>971</v>
      </c>
      <c r="F464" s="13" t="s">
        <v>972</v>
      </c>
      <c r="G464" s="63" t="n">
        <v>0</v>
      </c>
      <c r="H464" s="13" t="s">
        <v>1417</v>
      </c>
      <c r="I464" s="13"/>
      <c r="J464" s="13" t="s">
        <v>1452</v>
      </c>
      <c r="K464" s="13" t="s">
        <v>619</v>
      </c>
      <c r="L464" s="13" t="s">
        <v>1420</v>
      </c>
      <c r="M464" s="13"/>
    </row>
    <row r="465" customFormat="false" ht="15" hidden="false" customHeight="false" outlineLevel="0" collapsed="false">
      <c r="A465" s="13" t="s">
        <v>608</v>
      </c>
      <c r="B465" s="13" t="s">
        <v>607</v>
      </c>
      <c r="C465" s="13" t="s">
        <v>1416</v>
      </c>
      <c r="D465" s="13" t="s">
        <v>61</v>
      </c>
      <c r="E465" s="13" t="s">
        <v>974</v>
      </c>
      <c r="F465" s="13" t="s">
        <v>975</v>
      </c>
      <c r="G465" s="63" t="n">
        <v>-163528380</v>
      </c>
      <c r="H465" s="13" t="s">
        <v>1417</v>
      </c>
      <c r="I465" s="13"/>
      <c r="J465" s="13" t="s">
        <v>1451</v>
      </c>
      <c r="K465" s="13" t="s">
        <v>1419</v>
      </c>
      <c r="L465" s="13" t="s">
        <v>1420</v>
      </c>
      <c r="M465" s="13"/>
    </row>
    <row r="466" customFormat="false" ht="15" hidden="false" customHeight="false" outlineLevel="0" collapsed="false">
      <c r="A466" s="13" t="s">
        <v>608</v>
      </c>
      <c r="B466" s="13" t="s">
        <v>607</v>
      </c>
      <c r="C466" s="13" t="s">
        <v>1421</v>
      </c>
      <c r="D466" s="13" t="s">
        <v>61</v>
      </c>
      <c r="E466" s="13" t="s">
        <v>974</v>
      </c>
      <c r="F466" s="13" t="s">
        <v>975</v>
      </c>
      <c r="G466" s="63" t="n">
        <v>0</v>
      </c>
      <c r="H466" s="13" t="s">
        <v>1417</v>
      </c>
      <c r="I466" s="13"/>
      <c r="J466" s="13" t="s">
        <v>1451</v>
      </c>
      <c r="K466" s="13" t="s">
        <v>1422</v>
      </c>
      <c r="L466" s="13" t="s">
        <v>1420</v>
      </c>
      <c r="M466" s="13"/>
    </row>
    <row r="467" customFormat="false" ht="15" hidden="false" customHeight="false" outlineLevel="0" collapsed="false">
      <c r="A467" s="13" t="s">
        <v>608</v>
      </c>
      <c r="B467" s="13" t="s">
        <v>607</v>
      </c>
      <c r="C467" s="13" t="s">
        <v>1423</v>
      </c>
      <c r="D467" s="13" t="s">
        <v>61</v>
      </c>
      <c r="E467" s="13" t="s">
        <v>974</v>
      </c>
      <c r="F467" s="13" t="s">
        <v>975</v>
      </c>
      <c r="G467" s="63" t="n">
        <v>-505637369</v>
      </c>
      <c r="H467" s="13" t="s">
        <v>1417</v>
      </c>
      <c r="I467" s="13"/>
      <c r="J467" s="13" t="s">
        <v>1452</v>
      </c>
      <c r="K467" s="13" t="s">
        <v>1425</v>
      </c>
      <c r="L467" s="13" t="s">
        <v>1426</v>
      </c>
      <c r="M467" s="13"/>
    </row>
    <row r="468" customFormat="false" ht="15" hidden="false" customHeight="false" outlineLevel="0" collapsed="false">
      <c r="A468" s="13" t="s">
        <v>608</v>
      </c>
      <c r="B468" s="13" t="s">
        <v>607</v>
      </c>
      <c r="C468" s="13" t="s">
        <v>1427</v>
      </c>
      <c r="D468" s="13" t="s">
        <v>61</v>
      </c>
      <c r="E468" s="13" t="s">
        <v>974</v>
      </c>
      <c r="F468" s="13" t="s">
        <v>975</v>
      </c>
      <c r="G468" s="63" t="n">
        <v>-998837042</v>
      </c>
      <c r="H468" s="13" t="s">
        <v>1417</v>
      </c>
      <c r="I468" s="13"/>
      <c r="J468" s="13" t="s">
        <v>1452</v>
      </c>
      <c r="K468" s="13" t="s">
        <v>619</v>
      </c>
      <c r="L468" s="13" t="s">
        <v>1420</v>
      </c>
      <c r="M468" s="13"/>
    </row>
    <row r="469" customFormat="false" ht="15" hidden="false" customHeight="false" outlineLevel="0" collapsed="false">
      <c r="A469" s="13" t="s">
        <v>608</v>
      </c>
      <c r="B469" s="13" t="s">
        <v>607</v>
      </c>
      <c r="C469" s="13" t="s">
        <v>1416</v>
      </c>
      <c r="D469" s="13" t="s">
        <v>61</v>
      </c>
      <c r="E469" s="13" t="s">
        <v>981</v>
      </c>
      <c r="F469" s="13" t="s">
        <v>982</v>
      </c>
      <c r="G469" s="63" t="n">
        <v>-11058092740</v>
      </c>
      <c r="H469" s="13" t="s">
        <v>1417</v>
      </c>
      <c r="I469" s="13"/>
      <c r="J469" s="13"/>
      <c r="K469" s="13" t="s">
        <v>1419</v>
      </c>
      <c r="L469" s="13" t="s">
        <v>1420</v>
      </c>
      <c r="M469" s="13" t="s">
        <v>1428</v>
      </c>
    </row>
    <row r="470" customFormat="false" ht="15" hidden="false" customHeight="false" outlineLevel="0" collapsed="false">
      <c r="A470" s="13" t="s">
        <v>608</v>
      </c>
      <c r="B470" s="13" t="s">
        <v>607</v>
      </c>
      <c r="C470" s="13" t="s">
        <v>1421</v>
      </c>
      <c r="D470" s="13" t="s">
        <v>61</v>
      </c>
      <c r="E470" s="13" t="s">
        <v>981</v>
      </c>
      <c r="F470" s="13" t="s">
        <v>982</v>
      </c>
      <c r="G470" s="63" t="n">
        <v>-13672626965</v>
      </c>
      <c r="H470" s="13" t="s">
        <v>1417</v>
      </c>
      <c r="I470" s="13"/>
      <c r="J470" s="13"/>
      <c r="K470" s="13" t="s">
        <v>1422</v>
      </c>
      <c r="L470" s="13" t="s">
        <v>1420</v>
      </c>
      <c r="M470" s="13" t="s">
        <v>1428</v>
      </c>
    </row>
    <row r="471" customFormat="false" ht="15" hidden="false" customHeight="false" outlineLevel="0" collapsed="false">
      <c r="A471" s="13" t="s">
        <v>608</v>
      </c>
      <c r="B471" s="13" t="s">
        <v>607</v>
      </c>
      <c r="C471" s="13" t="s">
        <v>1423</v>
      </c>
      <c r="D471" s="13" t="s">
        <v>61</v>
      </c>
      <c r="E471" s="13" t="s">
        <v>981</v>
      </c>
      <c r="F471" s="13" t="s">
        <v>982</v>
      </c>
      <c r="G471" s="63" t="n">
        <v>23362141885</v>
      </c>
      <c r="H471" s="13" t="s">
        <v>1417</v>
      </c>
      <c r="I471" s="13"/>
      <c r="J471" s="13"/>
      <c r="K471" s="13" t="s">
        <v>1425</v>
      </c>
      <c r="L471" s="13" t="s">
        <v>1426</v>
      </c>
      <c r="M471" s="13" t="s">
        <v>1428</v>
      </c>
    </row>
    <row r="472" customFormat="false" ht="15" hidden="false" customHeight="false" outlineLevel="0" collapsed="false">
      <c r="A472" s="13" t="s">
        <v>608</v>
      </c>
      <c r="B472" s="13" t="s">
        <v>607</v>
      </c>
      <c r="C472" s="13" t="s">
        <v>1427</v>
      </c>
      <c r="D472" s="13" t="s">
        <v>61</v>
      </c>
      <c r="E472" s="13" t="s">
        <v>981</v>
      </c>
      <c r="F472" s="13" t="s">
        <v>982</v>
      </c>
      <c r="G472" s="63" t="n">
        <v>23195995107</v>
      </c>
      <c r="H472" s="13" t="s">
        <v>1417</v>
      </c>
      <c r="I472" s="13"/>
      <c r="J472" s="13"/>
      <c r="K472" s="13" t="s">
        <v>619</v>
      </c>
      <c r="L472" s="13" t="s">
        <v>1420</v>
      </c>
      <c r="M472" s="13" t="s">
        <v>1428</v>
      </c>
    </row>
    <row r="473" customFormat="false" ht="15" hidden="false" customHeight="false" outlineLevel="0" collapsed="false">
      <c r="A473" s="13" t="s">
        <v>608</v>
      </c>
      <c r="B473" s="13" t="s">
        <v>607</v>
      </c>
      <c r="C473" s="13" t="s">
        <v>1416</v>
      </c>
      <c r="D473" s="13" t="s">
        <v>61</v>
      </c>
      <c r="E473" s="13" t="s">
        <v>983</v>
      </c>
      <c r="F473" s="13" t="s">
        <v>477</v>
      </c>
      <c r="G473" s="63" t="n">
        <v>-20305546331</v>
      </c>
      <c r="H473" s="13" t="s">
        <v>1417</v>
      </c>
      <c r="I473" s="13"/>
      <c r="J473" s="13"/>
      <c r="K473" s="13" t="s">
        <v>1419</v>
      </c>
      <c r="L473" s="13" t="s">
        <v>1420</v>
      </c>
      <c r="M473" s="13" t="s">
        <v>1428</v>
      </c>
    </row>
    <row r="474" customFormat="false" ht="15" hidden="false" customHeight="false" outlineLevel="0" collapsed="false">
      <c r="A474" s="13" t="s">
        <v>608</v>
      </c>
      <c r="B474" s="13" t="s">
        <v>607</v>
      </c>
      <c r="C474" s="13" t="s">
        <v>1421</v>
      </c>
      <c r="D474" s="13" t="s">
        <v>61</v>
      </c>
      <c r="E474" s="13" t="s">
        <v>983</v>
      </c>
      <c r="F474" s="13" t="s">
        <v>477</v>
      </c>
      <c r="G474" s="63" t="n">
        <v>-30083413701</v>
      </c>
      <c r="H474" s="13" t="s">
        <v>1417</v>
      </c>
      <c r="I474" s="13"/>
      <c r="J474" s="13"/>
      <c r="K474" s="13" t="s">
        <v>1422</v>
      </c>
      <c r="L474" s="13" t="s">
        <v>1420</v>
      </c>
      <c r="M474" s="13" t="s">
        <v>1428</v>
      </c>
    </row>
    <row r="475" customFormat="false" ht="15" hidden="false" customHeight="false" outlineLevel="0" collapsed="false">
      <c r="A475" s="13" t="s">
        <v>608</v>
      </c>
      <c r="B475" s="13" t="s">
        <v>607</v>
      </c>
      <c r="C475" s="13" t="s">
        <v>1423</v>
      </c>
      <c r="D475" s="13" t="s">
        <v>61</v>
      </c>
      <c r="E475" s="13" t="s">
        <v>983</v>
      </c>
      <c r="F475" s="13" t="s">
        <v>477</v>
      </c>
      <c r="G475" s="63" t="n">
        <v>199414574</v>
      </c>
      <c r="H475" s="13" t="s">
        <v>1417</v>
      </c>
      <c r="I475" s="13"/>
      <c r="J475" s="13"/>
      <c r="K475" s="13" t="s">
        <v>1425</v>
      </c>
      <c r="L475" s="13" t="s">
        <v>1426</v>
      </c>
      <c r="M475" s="13" t="s">
        <v>1428</v>
      </c>
    </row>
    <row r="476" customFormat="false" ht="15" hidden="false" customHeight="false" outlineLevel="0" collapsed="false">
      <c r="A476" s="13" t="s">
        <v>608</v>
      </c>
      <c r="B476" s="13" t="s">
        <v>607</v>
      </c>
      <c r="C476" s="13" t="s">
        <v>1427</v>
      </c>
      <c r="D476" s="13" t="s">
        <v>61</v>
      </c>
      <c r="E476" s="13" t="s">
        <v>983</v>
      </c>
      <c r="F476" s="13" t="s">
        <v>477</v>
      </c>
      <c r="G476" s="63" t="n">
        <v>1373118612</v>
      </c>
      <c r="H476" s="13" t="s">
        <v>1417</v>
      </c>
      <c r="I476" s="13"/>
      <c r="J476" s="13"/>
      <c r="K476" s="13" t="s">
        <v>619</v>
      </c>
      <c r="L476" s="13" t="s">
        <v>1420</v>
      </c>
      <c r="M476" s="13" t="s">
        <v>1428</v>
      </c>
    </row>
    <row r="477" customFormat="false" ht="15" hidden="false" customHeight="false" outlineLevel="0" collapsed="false">
      <c r="A477" s="13" t="s">
        <v>608</v>
      </c>
      <c r="B477" s="13" t="s">
        <v>607</v>
      </c>
      <c r="C477" s="13" t="s">
        <v>1416</v>
      </c>
      <c r="D477" s="13" t="s">
        <v>61</v>
      </c>
      <c r="E477" s="13" t="s">
        <v>984</v>
      </c>
      <c r="F477" s="13" t="s">
        <v>479</v>
      </c>
      <c r="G477" s="63" t="n">
        <v>59602857240</v>
      </c>
      <c r="H477" s="13" t="s">
        <v>1417</v>
      </c>
      <c r="I477" s="13"/>
      <c r="J477" s="13" t="s">
        <v>1451</v>
      </c>
      <c r="K477" s="13" t="s">
        <v>1419</v>
      </c>
      <c r="L477" s="13" t="s">
        <v>1420</v>
      </c>
      <c r="M477" s="13"/>
    </row>
    <row r="478" customFormat="false" ht="15" hidden="false" customHeight="false" outlineLevel="0" collapsed="false">
      <c r="A478" s="13" t="s">
        <v>608</v>
      </c>
      <c r="B478" s="13" t="s">
        <v>607</v>
      </c>
      <c r="C478" s="13" t="s">
        <v>1421</v>
      </c>
      <c r="D478" s="13" t="s">
        <v>61</v>
      </c>
      <c r="E478" s="13" t="s">
        <v>984</v>
      </c>
      <c r="F478" s="13" t="s">
        <v>479</v>
      </c>
      <c r="G478" s="63" t="n">
        <v>29547207476</v>
      </c>
      <c r="H478" s="13" t="s">
        <v>1417</v>
      </c>
      <c r="I478" s="13"/>
      <c r="J478" s="13" t="s">
        <v>1451</v>
      </c>
      <c r="K478" s="13" t="s">
        <v>1422</v>
      </c>
      <c r="L478" s="13" t="s">
        <v>1420</v>
      </c>
      <c r="M478" s="13"/>
    </row>
    <row r="479" customFormat="false" ht="15" hidden="false" customHeight="false" outlineLevel="0" collapsed="false">
      <c r="A479" s="13" t="s">
        <v>608</v>
      </c>
      <c r="B479" s="13" t="s">
        <v>607</v>
      </c>
      <c r="C479" s="13" t="s">
        <v>1423</v>
      </c>
      <c r="D479" s="13" t="s">
        <v>61</v>
      </c>
      <c r="E479" s="13" t="s">
        <v>984</v>
      </c>
      <c r="F479" s="13" t="s">
        <v>479</v>
      </c>
      <c r="G479" s="63" t="n">
        <v>2463973775</v>
      </c>
      <c r="H479" s="13" t="s">
        <v>1417</v>
      </c>
      <c r="I479" s="13"/>
      <c r="J479" s="13" t="s">
        <v>1452</v>
      </c>
      <c r="K479" s="13" t="s">
        <v>1425</v>
      </c>
      <c r="L479" s="13" t="s">
        <v>1426</v>
      </c>
      <c r="M479" s="13"/>
    </row>
    <row r="480" customFormat="false" ht="15" hidden="false" customHeight="false" outlineLevel="0" collapsed="false">
      <c r="A480" s="13" t="s">
        <v>608</v>
      </c>
      <c r="B480" s="13" t="s">
        <v>607</v>
      </c>
      <c r="C480" s="13" t="s">
        <v>1427</v>
      </c>
      <c r="D480" s="13" t="s">
        <v>61</v>
      </c>
      <c r="E480" s="13" t="s">
        <v>984</v>
      </c>
      <c r="F480" s="13" t="s">
        <v>479</v>
      </c>
      <c r="G480" s="63" t="n">
        <v>2663388349</v>
      </c>
      <c r="H480" s="13" t="s">
        <v>1417</v>
      </c>
      <c r="I480" s="13"/>
      <c r="J480" s="13" t="s">
        <v>1452</v>
      </c>
      <c r="K480" s="13" t="s">
        <v>619</v>
      </c>
      <c r="L480" s="13" t="s">
        <v>1420</v>
      </c>
      <c r="M480" s="13"/>
    </row>
    <row r="481" customFormat="false" ht="15" hidden="false" customHeight="false" outlineLevel="0" collapsed="false">
      <c r="A481" s="13" t="s">
        <v>608</v>
      </c>
      <c r="B481" s="13" t="s">
        <v>607</v>
      </c>
      <c r="C481" s="13" t="s">
        <v>1416</v>
      </c>
      <c r="D481" s="13" t="s">
        <v>61</v>
      </c>
      <c r="E481" s="13" t="s">
        <v>986</v>
      </c>
      <c r="F481" s="13" t="s">
        <v>482</v>
      </c>
      <c r="G481" s="63" t="n">
        <v>39297310909</v>
      </c>
      <c r="H481" s="13" t="s">
        <v>1417</v>
      </c>
      <c r="I481" s="13"/>
      <c r="J481" s="13"/>
      <c r="K481" s="13" t="s">
        <v>1419</v>
      </c>
      <c r="L481" s="13" t="s">
        <v>1420</v>
      </c>
      <c r="M481" s="13" t="s">
        <v>1428</v>
      </c>
    </row>
    <row r="482" customFormat="false" ht="15" hidden="false" customHeight="false" outlineLevel="0" collapsed="false">
      <c r="A482" s="13" t="s">
        <v>608</v>
      </c>
      <c r="B482" s="13" t="s">
        <v>607</v>
      </c>
      <c r="C482" s="13" t="s">
        <v>1421</v>
      </c>
      <c r="D482" s="13" t="s">
        <v>61</v>
      </c>
      <c r="E482" s="13" t="s">
        <v>986</v>
      </c>
      <c r="F482" s="13" t="s">
        <v>482</v>
      </c>
      <c r="G482" s="63" t="n">
        <v>-536206225</v>
      </c>
      <c r="H482" s="13" t="s">
        <v>1417</v>
      </c>
      <c r="I482" s="13"/>
      <c r="J482" s="13"/>
      <c r="K482" s="13" t="s">
        <v>1422</v>
      </c>
      <c r="L482" s="13" t="s">
        <v>1420</v>
      </c>
      <c r="M482" s="13" t="s">
        <v>1428</v>
      </c>
    </row>
    <row r="483" customFormat="false" ht="15" hidden="false" customHeight="false" outlineLevel="0" collapsed="false">
      <c r="A483" s="13" t="s">
        <v>608</v>
      </c>
      <c r="B483" s="13" t="s">
        <v>607</v>
      </c>
      <c r="C483" s="13" t="s">
        <v>1423</v>
      </c>
      <c r="D483" s="13" t="s">
        <v>61</v>
      </c>
      <c r="E483" s="13" t="s">
        <v>986</v>
      </c>
      <c r="F483" s="13" t="s">
        <v>482</v>
      </c>
      <c r="G483" s="63" t="n">
        <v>2663388349</v>
      </c>
      <c r="H483" s="13" t="s">
        <v>1417</v>
      </c>
      <c r="I483" s="13"/>
      <c r="J483" s="13"/>
      <c r="K483" s="13" t="s">
        <v>1425</v>
      </c>
      <c r="L483" s="13" t="s">
        <v>1426</v>
      </c>
      <c r="M483" s="13" t="s">
        <v>1428</v>
      </c>
    </row>
    <row r="484" customFormat="false" ht="15" hidden="false" customHeight="false" outlineLevel="0" collapsed="false">
      <c r="A484" s="13" t="s">
        <v>608</v>
      </c>
      <c r="B484" s="13" t="s">
        <v>607</v>
      </c>
      <c r="C484" s="13" t="s">
        <v>1427</v>
      </c>
      <c r="D484" s="13" t="s">
        <v>61</v>
      </c>
      <c r="E484" s="13" t="s">
        <v>986</v>
      </c>
      <c r="F484" s="13" t="s">
        <v>482</v>
      </c>
      <c r="G484" s="63" t="n">
        <v>4036506961</v>
      </c>
      <c r="H484" s="13" t="s">
        <v>1417</v>
      </c>
      <c r="I484" s="13"/>
      <c r="J484" s="13"/>
      <c r="K484" s="13" t="s">
        <v>619</v>
      </c>
      <c r="L484" s="13" t="s">
        <v>1420</v>
      </c>
      <c r="M484" s="13" t="s">
        <v>1428</v>
      </c>
    </row>
    <row r="485" customFormat="false" ht="15" hidden="false" customHeight="false" outlineLevel="0" collapsed="false">
      <c r="A485" s="13" t="s">
        <v>608</v>
      </c>
      <c r="B485" s="13" t="s">
        <v>607</v>
      </c>
      <c r="C485" s="13" t="s">
        <v>1416</v>
      </c>
      <c r="D485" s="13" t="s">
        <v>61</v>
      </c>
      <c r="E485" s="13" t="s">
        <v>987</v>
      </c>
      <c r="F485" s="13" t="s">
        <v>988</v>
      </c>
      <c r="G485" s="63" t="n">
        <v>7734100083</v>
      </c>
      <c r="H485" s="13" t="s">
        <v>1417</v>
      </c>
      <c r="I485" s="13"/>
      <c r="J485" s="13" t="s">
        <v>1451</v>
      </c>
      <c r="K485" s="13" t="s">
        <v>1419</v>
      </c>
      <c r="L485" s="13" t="s">
        <v>1420</v>
      </c>
      <c r="M485" s="13"/>
    </row>
    <row r="486" customFormat="false" ht="15" hidden="false" customHeight="false" outlineLevel="0" collapsed="false">
      <c r="A486" s="13" t="s">
        <v>608</v>
      </c>
      <c r="B486" s="13" t="s">
        <v>607</v>
      </c>
      <c r="C486" s="13" t="s">
        <v>1421</v>
      </c>
      <c r="D486" s="13" t="s">
        <v>61</v>
      </c>
      <c r="E486" s="13" t="s">
        <v>987</v>
      </c>
      <c r="F486" s="13" t="s">
        <v>988</v>
      </c>
      <c r="G486" s="63" t="n">
        <v>19735705441</v>
      </c>
      <c r="H486" s="13" t="s">
        <v>1417</v>
      </c>
      <c r="I486" s="13"/>
      <c r="J486" s="13" t="s">
        <v>1451</v>
      </c>
      <c r="K486" s="13" t="s">
        <v>1422</v>
      </c>
      <c r="L486" s="13" t="s">
        <v>1420</v>
      </c>
      <c r="M486" s="13"/>
    </row>
    <row r="487" customFormat="false" ht="15" hidden="false" customHeight="false" outlineLevel="0" collapsed="false">
      <c r="A487" s="13" t="s">
        <v>608</v>
      </c>
      <c r="B487" s="13" t="s">
        <v>607</v>
      </c>
      <c r="C487" s="13" t="s">
        <v>1423</v>
      </c>
      <c r="D487" s="13" t="s">
        <v>61</v>
      </c>
      <c r="E487" s="13" t="s">
        <v>987</v>
      </c>
      <c r="F487" s="13" t="s">
        <v>988</v>
      </c>
      <c r="G487" s="63" t="n">
        <v>2997687548</v>
      </c>
      <c r="H487" s="13" t="s">
        <v>1417</v>
      </c>
      <c r="I487" s="13"/>
      <c r="J487" s="13" t="s">
        <v>1452</v>
      </c>
      <c r="K487" s="13" t="s">
        <v>1425</v>
      </c>
      <c r="L487" s="13" t="s">
        <v>1426</v>
      </c>
      <c r="M487" s="13"/>
    </row>
    <row r="488" customFormat="false" ht="15" hidden="false" customHeight="false" outlineLevel="0" collapsed="false">
      <c r="A488" s="13" t="s">
        <v>608</v>
      </c>
      <c r="B488" s="13" t="s">
        <v>607</v>
      </c>
      <c r="C488" s="13" t="s">
        <v>1427</v>
      </c>
      <c r="D488" s="13" t="s">
        <v>61</v>
      </c>
      <c r="E488" s="13" t="s">
        <v>987</v>
      </c>
      <c r="F488" s="13" t="s">
        <v>988</v>
      </c>
      <c r="G488" s="63" t="n">
        <v>5567951370</v>
      </c>
      <c r="H488" s="13" t="s">
        <v>1417</v>
      </c>
      <c r="I488" s="13"/>
      <c r="J488" s="13" t="s">
        <v>1452</v>
      </c>
      <c r="K488" s="13" t="s">
        <v>619</v>
      </c>
      <c r="L488" s="13" t="s">
        <v>1420</v>
      </c>
      <c r="M488" s="13"/>
    </row>
    <row r="489" customFormat="false" ht="15" hidden="false" customHeight="false" outlineLevel="0" collapsed="false">
      <c r="A489" s="13" t="s">
        <v>608</v>
      </c>
      <c r="B489" s="13" t="s">
        <v>607</v>
      </c>
      <c r="C489" s="13" t="s">
        <v>1416</v>
      </c>
      <c r="D489" s="13" t="s">
        <v>61</v>
      </c>
      <c r="E489" s="13" t="s">
        <v>990</v>
      </c>
      <c r="F489" s="13" t="s">
        <v>991</v>
      </c>
      <c r="G489" s="63" t="n">
        <v>-16981553674</v>
      </c>
      <c r="H489" s="13" t="s">
        <v>1417</v>
      </c>
      <c r="I489" s="13"/>
      <c r="J489" s="13" t="s">
        <v>1451</v>
      </c>
      <c r="K489" s="13" t="s">
        <v>1419</v>
      </c>
      <c r="L489" s="13" t="s">
        <v>1420</v>
      </c>
      <c r="M489" s="13"/>
    </row>
    <row r="490" customFormat="false" ht="15" hidden="false" customHeight="false" outlineLevel="0" collapsed="false">
      <c r="A490" s="13" t="s">
        <v>608</v>
      </c>
      <c r="B490" s="13" t="s">
        <v>607</v>
      </c>
      <c r="C490" s="13" t="s">
        <v>1421</v>
      </c>
      <c r="D490" s="13" t="s">
        <v>61</v>
      </c>
      <c r="E490" s="13" t="s">
        <v>990</v>
      </c>
      <c r="F490" s="13" t="s">
        <v>991</v>
      </c>
      <c r="G490" s="63" t="n">
        <v>-36146492177</v>
      </c>
      <c r="H490" s="13" t="s">
        <v>1417</v>
      </c>
      <c r="I490" s="13"/>
      <c r="J490" s="13" t="s">
        <v>1451</v>
      </c>
      <c r="K490" s="13" t="s">
        <v>1422</v>
      </c>
      <c r="L490" s="13" t="s">
        <v>1420</v>
      </c>
      <c r="M490" s="13"/>
    </row>
    <row r="491" customFormat="false" ht="15" hidden="false" customHeight="false" outlineLevel="0" collapsed="false">
      <c r="A491" s="13" t="s">
        <v>608</v>
      </c>
      <c r="B491" s="13" t="s">
        <v>607</v>
      </c>
      <c r="C491" s="13" t="s">
        <v>1423</v>
      </c>
      <c r="D491" s="13" t="s">
        <v>61</v>
      </c>
      <c r="E491" s="13" t="s">
        <v>990</v>
      </c>
      <c r="F491" s="13" t="s">
        <v>991</v>
      </c>
      <c r="G491" s="63" t="n">
        <v>-26160414859</v>
      </c>
      <c r="H491" s="13" t="s">
        <v>1417</v>
      </c>
      <c r="I491" s="13"/>
      <c r="J491" s="13" t="s">
        <v>1452</v>
      </c>
      <c r="K491" s="13" t="s">
        <v>1425</v>
      </c>
      <c r="L491" s="13" t="s">
        <v>1426</v>
      </c>
      <c r="M491" s="13"/>
    </row>
    <row r="492" customFormat="false" ht="15" hidden="false" customHeight="false" outlineLevel="0" collapsed="false">
      <c r="A492" s="13" t="s">
        <v>608</v>
      </c>
      <c r="B492" s="13" t="s">
        <v>607</v>
      </c>
      <c r="C492" s="13" t="s">
        <v>1427</v>
      </c>
      <c r="D492" s="13" t="s">
        <v>61</v>
      </c>
      <c r="E492" s="13" t="s">
        <v>990</v>
      </c>
      <c r="F492" s="13" t="s">
        <v>991</v>
      </c>
      <c r="G492" s="63" t="n">
        <v>-27390827865</v>
      </c>
      <c r="H492" s="13" t="s">
        <v>1417</v>
      </c>
      <c r="I492" s="13"/>
      <c r="J492" s="13" t="s">
        <v>1452</v>
      </c>
      <c r="K492" s="13" t="s">
        <v>619</v>
      </c>
      <c r="L492" s="13" t="s">
        <v>1420</v>
      </c>
      <c r="M492" s="13"/>
    </row>
    <row r="493" customFormat="false" ht="15" hidden="false" customHeight="false" outlineLevel="0" collapsed="false">
      <c r="A493" s="13" t="s">
        <v>608</v>
      </c>
      <c r="B493" s="13" t="s">
        <v>607</v>
      </c>
      <c r="C493" s="13" t="s">
        <v>1416</v>
      </c>
      <c r="D493" s="13" t="s">
        <v>61</v>
      </c>
      <c r="E493" s="13" t="s">
        <v>993</v>
      </c>
      <c r="F493" s="13" t="s">
        <v>994</v>
      </c>
      <c r="G493" s="63" t="n">
        <v>-11058092740</v>
      </c>
      <c r="H493" s="13" t="s">
        <v>1417</v>
      </c>
      <c r="I493" s="13"/>
      <c r="J493" s="13" t="s">
        <v>1451</v>
      </c>
      <c r="K493" s="13" t="s">
        <v>1419</v>
      </c>
      <c r="L493" s="13" t="s">
        <v>1420</v>
      </c>
      <c r="M493" s="13"/>
    </row>
    <row r="494" customFormat="false" ht="15" hidden="false" customHeight="false" outlineLevel="0" collapsed="false">
      <c r="A494" s="13" t="s">
        <v>608</v>
      </c>
      <c r="B494" s="13" t="s">
        <v>607</v>
      </c>
      <c r="C494" s="13" t="s">
        <v>1421</v>
      </c>
      <c r="D494" s="13" t="s">
        <v>61</v>
      </c>
      <c r="E494" s="13" t="s">
        <v>993</v>
      </c>
      <c r="F494" s="13" t="s">
        <v>994</v>
      </c>
      <c r="G494" s="63" t="n">
        <v>-13672626965</v>
      </c>
      <c r="H494" s="13" t="s">
        <v>1417</v>
      </c>
      <c r="I494" s="13"/>
      <c r="J494" s="13" t="s">
        <v>1451</v>
      </c>
      <c r="K494" s="13" t="s">
        <v>1422</v>
      </c>
      <c r="L494" s="13" t="s">
        <v>1420</v>
      </c>
      <c r="M494" s="13"/>
    </row>
    <row r="495" customFormat="false" ht="15" hidden="false" customHeight="false" outlineLevel="0" collapsed="false">
      <c r="A495" s="13" t="s">
        <v>608</v>
      </c>
      <c r="B495" s="13" t="s">
        <v>607</v>
      </c>
      <c r="C495" s="13" t="s">
        <v>1423</v>
      </c>
      <c r="D495" s="13" t="s">
        <v>61</v>
      </c>
      <c r="E495" s="13" t="s">
        <v>993</v>
      </c>
      <c r="F495" s="13" t="s">
        <v>994</v>
      </c>
      <c r="G495" s="63" t="n">
        <v>23362141885</v>
      </c>
      <c r="H495" s="13" t="s">
        <v>1417</v>
      </c>
      <c r="I495" s="13"/>
      <c r="J495" s="13" t="s">
        <v>1452</v>
      </c>
      <c r="K495" s="13" t="s">
        <v>1425</v>
      </c>
      <c r="L495" s="13" t="s">
        <v>1426</v>
      </c>
      <c r="M495" s="13"/>
    </row>
    <row r="496" customFormat="false" ht="15" hidden="false" customHeight="false" outlineLevel="0" collapsed="false">
      <c r="A496" s="13" t="s">
        <v>608</v>
      </c>
      <c r="B496" s="13" t="s">
        <v>607</v>
      </c>
      <c r="C496" s="13" t="s">
        <v>1427</v>
      </c>
      <c r="D496" s="13" t="s">
        <v>61</v>
      </c>
      <c r="E496" s="13" t="s">
        <v>993</v>
      </c>
      <c r="F496" s="13" t="s">
        <v>994</v>
      </c>
      <c r="G496" s="63" t="n">
        <v>23195995107</v>
      </c>
      <c r="H496" s="13" t="s">
        <v>1417</v>
      </c>
      <c r="I496" s="13"/>
      <c r="J496" s="13" t="s">
        <v>1452</v>
      </c>
      <c r="K496" s="13" t="s">
        <v>619</v>
      </c>
      <c r="L496" s="13" t="s">
        <v>1420</v>
      </c>
      <c r="M496" s="13"/>
    </row>
    <row r="497" customFormat="false" ht="15" hidden="false" customHeight="false" outlineLevel="0" collapsed="false">
      <c r="A497" s="13" t="s">
        <v>608</v>
      </c>
      <c r="B497" s="13" t="s">
        <v>607</v>
      </c>
      <c r="C497" s="13" t="s">
        <v>1416</v>
      </c>
      <c r="D497" s="13" t="s">
        <v>61</v>
      </c>
      <c r="E497" s="13" t="s">
        <v>996</v>
      </c>
      <c r="F497" s="13" t="s">
        <v>997</v>
      </c>
      <c r="G497" s="63" t="n">
        <v>-20305546331</v>
      </c>
      <c r="H497" s="13" t="s">
        <v>1417</v>
      </c>
      <c r="I497" s="13"/>
      <c r="J497" s="13" t="s">
        <v>1451</v>
      </c>
      <c r="K497" s="13" t="s">
        <v>1419</v>
      </c>
      <c r="L497" s="13" t="s">
        <v>1420</v>
      </c>
      <c r="M497" s="13"/>
    </row>
    <row r="498" customFormat="false" ht="15" hidden="false" customHeight="false" outlineLevel="0" collapsed="false">
      <c r="A498" s="13" t="s">
        <v>608</v>
      </c>
      <c r="B498" s="13" t="s">
        <v>607</v>
      </c>
      <c r="C498" s="13" t="s">
        <v>1421</v>
      </c>
      <c r="D498" s="13" t="s">
        <v>61</v>
      </c>
      <c r="E498" s="13" t="s">
        <v>996</v>
      </c>
      <c r="F498" s="13" t="s">
        <v>997</v>
      </c>
      <c r="G498" s="63" t="n">
        <v>-30083413701</v>
      </c>
      <c r="H498" s="13" t="s">
        <v>1417</v>
      </c>
      <c r="I498" s="13"/>
      <c r="J498" s="13" t="s">
        <v>1451</v>
      </c>
      <c r="K498" s="13" t="s">
        <v>1422</v>
      </c>
      <c r="L498" s="13" t="s">
        <v>1420</v>
      </c>
      <c r="M498" s="13"/>
    </row>
    <row r="499" customFormat="false" ht="15" hidden="false" customHeight="false" outlineLevel="0" collapsed="false">
      <c r="A499" s="13" t="s">
        <v>608</v>
      </c>
      <c r="B499" s="13" t="s">
        <v>607</v>
      </c>
      <c r="C499" s="13" t="s">
        <v>1423</v>
      </c>
      <c r="D499" s="13" t="s">
        <v>61</v>
      </c>
      <c r="E499" s="13" t="s">
        <v>996</v>
      </c>
      <c r="F499" s="13" t="s">
        <v>997</v>
      </c>
      <c r="G499" s="63" t="n">
        <v>199414574</v>
      </c>
      <c r="H499" s="13" t="s">
        <v>1417</v>
      </c>
      <c r="I499" s="13"/>
      <c r="J499" s="13" t="s">
        <v>1452</v>
      </c>
      <c r="K499" s="13" t="s">
        <v>1425</v>
      </c>
      <c r="L499" s="13" t="s">
        <v>1426</v>
      </c>
      <c r="M499" s="13"/>
    </row>
    <row r="500" customFormat="false" ht="15" hidden="false" customHeight="false" outlineLevel="0" collapsed="false">
      <c r="A500" s="13" t="s">
        <v>608</v>
      </c>
      <c r="B500" s="13" t="s">
        <v>607</v>
      </c>
      <c r="C500" s="13" t="s">
        <v>1427</v>
      </c>
      <c r="D500" s="13" t="s">
        <v>61</v>
      </c>
      <c r="E500" s="13" t="s">
        <v>996</v>
      </c>
      <c r="F500" s="13" t="s">
        <v>997</v>
      </c>
      <c r="G500" s="63" t="n">
        <v>1373118612</v>
      </c>
      <c r="H500" s="13" t="s">
        <v>1417</v>
      </c>
      <c r="I500" s="13"/>
      <c r="J500" s="13" t="s">
        <v>1452</v>
      </c>
      <c r="K500" s="13" t="s">
        <v>619</v>
      </c>
      <c r="L500" s="13" t="s">
        <v>1420</v>
      </c>
      <c r="M500" s="13"/>
    </row>
    <row r="501" customFormat="false" ht="15" hidden="false" customHeight="false" outlineLevel="0" collapsed="false">
      <c r="A501" s="13" t="s">
        <v>608</v>
      </c>
      <c r="B501" s="13" t="s">
        <v>607</v>
      </c>
      <c r="C501" s="13" t="s">
        <v>1416</v>
      </c>
      <c r="D501" s="13" t="s">
        <v>61</v>
      </c>
      <c r="E501" s="13" t="s">
        <v>999</v>
      </c>
      <c r="F501" s="13" t="s">
        <v>1000</v>
      </c>
      <c r="G501" s="63" t="n">
        <v>39297310909</v>
      </c>
      <c r="H501" s="13" t="s">
        <v>1417</v>
      </c>
      <c r="I501" s="13"/>
      <c r="J501" s="13" t="s">
        <v>1451</v>
      </c>
      <c r="K501" s="13" t="s">
        <v>1419</v>
      </c>
      <c r="L501" s="13" t="s">
        <v>1420</v>
      </c>
      <c r="M501" s="13"/>
    </row>
    <row r="502" customFormat="false" ht="15" hidden="false" customHeight="false" outlineLevel="0" collapsed="false">
      <c r="A502" s="13" t="s">
        <v>608</v>
      </c>
      <c r="B502" s="13" t="s">
        <v>607</v>
      </c>
      <c r="C502" s="13" t="s">
        <v>1421</v>
      </c>
      <c r="D502" s="13" t="s">
        <v>61</v>
      </c>
      <c r="E502" s="13" t="s">
        <v>999</v>
      </c>
      <c r="F502" s="13" t="s">
        <v>1000</v>
      </c>
      <c r="G502" s="63" t="n">
        <v>-536206225</v>
      </c>
      <c r="H502" s="13" t="s">
        <v>1417</v>
      </c>
      <c r="I502" s="13"/>
      <c r="J502" s="13" t="s">
        <v>1451</v>
      </c>
      <c r="K502" s="13" t="s">
        <v>1422</v>
      </c>
      <c r="L502" s="13" t="s">
        <v>1420</v>
      </c>
      <c r="M502" s="13"/>
    </row>
    <row r="503" customFormat="false" ht="15" hidden="false" customHeight="false" outlineLevel="0" collapsed="false">
      <c r="A503" s="13" t="s">
        <v>608</v>
      </c>
      <c r="B503" s="13" t="s">
        <v>607</v>
      </c>
      <c r="C503" s="13" t="s">
        <v>1423</v>
      </c>
      <c r="D503" s="13" t="s">
        <v>61</v>
      </c>
      <c r="E503" s="13" t="s">
        <v>999</v>
      </c>
      <c r="F503" s="13" t="s">
        <v>1000</v>
      </c>
      <c r="G503" s="63" t="n">
        <v>2663388349</v>
      </c>
      <c r="H503" s="13" t="s">
        <v>1417</v>
      </c>
      <c r="I503" s="13"/>
      <c r="J503" s="13" t="s">
        <v>1452</v>
      </c>
      <c r="K503" s="13" t="s">
        <v>1425</v>
      </c>
      <c r="L503" s="13" t="s">
        <v>1426</v>
      </c>
      <c r="M503" s="13"/>
    </row>
    <row r="504" customFormat="false" ht="15" hidden="false" customHeight="false" outlineLevel="0" collapsed="false">
      <c r="A504" s="13" t="s">
        <v>608</v>
      </c>
      <c r="B504" s="13" t="s">
        <v>607</v>
      </c>
      <c r="C504" s="13" t="s">
        <v>1427</v>
      </c>
      <c r="D504" s="13" t="s">
        <v>61</v>
      </c>
      <c r="E504" s="13" t="s">
        <v>999</v>
      </c>
      <c r="F504" s="13" t="s">
        <v>1000</v>
      </c>
      <c r="G504" s="63" t="n">
        <v>4036506961</v>
      </c>
      <c r="H504" s="13" t="s">
        <v>1417</v>
      </c>
      <c r="I504" s="13"/>
      <c r="J504" s="13" t="s">
        <v>1452</v>
      </c>
      <c r="K504" s="13" t="s">
        <v>619</v>
      </c>
      <c r="L504" s="13" t="s">
        <v>1420</v>
      </c>
      <c r="M504" s="13"/>
    </row>
    <row r="505" customFormat="false" ht="15" hidden="false" customHeight="false" outlineLevel="0" collapsed="false">
      <c r="A505" s="13" t="s">
        <v>608</v>
      </c>
      <c r="B505" s="13" t="s">
        <v>607</v>
      </c>
      <c r="C505" s="13" t="s">
        <v>1416</v>
      </c>
      <c r="D505" s="13" t="s">
        <v>1454</v>
      </c>
      <c r="E505" s="13" t="s">
        <v>1455</v>
      </c>
      <c r="F505" s="13" t="s">
        <v>335</v>
      </c>
      <c r="G505" s="63" t="n">
        <v>53534000426</v>
      </c>
      <c r="H505" s="13" t="s">
        <v>1417</v>
      </c>
      <c r="I505" s="13" t="s">
        <v>1456</v>
      </c>
      <c r="J505" s="13" t="n">
        <v>367</v>
      </c>
      <c r="K505" s="13" t="s">
        <v>1457</v>
      </c>
      <c r="L505" s="13" t="s">
        <v>1420</v>
      </c>
      <c r="M505" s="13"/>
    </row>
    <row r="506" customFormat="false" ht="15" hidden="false" customHeight="false" outlineLevel="0" collapsed="false">
      <c r="A506" s="13" t="s">
        <v>608</v>
      </c>
      <c r="B506" s="13" t="s">
        <v>607</v>
      </c>
      <c r="C506" s="13" t="s">
        <v>1421</v>
      </c>
      <c r="D506" s="13" t="s">
        <v>1454</v>
      </c>
      <c r="E506" s="13" t="s">
        <v>1455</v>
      </c>
      <c r="F506" s="13" t="s">
        <v>335</v>
      </c>
      <c r="G506" s="63" t="n">
        <v>79579352582</v>
      </c>
      <c r="H506" s="13" t="s">
        <v>1417</v>
      </c>
      <c r="I506" s="13" t="s">
        <v>1456</v>
      </c>
      <c r="J506" s="13" t="n">
        <v>367</v>
      </c>
      <c r="K506" s="13" t="s">
        <v>1457</v>
      </c>
      <c r="L506" s="13" t="s">
        <v>1420</v>
      </c>
      <c r="M506" s="13"/>
    </row>
    <row r="507" customFormat="false" ht="15" hidden="false" customHeight="false" outlineLevel="0" collapsed="false">
      <c r="A507" s="13" t="s">
        <v>608</v>
      </c>
      <c r="B507" s="13" t="s">
        <v>607</v>
      </c>
      <c r="C507" s="13" t="s">
        <v>1423</v>
      </c>
      <c r="D507" s="13" t="s">
        <v>1454</v>
      </c>
      <c r="E507" s="13" t="s">
        <v>1455</v>
      </c>
      <c r="F507" s="13" t="s">
        <v>335</v>
      </c>
      <c r="G507" s="63" t="n">
        <v>85919977894</v>
      </c>
      <c r="H507" s="13" t="s">
        <v>1417</v>
      </c>
      <c r="I507" s="13" t="s">
        <v>1456</v>
      </c>
      <c r="J507" s="13" t="n">
        <v>83</v>
      </c>
      <c r="K507" s="13" t="s">
        <v>1458</v>
      </c>
      <c r="L507" s="13" t="s">
        <v>1426</v>
      </c>
      <c r="M507" s="13"/>
    </row>
    <row r="508" customFormat="false" ht="15" hidden="false" customHeight="false" outlineLevel="0" collapsed="false">
      <c r="A508" s="13" t="s">
        <v>608</v>
      </c>
      <c r="B508" s="13" t="s">
        <v>607</v>
      </c>
      <c r="C508" s="13" t="s">
        <v>1427</v>
      </c>
      <c r="D508" s="13" t="s">
        <v>1454</v>
      </c>
      <c r="E508" s="13" t="s">
        <v>1455</v>
      </c>
      <c r="F508" s="13" t="s">
        <v>335</v>
      </c>
      <c r="G508" s="63" t="n">
        <v>74120487810</v>
      </c>
      <c r="H508" s="13" t="s">
        <v>1417</v>
      </c>
      <c r="I508" s="13" t="s">
        <v>1456</v>
      </c>
      <c r="J508" s="13" t="n">
        <v>83</v>
      </c>
      <c r="K508" s="13" t="s">
        <v>1458</v>
      </c>
      <c r="L508" s="13" t="s">
        <v>1420</v>
      </c>
      <c r="M508" s="13"/>
    </row>
    <row r="509" customFormat="false" ht="15" hidden="false" customHeight="false" outlineLevel="0" collapsed="false">
      <c r="A509" s="13" t="s">
        <v>608</v>
      </c>
      <c r="B509" s="13" t="s">
        <v>607</v>
      </c>
      <c r="C509" s="13" t="s">
        <v>1416</v>
      </c>
      <c r="D509" s="13" t="s">
        <v>1454</v>
      </c>
      <c r="E509" s="13" t="s">
        <v>1455</v>
      </c>
      <c r="F509" s="13" t="s">
        <v>337</v>
      </c>
      <c r="G509" s="63" t="n">
        <v>43332660354</v>
      </c>
      <c r="H509" s="13" t="s">
        <v>1417</v>
      </c>
      <c r="I509" s="13" t="s">
        <v>1456</v>
      </c>
      <c r="J509" s="13" t="n">
        <v>367</v>
      </c>
      <c r="K509" s="13" t="s">
        <v>1457</v>
      </c>
      <c r="L509" s="13" t="s">
        <v>1420</v>
      </c>
      <c r="M509" s="13"/>
    </row>
    <row r="510" customFormat="false" ht="15" hidden="false" customHeight="false" outlineLevel="0" collapsed="false">
      <c r="A510" s="13" t="s">
        <v>608</v>
      </c>
      <c r="B510" s="13" t="s">
        <v>607</v>
      </c>
      <c r="C510" s="13" t="s">
        <v>1421</v>
      </c>
      <c r="D510" s="13" t="s">
        <v>1454</v>
      </c>
      <c r="E510" s="13" t="s">
        <v>1455</v>
      </c>
      <c r="F510" s="13" t="s">
        <v>337</v>
      </c>
      <c r="G510" s="63" t="n">
        <v>42651501335</v>
      </c>
      <c r="H510" s="13" t="s">
        <v>1417</v>
      </c>
      <c r="I510" s="13" t="s">
        <v>1456</v>
      </c>
      <c r="J510" s="13" t="n">
        <v>367</v>
      </c>
      <c r="K510" s="13" t="s">
        <v>1457</v>
      </c>
      <c r="L510" s="13" t="s">
        <v>1420</v>
      </c>
      <c r="M510" s="13"/>
    </row>
    <row r="511" customFormat="false" ht="15" hidden="false" customHeight="false" outlineLevel="0" collapsed="false">
      <c r="A511" s="13" t="s">
        <v>608</v>
      </c>
      <c r="B511" s="13" t="s">
        <v>607</v>
      </c>
      <c r="C511" s="13" t="s">
        <v>1423</v>
      </c>
      <c r="D511" s="13" t="s">
        <v>1454</v>
      </c>
      <c r="E511" s="13" t="s">
        <v>1455</v>
      </c>
      <c r="F511" s="13" t="s">
        <v>337</v>
      </c>
      <c r="G511" s="63" t="n">
        <v>19931209046</v>
      </c>
      <c r="H511" s="13" t="s">
        <v>1417</v>
      </c>
      <c r="I511" s="13" t="s">
        <v>1456</v>
      </c>
      <c r="J511" s="13" t="n">
        <v>83</v>
      </c>
      <c r="K511" s="13" t="s">
        <v>1458</v>
      </c>
      <c r="L511" s="13" t="s">
        <v>1426</v>
      </c>
      <c r="M511" s="13"/>
    </row>
    <row r="512" customFormat="false" ht="15" hidden="false" customHeight="false" outlineLevel="0" collapsed="false">
      <c r="A512" s="13" t="s">
        <v>608</v>
      </c>
      <c r="B512" s="13" t="s">
        <v>607</v>
      </c>
      <c r="C512" s="13" t="s">
        <v>1427</v>
      </c>
      <c r="D512" s="13" t="s">
        <v>1454</v>
      </c>
      <c r="E512" s="13" t="s">
        <v>1455</v>
      </c>
      <c r="F512" s="13" t="s">
        <v>337</v>
      </c>
      <c r="G512" s="63" t="n">
        <v>39969278831</v>
      </c>
      <c r="H512" s="13" t="s">
        <v>1417</v>
      </c>
      <c r="I512" s="13" t="s">
        <v>1456</v>
      </c>
      <c r="J512" s="13" t="n">
        <v>83</v>
      </c>
      <c r="K512" s="13" t="s">
        <v>1458</v>
      </c>
      <c r="L512" s="13" t="s">
        <v>1420</v>
      </c>
      <c r="M512" s="13"/>
    </row>
    <row r="513" customFormat="false" ht="15" hidden="false" customHeight="false" outlineLevel="0" collapsed="false">
      <c r="A513" s="13" t="s">
        <v>608</v>
      </c>
      <c r="B513" s="13" t="s">
        <v>607</v>
      </c>
      <c r="C513" s="13" t="s">
        <v>1423</v>
      </c>
      <c r="D513" s="13" t="s">
        <v>1454</v>
      </c>
      <c r="E513" s="13" t="s">
        <v>1455</v>
      </c>
      <c r="F513" s="13" t="s">
        <v>333</v>
      </c>
      <c r="G513" s="63" t="n">
        <v>46134618145</v>
      </c>
      <c r="H513" s="13" t="s">
        <v>1417</v>
      </c>
      <c r="I513" s="13" t="s">
        <v>1456</v>
      </c>
      <c r="J513" s="13" t="n">
        <v>83</v>
      </c>
      <c r="K513" s="13" t="s">
        <v>1458</v>
      </c>
      <c r="L513" s="13" t="s">
        <v>1426</v>
      </c>
      <c r="M513" s="13"/>
    </row>
    <row r="514" customFormat="false" ht="15" hidden="false" customHeight="false" outlineLevel="0" collapsed="false">
      <c r="A514" s="13" t="s">
        <v>608</v>
      </c>
      <c r="B514" s="13" t="s">
        <v>607</v>
      </c>
      <c r="C514" s="13" t="s">
        <v>1427</v>
      </c>
      <c r="D514" s="13" t="s">
        <v>1454</v>
      </c>
      <c r="E514" s="13" t="s">
        <v>1455</v>
      </c>
      <c r="F514" s="13" t="s">
        <v>333</v>
      </c>
      <c r="G514" s="63" t="n">
        <v>30600343048</v>
      </c>
      <c r="H514" s="13" t="s">
        <v>1417</v>
      </c>
      <c r="I514" s="13" t="s">
        <v>1456</v>
      </c>
      <c r="J514" s="13" t="n">
        <v>83</v>
      </c>
      <c r="K514" s="13" t="s">
        <v>1458</v>
      </c>
      <c r="L514" s="13" t="s">
        <v>1420</v>
      </c>
      <c r="M514" s="13"/>
    </row>
    <row r="515" customFormat="false" ht="15" hidden="false" customHeight="false" outlineLevel="0" collapsed="false">
      <c r="A515" s="13" t="s">
        <v>608</v>
      </c>
      <c r="B515" s="13" t="s">
        <v>607</v>
      </c>
      <c r="C515" s="13" t="s">
        <v>1416</v>
      </c>
      <c r="D515" s="13" t="s">
        <v>1454</v>
      </c>
      <c r="E515" s="13" t="s">
        <v>1455</v>
      </c>
      <c r="F515" s="13" t="s">
        <v>1459</v>
      </c>
      <c r="G515" s="63" t="n">
        <v>176512253</v>
      </c>
      <c r="H515" s="13" t="s">
        <v>1417</v>
      </c>
      <c r="I515" s="13" t="s">
        <v>1456</v>
      </c>
      <c r="J515" s="13" t="n">
        <v>367</v>
      </c>
      <c r="K515" s="13" t="s">
        <v>1457</v>
      </c>
      <c r="L515" s="13" t="s">
        <v>1420</v>
      </c>
      <c r="M515" s="13"/>
    </row>
    <row r="516" customFormat="false" ht="15" hidden="false" customHeight="false" outlineLevel="0" collapsed="false">
      <c r="A516" s="13" t="s">
        <v>608</v>
      </c>
      <c r="B516" s="13" t="s">
        <v>607</v>
      </c>
      <c r="C516" s="13" t="s">
        <v>1421</v>
      </c>
      <c r="D516" s="13" t="s">
        <v>1454</v>
      </c>
      <c r="E516" s="13" t="s">
        <v>1455</v>
      </c>
      <c r="F516" s="13" t="s">
        <v>1459</v>
      </c>
      <c r="G516" s="63" t="n">
        <v>73060785</v>
      </c>
      <c r="H516" s="13" t="s">
        <v>1417</v>
      </c>
      <c r="I516" s="13" t="s">
        <v>1456</v>
      </c>
      <c r="J516" s="13" t="n">
        <v>367</v>
      </c>
      <c r="K516" s="13" t="s">
        <v>1457</v>
      </c>
      <c r="L516" s="13" t="s">
        <v>1420</v>
      </c>
      <c r="M516" s="13"/>
    </row>
    <row r="517" customFormat="false" ht="15" hidden="false" customHeight="false" outlineLevel="0" collapsed="false">
      <c r="A517" s="13" t="s">
        <v>608</v>
      </c>
      <c r="B517" s="13" t="s">
        <v>607</v>
      </c>
      <c r="C517" s="13" t="s">
        <v>1423</v>
      </c>
      <c r="D517" s="13" t="s">
        <v>1454</v>
      </c>
      <c r="E517" s="13" t="s">
        <v>1455</v>
      </c>
      <c r="F517" s="13" t="s">
        <v>1459</v>
      </c>
      <c r="G517" s="63" t="n">
        <v>156443699</v>
      </c>
      <c r="H517" s="13" t="s">
        <v>1417</v>
      </c>
      <c r="I517" s="13" t="s">
        <v>1456</v>
      </c>
      <c r="J517" s="13" t="n">
        <v>83</v>
      </c>
      <c r="K517" s="13" t="s">
        <v>1458</v>
      </c>
      <c r="L517" s="13" t="s">
        <v>1426</v>
      </c>
      <c r="M517" s="13"/>
    </row>
    <row r="518" customFormat="false" ht="15" hidden="false" customHeight="false" outlineLevel="0" collapsed="false">
      <c r="A518" s="13" t="s">
        <v>608</v>
      </c>
      <c r="B518" s="13" t="s">
        <v>607</v>
      </c>
      <c r="C518" s="13" t="s">
        <v>1427</v>
      </c>
      <c r="D518" s="13" t="s">
        <v>1454</v>
      </c>
      <c r="E518" s="13" t="s">
        <v>1455</v>
      </c>
      <c r="F518" s="13" t="s">
        <v>1459</v>
      </c>
      <c r="G518" s="63" t="n">
        <v>183158701</v>
      </c>
      <c r="H518" s="13" t="s">
        <v>1417</v>
      </c>
      <c r="I518" s="13" t="s">
        <v>1456</v>
      </c>
      <c r="J518" s="13" t="n">
        <v>83</v>
      </c>
      <c r="K518" s="13" t="s">
        <v>1458</v>
      </c>
      <c r="L518" s="13" t="s">
        <v>1420</v>
      </c>
      <c r="M518" s="13"/>
    </row>
    <row r="519" customFormat="false" ht="15" hidden="false" customHeight="false" outlineLevel="0" collapsed="false">
      <c r="A519" s="13" t="s">
        <v>608</v>
      </c>
      <c r="B519" s="13" t="s">
        <v>607</v>
      </c>
      <c r="C519" s="13" t="s">
        <v>1416</v>
      </c>
      <c r="D519" s="13" t="s">
        <v>1454</v>
      </c>
      <c r="E519" s="13" t="s">
        <v>1455</v>
      </c>
      <c r="F519" s="13" t="s">
        <v>1460</v>
      </c>
      <c r="G519" s="63" t="n">
        <v>99578144421</v>
      </c>
      <c r="H519" s="13" t="s">
        <v>1417</v>
      </c>
      <c r="I519" s="13" t="s">
        <v>1456</v>
      </c>
      <c r="J519" s="13" t="n">
        <v>367</v>
      </c>
      <c r="K519" s="13" t="s">
        <v>1457</v>
      </c>
      <c r="L519" s="13" t="s">
        <v>1420</v>
      </c>
      <c r="M519" s="13"/>
    </row>
    <row r="520" customFormat="false" ht="15" hidden="false" customHeight="false" outlineLevel="0" collapsed="false">
      <c r="A520" s="13" t="s">
        <v>608</v>
      </c>
      <c r="B520" s="13" t="s">
        <v>607</v>
      </c>
      <c r="C520" s="13" t="s">
        <v>1421</v>
      </c>
      <c r="D520" s="13" t="s">
        <v>1454</v>
      </c>
      <c r="E520" s="13" t="s">
        <v>1455</v>
      </c>
      <c r="F520" s="13" t="s">
        <v>1460</v>
      </c>
      <c r="G520" s="63" t="n">
        <v>134187678929</v>
      </c>
      <c r="H520" s="13" t="s">
        <v>1417</v>
      </c>
      <c r="I520" s="13" t="s">
        <v>1456</v>
      </c>
      <c r="J520" s="13" t="n">
        <v>367</v>
      </c>
      <c r="K520" s="13" t="s">
        <v>1457</v>
      </c>
      <c r="L520" s="13" t="s">
        <v>1420</v>
      </c>
      <c r="M520" s="13"/>
    </row>
    <row r="521" customFormat="false" ht="15" hidden="false" customHeight="false" outlineLevel="0" collapsed="false">
      <c r="A521" s="13" t="s">
        <v>608</v>
      </c>
      <c r="B521" s="13" t="s">
        <v>607</v>
      </c>
      <c r="C521" s="13" t="s">
        <v>1423</v>
      </c>
      <c r="D521" s="13" t="s">
        <v>1454</v>
      </c>
      <c r="E521" s="13" t="s">
        <v>1455</v>
      </c>
      <c r="F521" s="13" t="s">
        <v>1460</v>
      </c>
      <c r="G521" s="63" t="n">
        <v>152142248784</v>
      </c>
      <c r="H521" s="13" t="s">
        <v>1417</v>
      </c>
      <c r="I521" s="13" t="s">
        <v>1456</v>
      </c>
      <c r="J521" s="13" t="n">
        <v>83</v>
      </c>
      <c r="K521" s="13" t="s">
        <v>1458</v>
      </c>
      <c r="L521" s="13" t="s">
        <v>1426</v>
      </c>
      <c r="M521" s="13"/>
    </row>
    <row r="522" customFormat="false" ht="15" hidden="false" customHeight="false" outlineLevel="0" collapsed="false">
      <c r="A522" s="13" t="s">
        <v>608</v>
      </c>
      <c r="B522" s="13" t="s">
        <v>607</v>
      </c>
      <c r="C522" s="13" t="s">
        <v>1427</v>
      </c>
      <c r="D522" s="13" t="s">
        <v>1454</v>
      </c>
      <c r="E522" s="13" t="s">
        <v>1455</v>
      </c>
      <c r="F522" s="13" t="s">
        <v>1460</v>
      </c>
      <c r="G522" s="63" t="n">
        <v>144873268389</v>
      </c>
      <c r="H522" s="13" t="s">
        <v>1417</v>
      </c>
      <c r="I522" s="13" t="s">
        <v>1456</v>
      </c>
      <c r="J522" s="13" t="n">
        <v>83</v>
      </c>
      <c r="K522" s="13" t="s">
        <v>1458</v>
      </c>
      <c r="L522" s="13" t="s">
        <v>1420</v>
      </c>
      <c r="M522" s="13"/>
    </row>
    <row r="523" customFormat="false" ht="15" hidden="false" customHeight="false" outlineLevel="0" collapsed="false">
      <c r="A523" s="13" t="s">
        <v>608</v>
      </c>
      <c r="B523" s="13" t="s">
        <v>607</v>
      </c>
      <c r="C523" s="13" t="s">
        <v>1416</v>
      </c>
      <c r="D523" s="13" t="s">
        <v>1454</v>
      </c>
      <c r="E523" s="13" t="s">
        <v>1461</v>
      </c>
      <c r="F523" s="13" t="s">
        <v>1462</v>
      </c>
      <c r="G523" s="63" t="n">
        <v>19746085035</v>
      </c>
      <c r="H523" s="13" t="s">
        <v>1417</v>
      </c>
      <c r="I523" s="13" t="s">
        <v>1463</v>
      </c>
      <c r="J523" s="13" t="n">
        <v>367</v>
      </c>
      <c r="K523" s="13" t="s">
        <v>1457</v>
      </c>
      <c r="L523" s="13" t="s">
        <v>1420</v>
      </c>
      <c r="M523" s="13"/>
    </row>
    <row r="524" customFormat="false" ht="15" hidden="false" customHeight="false" outlineLevel="0" collapsed="false">
      <c r="A524" s="13" t="s">
        <v>608</v>
      </c>
      <c r="B524" s="13" t="s">
        <v>607</v>
      </c>
      <c r="C524" s="13" t="s">
        <v>1421</v>
      </c>
      <c r="D524" s="13" t="s">
        <v>1454</v>
      </c>
      <c r="E524" s="13" t="s">
        <v>1461</v>
      </c>
      <c r="F524" s="13" t="s">
        <v>1462</v>
      </c>
      <c r="G524" s="63" t="n">
        <v>29012609659</v>
      </c>
      <c r="H524" s="13" t="s">
        <v>1417</v>
      </c>
      <c r="I524" s="13" t="s">
        <v>1463</v>
      </c>
      <c r="J524" s="13" t="n">
        <v>367</v>
      </c>
      <c r="K524" s="13" t="s">
        <v>1457</v>
      </c>
      <c r="L524" s="13" t="s">
        <v>1420</v>
      </c>
      <c r="M524" s="13"/>
    </row>
    <row r="525" customFormat="false" ht="15" hidden="false" customHeight="false" outlineLevel="0" collapsed="false">
      <c r="A525" s="13" t="s">
        <v>608</v>
      </c>
      <c r="B525" s="13" t="s">
        <v>607</v>
      </c>
      <c r="C525" s="13" t="s">
        <v>1423</v>
      </c>
      <c r="D525" s="13" t="s">
        <v>1454</v>
      </c>
      <c r="E525" s="13" t="s">
        <v>1461</v>
      </c>
      <c r="F525" s="13" t="s">
        <v>1462</v>
      </c>
      <c r="G525" s="63" t="n">
        <v>38575259386</v>
      </c>
      <c r="H525" s="13" t="s">
        <v>1417</v>
      </c>
      <c r="I525" s="13" t="s">
        <v>1463</v>
      </c>
      <c r="J525" s="13" t="n">
        <v>83</v>
      </c>
      <c r="K525" s="13" t="s">
        <v>1458</v>
      </c>
      <c r="L525" s="13" t="s">
        <v>1426</v>
      </c>
      <c r="M525" s="13"/>
    </row>
    <row r="526" customFormat="false" ht="15" hidden="false" customHeight="false" outlineLevel="0" collapsed="false">
      <c r="A526" s="13" t="s">
        <v>608</v>
      </c>
      <c r="B526" s="13" t="s">
        <v>607</v>
      </c>
      <c r="C526" s="13" t="s">
        <v>1427</v>
      </c>
      <c r="D526" s="13" t="s">
        <v>1454</v>
      </c>
      <c r="E526" s="13" t="s">
        <v>1461</v>
      </c>
      <c r="F526" s="13" t="s">
        <v>1462</v>
      </c>
      <c r="G526" s="63" t="n">
        <v>64636564388</v>
      </c>
      <c r="H526" s="13" t="s">
        <v>1417</v>
      </c>
      <c r="I526" s="13" t="s">
        <v>1463</v>
      </c>
      <c r="J526" s="13" t="n">
        <v>83</v>
      </c>
      <c r="K526" s="13" t="s">
        <v>1458</v>
      </c>
      <c r="L526" s="13" t="s">
        <v>1420</v>
      </c>
      <c r="M526" s="13"/>
    </row>
    <row r="527" customFormat="false" ht="15" hidden="false" customHeight="false" outlineLevel="0" collapsed="false">
      <c r="A527" s="13" t="s">
        <v>608</v>
      </c>
      <c r="B527" s="13" t="s">
        <v>607</v>
      </c>
      <c r="C527" s="13" t="s">
        <v>1416</v>
      </c>
      <c r="D527" s="13" t="s">
        <v>1454</v>
      </c>
      <c r="E527" s="13" t="s">
        <v>1461</v>
      </c>
      <c r="F527" s="13" t="s">
        <v>1464</v>
      </c>
      <c r="G527" s="63" t="n">
        <v>26066288746</v>
      </c>
      <c r="H527" s="13" t="s">
        <v>1417</v>
      </c>
      <c r="I527" s="13" t="s">
        <v>1463</v>
      </c>
      <c r="J527" s="13" t="n">
        <v>367</v>
      </c>
      <c r="K527" s="13" t="s">
        <v>1457</v>
      </c>
      <c r="L527" s="13" t="s">
        <v>1420</v>
      </c>
      <c r="M527" s="13"/>
    </row>
    <row r="528" customFormat="false" ht="15" hidden="false" customHeight="false" outlineLevel="0" collapsed="false">
      <c r="A528" s="13" t="s">
        <v>608</v>
      </c>
      <c r="B528" s="13" t="s">
        <v>607</v>
      </c>
      <c r="C528" s="13" t="s">
        <v>1421</v>
      </c>
      <c r="D528" s="13" t="s">
        <v>1454</v>
      </c>
      <c r="E528" s="13" t="s">
        <v>1461</v>
      </c>
      <c r="F528" s="13" t="s">
        <v>1464</v>
      </c>
      <c r="G528" s="63" t="n">
        <v>33030769915</v>
      </c>
      <c r="H528" s="13" t="s">
        <v>1417</v>
      </c>
      <c r="I528" s="13" t="s">
        <v>1463</v>
      </c>
      <c r="J528" s="13" t="n">
        <v>367</v>
      </c>
      <c r="K528" s="13" t="s">
        <v>1457</v>
      </c>
      <c r="L528" s="13" t="s">
        <v>1420</v>
      </c>
      <c r="M528" s="13"/>
    </row>
    <row r="529" customFormat="false" ht="15" hidden="false" customHeight="false" outlineLevel="0" collapsed="false">
      <c r="A529" s="13" t="s">
        <v>608</v>
      </c>
      <c r="B529" s="13" t="s">
        <v>607</v>
      </c>
      <c r="C529" s="13" t="s">
        <v>1423</v>
      </c>
      <c r="D529" s="13" t="s">
        <v>1454</v>
      </c>
      <c r="E529" s="13" t="s">
        <v>1461</v>
      </c>
      <c r="F529" s="13" t="s">
        <v>1464</v>
      </c>
      <c r="G529" s="63" t="n">
        <v>41214713009</v>
      </c>
      <c r="H529" s="13" t="s">
        <v>1417</v>
      </c>
      <c r="I529" s="13" t="s">
        <v>1463</v>
      </c>
      <c r="J529" s="13" t="n">
        <v>83</v>
      </c>
      <c r="K529" s="13" t="s">
        <v>1458</v>
      </c>
      <c r="L529" s="13" t="s">
        <v>1426</v>
      </c>
      <c r="M529" s="13"/>
    </row>
    <row r="530" customFormat="false" ht="15" hidden="false" customHeight="false" outlineLevel="0" collapsed="false">
      <c r="A530" s="13" t="s">
        <v>608</v>
      </c>
      <c r="B530" s="13" t="s">
        <v>607</v>
      </c>
      <c r="C530" s="13" t="s">
        <v>1427</v>
      </c>
      <c r="D530" s="13" t="s">
        <v>1454</v>
      </c>
      <c r="E530" s="13" t="s">
        <v>1461</v>
      </c>
      <c r="F530" s="13" t="s">
        <v>1464</v>
      </c>
      <c r="G530" s="63" t="n">
        <v>23306223421</v>
      </c>
      <c r="H530" s="13" t="s">
        <v>1417</v>
      </c>
      <c r="I530" s="13" t="s">
        <v>1463</v>
      </c>
      <c r="J530" s="13" t="n">
        <v>83</v>
      </c>
      <c r="K530" s="13" t="s">
        <v>1458</v>
      </c>
      <c r="L530" s="13" t="s">
        <v>1420</v>
      </c>
      <c r="M530" s="13"/>
    </row>
    <row r="531" customFormat="false" ht="15" hidden="false" customHeight="false" outlineLevel="0" collapsed="false">
      <c r="A531" s="13" t="s">
        <v>608</v>
      </c>
      <c r="B531" s="13" t="s">
        <v>607</v>
      </c>
      <c r="C531" s="13" t="s">
        <v>1416</v>
      </c>
      <c r="D531" s="13" t="s">
        <v>1454</v>
      </c>
      <c r="E531" s="13" t="s">
        <v>1461</v>
      </c>
      <c r="F531" s="13" t="s">
        <v>1465</v>
      </c>
      <c r="G531" s="63" t="n">
        <v>3755552276</v>
      </c>
      <c r="H531" s="13" t="s">
        <v>1417</v>
      </c>
      <c r="I531" s="13" t="s">
        <v>1463</v>
      </c>
      <c r="J531" s="13" t="n">
        <v>367</v>
      </c>
      <c r="K531" s="13" t="s">
        <v>1457</v>
      </c>
      <c r="L531" s="13" t="s">
        <v>1420</v>
      </c>
      <c r="M531" s="13"/>
    </row>
    <row r="532" customFormat="false" ht="15" hidden="false" customHeight="false" outlineLevel="0" collapsed="false">
      <c r="A532" s="13" t="s">
        <v>608</v>
      </c>
      <c r="B532" s="13" t="s">
        <v>607</v>
      </c>
      <c r="C532" s="13" t="s">
        <v>1421</v>
      </c>
      <c r="D532" s="13" t="s">
        <v>1454</v>
      </c>
      <c r="E532" s="13" t="s">
        <v>1461</v>
      </c>
      <c r="F532" s="13" t="s">
        <v>1465</v>
      </c>
      <c r="G532" s="63" t="n">
        <v>4387072246</v>
      </c>
      <c r="H532" s="13" t="s">
        <v>1417</v>
      </c>
      <c r="I532" s="13" t="s">
        <v>1463</v>
      </c>
      <c r="J532" s="13" t="n">
        <v>367</v>
      </c>
      <c r="K532" s="13" t="s">
        <v>1457</v>
      </c>
      <c r="L532" s="13" t="s">
        <v>1420</v>
      </c>
      <c r="M532" s="13"/>
    </row>
    <row r="533" customFormat="false" ht="15" hidden="false" customHeight="false" outlineLevel="0" collapsed="false">
      <c r="A533" s="13" t="s">
        <v>608</v>
      </c>
      <c r="B533" s="13" t="s">
        <v>607</v>
      </c>
      <c r="C533" s="13" t="s">
        <v>1423</v>
      </c>
      <c r="D533" s="13" t="s">
        <v>1454</v>
      </c>
      <c r="E533" s="13" t="s">
        <v>1461</v>
      </c>
      <c r="F533" s="13" t="s">
        <v>1465</v>
      </c>
      <c r="G533" s="63" t="n">
        <v>4973386980</v>
      </c>
      <c r="H533" s="13" t="s">
        <v>1417</v>
      </c>
      <c r="I533" s="13" t="s">
        <v>1463</v>
      </c>
      <c r="J533" s="13" t="n">
        <v>83</v>
      </c>
      <c r="K533" s="13" t="s">
        <v>1458</v>
      </c>
      <c r="L533" s="13" t="s">
        <v>1426</v>
      </c>
      <c r="M533" s="13"/>
    </row>
    <row r="534" customFormat="false" ht="15" hidden="false" customHeight="false" outlineLevel="0" collapsed="false">
      <c r="A534" s="13" t="s">
        <v>608</v>
      </c>
      <c r="B534" s="13" t="s">
        <v>607</v>
      </c>
      <c r="C534" s="13" t="s">
        <v>1427</v>
      </c>
      <c r="D534" s="13" t="s">
        <v>1454</v>
      </c>
      <c r="E534" s="13" t="s">
        <v>1461</v>
      </c>
      <c r="F534" s="13" t="s">
        <v>1465</v>
      </c>
      <c r="G534" s="63" t="n">
        <v>9923656145</v>
      </c>
      <c r="H534" s="13" t="s">
        <v>1417</v>
      </c>
      <c r="I534" s="13" t="s">
        <v>1463</v>
      </c>
      <c r="J534" s="13" t="n">
        <v>83</v>
      </c>
      <c r="K534" s="13" t="s">
        <v>1458</v>
      </c>
      <c r="L534" s="13" t="s">
        <v>1420</v>
      </c>
      <c r="M534" s="13"/>
    </row>
    <row r="535" customFormat="false" ht="15" hidden="false" customHeight="false" outlineLevel="0" collapsed="false">
      <c r="A535" s="13" t="s">
        <v>608</v>
      </c>
      <c r="B535" s="13" t="s">
        <v>607</v>
      </c>
      <c r="C535" s="13" t="s">
        <v>1416</v>
      </c>
      <c r="D535" s="13" t="s">
        <v>1454</v>
      </c>
      <c r="E535" s="13" t="s">
        <v>1461</v>
      </c>
      <c r="F535" s="13" t="s">
        <v>1466</v>
      </c>
      <c r="G535" s="109" t="n">
        <v>0</v>
      </c>
      <c r="H535" s="13" t="s">
        <v>1417</v>
      </c>
      <c r="I535" s="13" t="s">
        <v>1463</v>
      </c>
      <c r="J535" s="13" t="n">
        <v>367</v>
      </c>
      <c r="K535" s="13" t="s">
        <v>1457</v>
      </c>
      <c r="L535" s="13" t="s">
        <v>1420</v>
      </c>
      <c r="M535" s="13"/>
    </row>
    <row r="536" customFormat="false" ht="15" hidden="false" customHeight="false" outlineLevel="0" collapsed="false">
      <c r="A536" s="13" t="s">
        <v>608</v>
      </c>
      <c r="B536" s="13" t="s">
        <v>607</v>
      </c>
      <c r="C536" s="13" t="s">
        <v>1421</v>
      </c>
      <c r="D536" s="13" t="s">
        <v>1454</v>
      </c>
      <c r="E536" s="13" t="s">
        <v>1461</v>
      </c>
      <c r="F536" s="13" t="s">
        <v>1466</v>
      </c>
      <c r="G536" s="109" t="n">
        <v>0</v>
      </c>
      <c r="H536" s="13" t="s">
        <v>1417</v>
      </c>
      <c r="I536" s="13" t="s">
        <v>1463</v>
      </c>
      <c r="J536" s="13" t="n">
        <v>367</v>
      </c>
      <c r="K536" s="13" t="s">
        <v>1457</v>
      </c>
      <c r="L536" s="13" t="s">
        <v>1420</v>
      </c>
      <c r="M536" s="13"/>
    </row>
    <row r="537" customFormat="false" ht="15" hidden="false" customHeight="false" outlineLevel="0" collapsed="false">
      <c r="A537" s="13" t="s">
        <v>608</v>
      </c>
      <c r="B537" s="13" t="s">
        <v>607</v>
      </c>
      <c r="C537" s="13" t="s">
        <v>1423</v>
      </c>
      <c r="D537" s="13" t="s">
        <v>1454</v>
      </c>
      <c r="E537" s="13" t="s">
        <v>1461</v>
      </c>
      <c r="F537" s="13" t="s">
        <v>1466</v>
      </c>
      <c r="G537" s="63" t="n">
        <v>707291669</v>
      </c>
      <c r="H537" s="13" t="s">
        <v>1417</v>
      </c>
      <c r="I537" s="13" t="s">
        <v>1463</v>
      </c>
      <c r="J537" s="13" t="n">
        <v>83</v>
      </c>
      <c r="K537" s="13" t="s">
        <v>1458</v>
      </c>
      <c r="L537" s="13" t="s">
        <v>1426</v>
      </c>
      <c r="M537" s="13"/>
    </row>
    <row r="538" customFormat="false" ht="15" hidden="false" customHeight="false" outlineLevel="0" collapsed="false">
      <c r="A538" s="13" t="s">
        <v>608</v>
      </c>
      <c r="B538" s="13" t="s">
        <v>607</v>
      </c>
      <c r="C538" s="13" t="s">
        <v>1427</v>
      </c>
      <c r="D538" s="13" t="s">
        <v>1454</v>
      </c>
      <c r="E538" s="13" t="s">
        <v>1461</v>
      </c>
      <c r="F538" s="13" t="s">
        <v>1466</v>
      </c>
      <c r="G538" s="63" t="n">
        <v>606250000</v>
      </c>
      <c r="H538" s="13" t="s">
        <v>1417</v>
      </c>
      <c r="I538" s="13" t="s">
        <v>1463</v>
      </c>
      <c r="J538" s="13" t="n">
        <v>83</v>
      </c>
      <c r="K538" s="13" t="s">
        <v>1458</v>
      </c>
      <c r="L538" s="13" t="s">
        <v>1420</v>
      </c>
      <c r="M538" s="13"/>
    </row>
    <row r="539" customFormat="false" ht="15" hidden="false" customHeight="false" outlineLevel="0" collapsed="false">
      <c r="A539" s="13" t="s">
        <v>608</v>
      </c>
      <c r="B539" s="13" t="s">
        <v>607</v>
      </c>
      <c r="C539" s="13" t="s">
        <v>1423</v>
      </c>
      <c r="D539" s="13" t="s">
        <v>1454</v>
      </c>
      <c r="E539" s="13" t="s">
        <v>1461</v>
      </c>
      <c r="F539" s="13" t="s">
        <v>1467</v>
      </c>
      <c r="G539" s="63" t="n">
        <v>11812827466</v>
      </c>
      <c r="H539" s="13" t="s">
        <v>1417</v>
      </c>
      <c r="I539" s="13" t="s">
        <v>1463</v>
      </c>
      <c r="J539" s="13" t="n">
        <v>83</v>
      </c>
      <c r="K539" s="13" t="s">
        <v>1458</v>
      </c>
      <c r="L539" s="13" t="s">
        <v>1426</v>
      </c>
      <c r="M539" s="13"/>
    </row>
    <row r="540" customFormat="false" ht="15" hidden="false" customHeight="false" outlineLevel="0" collapsed="false">
      <c r="A540" s="13" t="s">
        <v>608</v>
      </c>
      <c r="B540" s="13" t="s">
        <v>607</v>
      </c>
      <c r="C540" s="13" t="s">
        <v>1427</v>
      </c>
      <c r="D540" s="13" t="s">
        <v>1454</v>
      </c>
      <c r="E540" s="13" t="s">
        <v>1461</v>
      </c>
      <c r="F540" s="13" t="s">
        <v>1467</v>
      </c>
      <c r="G540" s="63" t="n">
        <v>2398588758</v>
      </c>
      <c r="H540" s="13" t="s">
        <v>1417</v>
      </c>
      <c r="I540" s="13" t="s">
        <v>1463</v>
      </c>
      <c r="J540" s="13" t="n">
        <v>83</v>
      </c>
      <c r="K540" s="13" t="s">
        <v>1458</v>
      </c>
      <c r="L540" s="13" t="s">
        <v>1420</v>
      </c>
      <c r="M540" s="13"/>
    </row>
    <row r="541" customFormat="false" ht="15" hidden="false" customHeight="false" outlineLevel="0" collapsed="false">
      <c r="A541" s="13" t="s">
        <v>608</v>
      </c>
      <c r="B541" s="13" t="s">
        <v>607</v>
      </c>
      <c r="C541" s="13" t="s">
        <v>1416</v>
      </c>
      <c r="D541" s="13" t="s">
        <v>1454</v>
      </c>
      <c r="E541" s="13" t="s">
        <v>1461</v>
      </c>
      <c r="F541" s="13" t="s">
        <v>1468</v>
      </c>
      <c r="G541" s="63" t="n">
        <v>1883539295</v>
      </c>
      <c r="H541" s="13" t="s">
        <v>1417</v>
      </c>
      <c r="I541" s="13" t="s">
        <v>1463</v>
      </c>
      <c r="J541" s="13" t="n">
        <v>367</v>
      </c>
      <c r="K541" s="13" t="s">
        <v>1457</v>
      </c>
      <c r="L541" s="13" t="s">
        <v>1420</v>
      </c>
      <c r="M541" s="13"/>
    </row>
    <row r="542" customFormat="false" ht="15" hidden="false" customHeight="false" outlineLevel="0" collapsed="false">
      <c r="A542" s="13" t="s">
        <v>608</v>
      </c>
      <c r="B542" s="13" t="s">
        <v>607</v>
      </c>
      <c r="C542" s="13" t="s">
        <v>1421</v>
      </c>
      <c r="D542" s="13" t="s">
        <v>1454</v>
      </c>
      <c r="E542" s="13" t="s">
        <v>1461</v>
      </c>
      <c r="F542" s="13" t="s">
        <v>1468</v>
      </c>
      <c r="G542" s="63" t="n">
        <v>2281300964</v>
      </c>
      <c r="H542" s="13" t="s">
        <v>1417</v>
      </c>
      <c r="I542" s="13" t="s">
        <v>1463</v>
      </c>
      <c r="J542" s="13" t="n">
        <v>367</v>
      </c>
      <c r="K542" s="13" t="s">
        <v>1457</v>
      </c>
      <c r="L542" s="13" t="s">
        <v>1420</v>
      </c>
      <c r="M542" s="13"/>
    </row>
    <row r="543" customFormat="false" ht="15" hidden="false" customHeight="false" outlineLevel="0" collapsed="false">
      <c r="A543" s="13" t="s">
        <v>608</v>
      </c>
      <c r="B543" s="13" t="s">
        <v>607</v>
      </c>
      <c r="C543" s="13" t="s">
        <v>1423</v>
      </c>
      <c r="D543" s="13" t="s">
        <v>1454</v>
      </c>
      <c r="E543" s="13" t="s">
        <v>1461</v>
      </c>
      <c r="F543" s="13" t="s">
        <v>1468</v>
      </c>
      <c r="G543" s="63" t="n">
        <v>1618402664</v>
      </c>
      <c r="H543" s="13" t="s">
        <v>1417</v>
      </c>
      <c r="I543" s="13" t="s">
        <v>1463</v>
      </c>
      <c r="J543" s="13" t="n">
        <v>83</v>
      </c>
      <c r="K543" s="13" t="s">
        <v>1458</v>
      </c>
      <c r="L543" s="13" t="s">
        <v>1426</v>
      </c>
      <c r="M543" s="13"/>
    </row>
    <row r="544" customFormat="false" ht="15" hidden="false" customHeight="false" outlineLevel="0" collapsed="false">
      <c r="A544" s="13" t="s">
        <v>608</v>
      </c>
      <c r="B544" s="13" t="s">
        <v>607</v>
      </c>
      <c r="C544" s="13" t="s">
        <v>1427</v>
      </c>
      <c r="D544" s="13" t="s">
        <v>1454</v>
      </c>
      <c r="E544" s="13" t="s">
        <v>1461</v>
      </c>
      <c r="F544" s="13" t="s">
        <v>1468</v>
      </c>
      <c r="G544" s="63" t="n">
        <v>2680847994</v>
      </c>
      <c r="H544" s="13" t="s">
        <v>1417</v>
      </c>
      <c r="I544" s="13" t="s">
        <v>1463</v>
      </c>
      <c r="J544" s="13" t="n">
        <v>83</v>
      </c>
      <c r="K544" s="13" t="s">
        <v>1458</v>
      </c>
      <c r="L544" s="13" t="s">
        <v>1420</v>
      </c>
      <c r="M544" s="13"/>
    </row>
    <row r="545" customFormat="false" ht="15" hidden="false" customHeight="false" outlineLevel="0" collapsed="false">
      <c r="A545" s="13" t="s">
        <v>608</v>
      </c>
      <c r="B545" s="13" t="s">
        <v>607</v>
      </c>
      <c r="C545" s="13" t="s">
        <v>1416</v>
      </c>
      <c r="D545" s="13" t="s">
        <v>1454</v>
      </c>
      <c r="E545" s="13" t="s">
        <v>1461</v>
      </c>
      <c r="F545" s="13" t="s">
        <v>1469</v>
      </c>
      <c r="G545" s="63" t="n">
        <v>230063054</v>
      </c>
      <c r="H545" s="13" t="s">
        <v>1417</v>
      </c>
      <c r="I545" s="13" t="s">
        <v>1463</v>
      </c>
      <c r="J545" s="13" t="n">
        <v>367</v>
      </c>
      <c r="K545" s="13" t="s">
        <v>1457</v>
      </c>
      <c r="L545" s="13" t="s">
        <v>1420</v>
      </c>
      <c r="M545" s="13"/>
    </row>
    <row r="546" customFormat="false" ht="15" hidden="false" customHeight="false" outlineLevel="0" collapsed="false">
      <c r="A546" s="13" t="s">
        <v>608</v>
      </c>
      <c r="B546" s="13" t="s">
        <v>607</v>
      </c>
      <c r="C546" s="13" t="s">
        <v>1421</v>
      </c>
      <c r="D546" s="13" t="s">
        <v>1454</v>
      </c>
      <c r="E546" s="13" t="s">
        <v>1461</v>
      </c>
      <c r="F546" s="13" t="s">
        <v>1469</v>
      </c>
      <c r="G546" s="63" t="n">
        <v>626171992</v>
      </c>
      <c r="H546" s="13" t="s">
        <v>1417</v>
      </c>
      <c r="I546" s="13" t="s">
        <v>1463</v>
      </c>
      <c r="J546" s="13" t="n">
        <v>367</v>
      </c>
      <c r="K546" s="13" t="s">
        <v>1457</v>
      </c>
      <c r="L546" s="13" t="s">
        <v>1420</v>
      </c>
      <c r="M546" s="13"/>
    </row>
    <row r="547" customFormat="false" ht="15" hidden="false" customHeight="false" outlineLevel="0" collapsed="false">
      <c r="A547" s="13" t="s">
        <v>608</v>
      </c>
      <c r="B547" s="13" t="s">
        <v>607</v>
      </c>
      <c r="C547" s="13" t="s">
        <v>1423</v>
      </c>
      <c r="D547" s="13" t="s">
        <v>1454</v>
      </c>
      <c r="E547" s="13" t="s">
        <v>1461</v>
      </c>
      <c r="F547" s="13" t="s">
        <v>1469</v>
      </c>
      <c r="G547" s="63" t="n">
        <v>917366831</v>
      </c>
      <c r="H547" s="13" t="s">
        <v>1417</v>
      </c>
      <c r="I547" s="13" t="s">
        <v>1463</v>
      </c>
      <c r="J547" s="13" t="n">
        <v>83</v>
      </c>
      <c r="K547" s="13" t="s">
        <v>1458</v>
      </c>
      <c r="L547" s="13" t="s">
        <v>1426</v>
      </c>
      <c r="M547" s="13"/>
    </row>
    <row r="548" customFormat="false" ht="15" hidden="false" customHeight="false" outlineLevel="0" collapsed="false">
      <c r="A548" s="13" t="s">
        <v>608</v>
      </c>
      <c r="B548" s="13" t="s">
        <v>607</v>
      </c>
      <c r="C548" s="13" t="s">
        <v>1427</v>
      </c>
      <c r="D548" s="13" t="s">
        <v>1454</v>
      </c>
      <c r="E548" s="13" t="s">
        <v>1461</v>
      </c>
      <c r="F548" s="13" t="s">
        <v>1469</v>
      </c>
      <c r="G548" s="63" t="n">
        <v>1089875422</v>
      </c>
      <c r="H548" s="13" t="s">
        <v>1417</v>
      </c>
      <c r="I548" s="13" t="s">
        <v>1463</v>
      </c>
      <c r="J548" s="13" t="n">
        <v>83</v>
      </c>
      <c r="K548" s="13" t="s">
        <v>1458</v>
      </c>
      <c r="L548" s="13" t="s">
        <v>1420</v>
      </c>
      <c r="M548" s="13"/>
    </row>
    <row r="549" customFormat="false" ht="15" hidden="false" customHeight="false" outlineLevel="0" collapsed="false">
      <c r="A549" s="13" t="s">
        <v>608</v>
      </c>
      <c r="B549" s="13" t="s">
        <v>607</v>
      </c>
      <c r="C549" s="13" t="s">
        <v>1423</v>
      </c>
      <c r="D549" s="13" t="s">
        <v>1454</v>
      </c>
      <c r="E549" s="13" t="s">
        <v>1461</v>
      </c>
      <c r="F549" s="13" t="s">
        <v>333</v>
      </c>
      <c r="G549" s="63" t="n">
        <v>3187994515</v>
      </c>
      <c r="H549" s="13" t="s">
        <v>1417</v>
      </c>
      <c r="I549" s="13" t="s">
        <v>1463</v>
      </c>
      <c r="J549" s="13" t="n">
        <v>83</v>
      </c>
      <c r="K549" s="13" t="s">
        <v>1458</v>
      </c>
      <c r="L549" s="13" t="s">
        <v>1426</v>
      </c>
      <c r="M549" s="13"/>
    </row>
    <row r="550" customFormat="false" ht="15" hidden="false" customHeight="false" outlineLevel="0" collapsed="false">
      <c r="A550" s="13" t="s">
        <v>608</v>
      </c>
      <c r="B550" s="13" t="s">
        <v>607</v>
      </c>
      <c r="C550" s="13" t="s">
        <v>1427</v>
      </c>
      <c r="D550" s="13" t="s">
        <v>1454</v>
      </c>
      <c r="E550" s="13" t="s">
        <v>1461</v>
      </c>
      <c r="F550" s="13" t="s">
        <v>333</v>
      </c>
      <c r="G550" s="63" t="n">
        <v>1672912728</v>
      </c>
      <c r="H550" s="13" t="s">
        <v>1417</v>
      </c>
      <c r="I550" s="13" t="s">
        <v>1463</v>
      </c>
      <c r="J550" s="13" t="n">
        <v>83</v>
      </c>
      <c r="K550" s="13" t="s">
        <v>1458</v>
      </c>
      <c r="L550" s="13" t="s">
        <v>1420</v>
      </c>
      <c r="M550" s="13"/>
    </row>
    <row r="551" customFormat="false" ht="15" hidden="false" customHeight="false" outlineLevel="0" collapsed="false">
      <c r="A551" s="13" t="s">
        <v>608</v>
      </c>
      <c r="B551" s="13" t="s">
        <v>607</v>
      </c>
      <c r="C551" s="13" t="s">
        <v>1416</v>
      </c>
      <c r="D551" s="13" t="s">
        <v>1454</v>
      </c>
      <c r="E551" s="13" t="s">
        <v>1461</v>
      </c>
      <c r="F551" s="13" t="s">
        <v>1470</v>
      </c>
      <c r="G551" s="63" t="n">
        <v>979911350</v>
      </c>
      <c r="H551" s="13" t="s">
        <v>1417</v>
      </c>
      <c r="I551" s="13" t="s">
        <v>1463</v>
      </c>
      <c r="J551" s="13" t="n">
        <v>367</v>
      </c>
      <c r="K551" s="13" t="s">
        <v>1457</v>
      </c>
      <c r="L551" s="13" t="s">
        <v>1420</v>
      </c>
      <c r="M551" s="13"/>
    </row>
    <row r="552" customFormat="false" ht="15" hidden="false" customHeight="false" outlineLevel="0" collapsed="false">
      <c r="A552" s="13" t="s">
        <v>608</v>
      </c>
      <c r="B552" s="13" t="s">
        <v>607</v>
      </c>
      <c r="C552" s="13" t="s">
        <v>1421</v>
      </c>
      <c r="D552" s="13" t="s">
        <v>1454</v>
      </c>
      <c r="E552" s="13" t="s">
        <v>1461</v>
      </c>
      <c r="F552" s="13" t="s">
        <v>1470</v>
      </c>
      <c r="G552" s="63" t="n">
        <v>1090431600</v>
      </c>
      <c r="H552" s="13" t="s">
        <v>1417</v>
      </c>
      <c r="I552" s="13" t="s">
        <v>1463</v>
      </c>
      <c r="J552" s="13" t="n">
        <v>367</v>
      </c>
      <c r="K552" s="13" t="s">
        <v>1457</v>
      </c>
      <c r="L552" s="13" t="s">
        <v>1420</v>
      </c>
      <c r="M552" s="13"/>
    </row>
    <row r="553" customFormat="false" ht="15" hidden="false" customHeight="false" outlineLevel="0" collapsed="false">
      <c r="A553" s="13" t="s">
        <v>608</v>
      </c>
      <c r="B553" s="13" t="s">
        <v>607</v>
      </c>
      <c r="C553" s="13" t="s">
        <v>1423</v>
      </c>
      <c r="D553" s="13" t="s">
        <v>1454</v>
      </c>
      <c r="E553" s="13" t="s">
        <v>1461</v>
      </c>
      <c r="F553" s="13" t="s">
        <v>1470</v>
      </c>
      <c r="G553" s="63" t="n">
        <v>505050750</v>
      </c>
      <c r="H553" s="13" t="s">
        <v>1417</v>
      </c>
      <c r="I553" s="13" t="s">
        <v>1463</v>
      </c>
      <c r="J553" s="13" t="n">
        <v>83</v>
      </c>
      <c r="K553" s="13" t="s">
        <v>1458</v>
      </c>
      <c r="L553" s="13" t="s">
        <v>1426</v>
      </c>
      <c r="M553" s="13"/>
    </row>
    <row r="554" customFormat="false" ht="15" hidden="false" customHeight="false" outlineLevel="0" collapsed="false">
      <c r="A554" s="13" t="s">
        <v>608</v>
      </c>
      <c r="B554" s="13" t="s">
        <v>607</v>
      </c>
      <c r="C554" s="13" t="s">
        <v>1427</v>
      </c>
      <c r="D554" s="13" t="s">
        <v>1454</v>
      </c>
      <c r="E554" s="13" t="s">
        <v>1461</v>
      </c>
      <c r="F554" s="13" t="s">
        <v>1470</v>
      </c>
      <c r="G554" s="63" t="n">
        <v>1641932300</v>
      </c>
      <c r="H554" s="13" t="s">
        <v>1417</v>
      </c>
      <c r="I554" s="13" t="s">
        <v>1463</v>
      </c>
      <c r="J554" s="13" t="n">
        <v>83</v>
      </c>
      <c r="K554" s="13" t="s">
        <v>1458</v>
      </c>
      <c r="L554" s="13" t="s">
        <v>1420</v>
      </c>
      <c r="M554" s="13"/>
    </row>
    <row r="555" customFormat="false" ht="15" hidden="false" customHeight="false" outlineLevel="0" collapsed="false">
      <c r="A555" s="13" t="s">
        <v>608</v>
      </c>
      <c r="B555" s="13" t="s">
        <v>607</v>
      </c>
      <c r="C555" s="13" t="s">
        <v>1416</v>
      </c>
      <c r="D555" s="13" t="s">
        <v>1454</v>
      </c>
      <c r="E555" s="13" t="s">
        <v>1461</v>
      </c>
      <c r="F555" s="13" t="s">
        <v>1471</v>
      </c>
      <c r="G555" s="63" t="n">
        <v>354241470</v>
      </c>
      <c r="H555" s="13" t="s">
        <v>1417</v>
      </c>
      <c r="I555" s="13" t="s">
        <v>1463</v>
      </c>
      <c r="J555" s="13" t="n">
        <v>367</v>
      </c>
      <c r="K555" s="13" t="s">
        <v>1457</v>
      </c>
      <c r="L555" s="13" t="s">
        <v>1420</v>
      </c>
      <c r="M555" s="13"/>
    </row>
    <row r="556" customFormat="false" ht="15" hidden="false" customHeight="false" outlineLevel="0" collapsed="false">
      <c r="A556" s="13" t="s">
        <v>608</v>
      </c>
      <c r="B556" s="13" t="s">
        <v>607</v>
      </c>
      <c r="C556" s="13" t="s">
        <v>1421</v>
      </c>
      <c r="D556" s="13" t="s">
        <v>1454</v>
      </c>
      <c r="E556" s="13" t="s">
        <v>1461</v>
      </c>
      <c r="F556" s="13" t="s">
        <v>1471</v>
      </c>
      <c r="G556" s="63" t="n">
        <v>458820820</v>
      </c>
      <c r="H556" s="13" t="s">
        <v>1417</v>
      </c>
      <c r="I556" s="13" t="s">
        <v>1463</v>
      </c>
      <c r="J556" s="13" t="n">
        <v>367</v>
      </c>
      <c r="K556" s="13" t="s">
        <v>1457</v>
      </c>
      <c r="L556" s="13" t="s">
        <v>1420</v>
      </c>
      <c r="M556" s="13"/>
    </row>
    <row r="557" customFormat="false" ht="15" hidden="false" customHeight="false" outlineLevel="0" collapsed="false">
      <c r="A557" s="13" t="s">
        <v>608</v>
      </c>
      <c r="B557" s="13" t="s">
        <v>607</v>
      </c>
      <c r="C557" s="13" t="s">
        <v>1423</v>
      </c>
      <c r="D557" s="13" t="s">
        <v>1454</v>
      </c>
      <c r="E557" s="13" t="s">
        <v>1461</v>
      </c>
      <c r="F557" s="13" t="s">
        <v>1471</v>
      </c>
      <c r="G557" s="63" t="n">
        <v>686478195</v>
      </c>
      <c r="H557" s="13" t="s">
        <v>1417</v>
      </c>
      <c r="I557" s="13" t="s">
        <v>1463</v>
      </c>
      <c r="J557" s="13" t="n">
        <v>83</v>
      </c>
      <c r="K557" s="13" t="s">
        <v>1458</v>
      </c>
      <c r="L557" s="13" t="s">
        <v>1426</v>
      </c>
      <c r="M557" s="13"/>
    </row>
    <row r="558" customFormat="false" ht="15" hidden="false" customHeight="false" outlineLevel="0" collapsed="false">
      <c r="A558" s="13" t="s">
        <v>608</v>
      </c>
      <c r="B558" s="13" t="s">
        <v>607</v>
      </c>
      <c r="C558" s="13" t="s">
        <v>1427</v>
      </c>
      <c r="D558" s="13" t="s">
        <v>1454</v>
      </c>
      <c r="E558" s="13" t="s">
        <v>1461</v>
      </c>
      <c r="F558" s="13" t="s">
        <v>1471</v>
      </c>
      <c r="G558" s="63" t="n">
        <v>1407238790</v>
      </c>
      <c r="H558" s="13" t="s">
        <v>1417</v>
      </c>
      <c r="I558" s="13" t="s">
        <v>1463</v>
      </c>
      <c r="J558" s="13" t="n">
        <v>83</v>
      </c>
      <c r="K558" s="13" t="s">
        <v>1458</v>
      </c>
      <c r="L558" s="13" t="s">
        <v>1420</v>
      </c>
      <c r="M558" s="13"/>
    </row>
    <row r="559" customFormat="false" ht="15" hidden="false" customHeight="false" outlineLevel="0" collapsed="false">
      <c r="A559" s="13" t="s">
        <v>608</v>
      </c>
      <c r="B559" s="13" t="s">
        <v>607</v>
      </c>
      <c r="C559" s="13" t="s">
        <v>1416</v>
      </c>
      <c r="D559" s="13" t="s">
        <v>1454</v>
      </c>
      <c r="E559" s="13" t="s">
        <v>1461</v>
      </c>
      <c r="F559" s="13" t="s">
        <v>1472</v>
      </c>
      <c r="G559" s="63" t="n">
        <v>555306373</v>
      </c>
      <c r="H559" s="13" t="s">
        <v>1417</v>
      </c>
      <c r="I559" s="13" t="s">
        <v>1463</v>
      </c>
      <c r="J559" s="13" t="n">
        <v>367</v>
      </c>
      <c r="K559" s="13" t="s">
        <v>1457</v>
      </c>
      <c r="L559" s="13" t="s">
        <v>1420</v>
      </c>
      <c r="M559" s="13"/>
    </row>
    <row r="560" customFormat="false" ht="15" hidden="false" customHeight="false" outlineLevel="0" collapsed="false">
      <c r="A560" s="13" t="s">
        <v>608</v>
      </c>
      <c r="B560" s="13" t="s">
        <v>607</v>
      </c>
      <c r="C560" s="13" t="s">
        <v>1421</v>
      </c>
      <c r="D560" s="13" t="s">
        <v>1454</v>
      </c>
      <c r="E560" s="13" t="s">
        <v>1461</v>
      </c>
      <c r="F560" s="13" t="s">
        <v>1472</v>
      </c>
      <c r="G560" s="63" t="n">
        <v>1023304167</v>
      </c>
      <c r="H560" s="13" t="s">
        <v>1417</v>
      </c>
      <c r="I560" s="13" t="s">
        <v>1463</v>
      </c>
      <c r="J560" s="13" t="n">
        <v>367</v>
      </c>
      <c r="K560" s="13" t="s">
        <v>1457</v>
      </c>
      <c r="L560" s="13" t="s">
        <v>1420</v>
      </c>
      <c r="M560" s="13"/>
    </row>
    <row r="561" customFormat="false" ht="15" hidden="false" customHeight="false" outlineLevel="0" collapsed="false">
      <c r="A561" s="13" t="s">
        <v>608</v>
      </c>
      <c r="B561" s="13" t="s">
        <v>607</v>
      </c>
      <c r="C561" s="13" t="s">
        <v>1423</v>
      </c>
      <c r="D561" s="13" t="s">
        <v>1454</v>
      </c>
      <c r="E561" s="13" t="s">
        <v>1461</v>
      </c>
      <c r="F561" s="13" t="s">
        <v>1472</v>
      </c>
      <c r="G561" s="63" t="n">
        <v>381321330</v>
      </c>
      <c r="H561" s="13" t="s">
        <v>1417</v>
      </c>
      <c r="I561" s="13" t="s">
        <v>1463</v>
      </c>
      <c r="J561" s="13" t="n">
        <v>83</v>
      </c>
      <c r="K561" s="13" t="s">
        <v>1458</v>
      </c>
      <c r="L561" s="13" t="s">
        <v>1426</v>
      </c>
      <c r="M561" s="13"/>
    </row>
    <row r="562" customFormat="false" ht="15" hidden="false" customHeight="false" outlineLevel="0" collapsed="false">
      <c r="A562" s="13" t="s">
        <v>608</v>
      </c>
      <c r="B562" s="13" t="s">
        <v>607</v>
      </c>
      <c r="C562" s="13" t="s">
        <v>1427</v>
      </c>
      <c r="D562" s="13" t="s">
        <v>1454</v>
      </c>
      <c r="E562" s="13" t="s">
        <v>1461</v>
      </c>
      <c r="F562" s="13" t="s">
        <v>1472</v>
      </c>
      <c r="G562" s="63" t="n">
        <v>1031777229</v>
      </c>
      <c r="H562" s="13" t="s">
        <v>1417</v>
      </c>
      <c r="I562" s="13" t="s">
        <v>1463</v>
      </c>
      <c r="J562" s="13" t="n">
        <v>83</v>
      </c>
      <c r="K562" s="13" t="s">
        <v>1458</v>
      </c>
      <c r="L562" s="13" t="s">
        <v>1420</v>
      </c>
      <c r="M562" s="13"/>
    </row>
    <row r="563" customFormat="false" ht="15" hidden="false" customHeight="false" outlineLevel="0" collapsed="false">
      <c r="A563" s="13" t="s">
        <v>608</v>
      </c>
      <c r="B563" s="13" t="s">
        <v>607</v>
      </c>
      <c r="C563" s="13" t="s">
        <v>1416</v>
      </c>
      <c r="D563" s="13" t="s">
        <v>1454</v>
      </c>
      <c r="E563" s="13" t="s">
        <v>1461</v>
      </c>
      <c r="F563" s="13" t="s">
        <v>1473</v>
      </c>
      <c r="G563" s="63" t="n">
        <v>2232988784</v>
      </c>
      <c r="H563" s="13" t="s">
        <v>1417</v>
      </c>
      <c r="I563" s="13" t="s">
        <v>1463</v>
      </c>
      <c r="J563" s="13" t="n">
        <v>367</v>
      </c>
      <c r="K563" s="13" t="s">
        <v>1457</v>
      </c>
      <c r="L563" s="13" t="s">
        <v>1420</v>
      </c>
      <c r="M563" s="13"/>
    </row>
    <row r="564" customFormat="false" ht="15" hidden="false" customHeight="false" outlineLevel="0" collapsed="false">
      <c r="A564" s="13" t="s">
        <v>608</v>
      </c>
      <c r="B564" s="13" t="s">
        <v>607</v>
      </c>
      <c r="C564" s="13" t="s">
        <v>1421</v>
      </c>
      <c r="D564" s="13" t="s">
        <v>1454</v>
      </c>
      <c r="E564" s="13" t="s">
        <v>1461</v>
      </c>
      <c r="F564" s="13" t="s">
        <v>1473</v>
      </c>
      <c r="G564" s="63" t="n">
        <v>2611123706</v>
      </c>
      <c r="H564" s="13" t="s">
        <v>1417</v>
      </c>
      <c r="I564" s="13" t="s">
        <v>1463</v>
      </c>
      <c r="J564" s="13" t="n">
        <v>367</v>
      </c>
      <c r="K564" s="13" t="s">
        <v>1457</v>
      </c>
      <c r="L564" s="13" t="s">
        <v>1420</v>
      </c>
      <c r="M564" s="13"/>
    </row>
    <row r="565" customFormat="false" ht="15" hidden="false" customHeight="false" outlineLevel="0" collapsed="false">
      <c r="A565" s="13" t="s">
        <v>608</v>
      </c>
      <c r="B565" s="13" t="s">
        <v>607</v>
      </c>
      <c r="C565" s="13" t="s">
        <v>1423</v>
      </c>
      <c r="D565" s="13" t="s">
        <v>1454</v>
      </c>
      <c r="E565" s="13" t="s">
        <v>1461</v>
      </c>
      <c r="F565" s="13" t="s">
        <v>1473</v>
      </c>
      <c r="G565" s="63" t="n">
        <v>226383655</v>
      </c>
      <c r="H565" s="13" t="s">
        <v>1417</v>
      </c>
      <c r="I565" s="13" t="s">
        <v>1463</v>
      </c>
      <c r="J565" s="13" t="n">
        <v>83</v>
      </c>
      <c r="K565" s="13" t="s">
        <v>1458</v>
      </c>
      <c r="L565" s="13" t="s">
        <v>1426</v>
      </c>
      <c r="M565" s="13"/>
    </row>
    <row r="566" customFormat="false" ht="15" hidden="false" customHeight="false" outlineLevel="0" collapsed="false">
      <c r="A566" s="13" t="s">
        <v>608</v>
      </c>
      <c r="B566" s="13" t="s">
        <v>607</v>
      </c>
      <c r="C566" s="13" t="s">
        <v>1427</v>
      </c>
      <c r="D566" s="13" t="s">
        <v>1454</v>
      </c>
      <c r="E566" s="13" t="s">
        <v>1461</v>
      </c>
      <c r="F566" s="13" t="s">
        <v>1473</v>
      </c>
      <c r="G566" s="63" t="n">
        <v>336596794</v>
      </c>
      <c r="H566" s="13" t="s">
        <v>1417</v>
      </c>
      <c r="I566" s="13" t="s">
        <v>1463</v>
      </c>
      <c r="J566" s="13" t="n">
        <v>83</v>
      </c>
      <c r="K566" s="13" t="s">
        <v>1458</v>
      </c>
      <c r="L566" s="13" t="s">
        <v>1420</v>
      </c>
      <c r="M566" s="13"/>
    </row>
    <row r="567" customFormat="false" ht="15" hidden="false" customHeight="false" outlineLevel="0" collapsed="false">
      <c r="A567" s="13" t="s">
        <v>608</v>
      </c>
      <c r="B567" s="13" t="s">
        <v>607</v>
      </c>
      <c r="C567" s="13" t="s">
        <v>1416</v>
      </c>
      <c r="D567" s="13" t="s">
        <v>1454</v>
      </c>
      <c r="E567" s="13" t="s">
        <v>1461</v>
      </c>
      <c r="F567" s="13" t="s">
        <v>1460</v>
      </c>
      <c r="G567" s="63" t="n">
        <v>67593755280</v>
      </c>
      <c r="H567" s="13" t="s">
        <v>1417</v>
      </c>
      <c r="I567" s="13" t="s">
        <v>1463</v>
      </c>
      <c r="J567" s="13" t="n">
        <v>367</v>
      </c>
      <c r="K567" s="13" t="s">
        <v>1457</v>
      </c>
      <c r="L567" s="13" t="s">
        <v>1420</v>
      </c>
      <c r="M567" s="13"/>
    </row>
    <row r="568" customFormat="false" ht="15" hidden="false" customHeight="false" outlineLevel="0" collapsed="false">
      <c r="A568" s="13" t="s">
        <v>608</v>
      </c>
      <c r="B568" s="13" t="s">
        <v>607</v>
      </c>
      <c r="C568" s="13" t="s">
        <v>1421</v>
      </c>
      <c r="D568" s="13" t="s">
        <v>1454</v>
      </c>
      <c r="E568" s="13" t="s">
        <v>1461</v>
      </c>
      <c r="F568" s="13" t="s">
        <v>1460</v>
      </c>
      <c r="G568" s="63" t="n">
        <v>89574415546</v>
      </c>
      <c r="H568" s="13" t="s">
        <v>1417</v>
      </c>
      <c r="I568" s="13" t="s">
        <v>1463</v>
      </c>
      <c r="J568" s="13" t="n">
        <v>367</v>
      </c>
      <c r="K568" s="13" t="s">
        <v>1457</v>
      </c>
      <c r="L568" s="13" t="s">
        <v>1420</v>
      </c>
      <c r="M568" s="13"/>
    </row>
    <row r="569" customFormat="false" ht="15" hidden="false" customHeight="false" outlineLevel="0" collapsed="false">
      <c r="A569" s="13" t="s">
        <v>608</v>
      </c>
      <c r="B569" s="13" t="s">
        <v>607</v>
      </c>
      <c r="C569" s="13" t="s">
        <v>1423</v>
      </c>
      <c r="D569" s="13" t="s">
        <v>1454</v>
      </c>
      <c r="E569" s="13" t="s">
        <v>1461</v>
      </c>
      <c r="F569" s="13" t="s">
        <v>1460</v>
      </c>
      <c r="G569" s="63" t="n">
        <v>104806476450</v>
      </c>
      <c r="H569" s="13" t="s">
        <v>1417</v>
      </c>
      <c r="I569" s="13" t="s">
        <v>1463</v>
      </c>
      <c r="J569" s="13" t="n">
        <v>83</v>
      </c>
      <c r="K569" s="13" t="s">
        <v>1458</v>
      </c>
      <c r="L569" s="13" t="s">
        <v>1426</v>
      </c>
      <c r="M569" s="13"/>
    </row>
    <row r="570" customFormat="false" ht="15" hidden="false" customHeight="false" outlineLevel="0" collapsed="false">
      <c r="A570" s="13" t="s">
        <v>608</v>
      </c>
      <c r="B570" s="13" t="s">
        <v>607</v>
      </c>
      <c r="C570" s="13" t="s">
        <v>1427</v>
      </c>
      <c r="D570" s="13" t="s">
        <v>1454</v>
      </c>
      <c r="E570" s="13" t="s">
        <v>1461</v>
      </c>
      <c r="F570" s="13" t="s">
        <v>1460</v>
      </c>
      <c r="G570" s="63" t="n">
        <v>110732463969</v>
      </c>
      <c r="H570" s="13" t="s">
        <v>1417</v>
      </c>
      <c r="I570" s="13" t="s">
        <v>1463</v>
      </c>
      <c r="J570" s="13" t="n">
        <v>83</v>
      </c>
      <c r="K570" s="13" t="s">
        <v>1458</v>
      </c>
      <c r="L570" s="13" t="s">
        <v>1420</v>
      </c>
      <c r="M570" s="13"/>
    </row>
    <row r="571" customFormat="false" ht="15" hidden="false" customHeight="false" outlineLevel="0" collapsed="false">
      <c r="A571" s="13" t="s">
        <v>608</v>
      </c>
      <c r="B571" s="13" t="s">
        <v>607</v>
      </c>
      <c r="C571" s="13" t="s">
        <v>1416</v>
      </c>
      <c r="D571" s="13" t="s">
        <v>1454</v>
      </c>
      <c r="E571" s="13" t="s">
        <v>1474</v>
      </c>
      <c r="F571" s="13" t="s">
        <v>1475</v>
      </c>
      <c r="G571" s="63" t="n">
        <v>692431321</v>
      </c>
      <c r="H571" s="13" t="s">
        <v>1417</v>
      </c>
      <c r="I571" s="13" t="s">
        <v>1476</v>
      </c>
      <c r="J571" s="13" t="n">
        <v>368</v>
      </c>
      <c r="K571" s="13" t="s">
        <v>1457</v>
      </c>
      <c r="L571" s="13" t="s">
        <v>1420</v>
      </c>
      <c r="M571" s="13"/>
    </row>
    <row r="572" customFormat="false" ht="15" hidden="false" customHeight="false" outlineLevel="0" collapsed="false">
      <c r="A572" s="13" t="s">
        <v>608</v>
      </c>
      <c r="B572" s="13" t="s">
        <v>607</v>
      </c>
      <c r="C572" s="13" t="s">
        <v>1421</v>
      </c>
      <c r="D572" s="13" t="s">
        <v>1454</v>
      </c>
      <c r="E572" s="13" t="s">
        <v>1474</v>
      </c>
      <c r="F572" s="13" t="s">
        <v>1475</v>
      </c>
      <c r="G572" s="63" t="n">
        <v>2861277353</v>
      </c>
      <c r="H572" s="13" t="s">
        <v>1417</v>
      </c>
      <c r="I572" s="13" t="s">
        <v>1476</v>
      </c>
      <c r="J572" s="13" t="n">
        <v>368</v>
      </c>
      <c r="K572" s="13" t="s">
        <v>1457</v>
      </c>
      <c r="L572" s="13" t="s">
        <v>1420</v>
      </c>
      <c r="M572" s="13"/>
    </row>
    <row r="573" customFormat="false" ht="15" hidden="false" customHeight="false" outlineLevel="0" collapsed="false">
      <c r="A573" s="13" t="s">
        <v>608</v>
      </c>
      <c r="B573" s="13" t="s">
        <v>607</v>
      </c>
      <c r="C573" s="13" t="s">
        <v>1423</v>
      </c>
      <c r="D573" s="13" t="s">
        <v>1454</v>
      </c>
      <c r="E573" s="13" t="s">
        <v>1474</v>
      </c>
      <c r="F573" s="13" t="s">
        <v>1475</v>
      </c>
      <c r="G573" s="63" t="n">
        <v>3319996186</v>
      </c>
      <c r="H573" s="13" t="s">
        <v>1417</v>
      </c>
      <c r="I573" s="13" t="s">
        <v>1476</v>
      </c>
      <c r="J573" s="13" t="n">
        <v>84</v>
      </c>
      <c r="K573" s="13" t="s">
        <v>1458</v>
      </c>
      <c r="L573" s="13" t="s">
        <v>1426</v>
      </c>
      <c r="M573" s="13"/>
    </row>
    <row r="574" customFormat="false" ht="15" hidden="false" customHeight="false" outlineLevel="0" collapsed="false">
      <c r="A574" s="13" t="s">
        <v>608</v>
      </c>
      <c r="B574" s="13" t="s">
        <v>607</v>
      </c>
      <c r="C574" s="13" t="s">
        <v>1427</v>
      </c>
      <c r="D574" s="13" t="s">
        <v>1454</v>
      </c>
      <c r="E574" s="13" t="s">
        <v>1474</v>
      </c>
      <c r="F574" s="13" t="s">
        <v>1475</v>
      </c>
      <c r="G574" s="63" t="n">
        <v>1925473993</v>
      </c>
      <c r="H574" s="13" t="s">
        <v>1417</v>
      </c>
      <c r="I574" s="13" t="s">
        <v>1476</v>
      </c>
      <c r="J574" s="13" t="n">
        <v>84</v>
      </c>
      <c r="K574" s="13" t="s">
        <v>1458</v>
      </c>
      <c r="L574" s="13" t="s">
        <v>1420</v>
      </c>
      <c r="M574" s="13"/>
    </row>
    <row r="575" customFormat="false" ht="15" hidden="false" customHeight="false" outlineLevel="0" collapsed="false">
      <c r="A575" s="13" t="s">
        <v>608</v>
      </c>
      <c r="B575" s="13" t="s">
        <v>607</v>
      </c>
      <c r="C575" s="13" t="s">
        <v>1416</v>
      </c>
      <c r="D575" s="13" t="s">
        <v>1454</v>
      </c>
      <c r="E575" s="13" t="s">
        <v>1474</v>
      </c>
      <c r="F575" s="13" t="s">
        <v>1477</v>
      </c>
      <c r="G575" s="63" t="n">
        <v>282465032</v>
      </c>
      <c r="H575" s="13" t="s">
        <v>1417</v>
      </c>
      <c r="I575" s="13" t="s">
        <v>1476</v>
      </c>
      <c r="J575" s="13" t="n">
        <v>368</v>
      </c>
      <c r="K575" s="13" t="s">
        <v>1457</v>
      </c>
      <c r="L575" s="13" t="s">
        <v>1420</v>
      </c>
      <c r="M575" s="13"/>
    </row>
    <row r="576" customFormat="false" ht="15" hidden="false" customHeight="false" outlineLevel="0" collapsed="false">
      <c r="A576" s="13" t="s">
        <v>608</v>
      </c>
      <c r="B576" s="13" t="s">
        <v>607</v>
      </c>
      <c r="C576" s="13" t="s">
        <v>1421</v>
      </c>
      <c r="D576" s="13" t="s">
        <v>1454</v>
      </c>
      <c r="E576" s="13" t="s">
        <v>1474</v>
      </c>
      <c r="F576" s="13" t="s">
        <v>1477</v>
      </c>
      <c r="G576" s="63" t="n">
        <v>322528578</v>
      </c>
      <c r="H576" s="13" t="s">
        <v>1417</v>
      </c>
      <c r="I576" s="13" t="s">
        <v>1476</v>
      </c>
      <c r="J576" s="13" t="n">
        <v>368</v>
      </c>
      <c r="K576" s="13" t="s">
        <v>1457</v>
      </c>
      <c r="L576" s="13" t="s">
        <v>1420</v>
      </c>
      <c r="M576" s="13"/>
    </row>
    <row r="577" customFormat="false" ht="15" hidden="false" customHeight="false" outlineLevel="0" collapsed="false">
      <c r="A577" s="13" t="s">
        <v>608</v>
      </c>
      <c r="B577" s="13" t="s">
        <v>607</v>
      </c>
      <c r="C577" s="13" t="s">
        <v>1423</v>
      </c>
      <c r="D577" s="13" t="s">
        <v>1454</v>
      </c>
      <c r="E577" s="13" t="s">
        <v>1474</v>
      </c>
      <c r="F577" s="13" t="s">
        <v>1477</v>
      </c>
      <c r="G577" s="63" t="n">
        <v>741963107</v>
      </c>
      <c r="H577" s="13" t="s">
        <v>1417</v>
      </c>
      <c r="I577" s="13" t="s">
        <v>1476</v>
      </c>
      <c r="J577" s="13" t="n">
        <v>84</v>
      </c>
      <c r="K577" s="13" t="s">
        <v>1458</v>
      </c>
      <c r="L577" s="13" t="s">
        <v>1426</v>
      </c>
      <c r="M577" s="13"/>
    </row>
    <row r="578" customFormat="false" ht="15" hidden="false" customHeight="false" outlineLevel="0" collapsed="false">
      <c r="A578" s="13" t="s">
        <v>608</v>
      </c>
      <c r="B578" s="13" t="s">
        <v>607</v>
      </c>
      <c r="C578" s="13" t="s">
        <v>1427</v>
      </c>
      <c r="D578" s="13" t="s">
        <v>1454</v>
      </c>
      <c r="E578" s="13" t="s">
        <v>1474</v>
      </c>
      <c r="F578" s="13" t="s">
        <v>1477</v>
      </c>
      <c r="G578" s="63" t="n">
        <v>857811457</v>
      </c>
      <c r="H578" s="13" t="s">
        <v>1417</v>
      </c>
      <c r="I578" s="13" t="s">
        <v>1476</v>
      </c>
      <c r="J578" s="13" t="n">
        <v>84</v>
      </c>
      <c r="K578" s="13" t="s">
        <v>1458</v>
      </c>
      <c r="L578" s="13" t="s">
        <v>1420</v>
      </c>
      <c r="M578" s="13"/>
    </row>
    <row r="579" customFormat="false" ht="15" hidden="false" customHeight="false" outlineLevel="0" collapsed="false">
      <c r="A579" s="13" t="s">
        <v>608</v>
      </c>
      <c r="B579" s="13" t="s">
        <v>607</v>
      </c>
      <c r="C579" s="13" t="s">
        <v>1416</v>
      </c>
      <c r="D579" s="13" t="s">
        <v>1454</v>
      </c>
      <c r="E579" s="13" t="s">
        <v>1474</v>
      </c>
      <c r="F579" s="13" t="s">
        <v>1460</v>
      </c>
      <c r="G579" s="63" t="n">
        <v>974896353</v>
      </c>
      <c r="H579" s="13" t="s">
        <v>1417</v>
      </c>
      <c r="I579" s="13" t="s">
        <v>1476</v>
      </c>
      <c r="J579" s="13" t="n">
        <v>368</v>
      </c>
      <c r="K579" s="13" t="s">
        <v>1457</v>
      </c>
      <c r="L579" s="13" t="s">
        <v>1420</v>
      </c>
      <c r="M579" s="13"/>
    </row>
    <row r="580" customFormat="false" ht="15" hidden="false" customHeight="false" outlineLevel="0" collapsed="false">
      <c r="A580" s="13" t="s">
        <v>608</v>
      </c>
      <c r="B580" s="13" t="s">
        <v>607</v>
      </c>
      <c r="C580" s="13" t="s">
        <v>1421</v>
      </c>
      <c r="D580" s="13" t="s">
        <v>1454</v>
      </c>
      <c r="E580" s="13" t="s">
        <v>1474</v>
      </c>
      <c r="F580" s="13" t="s">
        <v>1460</v>
      </c>
      <c r="G580" s="63" t="n">
        <v>3183805931</v>
      </c>
      <c r="H580" s="13" t="s">
        <v>1417</v>
      </c>
      <c r="I580" s="13" t="s">
        <v>1476</v>
      </c>
      <c r="J580" s="13" t="n">
        <v>368</v>
      </c>
      <c r="K580" s="13" t="s">
        <v>1457</v>
      </c>
      <c r="L580" s="13" t="s">
        <v>1420</v>
      </c>
      <c r="M580" s="13"/>
    </row>
    <row r="581" customFormat="false" ht="15" hidden="false" customHeight="false" outlineLevel="0" collapsed="false">
      <c r="A581" s="13" t="s">
        <v>608</v>
      </c>
      <c r="B581" s="13" t="s">
        <v>607</v>
      </c>
      <c r="C581" s="13" t="s">
        <v>1423</v>
      </c>
      <c r="D581" s="13" t="s">
        <v>1454</v>
      </c>
      <c r="E581" s="13" t="s">
        <v>1474</v>
      </c>
      <c r="F581" s="13" t="s">
        <v>1460</v>
      </c>
      <c r="G581" s="63" t="n">
        <v>4061959293</v>
      </c>
      <c r="H581" s="13" t="s">
        <v>1417</v>
      </c>
      <c r="I581" s="13" t="s">
        <v>1476</v>
      </c>
      <c r="J581" s="13" t="n">
        <v>84</v>
      </c>
      <c r="K581" s="13" t="s">
        <v>1458</v>
      </c>
      <c r="L581" s="13" t="s">
        <v>1426</v>
      </c>
      <c r="M581" s="13"/>
    </row>
    <row r="582" customFormat="false" ht="15" hidden="false" customHeight="false" outlineLevel="0" collapsed="false">
      <c r="A582" s="13" t="s">
        <v>608</v>
      </c>
      <c r="B582" s="13" t="s">
        <v>607</v>
      </c>
      <c r="C582" s="13" t="s">
        <v>1427</v>
      </c>
      <c r="D582" s="13" t="s">
        <v>1454</v>
      </c>
      <c r="E582" s="13" t="s">
        <v>1474</v>
      </c>
      <c r="F582" s="13" t="s">
        <v>1460</v>
      </c>
      <c r="G582" s="63" t="n">
        <v>2783285450</v>
      </c>
      <c r="H582" s="13" t="s">
        <v>1417</v>
      </c>
      <c r="I582" s="13" t="s">
        <v>1476</v>
      </c>
      <c r="J582" s="13" t="n">
        <v>84</v>
      </c>
      <c r="K582" s="13" t="s">
        <v>1458</v>
      </c>
      <c r="L582" s="13" t="s">
        <v>1420</v>
      </c>
      <c r="M582" s="13"/>
    </row>
    <row r="583" customFormat="false" ht="15" hidden="false" customHeight="false" outlineLevel="0" collapsed="false">
      <c r="A583" s="13" t="s">
        <v>608</v>
      </c>
      <c r="B583" s="13" t="s">
        <v>607</v>
      </c>
      <c r="C583" s="13" t="s">
        <v>1416</v>
      </c>
      <c r="D583" s="13" t="s">
        <v>1454</v>
      </c>
      <c r="E583" s="13" t="s">
        <v>1478</v>
      </c>
      <c r="F583" s="13" t="s">
        <v>1477</v>
      </c>
      <c r="G583" s="63" t="n">
        <v>11114790783</v>
      </c>
      <c r="H583" s="13" t="s">
        <v>1417</v>
      </c>
      <c r="I583" s="13" t="s">
        <v>1476</v>
      </c>
      <c r="J583" s="13" t="n">
        <v>368</v>
      </c>
      <c r="K583" s="13" t="s">
        <v>1457</v>
      </c>
      <c r="L583" s="13" t="s">
        <v>1420</v>
      </c>
      <c r="M583" s="13"/>
    </row>
    <row r="584" customFormat="false" ht="15" hidden="false" customHeight="false" outlineLevel="0" collapsed="false">
      <c r="A584" s="13" t="s">
        <v>608</v>
      </c>
      <c r="B584" s="13" t="s">
        <v>607</v>
      </c>
      <c r="C584" s="13" t="s">
        <v>1421</v>
      </c>
      <c r="D584" s="13" t="s">
        <v>1454</v>
      </c>
      <c r="E584" s="13" t="s">
        <v>1478</v>
      </c>
      <c r="F584" s="13" t="s">
        <v>1477</v>
      </c>
      <c r="G584" s="63" t="n">
        <v>13015396797</v>
      </c>
      <c r="H584" s="13" t="s">
        <v>1417</v>
      </c>
      <c r="I584" s="13" t="s">
        <v>1476</v>
      </c>
      <c r="J584" s="13" t="n">
        <v>368</v>
      </c>
      <c r="K584" s="13" t="s">
        <v>1457</v>
      </c>
      <c r="L584" s="13" t="s">
        <v>1420</v>
      </c>
      <c r="M584" s="13"/>
    </row>
    <row r="585" customFormat="false" ht="15" hidden="false" customHeight="false" outlineLevel="0" collapsed="false">
      <c r="A585" s="13" t="s">
        <v>608</v>
      </c>
      <c r="B585" s="13" t="s">
        <v>607</v>
      </c>
      <c r="C585" s="13" t="s">
        <v>1423</v>
      </c>
      <c r="D585" s="13" t="s">
        <v>1454</v>
      </c>
      <c r="E585" s="13" t="s">
        <v>1478</v>
      </c>
      <c r="F585" s="13" t="s">
        <v>1477</v>
      </c>
      <c r="G585" s="63" t="n">
        <v>14709205914</v>
      </c>
      <c r="H585" s="13" t="s">
        <v>1417</v>
      </c>
      <c r="I585" s="13" t="s">
        <v>1476</v>
      </c>
      <c r="J585" s="13" t="n">
        <v>84</v>
      </c>
      <c r="K585" s="13" t="s">
        <v>1458</v>
      </c>
      <c r="L585" s="13" t="s">
        <v>1426</v>
      </c>
      <c r="M585" s="13"/>
    </row>
    <row r="586" customFormat="false" ht="15" hidden="false" customHeight="false" outlineLevel="0" collapsed="false">
      <c r="A586" s="13" t="s">
        <v>608</v>
      </c>
      <c r="B586" s="13" t="s">
        <v>607</v>
      </c>
      <c r="C586" s="13" t="s">
        <v>1427</v>
      </c>
      <c r="D586" s="13" t="s">
        <v>1454</v>
      </c>
      <c r="E586" s="13" t="s">
        <v>1478</v>
      </c>
      <c r="F586" s="13" t="s">
        <v>1477</v>
      </c>
      <c r="G586" s="63" t="n">
        <v>14581994830</v>
      </c>
      <c r="H586" s="13" t="s">
        <v>1417</v>
      </c>
      <c r="I586" s="13" t="s">
        <v>1476</v>
      </c>
      <c r="J586" s="13" t="n">
        <v>84</v>
      </c>
      <c r="K586" s="13" t="s">
        <v>1458</v>
      </c>
      <c r="L586" s="13" t="s">
        <v>1420</v>
      </c>
      <c r="M586" s="13"/>
    </row>
    <row r="587" customFormat="false" ht="15" hidden="false" customHeight="false" outlineLevel="0" collapsed="false">
      <c r="A587" s="13" t="s">
        <v>608</v>
      </c>
      <c r="B587" s="13" t="s">
        <v>607</v>
      </c>
      <c r="C587" s="13" t="s">
        <v>1416</v>
      </c>
      <c r="D587" s="13" t="s">
        <v>1454</v>
      </c>
      <c r="E587" s="13" t="s">
        <v>1478</v>
      </c>
      <c r="F587" s="13" t="s">
        <v>1465</v>
      </c>
      <c r="G587" s="63" t="n">
        <v>3022617102</v>
      </c>
      <c r="H587" s="13" t="s">
        <v>1417</v>
      </c>
      <c r="I587" s="13" t="s">
        <v>1476</v>
      </c>
      <c r="J587" s="13" t="n">
        <v>368</v>
      </c>
      <c r="K587" s="13" t="s">
        <v>1457</v>
      </c>
      <c r="L587" s="13" t="s">
        <v>1420</v>
      </c>
      <c r="M587" s="13"/>
    </row>
    <row r="588" customFormat="false" ht="15" hidden="false" customHeight="false" outlineLevel="0" collapsed="false">
      <c r="A588" s="13" t="s">
        <v>608</v>
      </c>
      <c r="B588" s="13" t="s">
        <v>607</v>
      </c>
      <c r="C588" s="13" t="s">
        <v>1421</v>
      </c>
      <c r="D588" s="13" t="s">
        <v>1454</v>
      </c>
      <c r="E588" s="13" t="s">
        <v>1478</v>
      </c>
      <c r="F588" s="13" t="s">
        <v>1465</v>
      </c>
      <c r="G588" s="63" t="n">
        <v>3367608857</v>
      </c>
      <c r="H588" s="13" t="s">
        <v>1417</v>
      </c>
      <c r="I588" s="13" t="s">
        <v>1476</v>
      </c>
      <c r="J588" s="13" t="n">
        <v>368</v>
      </c>
      <c r="K588" s="13" t="s">
        <v>1457</v>
      </c>
      <c r="L588" s="13" t="s">
        <v>1420</v>
      </c>
      <c r="M588" s="13"/>
    </row>
    <row r="589" customFormat="false" ht="15" hidden="false" customHeight="false" outlineLevel="0" collapsed="false">
      <c r="A589" s="13" t="s">
        <v>608</v>
      </c>
      <c r="B589" s="13" t="s">
        <v>607</v>
      </c>
      <c r="C589" s="13" t="s">
        <v>1423</v>
      </c>
      <c r="D589" s="13" t="s">
        <v>1454</v>
      </c>
      <c r="E589" s="13" t="s">
        <v>1478</v>
      </c>
      <c r="F589" s="13" t="s">
        <v>1465</v>
      </c>
      <c r="G589" s="63" t="n">
        <v>4075347826</v>
      </c>
      <c r="H589" s="13" t="s">
        <v>1417</v>
      </c>
      <c r="I589" s="13" t="s">
        <v>1476</v>
      </c>
      <c r="J589" s="13" t="n">
        <v>84</v>
      </c>
      <c r="K589" s="13" t="s">
        <v>1458</v>
      </c>
      <c r="L589" s="13" t="s">
        <v>1426</v>
      </c>
      <c r="M589" s="13"/>
    </row>
    <row r="590" customFormat="false" ht="15" hidden="false" customHeight="false" outlineLevel="0" collapsed="false">
      <c r="A590" s="13" t="s">
        <v>608</v>
      </c>
      <c r="B590" s="13" t="s">
        <v>607</v>
      </c>
      <c r="C590" s="13" t="s">
        <v>1427</v>
      </c>
      <c r="D590" s="13" t="s">
        <v>1454</v>
      </c>
      <c r="E590" s="13" t="s">
        <v>1478</v>
      </c>
      <c r="F590" s="13" t="s">
        <v>1465</v>
      </c>
      <c r="G590" s="63" t="n">
        <v>2073385940</v>
      </c>
      <c r="H590" s="13" t="s">
        <v>1417</v>
      </c>
      <c r="I590" s="13" t="s">
        <v>1476</v>
      </c>
      <c r="J590" s="13" t="n">
        <v>84</v>
      </c>
      <c r="K590" s="13" t="s">
        <v>1458</v>
      </c>
      <c r="L590" s="13" t="s">
        <v>1420</v>
      </c>
      <c r="M590" s="13"/>
    </row>
    <row r="591" customFormat="false" ht="15" hidden="false" customHeight="false" outlineLevel="0" collapsed="false">
      <c r="A591" s="13" t="s">
        <v>608</v>
      </c>
      <c r="B591" s="13" t="s">
        <v>607</v>
      </c>
      <c r="C591" s="13" t="s">
        <v>1416</v>
      </c>
      <c r="D591" s="13" t="s">
        <v>1454</v>
      </c>
      <c r="E591" s="13" t="s">
        <v>1478</v>
      </c>
      <c r="F591" s="13" t="s">
        <v>1473</v>
      </c>
      <c r="G591" s="63" t="n">
        <v>9726087537</v>
      </c>
      <c r="H591" s="13" t="s">
        <v>1417</v>
      </c>
      <c r="I591" s="13" t="s">
        <v>1476</v>
      </c>
      <c r="J591" s="13" t="n">
        <v>368</v>
      </c>
      <c r="K591" s="13" t="s">
        <v>1457</v>
      </c>
      <c r="L591" s="13" t="s">
        <v>1420</v>
      </c>
      <c r="M591" s="13"/>
    </row>
    <row r="592" customFormat="false" ht="15" hidden="false" customHeight="false" outlineLevel="0" collapsed="false">
      <c r="A592" s="13" t="s">
        <v>608</v>
      </c>
      <c r="B592" s="13" t="s">
        <v>607</v>
      </c>
      <c r="C592" s="13" t="s">
        <v>1421</v>
      </c>
      <c r="D592" s="13" t="s">
        <v>1454</v>
      </c>
      <c r="E592" s="13" t="s">
        <v>1478</v>
      </c>
      <c r="F592" s="13" t="s">
        <v>1473</v>
      </c>
      <c r="G592" s="63" t="n">
        <v>15372057135</v>
      </c>
      <c r="H592" s="13" t="s">
        <v>1417</v>
      </c>
      <c r="I592" s="13" t="s">
        <v>1476</v>
      </c>
      <c r="J592" s="13" t="n">
        <v>368</v>
      </c>
      <c r="K592" s="13" t="s">
        <v>1457</v>
      </c>
      <c r="L592" s="13" t="s">
        <v>1420</v>
      </c>
      <c r="M592" s="13"/>
    </row>
    <row r="593" customFormat="false" ht="15" hidden="false" customHeight="false" outlineLevel="0" collapsed="false">
      <c r="A593" s="13" t="s">
        <v>608</v>
      </c>
      <c r="B593" s="13" t="s">
        <v>607</v>
      </c>
      <c r="C593" s="13" t="s">
        <v>1423</v>
      </c>
      <c r="D593" s="13" t="s">
        <v>1454</v>
      </c>
      <c r="E593" s="13" t="s">
        <v>1478</v>
      </c>
      <c r="F593" s="13" t="s">
        <v>1473</v>
      </c>
      <c r="G593" s="63" t="n">
        <v>13178104336</v>
      </c>
      <c r="H593" s="13" t="s">
        <v>1417</v>
      </c>
      <c r="I593" s="13" t="s">
        <v>1476</v>
      </c>
      <c r="J593" s="13" t="n">
        <v>84</v>
      </c>
      <c r="K593" s="13" t="s">
        <v>1458</v>
      </c>
      <c r="L593" s="13" t="s">
        <v>1426</v>
      </c>
      <c r="M593" s="13"/>
    </row>
    <row r="594" customFormat="false" ht="15" hidden="false" customHeight="false" outlineLevel="0" collapsed="false">
      <c r="A594" s="13" t="s">
        <v>608</v>
      </c>
      <c r="B594" s="13" t="s">
        <v>607</v>
      </c>
      <c r="C594" s="13" t="s">
        <v>1427</v>
      </c>
      <c r="D594" s="13" t="s">
        <v>1454</v>
      </c>
      <c r="E594" s="13" t="s">
        <v>1478</v>
      </c>
      <c r="F594" s="13" t="s">
        <v>1473</v>
      </c>
      <c r="G594" s="63" t="n">
        <v>11251498142</v>
      </c>
      <c r="H594" s="13" t="s">
        <v>1417</v>
      </c>
      <c r="I594" s="13" t="s">
        <v>1476</v>
      </c>
      <c r="J594" s="13" t="n">
        <v>84</v>
      </c>
      <c r="K594" s="13" t="s">
        <v>1458</v>
      </c>
      <c r="L594" s="13" t="s">
        <v>1420</v>
      </c>
      <c r="M594" s="13"/>
    </row>
    <row r="595" customFormat="false" ht="15" hidden="false" customHeight="false" outlineLevel="0" collapsed="false">
      <c r="A595" s="13" t="s">
        <v>608</v>
      </c>
      <c r="B595" s="13" t="s">
        <v>607</v>
      </c>
      <c r="C595" s="13" t="s">
        <v>1416</v>
      </c>
      <c r="D595" s="13" t="s">
        <v>1454</v>
      </c>
      <c r="E595" s="13" t="s">
        <v>1478</v>
      </c>
      <c r="F595" s="13" t="s">
        <v>1460</v>
      </c>
      <c r="G595" s="63" t="n">
        <v>23863495422</v>
      </c>
      <c r="H595" s="13" t="s">
        <v>1417</v>
      </c>
      <c r="I595" s="13" t="s">
        <v>1476</v>
      </c>
      <c r="J595" s="13" t="n">
        <v>368</v>
      </c>
      <c r="K595" s="13" t="s">
        <v>1457</v>
      </c>
      <c r="L595" s="13" t="s">
        <v>1420</v>
      </c>
      <c r="M595" s="13"/>
    </row>
    <row r="596" customFormat="false" ht="15" hidden="false" customHeight="false" outlineLevel="0" collapsed="false">
      <c r="A596" s="13" t="s">
        <v>608</v>
      </c>
      <c r="B596" s="13" t="s">
        <v>607</v>
      </c>
      <c r="C596" s="13" t="s">
        <v>1421</v>
      </c>
      <c r="D596" s="13" t="s">
        <v>1454</v>
      </c>
      <c r="E596" s="13" t="s">
        <v>1478</v>
      </c>
      <c r="F596" s="13" t="s">
        <v>1460</v>
      </c>
      <c r="G596" s="63" t="n">
        <v>31755062789</v>
      </c>
      <c r="H596" s="13" t="s">
        <v>1417</v>
      </c>
      <c r="I596" s="13" t="s">
        <v>1476</v>
      </c>
      <c r="J596" s="13" t="n">
        <v>368</v>
      </c>
      <c r="K596" s="13" t="s">
        <v>1457</v>
      </c>
      <c r="L596" s="13" t="s">
        <v>1420</v>
      </c>
      <c r="M596" s="13"/>
    </row>
    <row r="597" customFormat="false" ht="15" hidden="false" customHeight="false" outlineLevel="0" collapsed="false">
      <c r="A597" s="13" t="s">
        <v>608</v>
      </c>
      <c r="B597" s="13" t="s">
        <v>607</v>
      </c>
      <c r="C597" s="13" t="s">
        <v>1423</v>
      </c>
      <c r="D597" s="13" t="s">
        <v>1454</v>
      </c>
      <c r="E597" s="13" t="s">
        <v>1478</v>
      </c>
      <c r="F597" s="13" t="s">
        <v>1460</v>
      </c>
      <c r="G597" s="63" t="n">
        <v>31962658076</v>
      </c>
      <c r="H597" s="13" t="s">
        <v>1417</v>
      </c>
      <c r="I597" s="13" t="s">
        <v>1476</v>
      </c>
      <c r="J597" s="13" t="n">
        <v>84</v>
      </c>
      <c r="K597" s="13" t="s">
        <v>1458</v>
      </c>
      <c r="L597" s="13" t="s">
        <v>1426</v>
      </c>
      <c r="M597" s="13"/>
    </row>
    <row r="598" customFormat="false" ht="15" hidden="false" customHeight="false" outlineLevel="0" collapsed="false">
      <c r="A598" s="13" t="s">
        <v>608</v>
      </c>
      <c r="B598" s="13" t="s">
        <v>607</v>
      </c>
      <c r="C598" s="13" t="s">
        <v>1427</v>
      </c>
      <c r="D598" s="13" t="s">
        <v>1454</v>
      </c>
      <c r="E598" s="13" t="s">
        <v>1478</v>
      </c>
      <c r="F598" s="13" t="s">
        <v>1460</v>
      </c>
      <c r="G598" s="63" t="n">
        <v>27906878912</v>
      </c>
      <c r="H598" s="13" t="s">
        <v>1417</v>
      </c>
      <c r="I598" s="13" t="s">
        <v>1476</v>
      </c>
      <c r="J598" s="13" t="n">
        <v>84</v>
      </c>
      <c r="K598" s="13" t="s">
        <v>1458</v>
      </c>
      <c r="L598" s="13" t="s">
        <v>1420</v>
      </c>
      <c r="M598" s="13"/>
    </row>
    <row r="599" customFormat="false" ht="15" hidden="false" customHeight="false" outlineLevel="0" collapsed="false">
      <c r="A599" s="13" t="s">
        <v>608</v>
      </c>
      <c r="B599" s="13" t="s">
        <v>607</v>
      </c>
      <c r="C599" s="13" t="s">
        <v>1416</v>
      </c>
      <c r="D599" s="13" t="s">
        <v>1454</v>
      </c>
      <c r="E599" s="13" t="s">
        <v>1479</v>
      </c>
      <c r="F599" s="13" t="s">
        <v>675</v>
      </c>
      <c r="G599" s="63" t="n">
        <v>4888165764</v>
      </c>
      <c r="H599" s="13" t="s">
        <v>1480</v>
      </c>
      <c r="I599" s="13" t="s">
        <v>110</v>
      </c>
      <c r="J599" s="13"/>
      <c r="K599" s="13" t="s">
        <v>1457</v>
      </c>
      <c r="L599" s="13" t="s">
        <v>1420</v>
      </c>
      <c r="M599" s="13"/>
    </row>
    <row r="600" customFormat="false" ht="15" hidden="false" customHeight="false" outlineLevel="0" collapsed="false">
      <c r="A600" s="13" t="s">
        <v>608</v>
      </c>
      <c r="B600" s="13" t="s">
        <v>607</v>
      </c>
      <c r="C600" s="13" t="s">
        <v>1421</v>
      </c>
      <c r="D600" s="13" t="s">
        <v>1454</v>
      </c>
      <c r="E600" s="13" t="s">
        <v>1479</v>
      </c>
      <c r="F600" s="13" t="s">
        <v>675</v>
      </c>
      <c r="G600" s="63" t="n">
        <v>3539716397</v>
      </c>
      <c r="H600" s="13" t="s">
        <v>1480</v>
      </c>
      <c r="I600" s="13" t="s">
        <v>110</v>
      </c>
      <c r="J600" s="13"/>
      <c r="K600" s="13" t="s">
        <v>1457</v>
      </c>
      <c r="L600" s="13" t="s">
        <v>1420</v>
      </c>
      <c r="M600" s="13"/>
    </row>
    <row r="601" customFormat="false" ht="15" hidden="false" customHeight="false" outlineLevel="0" collapsed="false">
      <c r="A601" s="13" t="s">
        <v>608</v>
      </c>
      <c r="B601" s="13" t="s">
        <v>607</v>
      </c>
      <c r="C601" s="13" t="s">
        <v>1423</v>
      </c>
      <c r="D601" s="13" t="s">
        <v>1454</v>
      </c>
      <c r="E601" s="13" t="s">
        <v>1479</v>
      </c>
      <c r="F601" s="13" t="s">
        <v>675</v>
      </c>
      <c r="G601" s="63" t="n">
        <v>2837231824</v>
      </c>
      <c r="H601" s="13" t="s">
        <v>1480</v>
      </c>
      <c r="I601" s="13" t="s">
        <v>110</v>
      </c>
      <c r="J601" s="13"/>
      <c r="K601" s="13" t="s">
        <v>1458</v>
      </c>
      <c r="L601" s="13" t="s">
        <v>1426</v>
      </c>
      <c r="M601" s="13"/>
    </row>
    <row r="602" customFormat="false" ht="15" hidden="false" customHeight="false" outlineLevel="0" collapsed="false">
      <c r="A602" s="13" t="s">
        <v>608</v>
      </c>
      <c r="B602" s="13" t="s">
        <v>607</v>
      </c>
      <c r="C602" s="13" t="s">
        <v>1427</v>
      </c>
      <c r="D602" s="13" t="s">
        <v>1454</v>
      </c>
      <c r="E602" s="13" t="s">
        <v>1479</v>
      </c>
      <c r="F602" s="13" t="s">
        <v>675</v>
      </c>
      <c r="G602" s="63" t="n">
        <v>6021648113</v>
      </c>
      <c r="H602" s="13" t="s">
        <v>1480</v>
      </c>
      <c r="I602" s="13" t="s">
        <v>110</v>
      </c>
      <c r="J602" s="13"/>
      <c r="K602" s="13" t="s">
        <v>1458</v>
      </c>
      <c r="L602" s="13" t="s">
        <v>1420</v>
      </c>
      <c r="M602" s="13"/>
    </row>
    <row r="603" customFormat="false" ht="15" hidden="false" customHeight="false" outlineLevel="0" collapsed="false">
      <c r="A603" s="13" t="s">
        <v>608</v>
      </c>
      <c r="B603" s="13" t="s">
        <v>607</v>
      </c>
      <c r="C603" s="13" t="s">
        <v>1416</v>
      </c>
      <c r="D603" s="13" t="s">
        <v>1454</v>
      </c>
      <c r="E603" s="13" t="s">
        <v>1479</v>
      </c>
      <c r="F603" s="13" t="s">
        <v>1481</v>
      </c>
      <c r="G603" s="63" t="n">
        <v>554690000</v>
      </c>
      <c r="H603" s="13" t="s">
        <v>1480</v>
      </c>
      <c r="I603" s="13" t="s">
        <v>110</v>
      </c>
      <c r="J603" s="13"/>
      <c r="K603" s="13" t="s">
        <v>1457</v>
      </c>
      <c r="L603" s="13" t="s">
        <v>1420</v>
      </c>
      <c r="M603" s="13"/>
    </row>
    <row r="604" customFormat="false" ht="15" hidden="false" customHeight="false" outlineLevel="0" collapsed="false">
      <c r="A604" s="13" t="s">
        <v>608</v>
      </c>
      <c r="B604" s="13" t="s">
        <v>607</v>
      </c>
      <c r="C604" s="13" t="s">
        <v>1421</v>
      </c>
      <c r="D604" s="13" t="s">
        <v>1454</v>
      </c>
      <c r="E604" s="13" t="s">
        <v>1479</v>
      </c>
      <c r="F604" s="13" t="s">
        <v>1481</v>
      </c>
      <c r="G604" s="63" t="n">
        <v>554690000</v>
      </c>
      <c r="H604" s="13" t="s">
        <v>1480</v>
      </c>
      <c r="I604" s="13" t="s">
        <v>110</v>
      </c>
      <c r="J604" s="13"/>
      <c r="K604" s="13" t="s">
        <v>1457</v>
      </c>
      <c r="L604" s="13" t="s">
        <v>1420</v>
      </c>
      <c r="M604" s="13"/>
    </row>
    <row r="605" customFormat="false" ht="15" hidden="false" customHeight="false" outlineLevel="0" collapsed="false">
      <c r="A605" s="13" t="s">
        <v>608</v>
      </c>
      <c r="B605" s="13" t="s">
        <v>607</v>
      </c>
      <c r="C605" s="13" t="s">
        <v>1423</v>
      </c>
      <c r="D605" s="13" t="s">
        <v>1454</v>
      </c>
      <c r="E605" s="13" t="s">
        <v>1479</v>
      </c>
      <c r="F605" s="13" t="s">
        <v>1481</v>
      </c>
      <c r="G605" s="63" t="n">
        <v>800250192</v>
      </c>
      <c r="H605" s="13" t="s">
        <v>1480</v>
      </c>
      <c r="I605" s="13" t="s">
        <v>110</v>
      </c>
      <c r="J605" s="13"/>
      <c r="K605" s="13" t="s">
        <v>1458</v>
      </c>
      <c r="L605" s="13" t="s">
        <v>1426</v>
      </c>
      <c r="M605" s="13"/>
    </row>
    <row r="606" customFormat="false" ht="15" hidden="false" customHeight="false" outlineLevel="0" collapsed="false">
      <c r="A606" s="13" t="s">
        <v>608</v>
      </c>
      <c r="B606" s="13" t="s">
        <v>607</v>
      </c>
      <c r="C606" s="13" t="s">
        <v>1427</v>
      </c>
      <c r="D606" s="13" t="s">
        <v>1454</v>
      </c>
      <c r="E606" s="13" t="s">
        <v>1479</v>
      </c>
      <c r="F606" s="13" t="s">
        <v>1481</v>
      </c>
      <c r="G606" s="63" t="n">
        <v>2364143916</v>
      </c>
      <c r="H606" s="13" t="s">
        <v>1480</v>
      </c>
      <c r="I606" s="13" t="s">
        <v>110</v>
      </c>
      <c r="J606" s="13"/>
      <c r="K606" s="13" t="s">
        <v>1458</v>
      </c>
      <c r="L606" s="13" t="s">
        <v>1420</v>
      </c>
      <c r="M606" s="13"/>
    </row>
    <row r="607" customFormat="false" ht="15" hidden="false" customHeight="false" outlineLevel="0" collapsed="false">
      <c r="A607" s="13" t="s">
        <v>608</v>
      </c>
      <c r="B607" s="13" t="s">
        <v>607</v>
      </c>
      <c r="C607" s="13" t="s">
        <v>1416</v>
      </c>
      <c r="D607" s="13" t="s">
        <v>1454</v>
      </c>
      <c r="E607" s="13" t="s">
        <v>1455</v>
      </c>
      <c r="F607" s="13" t="s">
        <v>1482</v>
      </c>
      <c r="G607" s="63" t="n">
        <v>1277775973</v>
      </c>
      <c r="H607" s="13" t="s">
        <v>1417</v>
      </c>
      <c r="I607" s="13" t="s">
        <v>1456</v>
      </c>
      <c r="J607" s="13" t="n">
        <v>367</v>
      </c>
      <c r="K607" s="13" t="s">
        <v>1457</v>
      </c>
      <c r="L607" s="13" t="s">
        <v>1420</v>
      </c>
      <c r="M607" s="13"/>
    </row>
    <row r="608" customFormat="false" ht="15" hidden="false" customHeight="false" outlineLevel="0" collapsed="false">
      <c r="A608" s="13" t="s">
        <v>608</v>
      </c>
      <c r="B608" s="13" t="s">
        <v>607</v>
      </c>
      <c r="C608" s="13" t="s">
        <v>1421</v>
      </c>
      <c r="D608" s="13" t="s">
        <v>1454</v>
      </c>
      <c r="E608" s="13" t="s">
        <v>1455</v>
      </c>
      <c r="F608" s="13" t="s">
        <v>1482</v>
      </c>
      <c r="G608" s="63" t="n">
        <v>8040524868</v>
      </c>
      <c r="H608" s="13" t="s">
        <v>1417</v>
      </c>
      <c r="I608" s="13" t="s">
        <v>1456</v>
      </c>
      <c r="J608" s="13" t="n">
        <v>367</v>
      </c>
      <c r="K608" s="13" t="s">
        <v>1457</v>
      </c>
      <c r="L608" s="13" t="s">
        <v>1420</v>
      </c>
      <c r="M608" s="13"/>
    </row>
    <row r="609" customFormat="false" ht="15" hidden="false" customHeight="false" outlineLevel="0" collapsed="false">
      <c r="A609" s="13" t="s">
        <v>608</v>
      </c>
      <c r="B609" s="13" t="s">
        <v>607</v>
      </c>
      <c r="C609" s="13" t="s">
        <v>1416</v>
      </c>
      <c r="D609" s="13" t="s">
        <v>1454</v>
      </c>
      <c r="E609" s="13" t="s">
        <v>1455</v>
      </c>
      <c r="F609" s="13" t="s">
        <v>1483</v>
      </c>
      <c r="G609" s="63" t="n">
        <v>1112931345</v>
      </c>
      <c r="H609" s="13" t="s">
        <v>1417</v>
      </c>
      <c r="I609" s="13" t="s">
        <v>1456</v>
      </c>
      <c r="J609" s="13" t="n">
        <v>367</v>
      </c>
      <c r="K609" s="13" t="s">
        <v>1457</v>
      </c>
      <c r="L609" s="13" t="s">
        <v>1420</v>
      </c>
      <c r="M609" s="13"/>
    </row>
    <row r="610" customFormat="false" ht="15" hidden="false" customHeight="false" outlineLevel="0" collapsed="false">
      <c r="A610" s="13" t="s">
        <v>608</v>
      </c>
      <c r="B610" s="13" t="s">
        <v>607</v>
      </c>
      <c r="C610" s="13" t="s">
        <v>1421</v>
      </c>
      <c r="D610" s="13" t="s">
        <v>1454</v>
      </c>
      <c r="E610" s="13" t="s">
        <v>1455</v>
      </c>
      <c r="F610" s="13" t="s">
        <v>1483</v>
      </c>
      <c r="G610" s="63" t="n">
        <v>3114336730</v>
      </c>
      <c r="H610" s="13" t="s">
        <v>1417</v>
      </c>
      <c r="I610" s="13" t="s">
        <v>1456</v>
      </c>
      <c r="J610" s="13" t="n">
        <v>367</v>
      </c>
      <c r="K610" s="13" t="s">
        <v>1457</v>
      </c>
      <c r="L610" s="13" t="s">
        <v>1420</v>
      </c>
      <c r="M610" s="13"/>
    </row>
    <row r="611" customFormat="false" ht="15" hidden="false" customHeight="false" outlineLevel="0" collapsed="false">
      <c r="A611" s="13" t="s">
        <v>608</v>
      </c>
      <c r="B611" s="13" t="s">
        <v>607</v>
      </c>
      <c r="C611" s="13" t="s">
        <v>1416</v>
      </c>
      <c r="D611" s="13" t="s">
        <v>1454</v>
      </c>
      <c r="E611" s="13" t="s">
        <v>1455</v>
      </c>
      <c r="F611" s="13" t="s">
        <v>1484</v>
      </c>
      <c r="G611" s="63" t="n">
        <v>144264070</v>
      </c>
      <c r="H611" s="13" t="s">
        <v>1417</v>
      </c>
      <c r="I611" s="13" t="s">
        <v>1456</v>
      </c>
      <c r="J611" s="13" t="n">
        <v>367</v>
      </c>
      <c r="K611" s="13" t="s">
        <v>1457</v>
      </c>
      <c r="L611" s="13" t="s">
        <v>1420</v>
      </c>
      <c r="M611" s="13"/>
    </row>
    <row r="612" customFormat="false" ht="15" hidden="false" customHeight="false" outlineLevel="0" collapsed="false">
      <c r="A612" s="13" t="s">
        <v>608</v>
      </c>
      <c r="B612" s="13" t="s">
        <v>607</v>
      </c>
      <c r="C612" s="13" t="s">
        <v>1421</v>
      </c>
      <c r="D612" s="13" t="s">
        <v>1454</v>
      </c>
      <c r="E612" s="13" t="s">
        <v>1455</v>
      </c>
      <c r="F612" s="13" t="s">
        <v>1484</v>
      </c>
      <c r="G612" s="63" t="n">
        <v>728902629</v>
      </c>
      <c r="H612" s="13" t="s">
        <v>1417</v>
      </c>
      <c r="I612" s="13" t="s">
        <v>1456</v>
      </c>
      <c r="J612" s="13" t="n">
        <v>367</v>
      </c>
      <c r="K612" s="13" t="s">
        <v>1457</v>
      </c>
      <c r="L612" s="13" t="s">
        <v>1420</v>
      </c>
      <c r="M612" s="13"/>
    </row>
    <row r="613" customFormat="false" ht="15" hidden="false" customHeight="false" outlineLevel="0" collapsed="false">
      <c r="A613" s="13" t="s">
        <v>608</v>
      </c>
      <c r="B613" s="13" t="s">
        <v>607</v>
      </c>
      <c r="C613" s="13" t="s">
        <v>1416</v>
      </c>
      <c r="D613" s="13" t="s">
        <v>1454</v>
      </c>
      <c r="E613" s="13" t="s">
        <v>1461</v>
      </c>
      <c r="F613" s="13" t="s">
        <v>1485</v>
      </c>
      <c r="G613" s="63" t="n">
        <v>11789778897</v>
      </c>
      <c r="H613" s="13" t="s">
        <v>1417</v>
      </c>
      <c r="I613" s="13" t="s">
        <v>1463</v>
      </c>
      <c r="J613" s="13" t="n">
        <v>367</v>
      </c>
      <c r="K613" s="13" t="s">
        <v>1457</v>
      </c>
      <c r="L613" s="13" t="s">
        <v>1420</v>
      </c>
      <c r="M613" s="13"/>
    </row>
    <row r="614" customFormat="false" ht="15" hidden="false" customHeight="false" outlineLevel="0" collapsed="false">
      <c r="A614" s="13" t="s">
        <v>608</v>
      </c>
      <c r="B614" s="13" t="s">
        <v>607</v>
      </c>
      <c r="C614" s="13" t="s">
        <v>1421</v>
      </c>
      <c r="D614" s="13" t="s">
        <v>1454</v>
      </c>
      <c r="E614" s="13" t="s">
        <v>1461</v>
      </c>
      <c r="F614" s="13" t="s">
        <v>1485</v>
      </c>
      <c r="G614" s="63" t="n">
        <v>15052810477</v>
      </c>
      <c r="H614" s="13" t="s">
        <v>1417</v>
      </c>
      <c r="I614" s="13" t="s">
        <v>1463</v>
      </c>
      <c r="J614" s="13" t="n">
        <v>367</v>
      </c>
      <c r="K614" s="13" t="s">
        <v>1457</v>
      </c>
      <c r="L614" s="13" t="s">
        <v>1420</v>
      </c>
      <c r="M614" s="13"/>
    </row>
    <row r="615" customFormat="false" ht="15" hidden="false" customHeight="false" outlineLevel="0" collapsed="false">
      <c r="A615" s="13" t="s">
        <v>608</v>
      </c>
      <c r="B615" s="13" t="s">
        <v>607</v>
      </c>
      <c r="C615" s="13" t="s">
        <v>1423</v>
      </c>
      <c r="D615" s="13" t="s">
        <v>1454</v>
      </c>
      <c r="E615" s="13" t="s">
        <v>1486</v>
      </c>
      <c r="F615" s="13" t="s">
        <v>1487</v>
      </c>
      <c r="G615" s="63" t="n">
        <v>-50618558085</v>
      </c>
      <c r="H615" s="13" t="s">
        <v>1417</v>
      </c>
      <c r="I615" s="13" t="s">
        <v>1488</v>
      </c>
      <c r="J615" s="13" t="n">
        <v>61</v>
      </c>
      <c r="K615" s="13"/>
      <c r="L615" s="13" t="s">
        <v>1426</v>
      </c>
      <c r="M615" s="13" t="s">
        <v>1489</v>
      </c>
    </row>
    <row r="616" customFormat="false" ht="15" hidden="false" customHeight="false" outlineLevel="0" collapsed="false">
      <c r="A616" s="13" t="s">
        <v>608</v>
      </c>
      <c r="B616" s="13" t="s">
        <v>607</v>
      </c>
      <c r="C616" s="13" t="s">
        <v>1423</v>
      </c>
      <c r="D616" s="13" t="s">
        <v>1454</v>
      </c>
      <c r="E616" s="13" t="s">
        <v>1490</v>
      </c>
      <c r="F616" s="13" t="s">
        <v>1487</v>
      </c>
      <c r="G616" s="109" t="n">
        <v>0</v>
      </c>
      <c r="H616" s="13" t="s">
        <v>1417</v>
      </c>
      <c r="I616" s="13" t="s">
        <v>1488</v>
      </c>
      <c r="J616" s="13" t="n">
        <v>61</v>
      </c>
      <c r="K616" s="13"/>
      <c r="L616" s="13" t="s">
        <v>1426</v>
      </c>
      <c r="M616" s="13" t="s">
        <v>1489</v>
      </c>
    </row>
    <row r="617" customFormat="false" ht="15" hidden="false" customHeight="false" outlineLevel="0" collapsed="false">
      <c r="A617" s="13" t="s">
        <v>608</v>
      </c>
      <c r="B617" s="13" t="s">
        <v>607</v>
      </c>
      <c r="C617" s="13" t="s">
        <v>1423</v>
      </c>
      <c r="D617" s="13" t="s">
        <v>1454</v>
      </c>
      <c r="E617" s="13" t="s">
        <v>1491</v>
      </c>
      <c r="F617" s="13" t="s">
        <v>1487</v>
      </c>
      <c r="G617" s="63" t="n">
        <v>-9080234808</v>
      </c>
      <c r="H617" s="13" t="s">
        <v>1417</v>
      </c>
      <c r="I617" s="13" t="s">
        <v>1488</v>
      </c>
      <c r="J617" s="13" t="n">
        <v>61</v>
      </c>
      <c r="K617" s="13"/>
      <c r="L617" s="13" t="s">
        <v>1426</v>
      </c>
      <c r="M617" s="13" t="s">
        <v>1489</v>
      </c>
    </row>
    <row r="618" customFormat="false" ht="15" hidden="false" customHeight="false" outlineLevel="0" collapsed="false">
      <c r="A618" s="13" t="s">
        <v>608</v>
      </c>
      <c r="B618" s="13" t="s">
        <v>607</v>
      </c>
      <c r="C618" s="13" t="s">
        <v>1423</v>
      </c>
      <c r="D618" s="13" t="s">
        <v>1454</v>
      </c>
      <c r="E618" s="13" t="s">
        <v>1492</v>
      </c>
      <c r="F618" s="13" t="s">
        <v>1487</v>
      </c>
      <c r="G618" s="63" t="n">
        <v>31500000</v>
      </c>
      <c r="H618" s="13" t="s">
        <v>1417</v>
      </c>
      <c r="I618" s="13" t="s">
        <v>1488</v>
      </c>
      <c r="J618" s="13" t="n">
        <v>61</v>
      </c>
      <c r="K618" s="13"/>
      <c r="L618" s="13" t="s">
        <v>1426</v>
      </c>
      <c r="M618" s="13" t="s">
        <v>1489</v>
      </c>
    </row>
    <row r="619" customFormat="false" ht="15" hidden="false" customHeight="false" outlineLevel="0" collapsed="false">
      <c r="A619" s="13" t="s">
        <v>608</v>
      </c>
      <c r="B619" s="13" t="s">
        <v>607</v>
      </c>
      <c r="C619" s="13" t="s">
        <v>1423</v>
      </c>
      <c r="D619" s="13" t="s">
        <v>1454</v>
      </c>
      <c r="E619" s="13" t="s">
        <v>1493</v>
      </c>
      <c r="F619" s="13" t="s">
        <v>1487</v>
      </c>
      <c r="G619" s="109" t="n">
        <v>0</v>
      </c>
      <c r="H619" s="13" t="s">
        <v>1417</v>
      </c>
      <c r="I619" s="13" t="s">
        <v>1488</v>
      </c>
      <c r="J619" s="13" t="n">
        <v>61</v>
      </c>
      <c r="K619" s="13"/>
      <c r="L619" s="13" t="s">
        <v>1426</v>
      </c>
      <c r="M619" s="13" t="s">
        <v>1489</v>
      </c>
    </row>
    <row r="620" customFormat="false" ht="15" hidden="false" customHeight="false" outlineLevel="0" collapsed="false">
      <c r="A620" s="13" t="s">
        <v>608</v>
      </c>
      <c r="B620" s="13" t="s">
        <v>607</v>
      </c>
      <c r="C620" s="13" t="s">
        <v>1423</v>
      </c>
      <c r="D620" s="13" t="s">
        <v>1454</v>
      </c>
      <c r="E620" s="13" t="s">
        <v>1494</v>
      </c>
      <c r="F620" s="13" t="s">
        <v>1487</v>
      </c>
      <c r="G620" s="63" t="n">
        <v>-59667292893</v>
      </c>
      <c r="H620" s="13" t="s">
        <v>1417</v>
      </c>
      <c r="I620" s="13" t="s">
        <v>1488</v>
      </c>
      <c r="J620" s="13" t="n">
        <v>61</v>
      </c>
      <c r="K620" s="13"/>
      <c r="L620" s="13" t="s">
        <v>1426</v>
      </c>
      <c r="M620" s="13" t="s">
        <v>1489</v>
      </c>
    </row>
    <row r="621" customFormat="false" ht="15" hidden="false" customHeight="false" outlineLevel="0" collapsed="false">
      <c r="A621" s="13" t="s">
        <v>608</v>
      </c>
      <c r="B621" s="13" t="s">
        <v>607</v>
      </c>
      <c r="C621" s="13" t="s">
        <v>1423</v>
      </c>
      <c r="D621" s="13" t="s">
        <v>1454</v>
      </c>
      <c r="E621" s="13" t="s">
        <v>1495</v>
      </c>
      <c r="F621" s="13" t="s">
        <v>1487</v>
      </c>
      <c r="G621" s="63" t="n">
        <v>168037297279</v>
      </c>
      <c r="H621" s="13" t="s">
        <v>1417</v>
      </c>
      <c r="I621" s="13" t="s">
        <v>1488</v>
      </c>
      <c r="J621" s="13" t="n">
        <v>61</v>
      </c>
      <c r="K621" s="13"/>
      <c r="L621" s="13" t="s">
        <v>1426</v>
      </c>
      <c r="M621" s="13" t="s">
        <v>1489</v>
      </c>
    </row>
    <row r="622" customFormat="false" ht="15" hidden="false" customHeight="false" outlineLevel="0" collapsed="false">
      <c r="A622" s="13" t="s">
        <v>608</v>
      </c>
      <c r="B622" s="13" t="s">
        <v>607</v>
      </c>
      <c r="C622" s="13" t="s">
        <v>1423</v>
      </c>
      <c r="D622" s="13" t="s">
        <v>1454</v>
      </c>
      <c r="E622" s="13" t="s">
        <v>1496</v>
      </c>
      <c r="F622" s="13" t="s">
        <v>1487</v>
      </c>
      <c r="G622" s="109" t="n">
        <v>0</v>
      </c>
      <c r="H622" s="13" t="s">
        <v>1417</v>
      </c>
      <c r="I622" s="13" t="s">
        <v>1488</v>
      </c>
      <c r="J622" s="13" t="n">
        <v>61</v>
      </c>
      <c r="K622" s="13"/>
      <c r="L622" s="13" t="s">
        <v>1426</v>
      </c>
      <c r="M622" s="13" t="s">
        <v>1489</v>
      </c>
    </row>
    <row r="623" customFormat="false" ht="15" hidden="false" customHeight="false" outlineLevel="0" collapsed="false">
      <c r="A623" s="13" t="s">
        <v>608</v>
      </c>
      <c r="B623" s="13" t="s">
        <v>607</v>
      </c>
      <c r="C623" s="13" t="s">
        <v>1423</v>
      </c>
      <c r="D623" s="13" t="s">
        <v>1454</v>
      </c>
      <c r="E623" s="13" t="s">
        <v>1497</v>
      </c>
      <c r="F623" s="13" t="s">
        <v>1487</v>
      </c>
      <c r="G623" s="63" t="n">
        <v>24447662378</v>
      </c>
      <c r="H623" s="13" t="s">
        <v>1417</v>
      </c>
      <c r="I623" s="13" t="s">
        <v>1488</v>
      </c>
      <c r="J623" s="13" t="n">
        <v>61</v>
      </c>
      <c r="K623" s="13"/>
      <c r="L623" s="13" t="s">
        <v>1426</v>
      </c>
      <c r="M623" s="13" t="s">
        <v>1489</v>
      </c>
    </row>
    <row r="624" customFormat="false" ht="15" hidden="false" customHeight="false" outlineLevel="0" collapsed="false">
      <c r="A624" s="13" t="s">
        <v>608</v>
      </c>
      <c r="B624" s="13" t="s">
        <v>607</v>
      </c>
      <c r="C624" s="13" t="s">
        <v>1423</v>
      </c>
      <c r="D624" s="13" t="s">
        <v>1454</v>
      </c>
      <c r="E624" s="13" t="s">
        <v>1498</v>
      </c>
      <c r="F624" s="13" t="s">
        <v>1487</v>
      </c>
      <c r="G624" s="63" t="n">
        <v>-432000000</v>
      </c>
      <c r="H624" s="13" t="s">
        <v>1417</v>
      </c>
      <c r="I624" s="13" t="s">
        <v>1488</v>
      </c>
      <c r="J624" s="13" t="n">
        <v>61</v>
      </c>
      <c r="K624" s="13"/>
      <c r="L624" s="13" t="s">
        <v>1426</v>
      </c>
      <c r="M624" s="13" t="s">
        <v>1489</v>
      </c>
    </row>
    <row r="625" customFormat="false" ht="15" hidden="false" customHeight="false" outlineLevel="0" collapsed="false">
      <c r="A625" s="13" t="s">
        <v>608</v>
      </c>
      <c r="B625" s="13" t="s">
        <v>607</v>
      </c>
      <c r="C625" s="13" t="s">
        <v>1423</v>
      </c>
      <c r="D625" s="13" t="s">
        <v>1454</v>
      </c>
      <c r="E625" s="13" t="s">
        <v>1499</v>
      </c>
      <c r="F625" s="13" t="s">
        <v>1487</v>
      </c>
      <c r="G625" s="109" t="n">
        <v>0</v>
      </c>
      <c r="H625" s="13" t="s">
        <v>1417</v>
      </c>
      <c r="I625" s="13" t="s">
        <v>1488</v>
      </c>
      <c r="J625" s="13" t="n">
        <v>61</v>
      </c>
      <c r="K625" s="13"/>
      <c r="L625" s="13" t="s">
        <v>1426</v>
      </c>
      <c r="M625" s="13" t="s">
        <v>1489</v>
      </c>
    </row>
    <row r="626" customFormat="false" ht="15" hidden="false" customHeight="false" outlineLevel="0" collapsed="false">
      <c r="A626" s="13" t="s">
        <v>608</v>
      </c>
      <c r="B626" s="13" t="s">
        <v>607</v>
      </c>
      <c r="C626" s="13" t="s">
        <v>1423</v>
      </c>
      <c r="D626" s="13" t="s">
        <v>1454</v>
      </c>
      <c r="E626" s="13" t="s">
        <v>1500</v>
      </c>
      <c r="F626" s="13" t="s">
        <v>1487</v>
      </c>
      <c r="G626" s="63" t="n">
        <v>192052959657</v>
      </c>
      <c r="H626" s="13" t="s">
        <v>1417</v>
      </c>
      <c r="I626" s="13" t="s">
        <v>1488</v>
      </c>
      <c r="J626" s="13" t="n">
        <v>61</v>
      </c>
      <c r="K626" s="13"/>
      <c r="L626" s="13" t="s">
        <v>1426</v>
      </c>
      <c r="M626" s="13" t="s">
        <v>1489</v>
      </c>
    </row>
    <row r="627" customFormat="false" ht="15" hidden="false" customHeight="false" outlineLevel="0" collapsed="false">
      <c r="A627" s="13" t="s">
        <v>608</v>
      </c>
      <c r="B627" s="13" t="s">
        <v>607</v>
      </c>
      <c r="C627" s="13" t="s">
        <v>1427</v>
      </c>
      <c r="D627" s="13" t="s">
        <v>1454</v>
      </c>
      <c r="E627" s="13" t="s">
        <v>1486</v>
      </c>
      <c r="F627" s="13" t="s">
        <v>1487</v>
      </c>
      <c r="G627" s="63" t="n">
        <v>-59667292892</v>
      </c>
      <c r="H627" s="13" t="s">
        <v>1417</v>
      </c>
      <c r="I627" s="13" t="s">
        <v>1488</v>
      </c>
      <c r="J627" s="13" t="n">
        <v>60</v>
      </c>
      <c r="K627" s="13"/>
      <c r="L627" s="13" t="s">
        <v>1420</v>
      </c>
      <c r="M627" s="13" t="s">
        <v>1489</v>
      </c>
    </row>
    <row r="628" customFormat="false" ht="15" hidden="false" customHeight="false" outlineLevel="0" collapsed="false">
      <c r="A628" s="13" t="s">
        <v>608</v>
      </c>
      <c r="B628" s="13" t="s">
        <v>607</v>
      </c>
      <c r="C628" s="13" t="s">
        <v>1427</v>
      </c>
      <c r="D628" s="13" t="s">
        <v>1454</v>
      </c>
      <c r="E628" s="13" t="s">
        <v>1490</v>
      </c>
      <c r="F628" s="13" t="s">
        <v>1487</v>
      </c>
      <c r="G628" s="109" t="n">
        <v>0</v>
      </c>
      <c r="H628" s="13" t="s">
        <v>1417</v>
      </c>
      <c r="I628" s="13" t="s">
        <v>1488</v>
      </c>
      <c r="J628" s="13" t="n">
        <v>60</v>
      </c>
      <c r="K628" s="13"/>
      <c r="L628" s="13" t="s">
        <v>1420</v>
      </c>
      <c r="M628" s="13" t="s">
        <v>1489</v>
      </c>
    </row>
    <row r="629" customFormat="false" ht="15" hidden="false" customHeight="false" outlineLevel="0" collapsed="false">
      <c r="A629" s="13" t="s">
        <v>608</v>
      </c>
      <c r="B629" s="13" t="s">
        <v>607</v>
      </c>
      <c r="C629" s="13" t="s">
        <v>1427</v>
      </c>
      <c r="D629" s="13" t="s">
        <v>1454</v>
      </c>
      <c r="E629" s="13" t="s">
        <v>1491</v>
      </c>
      <c r="F629" s="13" t="s">
        <v>1487</v>
      </c>
      <c r="G629" s="63" t="n">
        <v>-11997042085</v>
      </c>
      <c r="H629" s="13" t="s">
        <v>1417</v>
      </c>
      <c r="I629" s="13" t="s">
        <v>1488</v>
      </c>
      <c r="J629" s="13" t="n">
        <v>60</v>
      </c>
      <c r="K629" s="13"/>
      <c r="L629" s="13" t="s">
        <v>1420</v>
      </c>
      <c r="M629" s="13" t="s">
        <v>1489</v>
      </c>
    </row>
    <row r="630" customFormat="false" ht="15" hidden="false" customHeight="false" outlineLevel="0" collapsed="false">
      <c r="A630" s="13" t="s">
        <v>608</v>
      </c>
      <c r="B630" s="13" t="s">
        <v>607</v>
      </c>
      <c r="C630" s="13" t="s">
        <v>1427</v>
      </c>
      <c r="D630" s="13" t="s">
        <v>1454</v>
      </c>
      <c r="E630" s="13" t="s">
        <v>1492</v>
      </c>
      <c r="F630" s="13" t="s">
        <v>1487</v>
      </c>
      <c r="G630" s="63" t="n">
        <v>1148516683</v>
      </c>
      <c r="H630" s="13" t="s">
        <v>1417</v>
      </c>
      <c r="I630" s="13" t="s">
        <v>1488</v>
      </c>
      <c r="J630" s="13" t="n">
        <v>60</v>
      </c>
      <c r="K630" s="13"/>
      <c r="L630" s="13" t="s">
        <v>1420</v>
      </c>
      <c r="M630" s="13" t="s">
        <v>1489</v>
      </c>
    </row>
    <row r="631" customFormat="false" ht="15" hidden="false" customHeight="false" outlineLevel="0" collapsed="false">
      <c r="A631" s="13" t="s">
        <v>608</v>
      </c>
      <c r="B631" s="13" t="s">
        <v>607</v>
      </c>
      <c r="C631" s="13" t="s">
        <v>1427</v>
      </c>
      <c r="D631" s="13" t="s">
        <v>1454</v>
      </c>
      <c r="E631" s="13" t="s">
        <v>1493</v>
      </c>
      <c r="F631" s="13" t="s">
        <v>1487</v>
      </c>
      <c r="G631" s="63" t="n">
        <v>-2882403127</v>
      </c>
      <c r="H631" s="13" t="s">
        <v>1417</v>
      </c>
      <c r="I631" s="13" t="s">
        <v>1488</v>
      </c>
      <c r="J631" s="13" t="n">
        <v>60</v>
      </c>
      <c r="K631" s="13"/>
      <c r="L631" s="13" t="s">
        <v>1420</v>
      </c>
      <c r="M631" s="13" t="s">
        <v>1489</v>
      </c>
    </row>
    <row r="632" customFormat="false" ht="15" hidden="false" customHeight="false" outlineLevel="0" collapsed="false">
      <c r="A632" s="13" t="s">
        <v>608</v>
      </c>
      <c r="B632" s="13" t="s">
        <v>607</v>
      </c>
      <c r="C632" s="13" t="s">
        <v>1427</v>
      </c>
      <c r="D632" s="13" t="s">
        <v>1454</v>
      </c>
      <c r="E632" s="13" t="s">
        <v>1494</v>
      </c>
      <c r="F632" s="13" t="s">
        <v>1487</v>
      </c>
      <c r="G632" s="63" t="n">
        <v>-73398221421</v>
      </c>
      <c r="H632" s="13" t="s">
        <v>1417</v>
      </c>
      <c r="I632" s="13" t="s">
        <v>1488</v>
      </c>
      <c r="J632" s="13" t="n">
        <v>60</v>
      </c>
      <c r="K632" s="13"/>
      <c r="L632" s="13" t="s">
        <v>1420</v>
      </c>
      <c r="M632" s="13" t="s">
        <v>1489</v>
      </c>
    </row>
    <row r="633" customFormat="false" ht="15" hidden="false" customHeight="false" outlineLevel="0" collapsed="false">
      <c r="A633" s="13" t="s">
        <v>608</v>
      </c>
      <c r="B633" s="13" t="s">
        <v>607</v>
      </c>
      <c r="C633" s="13" t="s">
        <v>1427</v>
      </c>
      <c r="D633" s="13" t="s">
        <v>1454</v>
      </c>
      <c r="E633" s="13" t="s">
        <v>1495</v>
      </c>
      <c r="F633" s="13" t="s">
        <v>1487</v>
      </c>
      <c r="G633" s="63" t="n">
        <v>192052959656</v>
      </c>
      <c r="H633" s="13" t="s">
        <v>1417</v>
      </c>
      <c r="I633" s="13" t="s">
        <v>1488</v>
      </c>
      <c r="J633" s="13" t="n">
        <v>60</v>
      </c>
      <c r="K633" s="13"/>
      <c r="L633" s="13" t="s">
        <v>1420</v>
      </c>
      <c r="M633" s="13" t="s">
        <v>1489</v>
      </c>
    </row>
    <row r="634" customFormat="false" ht="15" hidden="false" customHeight="false" outlineLevel="0" collapsed="false">
      <c r="A634" s="13" t="s">
        <v>608</v>
      </c>
      <c r="B634" s="13" t="s">
        <v>607</v>
      </c>
      <c r="C634" s="13" t="s">
        <v>1427</v>
      </c>
      <c r="D634" s="13" t="s">
        <v>1454</v>
      </c>
      <c r="E634" s="13" t="s">
        <v>1496</v>
      </c>
      <c r="F634" s="13" t="s">
        <v>1487</v>
      </c>
      <c r="G634" s="109" t="n">
        <v>0</v>
      </c>
      <c r="H634" s="13" t="s">
        <v>1417</v>
      </c>
      <c r="I634" s="13" t="s">
        <v>1488</v>
      </c>
      <c r="J634" s="13" t="n">
        <v>60</v>
      </c>
      <c r="K634" s="13"/>
      <c r="L634" s="13" t="s">
        <v>1420</v>
      </c>
      <c r="M634" s="13" t="s">
        <v>1489</v>
      </c>
    </row>
    <row r="635" customFormat="false" ht="15" hidden="false" customHeight="false" outlineLevel="0" collapsed="false">
      <c r="A635" s="13" t="s">
        <v>608</v>
      </c>
      <c r="B635" s="13" t="s">
        <v>607</v>
      </c>
      <c r="C635" s="13" t="s">
        <v>1427</v>
      </c>
      <c r="D635" s="13" t="s">
        <v>1454</v>
      </c>
      <c r="E635" s="13" t="s">
        <v>1497</v>
      </c>
      <c r="F635" s="13" t="s">
        <v>1487</v>
      </c>
      <c r="G635" s="63" t="n">
        <v>3910827865</v>
      </c>
      <c r="H635" s="13" t="s">
        <v>1417</v>
      </c>
      <c r="I635" s="13" t="s">
        <v>1488</v>
      </c>
      <c r="J635" s="13" t="n">
        <v>60</v>
      </c>
      <c r="K635" s="13"/>
      <c r="L635" s="13" t="s">
        <v>1420</v>
      </c>
      <c r="M635" s="13" t="s">
        <v>1489</v>
      </c>
    </row>
    <row r="636" customFormat="false" ht="15" hidden="false" customHeight="false" outlineLevel="0" collapsed="false">
      <c r="A636" s="13" t="s">
        <v>608</v>
      </c>
      <c r="B636" s="13" t="s">
        <v>607</v>
      </c>
      <c r="C636" s="13" t="s">
        <v>1427</v>
      </c>
      <c r="D636" s="13" t="s">
        <v>1454</v>
      </c>
      <c r="E636" s="13" t="s">
        <v>1498</v>
      </c>
      <c r="F636" s="13" t="s">
        <v>1487</v>
      </c>
      <c r="G636" s="63" t="n">
        <v>-1182040600</v>
      </c>
      <c r="H636" s="13" t="s">
        <v>1417</v>
      </c>
      <c r="I636" s="13" t="s">
        <v>1488</v>
      </c>
      <c r="J636" s="13" t="n">
        <v>60</v>
      </c>
      <c r="K636" s="13"/>
      <c r="L636" s="13" t="s">
        <v>1420</v>
      </c>
      <c r="M636" s="13" t="s">
        <v>1489</v>
      </c>
    </row>
    <row r="637" customFormat="false" ht="15" hidden="false" customHeight="false" outlineLevel="0" collapsed="false">
      <c r="A637" s="13" t="s">
        <v>608</v>
      </c>
      <c r="B637" s="13" t="s">
        <v>607</v>
      </c>
      <c r="C637" s="13" t="s">
        <v>1427</v>
      </c>
      <c r="D637" s="13" t="s">
        <v>1454</v>
      </c>
      <c r="E637" s="13" t="s">
        <v>1499</v>
      </c>
      <c r="F637" s="13" t="s">
        <v>1487</v>
      </c>
      <c r="G637" s="63" t="n">
        <v>6537547527</v>
      </c>
      <c r="H637" s="13" t="s">
        <v>1417</v>
      </c>
      <c r="I637" s="13" t="s">
        <v>1488</v>
      </c>
      <c r="J637" s="13" t="n">
        <v>60</v>
      </c>
      <c r="K637" s="13"/>
      <c r="L637" s="13" t="s">
        <v>1420</v>
      </c>
      <c r="M637" s="13" t="s">
        <v>1489</v>
      </c>
    </row>
    <row r="638" customFormat="false" ht="15" hidden="false" customHeight="false" outlineLevel="0" collapsed="false">
      <c r="A638" s="13" t="s">
        <v>608</v>
      </c>
      <c r="B638" s="13" t="s">
        <v>607</v>
      </c>
      <c r="C638" s="13" t="s">
        <v>1427</v>
      </c>
      <c r="D638" s="13" t="s">
        <v>1454</v>
      </c>
      <c r="E638" s="13" t="s">
        <v>1500</v>
      </c>
      <c r="F638" s="13" t="s">
        <v>1487</v>
      </c>
      <c r="G638" s="63" t="n">
        <v>201319294448</v>
      </c>
      <c r="H638" s="13" t="s">
        <v>1417</v>
      </c>
      <c r="I638" s="13" t="s">
        <v>1488</v>
      </c>
      <c r="J638" s="13" t="n">
        <v>60</v>
      </c>
      <c r="K638" s="13"/>
      <c r="L638" s="13" t="s">
        <v>1420</v>
      </c>
      <c r="M638" s="13" t="s">
        <v>1489</v>
      </c>
    </row>
  </sheetData>
  <autoFilter ref="A4:M638"/>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1501</v>
      </c>
    </row>
    <row r="2" customFormat="false" ht="15" hidden="false" customHeight="false" outlineLevel="0" collapsed="false">
      <c r="A2" s="15" t="s">
        <v>1502</v>
      </c>
    </row>
    <row r="4" customFormat="false" ht="15" hidden="false" customHeight="false" outlineLevel="0" collapsed="false">
      <c r="A4" s="24" t="s">
        <v>1503</v>
      </c>
      <c r="B4" s="24" t="s">
        <v>1504</v>
      </c>
      <c r="C4" s="24" t="s">
        <v>1235</v>
      </c>
      <c r="D4" s="24" t="s">
        <v>1505</v>
      </c>
    </row>
    <row r="5" customFormat="false" ht="15" hidden="false" customHeight="false" outlineLevel="0" collapsed="false">
      <c r="A5" s="10" t="s">
        <v>1506</v>
      </c>
      <c r="B5" s="10" t="s">
        <v>1507</v>
      </c>
      <c r="C5" s="10" t="n">
        <v>2022</v>
      </c>
      <c r="D5" s="10" t="s">
        <v>1419</v>
      </c>
    </row>
    <row r="6" customFormat="false" ht="15" hidden="false" customHeight="false" outlineLevel="0" collapsed="false">
      <c r="A6" s="10" t="s">
        <v>1506</v>
      </c>
      <c r="B6" s="10" t="s">
        <v>1508</v>
      </c>
      <c r="C6" s="10" t="n">
        <v>2023</v>
      </c>
      <c r="D6" s="10" t="s">
        <v>1422</v>
      </c>
    </row>
    <row r="7" customFormat="false" ht="15" hidden="false" customHeight="false" outlineLevel="0" collapsed="false">
      <c r="A7" s="10" t="s">
        <v>1506</v>
      </c>
      <c r="B7" s="10" t="s">
        <v>1509</v>
      </c>
      <c r="C7" s="10" t="n">
        <v>2024</v>
      </c>
      <c r="D7" s="10" t="s">
        <v>1425</v>
      </c>
    </row>
    <row r="8" customFormat="false" ht="15" hidden="false" customHeight="false" outlineLevel="0" collapsed="false">
      <c r="A8" s="10" t="s">
        <v>1506</v>
      </c>
      <c r="B8" s="10" t="s">
        <v>1510</v>
      </c>
      <c r="C8" s="10" t="n">
        <v>2025</v>
      </c>
      <c r="D8" s="10" t="s">
        <v>619</v>
      </c>
    </row>
    <row r="9" customFormat="false" ht="46.25" hidden="false" customHeight="false" outlineLevel="0" collapsed="false">
      <c r="A9" s="10" t="s">
        <v>1511</v>
      </c>
      <c r="B9" s="10" t="s">
        <v>1426</v>
      </c>
      <c r="C9" s="10" t="n">
        <v>2024</v>
      </c>
      <c r="D9" s="10" t="s">
        <v>1512</v>
      </c>
    </row>
    <row r="10" customFormat="false" ht="23.85" hidden="false" customHeight="false" outlineLevel="0" collapsed="false">
      <c r="A10" s="10" t="s">
        <v>1513</v>
      </c>
      <c r="B10" s="10" t="s">
        <v>1514</v>
      </c>
      <c r="C10" s="10" t="n">
        <v>2024</v>
      </c>
      <c r="D10" s="10" t="s">
        <v>1515</v>
      </c>
    </row>
    <row r="11" customFormat="false" ht="23.85" hidden="false" customHeight="false" outlineLevel="0" collapsed="false">
      <c r="A11" s="10" t="s">
        <v>1513</v>
      </c>
      <c r="B11" s="10" t="s">
        <v>1516</v>
      </c>
      <c r="C11" s="10" t="n">
        <v>2025</v>
      </c>
      <c r="D11" s="10" t="s">
        <v>1517</v>
      </c>
    </row>
    <row r="12" customFormat="false" ht="68.65" hidden="false" customHeight="false" outlineLevel="0" collapsed="false">
      <c r="A12" s="10" t="s">
        <v>1518</v>
      </c>
      <c r="B12" s="10" t="s">
        <v>1519</v>
      </c>
      <c r="C12" s="10"/>
      <c r="D12" s="10" t="s">
        <v>1520</v>
      </c>
    </row>
    <row r="13" customFormat="false" ht="15" hidden="false" customHeight="false" outlineLevel="0" collapsed="false">
      <c r="A13" s="10" t="s">
        <v>1521</v>
      </c>
      <c r="B13" s="10" t="s">
        <v>1522</v>
      </c>
      <c r="C13" s="10"/>
      <c r="D13" s="10" t="s">
        <v>1523</v>
      </c>
    </row>
    <row r="14" customFormat="false" ht="15" hidden="false" customHeight="false" outlineLevel="0" collapsed="false">
      <c r="A14" s="10" t="s">
        <v>1521</v>
      </c>
      <c r="B14" s="10" t="s">
        <v>1524</v>
      </c>
      <c r="C14" s="10"/>
      <c r="D14" s="10" t="s">
        <v>1525</v>
      </c>
    </row>
    <row r="15" customFormat="false" ht="15" hidden="false" customHeight="false" outlineLevel="0" collapsed="false">
      <c r="A15" s="10" t="s">
        <v>1521</v>
      </c>
      <c r="B15" s="10" t="s">
        <v>1526</v>
      </c>
      <c r="C15" s="10"/>
      <c r="D15" s="10" t="s">
        <v>1527</v>
      </c>
    </row>
    <row r="16" customFormat="false" ht="15" hidden="false" customHeight="false" outlineLevel="0" collapsed="false">
      <c r="A16" s="10" t="s">
        <v>1521</v>
      </c>
      <c r="B16" s="10" t="s">
        <v>1528</v>
      </c>
      <c r="C16" s="10"/>
      <c r="D16" s="10" t="s">
        <v>1529</v>
      </c>
    </row>
    <row r="17" customFormat="false" ht="15" hidden="false" customHeight="false" outlineLevel="0" collapsed="false">
      <c r="A17" s="10" t="s">
        <v>1521</v>
      </c>
      <c r="B17" s="10" t="s">
        <v>1530</v>
      </c>
      <c r="C17" s="10"/>
      <c r="D17" s="10" t="s">
        <v>1531</v>
      </c>
    </row>
    <row r="18" customFormat="false" ht="15" hidden="false" customHeight="false" outlineLevel="0" collapsed="false">
      <c r="A18" s="10" t="s">
        <v>1521</v>
      </c>
      <c r="B18" s="10" t="s">
        <v>1532</v>
      </c>
      <c r="C18" s="10"/>
      <c r="D18" s="10" t="s">
        <v>1533</v>
      </c>
    </row>
    <row r="19" customFormat="false" ht="15" hidden="false" customHeight="false" outlineLevel="0" collapsed="false">
      <c r="A19" s="10" t="s">
        <v>1521</v>
      </c>
      <c r="B19" s="10" t="s">
        <v>1534</v>
      </c>
      <c r="C19" s="10"/>
      <c r="D19" s="10" t="s">
        <v>1535</v>
      </c>
    </row>
    <row r="20" customFormat="false" ht="15" hidden="false" customHeight="false" outlineLevel="0" collapsed="false">
      <c r="A20" s="10" t="s">
        <v>1521</v>
      </c>
      <c r="B20" s="10" t="s">
        <v>1536</v>
      </c>
      <c r="C20" s="10"/>
      <c r="D20" s="10" t="s">
        <v>1537</v>
      </c>
    </row>
    <row r="21" customFormat="false" ht="15" hidden="false" customHeight="false" outlineLevel="0" collapsed="false">
      <c r="A21" s="10" t="s">
        <v>1521</v>
      </c>
      <c r="B21" s="10" t="s">
        <v>1012</v>
      </c>
      <c r="C21" s="10"/>
      <c r="D21" s="10" t="s">
        <v>1538</v>
      </c>
    </row>
    <row r="22" customFormat="false" ht="15" hidden="false" customHeight="false" outlineLevel="0" collapsed="false">
      <c r="A22" s="10" t="s">
        <v>1521</v>
      </c>
      <c r="B22" s="10" t="s">
        <v>905</v>
      </c>
      <c r="C22" s="10"/>
      <c r="D22" s="10" t="s">
        <v>1539</v>
      </c>
    </row>
    <row r="23" customFormat="false" ht="15" hidden="false" customHeight="false" outlineLevel="0" collapsed="false">
      <c r="A23" s="10" t="s">
        <v>1540</v>
      </c>
      <c r="B23" s="10" t="s">
        <v>1541</v>
      </c>
      <c r="C23" s="10"/>
      <c r="D23" s="10" t="s">
        <v>1542</v>
      </c>
    </row>
    <row r="24" customFormat="false" ht="15" hidden="false" customHeight="false" outlineLevel="0" collapsed="false">
      <c r="A24" s="10" t="s">
        <v>1540</v>
      </c>
      <c r="B24" s="10" t="s">
        <v>1543</v>
      </c>
      <c r="C24" s="10"/>
      <c r="D24" s="10" t="s">
        <v>1542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Cipta Sarana Medika Tbk (DKHH)&amp;R&amp;7 © Ryant Gabein Pasaribu | CC BY 4.0 | DKHH-FY2025-v1.0-36F09546</oddHeader>
    <oddFooter>&amp;L&amp;7 PT Cipta Sarana Medika Tbk (DKHH) | © Ryant Gabein Pasaribu | CC BY 4.0 | DKHH-FY2025-v1.0-36F09546&amp;R&amp;7 Sumber: LK audited DKHH 2022-2025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2026-10-25T12:08:07Z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DKHH-FY2025-v1.0-36F09546. Dokumen ini hanya ringkasan informasi dan analisis data fundamental yang bersumber dari laporan keuangan publik (audited) PT Cipta Sarana Medika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DKHH-FY2025-v1.0-36F09546</dc:identifier>
  <cp:keywords>DKHH-FY2025-v1.0-36F09546</cp:keywords>
  <dc:language>en-US</dc:language>
  <cp:lastModifiedBy>Ryant Gabein Pasaribu</cp:lastModifiedBy>
  <dcterms:modified xsi:type="dcterms:W3CDTF">2026-10-25T12:08:08Z</dcterms:modified>
  <cp:revision>0</cp:revision>
  <dc:subject>Model fundamental PT Cipta Sarana Medika Tbk (DKHH) - CC BY 4.0</dc:subject>
  <dc:title>Model fundamental DKHH</dc:title>
  <cp:version>v1.0</cp:version>
</cp:coreProperties>
</file>

<file path=docProps/custom.xml><?xml version="1.0" encoding="utf-8"?>
<Properties xmlns="http://schemas.openxmlformats.org/officeDocument/2006/custom-properties" xmlns:vt="http://schemas.openxmlformats.org/officeDocument/2006/docPropsVTypes"/>
</file>